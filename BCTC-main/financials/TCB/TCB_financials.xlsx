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e_sheet" sheetId="1" state="visible" r:id="rId1"/>
    <sheet name="income_statement" sheetId="2" state="visible" r:id="rId2"/>
    <sheet name="cash_flow" sheetId="3" state="visible" r:id="rId3"/>
    <sheet name="chi_so_tai_chinh" sheetId="4" state="visible" r:id="rId4"/>
  </sheets>
  <definedNames/>
  <calcPr calcId="124519" fullCalcOnLoad="1"/>
</workbook>
</file>

<file path=xl/styles.xml><?xml version="1.0" encoding="utf-8"?>
<styleSheet xmlns="http://schemas.openxmlformats.org/spreadsheetml/2006/main">
  <numFmts count="4">
    <numFmt numFmtId="164" formatCode="#,##0;(#,##0);&quot;-&quot;"/>
    <numFmt numFmtId="165" formatCode="0.0%"/>
    <numFmt numFmtId="166" formatCode="0.00&quot;x&quot;"/>
    <numFmt numFmtId="167" formatCode="#,##0 &quot;ngày&quot;"/>
  </numFmts>
  <fonts count="15">
    <font>
      <name val="Calibri"/>
      <family val="2"/>
      <color theme="1"/>
      <sz val="11"/>
      <scheme val="minor"/>
    </font>
    <font>
      <b val="1"/>
    </font>
    <font>
      <name val="Tahoma"/>
      <b val="1"/>
      <color rgb="00FFFFFF"/>
    </font>
    <font>
      <name val="Tahoma"/>
      <sz val="10"/>
    </font>
    <font>
      <name val="Tahoma"/>
      <b val="1"/>
      <color rgb="00FFFFFF"/>
      <sz val="14"/>
    </font>
    <font>
      <name val="Tahoma"/>
      <i val="1"/>
      <color rgb="00808080"/>
      <sz val="9"/>
    </font>
    <font>
      <name val="Tahoma"/>
      <i val="1"/>
      <color rgb="00C00000"/>
      <sz val="9"/>
    </font>
    <font>
      <name val="Tahoma"/>
      <b val="1"/>
      <sz val="11"/>
    </font>
    <font>
      <name val="Calibri"/>
      <charset val="1"/>
      <family val="2"/>
      <color theme="1"/>
      <sz val="11"/>
    </font>
    <font>
      <name val="Tahoma"/>
      <b val="1"/>
    </font>
    <font>
      <name val="Tahoma"/>
      <b val="1"/>
      <i val="1"/>
      <sz val="10"/>
    </font>
    <font>
      <name val="Tahoma"/>
      <b val="1"/>
      <sz val="10"/>
    </font>
    <font>
      <name val="Tahoma"/>
      <i val="1"/>
      <color rgb="00808080"/>
      <sz val="10"/>
    </font>
    <font>
      <name val="Tahoma"/>
      <color rgb="00000000"/>
      <sz val="10"/>
    </font>
    <font>
      <name val="Tahoma"/>
      <color rgb="00008000"/>
      <sz val="10"/>
    </font>
  </fonts>
  <fills count="4">
    <fill>
      <patternFill/>
    </fill>
    <fill>
      <patternFill patternType="gray125"/>
    </fill>
    <fill>
      <patternFill patternType="solid">
        <fgColor rgb="001F4E78"/>
      </patternFill>
    </fill>
    <fill>
      <patternFill patternType="solid">
        <fgColor rgb="00D9E1F2"/>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2" fillId="2" borderId="2" applyAlignment="1" pivotButton="0" quotePrefix="0" xfId="0">
      <alignment horizontal="left"/>
    </xf>
    <xf numFmtId="0" fontId="2" fillId="2" borderId="2" applyAlignment="1" pivotButton="0" quotePrefix="0" xfId="0">
      <alignment horizontal="center"/>
    </xf>
    <xf numFmtId="0" fontId="3" fillId="0" borderId="2" pivotButton="0" quotePrefix="0" xfId="0"/>
    <xf numFmtId="164" fontId="3" fillId="0" borderId="2" pivotButton="0" quotePrefix="0" xfId="0"/>
    <xf numFmtId="0" fontId="4" fillId="2"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3" borderId="0" pivotButton="0" quotePrefix="0" xfId="0"/>
    <xf numFmtId="0" fontId="9" fillId="0" borderId="2" pivotButton="0" quotePrefix="0" xfId="0"/>
    <xf numFmtId="1" fontId="9" fillId="0" borderId="2" applyAlignment="1" pivotButton="0" quotePrefix="0" xfId="0">
      <alignment horizontal="center"/>
    </xf>
    <xf numFmtId="0" fontId="10" fillId="0" borderId="0" pivotButton="0" quotePrefix="0" xfId="0"/>
    <xf numFmtId="0" fontId="11" fillId="0" borderId="2" pivotButton="0" quotePrefix="0" xfId="0"/>
    <xf numFmtId="0" fontId="12" fillId="0" borderId="2" pivotButton="0" quotePrefix="0" xfId="0"/>
    <xf numFmtId="165" fontId="13" fillId="0" borderId="2" pivotButton="0" quotePrefix="0" xfId="0"/>
    <xf numFmtId="166" fontId="13" fillId="0" borderId="2" pivotButton="0" quotePrefix="0" xfId="0"/>
    <xf numFmtId="167" fontId="13" fillId="0" borderId="2" pivotButton="0" quotePrefix="0" xfId="0"/>
    <xf numFmtId="164" fontId="14"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Tiền mặt, vàng bạc, đá quý</t>
        </is>
      </c>
      <c r="B2" s="4" t="n">
        <v>4360821000000</v>
      </c>
      <c r="C2" s="4" t="n">
        <v>3384770000000</v>
      </c>
      <c r="D2" s="4" t="n">
        <v>3620695000000</v>
      </c>
      <c r="E2" s="4" t="n">
        <v>4215721000000</v>
      </c>
    </row>
    <row r="3">
      <c r="A3" s="3" t="inlineStr">
        <is>
          <t>Tài sản cố định</t>
        </is>
      </c>
      <c r="B3" s="4" t="n">
        <v>12122934000000</v>
      </c>
      <c r="C3" s="4" t="n">
        <v>12466885000000</v>
      </c>
      <c r="D3" s="4" t="n">
        <v>8892697000000</v>
      </c>
      <c r="E3" s="4" t="n">
        <v>8411382000000</v>
      </c>
    </row>
    <row r="4">
      <c r="A4" s="3" t="inlineStr">
        <is>
          <t>Tài sản cố định hữu hình</t>
        </is>
      </c>
      <c r="B4" s="4" t="n">
        <v>6343732000000</v>
      </c>
      <c r="C4" s="4" t="n">
        <v>6576699000000</v>
      </c>
      <c r="D4" s="4" t="n">
        <v>3527586000000</v>
      </c>
      <c r="E4" s="4" t="n">
        <v>3696812000000</v>
      </c>
    </row>
    <row r="5">
      <c r="A5" s="3" t="inlineStr">
        <is>
          <t>Nguyên giá TSCĐ hữu hình</t>
        </is>
      </c>
      <c r="B5" s="4" t="n">
        <v>9539276000000</v>
      </c>
      <c r="C5" s="4" t="n">
        <v>9080615000000</v>
      </c>
      <c r="D5" s="4" t="n">
        <v>5492566000000</v>
      </c>
      <c r="E5" s="4" t="n">
        <v>5156346000000</v>
      </c>
    </row>
    <row r="6">
      <c r="A6" s="3" t="inlineStr">
        <is>
          <t>Hao mòn TSCĐ hữu hình</t>
        </is>
      </c>
      <c r="B6" s="4" t="n">
        <v>-3195544000000</v>
      </c>
      <c r="C6" s="4" t="n">
        <v>-2503916000000</v>
      </c>
      <c r="D6" s="4" t="n">
        <v>-1964980000000</v>
      </c>
      <c r="E6" s="4" t="n">
        <v>-1459534000000</v>
      </c>
    </row>
    <row r="7">
      <c r="A7" s="3" t="inlineStr">
        <is>
          <t>Tài sản cố định thuê tài chính</t>
        </is>
      </c>
      <c r="B7" s="4" t="n">
        <v>0</v>
      </c>
      <c r="C7" s="4" t="n">
        <v>0</v>
      </c>
      <c r="D7" s="4" t="n">
        <v>0</v>
      </c>
      <c r="E7" s="4" t="n">
        <v>0</v>
      </c>
    </row>
    <row r="8">
      <c r="A8" s="3" t="inlineStr">
        <is>
          <t>Nguyên giá TSCĐ thuê tài chính</t>
        </is>
      </c>
      <c r="B8" s="4" t="n">
        <v>0</v>
      </c>
      <c r="C8" s="4" t="n">
        <v>0</v>
      </c>
      <c r="D8" s="4" t="n">
        <v>0</v>
      </c>
      <c r="E8" s="4" t="n">
        <v>0</v>
      </c>
    </row>
    <row r="9">
      <c r="A9" s="3" t="inlineStr">
        <is>
          <t>Hao mòn TSCĐ thuê tài chính</t>
        </is>
      </c>
      <c r="B9" s="4" t="n">
        <v>0</v>
      </c>
      <c r="C9" s="4" t="n">
        <v>0</v>
      </c>
      <c r="D9" s="4" t="n">
        <v>0</v>
      </c>
      <c r="E9" s="4" t="n">
        <v>0</v>
      </c>
    </row>
    <row r="10">
      <c r="A10" s="3" t="inlineStr">
        <is>
          <t>Tài sản cố định vô hình</t>
        </is>
      </c>
      <c r="B10" s="4" t="n">
        <v>5779202000000</v>
      </c>
      <c r="C10" s="4" t="n">
        <v>5890186000000</v>
      </c>
      <c r="D10" s="4" t="n">
        <v>5365111000000</v>
      </c>
      <c r="E10" s="4" t="n">
        <v>4714570000000</v>
      </c>
    </row>
    <row r="11">
      <c r="A11" s="3" t="inlineStr">
        <is>
          <t>Nguyên giá TSCĐ vô hình</t>
        </is>
      </c>
      <c r="B11" s="4" t="n">
        <v>9535997000000</v>
      </c>
      <c r="C11" s="4" t="n">
        <v>8485022000000</v>
      </c>
      <c r="D11" s="4" t="n">
        <v>7198784000000</v>
      </c>
      <c r="E11" s="4" t="n">
        <v>5913538000000</v>
      </c>
    </row>
    <row r="12">
      <c r="A12" s="3" t="inlineStr">
        <is>
          <t>Hao mòn TSCĐ vô hình</t>
        </is>
      </c>
      <c r="B12" s="4" t="n">
        <v>-3756795000000</v>
      </c>
      <c r="C12" s="4" t="n">
        <v>-2594836000000</v>
      </c>
      <c r="D12" s="4" t="n">
        <v>-1833673000000</v>
      </c>
      <c r="E12" s="4" t="n">
        <v>-1198968000000</v>
      </c>
    </row>
    <row r="13">
      <c r="A13" s="3" t="inlineStr">
        <is>
          <t>Bất động sản đầu tư</t>
        </is>
      </c>
      <c r="B13" s="4" t="n">
        <v>0</v>
      </c>
      <c r="C13" s="4" t="n">
        <v>0</v>
      </c>
      <c r="D13" s="4" t="n">
        <v>0</v>
      </c>
      <c r="E13" s="4" t="n">
        <v>1053124000000</v>
      </c>
    </row>
    <row r="14">
      <c r="A14" s="3" t="inlineStr">
        <is>
          <t>Nguyên giá bất động sản đầu tư</t>
        </is>
      </c>
      <c r="B14" s="4" t="n">
        <v>0</v>
      </c>
      <c r="C14" s="4" t="n">
        <v>0</v>
      </c>
      <c r="D14" s="4" t="n">
        <v>0</v>
      </c>
      <c r="E14" s="4" t="n">
        <v>1435699000000</v>
      </c>
    </row>
    <row r="15">
      <c r="A15" s="3" t="inlineStr">
        <is>
          <t>Hao mòn bất động sản đầu tư</t>
        </is>
      </c>
      <c r="B15" s="4" t="n">
        <v>0</v>
      </c>
      <c r="C15" s="4" t="n">
        <v>0</v>
      </c>
      <c r="D15" s="4" t="n">
        <v>0</v>
      </c>
      <c r="E15" s="4" t="n">
        <v>-382575000000</v>
      </c>
    </row>
    <row r="16">
      <c r="A16" s="3" t="inlineStr">
        <is>
          <t>Góp vốn, đầu tư dài hạn</t>
        </is>
      </c>
      <c r="B16" s="4" t="n">
        <v>3246622000000</v>
      </c>
      <c r="C16" s="4" t="n">
        <v>3102523000000</v>
      </c>
      <c r="D16" s="4" t="n">
        <v>3046245000000</v>
      </c>
      <c r="E16" s="4" t="n">
        <v>12813000000</v>
      </c>
    </row>
    <row r="17">
      <c r="A17" s="3" t="inlineStr">
        <is>
          <t>Đầu tư vào công ty con</t>
        </is>
      </c>
      <c r="B17" s="4" t="n">
        <v>0</v>
      </c>
      <c r="C17" s="4" t="n">
        <v>0</v>
      </c>
      <c r="D17" s="4" t="n">
        <v>0</v>
      </c>
      <c r="E17" s="4" t="n">
        <v>0</v>
      </c>
    </row>
    <row r="18">
      <c r="A18" s="3" t="inlineStr">
        <is>
          <t>Đầu tư vào công ty liên doanh</t>
        </is>
      </c>
      <c r="B18" s="4" t="n">
        <v>32263000000</v>
      </c>
      <c r="C18" s="4" t="n">
        <v>0</v>
      </c>
      <c r="D18" s="4" t="n">
        <v>0</v>
      </c>
      <c r="E18" s="4" t="n">
        <v>0</v>
      </c>
    </row>
    <row r="19">
      <c r="A19" s="3" t="inlineStr">
        <is>
          <t>Đầu tư dài hạn khác</t>
        </is>
      </c>
      <c r="B19" s="4" t="n">
        <v>3215508000000</v>
      </c>
      <c r="C19" s="4" t="n">
        <v>3103672000000</v>
      </c>
      <c r="D19" s="4" t="n">
        <v>3047394000000</v>
      </c>
      <c r="E19" s="4" t="n">
        <v>13962000000</v>
      </c>
    </row>
    <row r="20">
      <c r="A20" s="3" t="inlineStr">
        <is>
          <t>Dự phòng giảm giá đầu tư dài hạn</t>
        </is>
      </c>
      <c r="B20" s="4" t="n">
        <v>-1149000000</v>
      </c>
      <c r="C20" s="4" t="n">
        <v>-1149000000</v>
      </c>
      <c r="D20" s="4" t="n">
        <v>-1149000000</v>
      </c>
      <c r="E20" s="4" t="n">
        <v>-1149000000</v>
      </c>
    </row>
    <row r="21">
      <c r="A21" s="3" t="inlineStr">
        <is>
          <t>TỔNG TÀI SẢN</t>
        </is>
      </c>
      <c r="B21" s="4" t="n">
        <v>1192344137000000</v>
      </c>
      <c r="C21" s="4" t="n">
        <v>978798549000000</v>
      </c>
      <c r="D21" s="4" t="n">
        <v>849482012000000</v>
      </c>
      <c r="E21" s="4" t="n">
        <v>699032544000000</v>
      </c>
    </row>
    <row r="22">
      <c r="A22" s="3" t="inlineStr">
        <is>
          <t>TỔNG NỢ PHẢI TRẢ</t>
        </is>
      </c>
      <c r="B22" s="4" t="n">
        <v>1012842695000000</v>
      </c>
      <c r="C22" s="4" t="n">
        <v>830858928000000</v>
      </c>
      <c r="D22" s="4" t="n">
        <v>717865947000000</v>
      </c>
      <c r="E22" s="4" t="n">
        <v>585607578000000</v>
      </c>
    </row>
    <row r="23">
      <c r="A23" s="3" t="inlineStr">
        <is>
          <t>VỐN CHỦ SỞ HỮU</t>
        </is>
      </c>
      <c r="B23" s="4" t="n">
        <v>179501442000000</v>
      </c>
      <c r="C23" s="4" t="n">
        <v>147939621000000</v>
      </c>
      <c r="D23" s="4" t="n">
        <v>131616065000000</v>
      </c>
      <c r="E23" s="4" t="n">
        <v>113424966000000</v>
      </c>
    </row>
    <row r="24">
      <c r="A24" s="3" t="inlineStr">
        <is>
          <t>Vốn điều lệ</t>
        </is>
      </c>
      <c r="B24" s="4" t="n">
        <v>70862404000000</v>
      </c>
      <c r="C24" s="4" t="n">
        <v>70648517000000</v>
      </c>
      <c r="D24" s="4" t="n">
        <v>35225108000000</v>
      </c>
      <c r="E24" s="4" t="n">
        <v>35172385000000</v>
      </c>
    </row>
    <row r="25">
      <c r="A25" s="3" t="inlineStr">
        <is>
          <t>Thặng dư vốn cổ phần</t>
        </is>
      </c>
      <c r="B25" s="4" t="n">
        <v>-124000000</v>
      </c>
      <c r="C25" s="4" t="n">
        <v>-59000000</v>
      </c>
      <c r="D25" s="4" t="n">
        <v>476356000000</v>
      </c>
      <c r="E25" s="4" t="n">
        <v>476415000000</v>
      </c>
    </row>
    <row r="26">
      <c r="A26" s="3" t="inlineStr">
        <is>
          <t>Vốn khác</t>
        </is>
      </c>
      <c r="B26" s="4" t="n">
        <v>7764086000000</v>
      </c>
      <c r="C26" s="4" t="n">
        <v>7764086000000</v>
      </c>
      <c r="D26" s="4" t="n">
        <v>555997000000</v>
      </c>
      <c r="E26" s="4" t="n">
        <v>555997000000</v>
      </c>
    </row>
    <row r="27">
      <c r="A27" s="3" t="inlineStr">
        <is>
          <t>Cổ phiếu Quỹ</t>
        </is>
      </c>
      <c r="B27" s="4" t="n">
        <v>0</v>
      </c>
      <c r="C27" s="4" t="n">
        <v>0</v>
      </c>
      <c r="D27" s="4" t="n">
        <v>0</v>
      </c>
      <c r="E27" s="4" t="n">
        <v>0</v>
      </c>
    </row>
    <row r="28">
      <c r="A28" s="3" t="inlineStr">
        <is>
          <t>Chênh lệch đánh giá lại tài sản</t>
        </is>
      </c>
      <c r="B28" s="4" t="n">
        <v>0</v>
      </c>
      <c r="C28" s="4" t="n">
        <v>0</v>
      </c>
      <c r="D28" s="4" t="n">
        <v>0</v>
      </c>
      <c r="E28" s="4" t="n">
        <v>0</v>
      </c>
    </row>
    <row r="29">
      <c r="A29" s="3" t="inlineStr">
        <is>
          <t>Chênh lệch tỷ giá hối đoái</t>
        </is>
      </c>
      <c r="B29" s="4" t="n">
        <v>0</v>
      </c>
      <c r="C29" s="4" t="n">
        <v>0</v>
      </c>
      <c r="D29" s="4" t="n">
        <v>0</v>
      </c>
      <c r="E29" s="4" t="n">
        <v>0</v>
      </c>
    </row>
    <row r="30">
      <c r="A30" s="3" t="inlineStr">
        <is>
          <t>Lợi nhuận chưa phân phối</t>
        </is>
      </c>
      <c r="B30" s="4" t="n">
        <v>62773576000000</v>
      </c>
      <c r="C30" s="4" t="n">
        <v>42219306000000</v>
      </c>
      <c r="D30" s="4" t="n">
        <v>49013144000000</v>
      </c>
      <c r="E30" s="4" t="n">
        <v>64482685000000</v>
      </c>
    </row>
    <row r="31">
      <c r="A31" s="3" t="inlineStr">
        <is>
          <t>Lợi ích của cổ đông thiểu số (trước 2015)</t>
        </is>
      </c>
      <c r="B31" s="4" t="n">
        <v>0</v>
      </c>
      <c r="C31" s="4" t="n">
        <v>0</v>
      </c>
      <c r="D31" s="4" t="n">
        <v>0</v>
      </c>
      <c r="E31" s="4" t="n">
        <v>0</v>
      </c>
    </row>
    <row r="32">
      <c r="A32" s="3" t="inlineStr">
        <is>
          <t>NỢ PHẢI TRẢ VÀ VỐN CHỦ SỞ HỮU</t>
        </is>
      </c>
      <c r="B32" s="4" t="n">
        <v>1192344137000000</v>
      </c>
      <c r="C32" s="4" t="n">
        <v>978798549000000</v>
      </c>
      <c r="D32" s="4" t="n">
        <v>849482012000000</v>
      </c>
      <c r="E32" s="4" t="n">
        <v>699032544000000</v>
      </c>
    </row>
    <row r="33">
      <c r="A33" s="3" t="inlineStr">
        <is>
          <t>Tiền gửi tại Ngân hàng nhà nước Việt Nam</t>
        </is>
      </c>
      <c r="B33" s="4" t="n">
        <v>82162772000000</v>
      </c>
      <c r="C33" s="4" t="n">
        <v>54353153000000</v>
      </c>
      <c r="D33" s="4" t="n">
        <v>27140592000000</v>
      </c>
      <c r="E33" s="4" t="n">
        <v>11475590000000</v>
      </c>
    </row>
    <row r="34">
      <c r="A34" s="3" t="inlineStr">
        <is>
          <t>Tiền gửi tại các TCTD khác và cho vay các TCTD khác</t>
        </is>
      </c>
      <c r="B34" s="4" t="n">
        <v>114958312000000</v>
      </c>
      <c r="C34" s="4" t="n">
        <v>84590474000000</v>
      </c>
      <c r="D34" s="4" t="n">
        <v>104072320000000</v>
      </c>
      <c r="E34" s="4" t="n">
        <v>82873754000000</v>
      </c>
    </row>
    <row r="35">
      <c r="A35" s="3" t="inlineStr">
        <is>
          <t>Chứng khoán kinh doanh</t>
        </is>
      </c>
      <c r="B35" s="4" t="n">
        <v>4816831000000</v>
      </c>
      <c r="C35" s="4" t="n">
        <v>9000895000000</v>
      </c>
      <c r="D35" s="4" t="n">
        <v>4432778000000</v>
      </c>
      <c r="E35" s="4" t="n">
        <v>961034000000</v>
      </c>
    </row>
    <row r="36">
      <c r="A36" s="3" t="inlineStr">
        <is>
          <t>Chứng khoán kinh doanh</t>
        </is>
      </c>
      <c r="B36" s="4" t="n">
        <v>4816831000000</v>
      </c>
      <c r="C36" s="4" t="n">
        <v>9000895000000</v>
      </c>
      <c r="D36" s="4" t="n">
        <v>4432778000000</v>
      </c>
      <c r="E36" s="4" t="n">
        <v>961034000000</v>
      </c>
    </row>
    <row r="37">
      <c r="A37" s="3" t="inlineStr">
        <is>
          <t>Dự phòng giảm giá chứng khoán kinh doanh</t>
        </is>
      </c>
      <c r="B37" s="4" t="n">
        <v>-1054000000</v>
      </c>
      <c r="C37" s="4" t="n">
        <v>-251000000</v>
      </c>
      <c r="D37" s="4" t="n">
        <v>0</v>
      </c>
      <c r="E37" s="4" t="n">
        <v>0</v>
      </c>
    </row>
    <row r="38">
      <c r="A38" s="3" t="inlineStr">
        <is>
          <t>Các công cụ tài chính phái sinh và các tài sản tài chính khác</t>
        </is>
      </c>
      <c r="B38" s="4" t="n">
        <v>0</v>
      </c>
      <c r="C38" s="4" t="n">
        <v>0</v>
      </c>
      <c r="D38" s="4" t="n">
        <v>143611000000</v>
      </c>
      <c r="E38" s="4" t="n">
        <v>0</v>
      </c>
    </row>
    <row r="39">
      <c r="A39" s="3" t="inlineStr">
        <is>
          <t>Cho vay khách hàng</t>
        </is>
      </c>
      <c r="B39" s="4" t="n">
        <v>767617129000000</v>
      </c>
      <c r="C39" s="4" t="n">
        <v>631724964000000</v>
      </c>
      <c r="D39" s="4" t="n">
        <v>518641568000000</v>
      </c>
      <c r="E39" s="4" t="n">
        <v>420523705000000</v>
      </c>
    </row>
    <row r="40">
      <c r="A40" s="3" t="inlineStr">
        <is>
          <t>Cho vay khách hàng</t>
        </is>
      </c>
      <c r="B40" s="4" t="n">
        <v>767617129000000</v>
      </c>
      <c r="C40" s="4" t="n">
        <v>631724964000000</v>
      </c>
      <c r="D40" s="4" t="n">
        <v>518641568000000</v>
      </c>
      <c r="E40" s="4" t="n">
        <v>420523705000000</v>
      </c>
    </row>
    <row r="41">
      <c r="A41" s="3" t="inlineStr">
        <is>
          <t>Dự phòng rủi ro cho vay khách hàng</t>
        </is>
      </c>
      <c r="B41" s="4" t="n">
        <v>-10498378000000</v>
      </c>
      <c r="C41" s="4" t="n">
        <v>-8090693000000</v>
      </c>
      <c r="D41" s="4" t="n">
        <v>-6127896000000</v>
      </c>
      <c r="E41" s="4" t="n">
        <v>-4771449000000</v>
      </c>
    </row>
    <row r="42">
      <c r="A42" s="3" t="inlineStr">
        <is>
          <t>Chứng khoán đầu tư</t>
        </is>
      </c>
      <c r="B42" s="4" t="n">
        <v>145526404000000</v>
      </c>
      <c r="C42" s="4" t="n">
        <v>148623636000000</v>
      </c>
      <c r="D42" s="4" t="n">
        <v>104993945000000</v>
      </c>
      <c r="E42" s="4" t="n">
        <v>103651920000000</v>
      </c>
    </row>
    <row r="43">
      <c r="A43" s="3" t="inlineStr">
        <is>
          <t>Chứng khoán đầu tư sẵn sàng để bán</t>
        </is>
      </c>
      <c r="B43" s="4" t="n">
        <v>145942288000000</v>
      </c>
      <c r="C43" s="4" t="n">
        <v>142202792000000</v>
      </c>
      <c r="D43" s="4" t="n">
        <v>105356248000000</v>
      </c>
      <c r="E43" s="4" t="n">
        <v>104031921000000</v>
      </c>
    </row>
    <row r="44">
      <c r="A44" s="3" t="inlineStr">
        <is>
          <t>Chứng khoán đầu tư giữ đến ngày đáo hạn</t>
        </is>
      </c>
      <c r="B44" s="4" t="n">
        <v>0</v>
      </c>
      <c r="C44" s="4" t="n">
        <v>6900000000000</v>
      </c>
      <c r="D44" s="4" t="n">
        <v>0</v>
      </c>
      <c r="E44" s="4" t="n">
        <v>0</v>
      </c>
    </row>
    <row r="45">
      <c r="A45" s="3" t="inlineStr">
        <is>
          <t>Dự phòng giảm giá chứng khoán đầu tư</t>
        </is>
      </c>
      <c r="B45" s="4" t="n">
        <v>-415884000000</v>
      </c>
      <c r="C45" s="4" t="n">
        <v>-479156000000</v>
      </c>
      <c r="D45" s="4" t="n">
        <v>-362303000000</v>
      </c>
      <c r="E45" s="4" t="n">
        <v>-380001000000</v>
      </c>
    </row>
    <row r="46">
      <c r="A46" s="3" t="inlineStr">
        <is>
          <t>Tài sản Có khác</t>
        </is>
      </c>
      <c r="B46" s="4" t="n">
        <v>2070439000000</v>
      </c>
      <c r="C46" s="4" t="n">
        <v>1818676000000</v>
      </c>
      <c r="D46" s="4" t="n">
        <v>1650584000000</v>
      </c>
      <c r="E46" s="4" t="n">
        <v>1616735000000</v>
      </c>
    </row>
    <row r="47">
      <c r="A47" s="3" t="inlineStr">
        <is>
          <t>Các khoản nợ chính phủ và NHNN Việt Nam</t>
        </is>
      </c>
      <c r="B47" s="4" t="n">
        <v>4323867000000</v>
      </c>
      <c r="C47" s="4" t="n">
        <v>11531000000</v>
      </c>
      <c r="D47" s="4" t="n">
        <v>131000000</v>
      </c>
      <c r="E47" s="4" t="n">
        <v>7826000000</v>
      </c>
    </row>
    <row r="48">
      <c r="A48" s="3" t="inlineStr">
        <is>
          <t>Tiền gửi và vay các Tổ chức tín dụng khác</t>
        </is>
      </c>
      <c r="B48" s="4" t="n">
        <v>144982976000000</v>
      </c>
      <c r="C48" s="4" t="n">
        <v>132239088000000</v>
      </c>
      <c r="D48" s="4" t="n">
        <v>153173002000000</v>
      </c>
      <c r="E48" s="4" t="n">
        <v>167562969000000</v>
      </c>
    </row>
    <row r="49">
      <c r="A49" s="3" t="inlineStr">
        <is>
          <t>Tiền gửi của khách hàng</t>
        </is>
      </c>
      <c r="B49" s="4" t="n">
        <v>618911535000000</v>
      </c>
      <c r="C49" s="4" t="n">
        <v>533392350000000</v>
      </c>
      <c r="D49" s="4" t="n">
        <v>454660779000000</v>
      </c>
      <c r="E49" s="4" t="n">
        <v>358403785000000</v>
      </c>
    </row>
    <row r="50">
      <c r="A50" s="3" t="inlineStr">
        <is>
          <t>Các công cụ tài chính phái sinh và các khoản nợ tài chính khác</t>
        </is>
      </c>
      <c r="B50" s="4" t="n">
        <v>2416947000000</v>
      </c>
      <c r="C50" s="4" t="n">
        <v>931231000000</v>
      </c>
      <c r="D50" s="4" t="n">
        <v>0</v>
      </c>
      <c r="E50" s="4" t="n">
        <v>1851213000000</v>
      </c>
    </row>
    <row r="51">
      <c r="A51" s="3" t="inlineStr">
        <is>
          <t>Vốn tài trợ, uỷ thác đầu tư của Chính phủ và các tổ chức tín dụng khác</t>
        </is>
      </c>
      <c r="B51" s="4" t="n">
        <v>0</v>
      </c>
      <c r="C51" s="4" t="n">
        <v>0</v>
      </c>
      <c r="D51" s="4" t="n">
        <v>0</v>
      </c>
      <c r="E51" s="4" t="n">
        <v>0</v>
      </c>
    </row>
    <row r="52">
      <c r="A52" s="3" t="inlineStr">
        <is>
          <t>Phát hành giấy tờ có giá</t>
        </is>
      </c>
      <c r="B52" s="4" t="n">
        <v>215330128000000</v>
      </c>
      <c r="C52" s="4" t="n">
        <v>140422321000000</v>
      </c>
      <c r="D52" s="4" t="n">
        <v>84703300000000</v>
      </c>
      <c r="E52" s="4" t="n">
        <v>34006619000000</v>
      </c>
    </row>
    <row r="53">
      <c r="A53" s="3" t="inlineStr">
        <is>
          <t>Các khoản nợ khác</t>
        </is>
      </c>
      <c r="B53" s="4" t="n">
        <v>26877242000000</v>
      </c>
      <c r="C53" s="4" t="n">
        <v>23862407000000</v>
      </c>
      <c r="D53" s="4" t="n">
        <v>25328735000000</v>
      </c>
      <c r="E53" s="4" t="n">
        <v>23775166000000</v>
      </c>
    </row>
    <row r="54">
      <c r="A54" s="3" t="inlineStr">
        <is>
          <t>Vốn của tổ chức tín dụng</t>
        </is>
      </c>
      <c r="B54" s="4" t="n">
        <v>78626366000000</v>
      </c>
      <c r="C54" s="4" t="n">
        <v>78412544000000</v>
      </c>
      <c r="D54" s="4" t="n">
        <v>36257461000000</v>
      </c>
      <c r="E54" s="4" t="n">
        <v>36204797000000</v>
      </c>
    </row>
    <row r="55">
      <c r="A55" s="3" t="inlineStr">
        <is>
          <t>Vốn đầu tư XDCB</t>
        </is>
      </c>
      <c r="B55" s="4" t="n">
        <v>0</v>
      </c>
      <c r="C55" s="4" t="n">
        <v>0</v>
      </c>
      <c r="D55" s="4" t="n">
        <v>0</v>
      </c>
      <c r="E55" s="4" t="n">
        <v>0</v>
      </c>
    </row>
    <row r="56">
      <c r="A56" s="3" t="inlineStr">
        <is>
          <t>Cổ phiếu ưu đãi</t>
        </is>
      </c>
      <c r="B56" s="4" t="n">
        <v>0</v>
      </c>
      <c r="C56" s="4" t="n">
        <v>0</v>
      </c>
      <c r="D56" s="4" t="n">
        <v>0</v>
      </c>
      <c r="E56" s="4" t="n">
        <v>0</v>
      </c>
    </row>
    <row r="57">
      <c r="A57" s="3" t="inlineStr">
        <is>
          <t>Quỹ của tổ chức tín dụng</t>
        </is>
      </c>
      <c r="B57" s="4" t="n">
        <v>28644562000000</v>
      </c>
      <c r="C57" s="4" t="n">
        <v>24787305000000</v>
      </c>
      <c r="D57" s="4" t="n">
        <v>45028627000000</v>
      </c>
      <c r="E57" s="4" t="n">
        <v>11608569000000</v>
      </c>
    </row>
    <row r="58">
      <c r="A58" s="3" t="inlineStr">
        <is>
          <t>Bảo lãnh khác</t>
        </is>
      </c>
      <c r="B58" s="4" t="n">
        <v>122225620000000</v>
      </c>
      <c r="C58" s="4" t="n">
        <v>58558478000000</v>
      </c>
      <c r="D58" s="4" t="n">
        <v>57648065000000</v>
      </c>
      <c r="E58" s="4" t="n">
        <v>44870251000000</v>
      </c>
    </row>
    <row r="59">
      <c r="A59" s="3" t="inlineStr">
        <is>
          <t>Cam kết giao dịch hối đoái</t>
        </is>
      </c>
      <c r="B59" s="4" t="n">
        <v>14965995000000</v>
      </c>
      <c r="C59" s="4" t="n">
        <v>11507947000000</v>
      </c>
      <c r="D59" s="4" t="n">
        <v>14935065000000</v>
      </c>
      <c r="E59" s="4" t="n">
        <v>13253457000000</v>
      </c>
    </row>
    <row r="60">
      <c r="A60" s="3" t="inlineStr">
        <is>
          <t>Cam kết mua ngoại tệ</t>
        </is>
      </c>
      <c r="B60" s="4" t="n">
        <v>6372664000000</v>
      </c>
      <c r="C60" s="4" t="n">
        <v>3062641000000</v>
      </c>
      <c r="D60" s="4" t="n">
        <v>4593012000000</v>
      </c>
      <c r="E60" s="4" t="n">
        <v>2450745000000</v>
      </c>
    </row>
    <row r="61">
      <c r="A61" s="3" t="inlineStr">
        <is>
          <t>Cam kết bán ngoại tệ</t>
        </is>
      </c>
      <c r="B61" s="4" t="n">
        <v>7295512000000</v>
      </c>
      <c r="C61" s="4" t="n">
        <v>3511618000000</v>
      </c>
      <c r="D61" s="4" t="n">
        <v>4415918000000</v>
      </c>
      <c r="E61" s="4" t="n">
        <v>1361969000000</v>
      </c>
    </row>
    <row r="62">
      <c r="A62" s="3" t="inlineStr">
        <is>
          <t>Cam kết giao dịch hoán đổi</t>
        </is>
      </c>
      <c r="B62" s="4" t="n">
        <v>403653327000000</v>
      </c>
      <c r="C62" s="4" t="n">
        <v>262819403000000</v>
      </c>
      <c r="D62" s="4" t="n">
        <v>341592612000000</v>
      </c>
      <c r="E62" s="4" t="n">
        <v>356308029000000</v>
      </c>
    </row>
    <row r="63">
      <c r="A63" s="3" t="inlineStr">
        <is>
          <t>Cam kết giao dịch tương lai</t>
        </is>
      </c>
      <c r="B63" s="4" t="n">
        <v>0</v>
      </c>
      <c r="C63" s="4" t="n">
        <v>0</v>
      </c>
      <c r="D63" s="4" t="n">
        <v>0</v>
      </c>
      <c r="E63" s="4" t="n">
        <v>0</v>
      </c>
    </row>
    <row r="64">
      <c r="A64" s="3" t="inlineStr">
        <is>
          <t>Cam kết cho vay không hủy ngang</t>
        </is>
      </c>
      <c r="B64" s="4" t="n">
        <v>0</v>
      </c>
      <c r="C64" s="4" t="n">
        <v>0</v>
      </c>
      <c r="D64" s="4" t="n">
        <v>0</v>
      </c>
      <c r="E64" s="4" t="n">
        <v>0</v>
      </c>
    </row>
    <row r="65">
      <c r="A65" s="3" t="inlineStr">
        <is>
          <t>Cam kết trong nghiệp vụ L/C</t>
        </is>
      </c>
      <c r="B65" s="4" t="n">
        <v>64314200000000</v>
      </c>
      <c r="C65" s="4" t="n">
        <v>38065747000000</v>
      </c>
      <c r="D65" s="4" t="n">
        <v>67845653000000</v>
      </c>
      <c r="E65" s="4" t="n">
        <v>64666942000000</v>
      </c>
    </row>
    <row r="66">
      <c r="A66" s="3" t="inlineStr">
        <is>
          <t>Cam kết khác</t>
        </is>
      </c>
      <c r="B66" s="4" t="n">
        <v>182638941000000</v>
      </c>
      <c r="C66" s="4" t="n">
        <v>213069830000000</v>
      </c>
      <c r="D66" s="4" t="n">
        <v>176065387000000</v>
      </c>
      <c r="E66" s="4" t="n">
        <v>449697675000000</v>
      </c>
    </row>
    <row r="67">
      <c r="A67" s="3" t="inlineStr">
        <is>
          <t>Lợi ích của cổ đông thiểu số</t>
        </is>
      </c>
      <c r="B67" s="4" t="n">
        <v>9456938000000</v>
      </c>
      <c r="C67" s="4" t="n">
        <v>2520466000000</v>
      </c>
      <c r="D67" s="4" t="n">
        <v>1316833000000</v>
      </c>
      <c r="E67" s="4" t="n">
        <v>1128915000000</v>
      </c>
    </row>
    <row r="68">
      <c r="A68" s="3" t="inlineStr">
        <is>
          <t>Tiền gửi tại các TCTD khác</t>
        </is>
      </c>
      <c r="B68" s="4" t="n">
        <v>108143393000000</v>
      </c>
      <c r="C68" s="4" t="n">
        <v>74887085000000</v>
      </c>
      <c r="D68" s="4" t="n">
        <v>80126897000000</v>
      </c>
      <c r="E68" s="4" t="n">
        <v>69925143000000</v>
      </c>
    </row>
    <row r="69">
      <c r="A69" s="3" t="inlineStr">
        <is>
          <t>Cho vay các TCTD khác</t>
        </is>
      </c>
      <c r="B69" s="4" t="n">
        <v>6996069000000</v>
      </c>
      <c r="C69" s="4" t="n">
        <v>9884539000000</v>
      </c>
      <c r="D69" s="4" t="n">
        <v>24046523000000</v>
      </c>
      <c r="E69" s="4" t="n">
        <v>13049711000000</v>
      </c>
    </row>
    <row r="70">
      <c r="A70" s="3" t="inlineStr">
        <is>
          <t>Dự phòng rủi ro</t>
        </is>
      </c>
      <c r="B70" s="4" t="n">
        <v>-181150000000</v>
      </c>
      <c r="C70" s="4" t="n">
        <v>-181150000000</v>
      </c>
      <c r="D70" s="4" t="n">
        <v>-101100000000</v>
      </c>
      <c r="E70" s="4" t="n">
        <v>-101100000000</v>
      </c>
    </row>
    <row r="71">
      <c r="A71" s="3" t="inlineStr">
        <is>
          <t>Hoạt động mua nợ</t>
        </is>
      </c>
      <c r="B71" s="4" t="n">
        <v>30647000000</v>
      </c>
      <c r="C71" s="4" t="n">
        <v>141628000000</v>
      </c>
      <c r="D71" s="4" t="n">
        <v>82033000000</v>
      </c>
      <c r="E71" s="4" t="n">
        <v>107725000000</v>
      </c>
    </row>
    <row r="72">
      <c r="A72" s="3" t="inlineStr">
        <is>
          <t>Mua nợ</t>
        </is>
      </c>
      <c r="B72" s="4" t="n">
        <v>32561000000</v>
      </c>
      <c r="C72" s="4" t="n">
        <v>144380000000</v>
      </c>
      <c r="D72" s="4" t="n">
        <v>84335000000</v>
      </c>
      <c r="E72" s="4" t="n">
        <v>110221000000</v>
      </c>
    </row>
    <row r="73">
      <c r="A73" s="3" t="inlineStr">
        <is>
          <t>Dự phòng rủi ro hoạt động mua nợ</t>
        </is>
      </c>
      <c r="B73" s="4" t="n">
        <v>-1914000000</v>
      </c>
      <c r="C73" s="4" t="n">
        <v>-2752000000</v>
      </c>
      <c r="D73" s="4" t="n">
        <v>-2302000000</v>
      </c>
      <c r="E73" s="4" t="n">
        <v>-2496000000</v>
      </c>
    </row>
    <row r="74">
      <c r="A74" s="3" t="inlineStr">
        <is>
          <t>Các khoản phải thu</t>
        </is>
      </c>
      <c r="B74" s="4" t="n">
        <v>56111402000000</v>
      </c>
      <c r="C74" s="4" t="n">
        <v>29540943000000</v>
      </c>
      <c r="D74" s="4" t="n">
        <v>69834157000000</v>
      </c>
      <c r="E74" s="4" t="n">
        <v>61609133000000</v>
      </c>
    </row>
    <row r="75">
      <c r="A75" s="3" t="inlineStr">
        <is>
          <t>Các khoản lãi và phí phải thu</t>
        </is>
      </c>
      <c r="B75" s="4" t="n">
        <v>9787070000000</v>
      </c>
      <c r="C75" s="4" t="n">
        <v>8125964000000</v>
      </c>
      <c r="D75" s="4" t="n">
        <v>9681140000000</v>
      </c>
      <c r="E75" s="4" t="n">
        <v>8028730000000</v>
      </c>
    </row>
    <row r="76">
      <c r="A76" s="3" t="inlineStr">
        <is>
          <t>Tài sản thuế TNDN hoãn lại</t>
        </is>
      </c>
      <c r="B76" s="4" t="n">
        <v>40487000000</v>
      </c>
      <c r="C76" s="4" t="n">
        <v>79856000000</v>
      </c>
      <c r="D76" s="4" t="n">
        <v>70409000000</v>
      </c>
      <c r="E76" s="4" t="n">
        <v>61050000000</v>
      </c>
    </row>
    <row r="77">
      <c r="A77" s="3" t="inlineStr">
        <is>
          <t>Tài sản Có khác</t>
        </is>
      </c>
      <c r="B77" s="4" t="n">
        <v>2070439000000</v>
      </c>
      <c r="C77" s="4" t="n">
        <v>1818676000000</v>
      </c>
      <c r="D77" s="4" t="n">
        <v>1650584000000</v>
      </c>
      <c r="E77" s="4" t="n">
        <v>1616735000000</v>
      </c>
    </row>
    <row r="78">
      <c r="A78" s="3" t="inlineStr">
        <is>
          <t>Trong đó: Lợi thế thương mại</t>
        </is>
      </c>
      <c r="B78" s="4" t="n">
        <v>0</v>
      </c>
      <c r="C78" s="4" t="n">
        <v>0</v>
      </c>
      <c r="D78" s="4" t="n">
        <v>0</v>
      </c>
      <c r="E78" s="4" t="n">
        <v>0</v>
      </c>
    </row>
    <row r="79">
      <c r="A79" s="3" t="inlineStr">
        <is>
          <t>Các khoản dự phòng rủi ro cho các tài sản Có nội bảng khác</t>
        </is>
      </c>
      <c r="B79" s="4" t="n">
        <v>-8301000000</v>
      </c>
      <c r="C79" s="4" t="n">
        <v>-64874000000</v>
      </c>
      <c r="D79" s="4" t="n">
        <v>-692866000000</v>
      </c>
      <c r="E79" s="4" t="n">
        <v>-798423000000</v>
      </c>
    </row>
    <row r="80">
      <c r="A80" s="3" t="inlineStr">
        <is>
          <t>Tiền gửi của các tổ chức tín dụng khác</t>
        </is>
      </c>
      <c r="B80" s="4" t="n">
        <v>83014313000000</v>
      </c>
      <c r="C80" s="4" t="n">
        <v>72210834000000</v>
      </c>
      <c r="D80" s="4" t="n">
        <v>50619678000000</v>
      </c>
      <c r="E80" s="4" t="n">
        <v>61293738000000</v>
      </c>
    </row>
    <row r="81">
      <c r="A81" s="3" t="inlineStr">
        <is>
          <t>Vay các tổ chức tín dụng khác</t>
        </is>
      </c>
      <c r="B81" s="4" t="n">
        <v>61968663000000</v>
      </c>
      <c r="C81" s="4" t="n">
        <v>60028254000000</v>
      </c>
      <c r="D81" s="4" t="n">
        <v>102553324000000</v>
      </c>
      <c r="E81" s="4" t="n">
        <v>106269231000000</v>
      </c>
    </row>
    <row r="82">
      <c r="A82" s="3" t="inlineStr">
        <is>
          <t>Các khoản lãi, phí phải trả</t>
        </is>
      </c>
      <c r="B82" s="4" t="n">
        <v>9448719000000</v>
      </c>
      <c r="C82" s="4" t="n">
        <v>7281567000000</v>
      </c>
      <c r="D82" s="4" t="n">
        <v>9418750000000</v>
      </c>
      <c r="E82" s="4" t="n">
        <v>6144022000000</v>
      </c>
    </row>
    <row r="83">
      <c r="A83" s="3" t="inlineStr">
        <is>
          <t>Thuế TNDN hoãn lại phải trả</t>
        </is>
      </c>
      <c r="B83" s="4" t="n">
        <v>0</v>
      </c>
      <c r="C83" s="4" t="n">
        <v>0</v>
      </c>
      <c r="D83" s="4" t="n">
        <v>0</v>
      </c>
      <c r="E83" s="4" t="n">
        <v>0</v>
      </c>
    </row>
    <row r="84">
      <c r="A84" s="3" t="inlineStr">
        <is>
          <t>Các khoản phải trả và công nợ khác</t>
        </is>
      </c>
      <c r="B84" s="4" t="n">
        <v>17428523000000</v>
      </c>
      <c r="C84" s="4" t="n">
        <v>16580840000000</v>
      </c>
      <c r="D84" s="4" t="n">
        <v>15909985000000</v>
      </c>
      <c r="E84" s="4" t="n">
        <v>17631144000000</v>
      </c>
    </row>
    <row r="85">
      <c r="A85" s="3" t="inlineStr">
        <is>
          <t>Dự phòng rủi ro khác</t>
        </is>
      </c>
      <c r="B85" s="4" t="n">
        <v>0</v>
      </c>
      <c r="C85" s="4" t="n">
        <v>0</v>
      </c>
      <c r="D85" s="4" t="n">
        <v>0</v>
      </c>
      <c r="E85" s="4" t="n">
        <v>0</v>
      </c>
    </row>
    <row r="86">
      <c r="A86" s="3" t="inlineStr">
        <is>
          <t>Vốn Góp liên doanh</t>
        </is>
      </c>
      <c r="B86" s="4" t="n">
        <v>0</v>
      </c>
      <c r="C86" s="4" t="n">
        <v>0</v>
      </c>
      <c r="D86" s="4" t="n">
        <v>0</v>
      </c>
      <c r="E86" s="4" t="n">
        <v>0</v>
      </c>
    </row>
    <row r="87">
      <c r="A87" s="3" t="inlineStr">
        <is>
          <t>Đầu tư vào công ty liên kết</t>
        </is>
      </c>
      <c r="B87" s="4" t="n">
        <v>32263000000</v>
      </c>
      <c r="C87" s="4" t="n">
        <v>0</v>
      </c>
      <c r="D87" s="4" t="n">
        <v>0</v>
      </c>
      <c r="E87"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Tổng lợi nhuận/lỗ trước thuế</t>
        </is>
      </c>
      <c r="B2" s="4" t="n">
        <v>32538066000000</v>
      </c>
      <c r="C2" s="4" t="n">
        <v>27538368000000</v>
      </c>
      <c r="D2" s="4" t="n">
        <v>22888228000000</v>
      </c>
      <c r="E2" s="4" t="n">
        <v>25567768000000</v>
      </c>
    </row>
    <row r="3">
      <c r="A3" s="3" t="inlineStr">
        <is>
          <t>Chi phí thuế TNDN hiện hành</t>
        </is>
      </c>
      <c r="B3" s="4" t="n">
        <v>-6544225000000</v>
      </c>
      <c r="C3" s="4" t="n">
        <v>-5787711000000</v>
      </c>
      <c r="D3" s="4" t="n">
        <v>-4706721000000</v>
      </c>
      <c r="E3" s="4" t="n">
        <v>-5174932000000</v>
      </c>
    </row>
    <row r="4">
      <c r="A4" s="3" t="inlineStr">
        <is>
          <t>Chi phí thuế TNDN hoãn lại</t>
        </is>
      </c>
      <c r="B4" s="4" t="n">
        <v>-39369000000</v>
      </c>
      <c r="C4" s="4" t="n">
        <v>9447000000</v>
      </c>
      <c r="D4" s="4" t="n">
        <v>9359000000</v>
      </c>
      <c r="E4" s="4" t="n">
        <v>43590000000</v>
      </c>
    </row>
    <row r="5">
      <c r="A5" s="3" t="inlineStr">
        <is>
          <t>Chi phí thuế thu nhập doanh nghiệp</t>
        </is>
      </c>
      <c r="B5" s="4" t="n">
        <v>-6583594000000</v>
      </c>
      <c r="C5" s="4" t="n">
        <v>-5778264000000</v>
      </c>
      <c r="D5" s="4" t="n">
        <v>-4697362000000</v>
      </c>
      <c r="E5" s="4" t="n">
        <v>-5131342000000</v>
      </c>
    </row>
    <row r="6">
      <c r="A6" s="3" t="inlineStr">
        <is>
          <t>Lợi nhuận sau thuế</t>
        </is>
      </c>
      <c r="B6" s="4" t="n">
        <v>25954472000000</v>
      </c>
      <c r="C6" s="4" t="n">
        <v>21760104000000</v>
      </c>
      <c r="D6" s="4" t="n">
        <v>18190866000000</v>
      </c>
      <c r="E6" s="4" t="n">
        <v>20436426000000</v>
      </c>
    </row>
    <row r="7">
      <c r="A7" s="3" t="inlineStr">
        <is>
          <t>Lợi ích của cổ đông thiểu số</t>
        </is>
      </c>
      <c r="B7" s="4" t="n">
        <v>-664242000000</v>
      </c>
      <c r="C7" s="4" t="n">
        <v>-237176000000</v>
      </c>
      <c r="D7" s="4" t="n">
        <v>-187064000000</v>
      </c>
      <c r="E7" s="4" t="n">
        <v>-286049000000</v>
      </c>
    </row>
    <row r="8">
      <c r="A8" s="3" t="inlineStr">
        <is>
          <t>Cổ đông của Công ty mẹ</t>
        </is>
      </c>
      <c r="B8" s="4" t="n">
        <v>25290230000000</v>
      </c>
      <c r="C8" s="4" t="n">
        <v>21522928000000</v>
      </c>
      <c r="D8" s="4" t="n">
        <v>18003802000000</v>
      </c>
      <c r="E8" s="4" t="n">
        <v>20150377000000</v>
      </c>
    </row>
    <row r="9">
      <c r="A9" s="3" t="inlineStr">
        <is>
          <t>Lãi cơ bản trên cổ phiếu (VND)</t>
        </is>
      </c>
      <c r="B9" s="4" t="n">
        <v>3572</v>
      </c>
      <c r="C9" s="4" t="n">
        <v>3049</v>
      </c>
      <c r="D9" s="4" t="n">
        <v>2549</v>
      </c>
      <c r="E9" s="4" t="n">
        <v>5725</v>
      </c>
    </row>
    <row r="10">
      <c r="A10" s="3" t="inlineStr">
        <is>
          <t>Lãi trên cổ phiếu pha loãng (VND)</t>
        </is>
      </c>
      <c r="B10" s="4" t="n">
        <v>0</v>
      </c>
      <c r="C10" s="4" t="n">
        <v>0</v>
      </c>
      <c r="D10" s="4" t="n">
        <v>0</v>
      </c>
      <c r="E10" s="4" t="n">
        <v>0</v>
      </c>
    </row>
    <row r="11">
      <c r="A11" s="3" t="inlineStr">
        <is>
          <t>Thu nhập lãi và các khoản thu nhập tương tự</t>
        </is>
      </c>
      <c r="B11" s="4" t="n">
        <v>68017450000000</v>
      </c>
      <c r="C11" s="4" t="n">
        <v>60089462000000</v>
      </c>
      <c r="D11" s="4" t="n">
        <v>56707759000000</v>
      </c>
      <c r="E11" s="4" t="n">
        <v>44752636000000</v>
      </c>
    </row>
    <row r="12">
      <c r="A12" s="3" t="inlineStr">
        <is>
          <t>Chi phí lãi và các chi phí tương tự</t>
        </is>
      </c>
      <c r="B12" s="4" t="n">
        <v>-29862359000000</v>
      </c>
      <c r="C12" s="4" t="n">
        <v>-24581499000000</v>
      </c>
      <c r="D12" s="4" t="n">
        <v>-29016639000000</v>
      </c>
      <c r="E12" s="4" t="n">
        <v>-14462861000000</v>
      </c>
    </row>
    <row r="13">
      <c r="A13" s="3" t="inlineStr">
        <is>
          <t>Thu nhập lãi thuần</t>
        </is>
      </c>
      <c r="B13" s="4" t="n">
        <v>38155091000000</v>
      </c>
      <c r="C13" s="4" t="n">
        <v>35507963000000</v>
      </c>
      <c r="D13" s="4" t="n">
        <v>27691120000000</v>
      </c>
      <c r="E13" s="4" t="n">
        <v>30289775000000</v>
      </c>
    </row>
    <row r="14">
      <c r="A14" s="3" t="inlineStr">
        <is>
          <t>Thu nhập từ dịch vụ</t>
        </is>
      </c>
      <c r="B14" s="4" t="n">
        <v>12526963000000</v>
      </c>
      <c r="C14" s="4" t="n">
        <v>10961642000000</v>
      </c>
      <c r="D14" s="4" t="n">
        <v>11378085000000</v>
      </c>
      <c r="E14" s="4" t="n">
        <v>10840337000000</v>
      </c>
    </row>
    <row r="15">
      <c r="A15" s="3" t="inlineStr">
        <is>
          <t>Chi phí dịch vụ</t>
        </is>
      </c>
      <c r="B15" s="4" t="n">
        <v>-3754968000000</v>
      </c>
      <c r="C15" s="4" t="n">
        <v>-2919394000000</v>
      </c>
      <c r="D15" s="4" t="n">
        <v>-2663188000000</v>
      </c>
      <c r="E15" s="4" t="n">
        <v>-2687732000000</v>
      </c>
    </row>
    <row r="16">
      <c r="A16" s="3" t="inlineStr">
        <is>
          <t>Lãi/Lỗ thuần từ hoạt động dịch vụ</t>
        </is>
      </c>
      <c r="B16" s="4" t="n">
        <v>8771995000000</v>
      </c>
      <c r="C16" s="4" t="n">
        <v>8042248000000</v>
      </c>
      <c r="D16" s="4" t="n">
        <v>8714897000000</v>
      </c>
      <c r="E16" s="4" t="n">
        <v>8152605000000</v>
      </c>
    </row>
    <row r="17">
      <c r="A17" s="3" t="inlineStr">
        <is>
          <t>Lãi/(lỗ) thuần từ hoạt động kinh doanh ngoại hối và vàng</t>
        </is>
      </c>
      <c r="B17" s="4" t="n">
        <v>1642201000000</v>
      </c>
      <c r="C17" s="4" t="n">
        <v>592556000000</v>
      </c>
      <c r="D17" s="4" t="n">
        <v>195750000000</v>
      </c>
      <c r="E17" s="4" t="n">
        <v>-275063000000</v>
      </c>
    </row>
    <row r="18">
      <c r="A18" s="3" t="inlineStr">
        <is>
          <t>Lãi/(lỗ) thuần từ mua bán chứng khoán kinh doanh</t>
        </is>
      </c>
      <c r="B18" s="4" t="n">
        <v>51974000000</v>
      </c>
      <c r="C18" s="4" t="n">
        <v>81301000000</v>
      </c>
      <c r="D18" s="4" t="n">
        <v>64620000000</v>
      </c>
      <c r="E18" s="4" t="n">
        <v>-241845000000</v>
      </c>
    </row>
    <row r="19">
      <c r="A19" s="3" t="inlineStr">
        <is>
          <t>Lãi/(lỗ) thuần từ mua bán chứng khoán đầu tư</t>
        </is>
      </c>
      <c r="B19" s="4" t="n">
        <v>2846321000000</v>
      </c>
      <c r="C19" s="4" t="n">
        <v>2359057000000</v>
      </c>
      <c r="D19" s="4" t="n">
        <v>925833000000</v>
      </c>
      <c r="E19" s="4" t="n">
        <v>425553000000</v>
      </c>
    </row>
    <row r="20">
      <c r="A20" s="3" t="inlineStr">
        <is>
          <t>Thu nhập khác</t>
        </is>
      </c>
      <c r="B20" s="4" t="n">
        <v>6426334000000</v>
      </c>
      <c r="C20" s="4" t="n">
        <v>9324928000000</v>
      </c>
      <c r="D20" s="4" t="n">
        <v>6459694000000</v>
      </c>
      <c r="E20" s="4" t="n">
        <v>4499949000000</v>
      </c>
    </row>
    <row r="21">
      <c r="A21" s="3" t="inlineStr">
        <is>
          <t>Chi phí khác</t>
        </is>
      </c>
      <c r="B21" s="4" t="n">
        <v>-4541992000000</v>
      </c>
      <c r="C21" s="4" t="n">
        <v>-8982217000000</v>
      </c>
      <c r="D21" s="4" t="n">
        <v>-4025578000000</v>
      </c>
      <c r="E21" s="4" t="n">
        <v>-2332574000000</v>
      </c>
    </row>
    <row r="22">
      <c r="A22" s="3" t="inlineStr">
        <is>
          <t>Lãi/(lỗ) thuần từ hoạt động khác</t>
        </is>
      </c>
      <c r="B22" s="4" t="n">
        <v>1884342000000</v>
      </c>
      <c r="C22" s="4" t="n">
        <v>342711000000</v>
      </c>
      <c r="D22" s="4" t="n">
        <v>2434116000000</v>
      </c>
      <c r="E22" s="4" t="n">
        <v>2167375000000</v>
      </c>
    </row>
    <row r="23">
      <c r="A23" s="3" t="inlineStr">
        <is>
          <t>Thu nhập từ cổ tức</t>
        </is>
      </c>
      <c r="B23" s="4" t="n">
        <v>39201000000</v>
      </c>
      <c r="C23" s="4" t="n">
        <v>64561000000</v>
      </c>
      <c r="D23" s="4" t="n">
        <v>34756000000</v>
      </c>
      <c r="E23" s="4" t="n">
        <v>8791000000</v>
      </c>
    </row>
    <row r="24">
      <c r="A24" s="3" t="inlineStr">
        <is>
          <t>Tổng thu nhập hoạt động</t>
        </is>
      </c>
      <c r="B24" s="4" t="n">
        <v>53391125000000</v>
      </c>
      <c r="C24" s="4" t="n">
        <v>46990397000000</v>
      </c>
      <c r="D24" s="4" t="n">
        <v>40061092000000</v>
      </c>
      <c r="E24" s="4" t="n">
        <v>40527191000000</v>
      </c>
    </row>
    <row r="25">
      <c r="A25" s="3" t="inlineStr">
        <is>
          <t>Chi phí quản lý doanh nghiệp</t>
        </is>
      </c>
      <c r="B25" s="4" t="n">
        <v>-16432434000000</v>
      </c>
      <c r="C25" s="4" t="n">
        <v>-15369735000000</v>
      </c>
      <c r="D25" s="4" t="n">
        <v>-13251796000000</v>
      </c>
      <c r="E25" s="4" t="n">
        <v>-13023129000000</v>
      </c>
    </row>
    <row r="26">
      <c r="A26" s="3" t="inlineStr">
        <is>
          <t>Lợi nhuận thuần hoạt động trước khi trích lập dự phòng tổn thất tín dụng</t>
        </is>
      </c>
      <c r="B26" s="4" t="n">
        <v>36958691000000</v>
      </c>
      <c r="C26" s="4" t="n">
        <v>31620662000000</v>
      </c>
      <c r="D26" s="4" t="n">
        <v>26809296000000</v>
      </c>
      <c r="E26" s="4" t="n">
        <v>27504062000000</v>
      </c>
    </row>
    <row r="27">
      <c r="A27" s="3" t="inlineStr">
        <is>
          <t>Trích lập dự phòng tổn thất tín dụng</t>
        </is>
      </c>
      <c r="B27" s="4" t="n">
        <v>-4420625000000</v>
      </c>
      <c r="C27" s="4" t="n">
        <v>-4082294000000</v>
      </c>
      <c r="D27" s="4" t="n">
        <v>-3921068000000</v>
      </c>
      <c r="E27" s="4" t="n">
        <v>-1936294000000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Lưu chuyển tiền thuần từ hoạt động kinh doanh trước những thay đổi về tài sản và vốn lưu động</t>
        </is>
      </c>
      <c r="B2" s="4" t="n">
        <v>33290586000000</v>
      </c>
      <c r="C2" s="4" t="n">
        <v>31037437000000</v>
      </c>
      <c r="D2" s="4" t="n">
        <v>24938816000000</v>
      </c>
      <c r="E2" s="4" t="n">
        <v>29013569000000</v>
      </c>
    </row>
    <row r="3">
      <c r="A3" s="3" t="inlineStr">
        <is>
          <t>Thuế thu nhập doanh nghiệp đã trả</t>
        </is>
      </c>
      <c r="B3" s="4" t="n">
        <v>0</v>
      </c>
      <c r="C3" s="4" t="n">
        <v>0</v>
      </c>
      <c r="D3" s="4" t="n">
        <v>0</v>
      </c>
      <c r="E3" s="4" t="n">
        <v>0</v>
      </c>
    </row>
    <row r="4">
      <c r="A4" s="3" t="inlineStr">
        <is>
          <t>Lưu chuyển tiền thuần từ các hoạt động sản xuất kinh doanh</t>
        </is>
      </c>
      <c r="B4" s="4" t="n">
        <v>39923618000000</v>
      </c>
      <c r="C4" s="4" t="n">
        <v>42376555000000</v>
      </c>
      <c r="D4" s="4" t="n">
        <v>12053287000000</v>
      </c>
      <c r="E4" s="4" t="n">
        <v>55468501000000</v>
      </c>
    </row>
    <row r="5">
      <c r="A5" s="3" t="inlineStr">
        <is>
          <t>Mua sắm TSCĐ</t>
        </is>
      </c>
      <c r="B5" s="4" t="n">
        <v>-657030000000</v>
      </c>
      <c r="C5" s="4" t="n">
        <v>-1618886000000</v>
      </c>
      <c r="D5" s="4" t="n">
        <v>-1232358000000</v>
      </c>
      <c r="E5" s="4" t="n">
        <v>-1110111000000</v>
      </c>
    </row>
    <row r="6">
      <c r="A6" s="3" t="inlineStr">
        <is>
          <t>Tiền thu được từ thanh lý, nhượng bán tài sản cố định</t>
        </is>
      </c>
      <c r="B6" s="4" t="n">
        <v>3503000000</v>
      </c>
      <c r="C6" s="4" t="n">
        <v>1741528000000</v>
      </c>
      <c r="D6" s="4" t="n">
        <v>22156000000</v>
      </c>
      <c r="E6" s="4" t="n">
        <v>44111000000</v>
      </c>
    </row>
    <row r="7">
      <c r="A7" s="3" t="inlineStr">
        <is>
          <t>Tiền chi đầu tư, góp vốn vào các đơn vị khác</t>
        </is>
      </c>
      <c r="B7" s="4" t="n">
        <v>-199836000000</v>
      </c>
      <c r="C7" s="4" t="n">
        <v>-56278000000</v>
      </c>
      <c r="D7" s="4" t="n">
        <v>-3033432000000</v>
      </c>
      <c r="E7" s="4" t="n">
        <v>0</v>
      </c>
    </row>
    <row r="8">
      <c r="A8" s="3" t="inlineStr">
        <is>
          <t>Tiền thu từ đầu tư, góp vốn vào các đơn vị khác</t>
        </is>
      </c>
      <c r="B8" s="4" t="n">
        <v>0</v>
      </c>
      <c r="C8" s="4" t="n">
        <v>0</v>
      </c>
      <c r="D8" s="4" t="n">
        <v>0</v>
      </c>
      <c r="E8" s="4" t="n">
        <v>0</v>
      </c>
    </row>
    <row r="9">
      <c r="A9" s="3" t="inlineStr">
        <is>
          <t>Tiền thu cổ tức và lợi nhuận được chia từ các khoản đầu tư góp vốn dài hạn</t>
        </is>
      </c>
      <c r="B9" s="4" t="n">
        <v>39938000000</v>
      </c>
      <c r="C9" s="4" t="n">
        <v>64561000000</v>
      </c>
      <c r="D9" s="4" t="n">
        <v>34756000000</v>
      </c>
      <c r="E9" s="4" t="n">
        <v>8776000000</v>
      </c>
    </row>
    <row r="10">
      <c r="A10" s="3" t="inlineStr">
        <is>
          <t>Lưu chuyển tiền thuần từ hoạt động đầu tư</t>
        </is>
      </c>
      <c r="B10" s="4" t="n">
        <v>-816440000000</v>
      </c>
      <c r="C10" s="4" t="n">
        <v>-382599000000</v>
      </c>
      <c r="D10" s="4" t="n">
        <v>-2912466000000</v>
      </c>
      <c r="E10" s="4" t="n">
        <v>-1057275000000</v>
      </c>
    </row>
    <row r="11">
      <c r="A11" s="3" t="inlineStr">
        <is>
          <t>Tăng vốn cổ phần từ góp vốn và/hoặc phát hành cổ phiếu</t>
        </is>
      </c>
      <c r="B11" s="4" t="n">
        <v>12320661000000</v>
      </c>
      <c r="C11" s="4" t="n">
        <v>200495000000</v>
      </c>
      <c r="D11" s="4" t="n">
        <v>52664000000</v>
      </c>
      <c r="E11" s="4" t="n">
        <v>65072000000</v>
      </c>
    </row>
    <row r="12">
      <c r="A12" s="3" t="inlineStr">
        <is>
          <t>Cổ tức trả cho cổ đông, lợi nhuận đã chia</t>
        </is>
      </c>
      <c r="B12" s="4" t="n">
        <v>-7084911000000</v>
      </c>
      <c r="C12" s="4" t="n">
        <v>-5210255000000</v>
      </c>
      <c r="D12" s="4" t="n">
        <v>854000000</v>
      </c>
      <c r="E12" s="4" t="n">
        <v>-74648000000</v>
      </c>
    </row>
    <row r="13">
      <c r="A13" s="3" t="inlineStr">
        <is>
          <t>Lưu chuyển tiền thuần trong kỳ</t>
        </is>
      </c>
      <c r="B13" s="4" t="n">
        <v>5235750000000</v>
      </c>
      <c r="C13" s="4" t="n">
        <v>-5009760000000</v>
      </c>
      <c r="D13" s="4" t="n">
        <v>53518000000</v>
      </c>
      <c r="E13" s="4" t="n">
        <v>-709576000000</v>
      </c>
    </row>
    <row r="14">
      <c r="A14" s="3" t="inlineStr">
        <is>
          <t>Tiền và các khoản tương đương tiền tài thời điểm đầu kỳ</t>
        </is>
      </c>
      <c r="B14" s="4" t="n">
        <v>147484415000000</v>
      </c>
      <c r="C14" s="4" t="n">
        <v>110500219000000</v>
      </c>
      <c r="D14" s="4" t="n">
        <v>101305880000000</v>
      </c>
      <c r="E14" s="4" t="n">
        <v>47604230000000</v>
      </c>
    </row>
    <row r="15">
      <c r="A15" s="3" t="inlineStr">
        <is>
          <t>Điều chỉnh ảnh hưởng của thay đổi tỷ giá</t>
        </is>
      </c>
      <c r="B15" s="4" t="n">
        <v>0</v>
      </c>
      <c r="C15" s="4" t="n">
        <v>0</v>
      </c>
      <c r="D15" s="4" t="n">
        <v>0</v>
      </c>
      <c r="E15" s="4" t="n">
        <v>0</v>
      </c>
    </row>
    <row r="16">
      <c r="A16" s="3" t="inlineStr">
        <is>
          <t>Tiền và các khoản tương đương tiền tại thời điểm cuối kỳ</t>
        </is>
      </c>
      <c r="B16" s="4" t="n">
        <v>191827343000000</v>
      </c>
      <c r="C16" s="4" t="n">
        <v>147484415000000</v>
      </c>
      <c r="D16" s="4" t="n">
        <v>110500219000000</v>
      </c>
      <c r="E16" s="4" t="n">
        <v>101305880000000</v>
      </c>
    </row>
    <row r="17">
      <c r="A17" s="3" t="inlineStr">
        <is>
          <t>Tiền thuế thu nhập thực nộp trong kỳ</t>
        </is>
      </c>
      <c r="B17" s="4" t="n">
        <v>-7177741000000</v>
      </c>
      <c r="C17" s="4" t="n">
        <v>-4089321000000</v>
      </c>
      <c r="D17" s="4" t="n">
        <v>-5048936000000</v>
      </c>
      <c r="E17" s="4" t="n">
        <v>-2301394000000</v>
      </c>
    </row>
    <row r="18">
      <c r="A18" s="3" t="inlineStr">
        <is>
          <t>Tiền gửi tại NHNN</t>
        </is>
      </c>
      <c r="B18" s="4" t="n">
        <v>0</v>
      </c>
      <c r="C18" s="4" t="n">
        <v>0</v>
      </c>
      <c r="D18" s="4" t="n">
        <v>0</v>
      </c>
      <c r="E18" s="4" t="n">
        <v>0</v>
      </c>
    </row>
    <row r="19">
      <c r="A19" s="3" t="inlineStr">
        <is>
          <t>Tăng/giảm các khoản tiền gửi và cho vay các tổ chức tín dụng khác</t>
        </is>
      </c>
      <c r="B19" s="4" t="n">
        <v>1553157000000</v>
      </c>
      <c r="C19" s="4" t="n">
        <v>12721924000000</v>
      </c>
      <c r="D19" s="4" t="n">
        <v>-12287858000000</v>
      </c>
      <c r="E19" s="4" t="n">
        <v>18490986000000</v>
      </c>
    </row>
    <row r="20">
      <c r="A20" s="3" t="inlineStr">
        <is>
          <t>Tăng/giảm các khoản về kinh doanh chứng khoán</t>
        </is>
      </c>
      <c r="B20" s="4" t="n">
        <v>-9019169000000</v>
      </c>
      <c r="C20" s="4" t="n">
        <v>-31627229000000</v>
      </c>
      <c r="D20" s="4" t="n">
        <v>-19582416000000</v>
      </c>
      <c r="E20" s="4" t="n">
        <v>13920515000000</v>
      </c>
    </row>
    <row r="21">
      <c r="A21" s="3" t="inlineStr">
        <is>
          <t>Tăng/giảm các công cụ tài chính phái sinh và các tài sản tài chính khác</t>
        </is>
      </c>
      <c r="B21" s="4" t="n">
        <v>0</v>
      </c>
      <c r="C21" s="4" t="n">
        <v>143611000000</v>
      </c>
      <c r="D21" s="4" t="n">
        <v>-143611000000</v>
      </c>
      <c r="E21" s="4" t="n">
        <v>293768000000</v>
      </c>
    </row>
    <row r="22">
      <c r="A22" s="3" t="inlineStr">
        <is>
          <t>Tăng/giảm các khoản cho vay khách hàng</t>
        </is>
      </c>
      <c r="B22" s="4" t="n">
        <v>-135892165000000</v>
      </c>
      <c r="C22" s="4" t="n">
        <v>-113083396000000</v>
      </c>
      <c r="D22" s="4" t="n">
        <v>-98117863000000</v>
      </c>
      <c r="E22" s="4" t="n">
        <v>-73182461000000</v>
      </c>
    </row>
    <row r="23">
      <c r="A23" s="3" t="inlineStr">
        <is>
          <t>(Tăng)/Giảm lãi, phí phải thu</t>
        </is>
      </c>
      <c r="B23" s="4" t="n">
        <v>0</v>
      </c>
      <c r="C23" s="4" t="n">
        <v>0</v>
      </c>
      <c r="D23" s="4" t="n">
        <v>0</v>
      </c>
      <c r="E23" s="4" t="n">
        <v>0</v>
      </c>
    </row>
    <row r="24">
      <c r="A24" s="3" t="inlineStr">
        <is>
          <t>Tăng/giảm nguồn dự phòng để bù đắp tổn thất các khoản</t>
        </is>
      </c>
      <c r="B24" s="4" t="n">
        <v>-2072791000000</v>
      </c>
      <c r="C24" s="4" t="n">
        <v>-2670781000000</v>
      </c>
      <c r="D24" s="4" t="n">
        <v>-2667877000000</v>
      </c>
      <c r="E24" s="4" t="n">
        <v>-683006000000</v>
      </c>
    </row>
    <row r="25">
      <c r="A25" s="3" t="inlineStr">
        <is>
          <t>Tăng/giảm khác về tài sản hoạt động</t>
        </is>
      </c>
      <c r="B25" s="4" t="n">
        <v>-29615168000000</v>
      </c>
      <c r="C25" s="4" t="n">
        <v>34701809000000</v>
      </c>
      <c r="D25" s="4" t="n">
        <v>-9317279000000</v>
      </c>
      <c r="E25" s="4" t="n">
        <v>-36029613000000</v>
      </c>
    </row>
    <row r="26">
      <c r="A26" s="3" t="inlineStr">
        <is>
          <t>Tăng/(Giảm) các khoản nợ chính phủ và NHNN</t>
        </is>
      </c>
      <c r="B26" s="4" t="n">
        <v>4306722000000</v>
      </c>
      <c r="C26" s="4" t="n">
        <v>0</v>
      </c>
      <c r="D26" s="4" t="n">
        <v>0</v>
      </c>
      <c r="E26" s="4" t="n">
        <v>0</v>
      </c>
    </row>
    <row r="27">
      <c r="A27" s="3" t="inlineStr">
        <is>
          <t>Tăng/(Giảm) các khoản tiền gửi và vay các TCTD khác</t>
        </is>
      </c>
      <c r="B27" s="4" t="n">
        <v>12743888000000</v>
      </c>
      <c r="C27" s="4" t="n">
        <v>-20933914000000</v>
      </c>
      <c r="D27" s="4" t="n">
        <v>-14389967000000</v>
      </c>
      <c r="E27" s="4" t="n">
        <v>55104278000000</v>
      </c>
    </row>
    <row r="28">
      <c r="A28" s="3" t="inlineStr">
        <is>
          <t>Tăng/(Giảm) tiền gửi của khách hàng</t>
        </is>
      </c>
      <c r="B28" s="4" t="n">
        <v>85524799000000</v>
      </c>
      <c r="C28" s="4" t="n">
        <v>78742971000000</v>
      </c>
      <c r="D28" s="4" t="n">
        <v>96249299000000</v>
      </c>
      <c r="E28" s="4" t="n">
        <v>43658244000000</v>
      </c>
    </row>
    <row r="29">
      <c r="A29" s="3" t="inlineStr">
        <is>
          <t>Tăng/(Giảm) các công cụ tài chính phái sinh và các khoản nợ tài chính khác</t>
        </is>
      </c>
      <c r="B29" s="4" t="n">
        <v>1485716000000</v>
      </c>
      <c r="C29" s="4" t="n">
        <v>931231000000</v>
      </c>
      <c r="D29" s="4" t="n">
        <v>-1851213000000</v>
      </c>
      <c r="E29" s="4" t="n">
        <v>1851213000000</v>
      </c>
    </row>
    <row r="30">
      <c r="A30" s="3" t="inlineStr">
        <is>
          <t>Tăng/(Giảm) vốn tài trợ, uỷ thác đầu tư của chính phủ và các TCTD khác</t>
        </is>
      </c>
      <c r="B30" s="4" t="n">
        <v>0</v>
      </c>
      <c r="C30" s="4" t="n">
        <v>0</v>
      </c>
      <c r="D30" s="4" t="n">
        <v>0</v>
      </c>
      <c r="E30" s="4" t="n">
        <v>0</v>
      </c>
    </row>
    <row r="31">
      <c r="A31" s="3" t="inlineStr">
        <is>
          <t>Tăng/(Giảm) phát hành giấy tờ có giá</t>
        </is>
      </c>
      <c r="B31" s="4" t="n">
        <v>74907807000000</v>
      </c>
      <c r="C31" s="4" t="n">
        <v>55719021000000</v>
      </c>
      <c r="D31" s="4" t="n">
        <v>50696681000000</v>
      </c>
      <c r="E31" s="4" t="n">
        <v>1026795000000</v>
      </c>
    </row>
    <row r="32">
      <c r="A32" s="3" t="inlineStr">
        <is>
          <t>Tăng/(Giảm) lãi, phí phải trả</t>
        </is>
      </c>
      <c r="B32" s="4" t="n">
        <v>0</v>
      </c>
      <c r="C32" s="4" t="n">
        <v>0</v>
      </c>
      <c r="D32" s="4" t="n">
        <v>0</v>
      </c>
      <c r="E32" s="4" t="n">
        <v>0</v>
      </c>
    </row>
    <row r="33">
      <c r="A33" s="3" t="inlineStr">
        <is>
          <t>Tăng/(Giảm) khác về công nợ hoạt động</t>
        </is>
      </c>
      <c r="B33" s="4" t="n">
        <v>2712170000000</v>
      </c>
      <c r="C33" s="4" t="n">
        <v>-3303550000000</v>
      </c>
      <c r="D33" s="4" t="n">
        <v>-1468412000000</v>
      </c>
      <c r="E33" s="4" t="n">
        <v>2009069000000</v>
      </c>
    </row>
    <row r="34">
      <c r="A34" s="3" t="inlineStr">
        <is>
          <t>Lưu chuyển tiền thuần từ hoạt động kinh doanh trước thuế thu nhập DN</t>
        </is>
      </c>
      <c r="B34" s="4" t="n">
        <v>39925552000000</v>
      </c>
      <c r="C34" s="4" t="n">
        <v>42379134000000</v>
      </c>
      <c r="D34" s="4" t="n">
        <v>12058300000000</v>
      </c>
      <c r="E34" s="4" t="n">
        <v>55473357000000</v>
      </c>
    </row>
    <row r="35">
      <c r="A35" s="3" t="inlineStr">
        <is>
          <t>Chi từ các quỹ của TCTD</t>
        </is>
      </c>
      <c r="B35" s="4" t="n">
        <v>-1934000000</v>
      </c>
      <c r="C35" s="4" t="n">
        <v>-2579000000</v>
      </c>
      <c r="D35" s="4" t="n">
        <v>-5013000000</v>
      </c>
      <c r="E35" s="4" t="n">
        <v>-4856000000</v>
      </c>
    </row>
    <row r="36">
      <c r="A36" s="3" t="inlineStr">
        <is>
          <t>Thu được từ nợ khó đòi</t>
        </is>
      </c>
      <c r="B36" s="4" t="n">
        <v>0</v>
      </c>
      <c r="C36" s="4" t="n">
        <v>0</v>
      </c>
      <c r="D36" s="4" t="n">
        <v>0</v>
      </c>
      <c r="E36" s="4" t="n">
        <v>0</v>
      </c>
    </row>
    <row r="37">
      <c r="A37" s="3" t="inlineStr">
        <is>
          <t>Tiền chi từ thanh lý, nhượng bán TSCĐ</t>
        </is>
      </c>
      <c r="B37" s="4" t="n">
        <v>-3015000000</v>
      </c>
      <c r="C37" s="4" t="n">
        <v>-1249743000000</v>
      </c>
      <c r="D37" s="4" t="n">
        <v>-35000000</v>
      </c>
      <c r="E37" s="4" t="n">
        <v>-51000000</v>
      </c>
    </row>
    <row r="38">
      <c r="A38" s="3" t="inlineStr">
        <is>
          <t>Mua sắm Bất động sản đầu tư</t>
        </is>
      </c>
      <c r="B38" s="4" t="n">
        <v>0</v>
      </c>
      <c r="C38" s="4" t="n">
        <v>0</v>
      </c>
      <c r="D38" s="4" t="n">
        <v>0</v>
      </c>
      <c r="E38" s="4" t="n">
        <v>0</v>
      </c>
    </row>
    <row r="39">
      <c r="A39" s="3" t="inlineStr">
        <is>
          <t>Tiền thu từ bán, thanh lý bất động sản đầu tư</t>
        </is>
      </c>
      <c r="B39" s="4" t="n">
        <v>0</v>
      </c>
      <c r="C39" s="4" t="n">
        <v>736219000000</v>
      </c>
      <c r="D39" s="4" t="n">
        <v>1296447000000</v>
      </c>
      <c r="E39" s="4" t="n">
        <v>0</v>
      </c>
    </row>
    <row r="40">
      <c r="A40" s="3" t="inlineStr">
        <is>
          <t>Tiền chi ra do bán, thanh lý bất động sản đầu tư</t>
        </is>
      </c>
      <c r="B40" s="4" t="n">
        <v>0</v>
      </c>
      <c r="C40" s="4" t="n">
        <v>0</v>
      </c>
      <c r="D40" s="4" t="n">
        <v>0</v>
      </c>
      <c r="E40" s="4" t="n">
        <v>0</v>
      </c>
    </row>
    <row r="41">
      <c r="A41" s="3" t="inlineStr">
        <is>
          <t>Tiền thu từ phát hành giấy tờ có giá dài hạn đủ điều kiện tính vào vốn tự có và các khoản vốn vay dài hạn khác</t>
        </is>
      </c>
      <c r="B41" s="4" t="n">
        <v>0</v>
      </c>
      <c r="C41" s="4" t="n">
        <v>0</v>
      </c>
      <c r="D41" s="4" t="n">
        <v>0</v>
      </c>
      <c r="E41" s="4" t="n">
        <v>0</v>
      </c>
    </row>
    <row r="42">
      <c r="A42" s="3" t="inlineStr">
        <is>
          <t>Tiền chi thanh toán giấy tờ có giá dài hạn đủ điều kiện tính vào vốn tự có và các khoản vốn vay dài hạn khác</t>
        </is>
      </c>
      <c r="B42" s="4" t="n">
        <v>0</v>
      </c>
      <c r="C42" s="4" t="n">
        <v>0</v>
      </c>
      <c r="D42" s="4" t="n">
        <v>0</v>
      </c>
      <c r="E42" s="4" t="n">
        <v>-700000000000</v>
      </c>
    </row>
    <row r="43">
      <c r="A43" s="3" t="inlineStr">
        <is>
          <t>Tiền chi ra mua cổ phiếu quỹ</t>
        </is>
      </c>
      <c r="B43" s="4" t="n">
        <v>0</v>
      </c>
      <c r="C43" s="4" t="n">
        <v>0</v>
      </c>
      <c r="D43" s="4" t="n">
        <v>0</v>
      </c>
      <c r="E43" s="4" t="n">
        <v>0</v>
      </c>
    </row>
    <row r="44">
      <c r="A44" s="3" t="inlineStr">
        <is>
          <t>Tiền thu được do bán cổ phiếu quỹ</t>
        </is>
      </c>
      <c r="B44" s="4" t="n">
        <v>0</v>
      </c>
      <c r="C44" s="4" t="n">
        <v>0</v>
      </c>
      <c r="D44" s="4" t="n">
        <v>0</v>
      </c>
      <c r="E44" s="4" t="n">
        <v>0</v>
      </c>
    </row>
    <row r="45">
      <c r="A45" s="3" t="inlineStr">
        <is>
          <t>Thu nhập lãi và các khoản thu nhập tương tự nhận được</t>
        </is>
      </c>
      <c r="B45" s="4" t="n">
        <v>67231128000000</v>
      </c>
      <c r="C45" s="4" t="n">
        <v>61748921000000</v>
      </c>
      <c r="D45" s="4" t="n">
        <v>53749365000000</v>
      </c>
      <c r="E45" s="4" t="n">
        <v>43558389000000</v>
      </c>
    </row>
    <row r="46">
      <c r="A46" s="3" t="inlineStr">
        <is>
          <t>Chi phí lãi và các chi phí tương tự đã trả</t>
        </is>
      </c>
      <c r="B46" s="4" t="n">
        <v>-27761618000000</v>
      </c>
      <c r="C46" s="4" t="n">
        <v>-26124464000000</v>
      </c>
      <c r="D46" s="4" t="n">
        <v>-25941911000000</v>
      </c>
      <c r="E46" s="4" t="n">
        <v>-12185090000000</v>
      </c>
    </row>
    <row r="47">
      <c r="A47" s="3" t="inlineStr">
        <is>
          <t>Thu nhập từ hoạt động dịch vụ nhận được</t>
        </is>
      </c>
      <c r="B47" s="4" t="n">
        <v>8396946000000</v>
      </c>
      <c r="C47" s="4" t="n">
        <v>7679933000000</v>
      </c>
      <c r="D47" s="4" t="n">
        <v>9134752000000</v>
      </c>
      <c r="E47" s="4" t="n">
        <v>8076844000000</v>
      </c>
    </row>
    <row r="48">
      <c r="A48" s="3" t="inlineStr">
        <is>
          <t>Thu nhập thuần từ hoạt động kinh doanh ngoại hối và vàng</t>
        </is>
      </c>
      <c r="B48" s="4" t="n">
        <v>0</v>
      </c>
      <c r="C48" s="4" t="n">
        <v>0</v>
      </c>
      <c r="D48" s="4" t="n">
        <v>0</v>
      </c>
      <c r="E48" s="4" t="n">
        <v>0</v>
      </c>
    </row>
    <row r="49">
      <c r="A49" s="3" t="inlineStr">
        <is>
          <t>Thu nhập từ hoạt động kinh doanh chứng khoán</t>
        </is>
      </c>
      <c r="B49" s="4" t="n">
        <v>4478027000000</v>
      </c>
      <c r="C49" s="4" t="n">
        <v>3150018000000</v>
      </c>
      <c r="D49" s="4" t="n">
        <v>1168505000000</v>
      </c>
      <c r="E49" s="4" t="n">
        <v>-420995000000</v>
      </c>
    </row>
    <row r="50">
      <c r="A50" s="3" t="inlineStr">
        <is>
          <t>Thu nhập khác</t>
        </is>
      </c>
      <c r="B50" s="4" t="n">
        <v>96244000000</v>
      </c>
      <c r="C50" s="4" t="n">
        <v>-2359679000000</v>
      </c>
      <c r="D50" s="4" t="n">
        <v>1384616000000</v>
      </c>
      <c r="E50" s="4" t="n">
        <v>605946000000</v>
      </c>
    </row>
    <row r="51">
      <c r="A51" s="3" t="inlineStr">
        <is>
          <t>Tiền chi trả cho nhân viên và hoạt động quản lý, cộng cụ</t>
        </is>
      </c>
      <c r="B51" s="4" t="n">
        <v>-13326686000000</v>
      </c>
      <c r="C51" s="4" t="n">
        <v>-10106171000000</v>
      </c>
      <c r="D51" s="4" t="n">
        <v>-10339365000000</v>
      </c>
      <c r="E51" s="4" t="n">
        <v>-9631184000000</v>
      </c>
    </row>
    <row r="52">
      <c r="A52" s="3" t="inlineStr">
        <is>
          <t>Tiền thu các khoản nợ đã được xử lý, xóa, bù đắp bằng nguồn rủi ro</t>
        </is>
      </c>
      <c r="B52" s="4" t="n">
        <v>1354286000000</v>
      </c>
      <c r="C52" s="4" t="n">
        <v>1138200000000</v>
      </c>
      <c r="D52" s="4" t="n">
        <v>831790000000</v>
      </c>
      <c r="E52" s="4" t="n">
        <v>1311053000000</v>
      </c>
    </row>
    <row r="53">
      <c r="A53" s="3" t="inlineStr">
        <is>
          <t>Chênh lệch số tiền thực thu/thực chi từ hoạt động kinh doanh</t>
        </is>
      </c>
      <c r="B53" s="4" t="n">
        <v>4478027000000</v>
      </c>
      <c r="C53" s="4" t="n">
        <v>3150018000000</v>
      </c>
      <c r="D53" s="4" t="n">
        <v>1168505000000</v>
      </c>
      <c r="E53" s="4" t="n">
        <v>-420995000000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14" customWidth="1" min="3" max="3"/>
    <col width="14" customWidth="1" min="4" max="4"/>
    <col width="14" customWidth="1" min="5" max="5"/>
    <col width="3" customWidth="1" min="6" max="6"/>
  </cols>
  <sheetData>
    <row r="1" ht="22" customHeight="1">
      <c r="A1" s="5" t="inlineStr">
        <is>
          <t>CHỈ SỐ TÀI CHÍNH — TCB</t>
        </is>
      </c>
    </row>
    <row r="2" ht="42" customHeight="1">
      <c r="A2" s="6" t="inlineStr">
        <is>
          <t>Khối "CHỈ SỐ TÀI CHÍNH" tính bằng công thức từ khối "DỮ LIỆU TRÍCH XUẤT" bên dưới, không phải số nhập tay. Khối "DỮ LIỆU TRÍCH XUẤT" được dò tự động theo TÊN khoản mục (đúng theo tên gốc trong báo cáo) và theo NĂM từ 3 sheet balance_sheet / income_statement — không tham chiếu ô cố định. Có thể sửa nhãn khoản mục ở cột A khối này nếu công ty đổi tên dòng; công thức sẽ tự dò lại. Các năm được xếp tăng dần từ trái sang phải.</t>
        </is>
      </c>
    </row>
    <row r="3" ht="42" customHeight="1">
      <c r="A3" s="7" t="inlineStr">
        <is>
          <t>Lưu ý: Đây là tổ chức tín dụng: báo cáo tài chính không có khái niệm hàng tồn kho / giá vốn hàng bán / phải thu-phải trả thương mại, và không tách vay ngắn hạn - dài hạn trên bảng cân đối. Các chỉ tiêu tương ứng hiển thị "n/a". Doanh thu dùng "Tổng thu nhập hoạt động" thay cho "Doanh thu thuần"; ROA/Biên lợi nhuận ròng dùng lợi nhuận sau thuế toàn ngân hàng.</t>
        </is>
      </c>
    </row>
    <row r="4"/>
    <row r="5">
      <c r="A5" s="8" t="inlineStr">
        <is>
          <t>I. CHỈ SỐ TÀI CHÍNH</t>
        </is>
      </c>
      <c r="B5" s="9" t="n"/>
      <c r="C5" s="9" t="n"/>
      <c r="D5" s="9" t="n"/>
      <c r="E5" s="9" t="n"/>
    </row>
    <row r="6">
      <c r="A6" s="10" t="inlineStr">
        <is>
          <t>Chỉ tiêu</t>
        </is>
      </c>
      <c r="B6" s="11">
        <f>'balance_sheet'!E1</f>
        <v/>
      </c>
      <c r="C6" s="11">
        <f>'balance_sheet'!D1</f>
        <v/>
      </c>
      <c r="D6" s="11">
        <f>'balance_sheet'!C1</f>
        <v/>
      </c>
      <c r="E6" s="11">
        <f>'balance_sheet'!B1</f>
        <v/>
      </c>
    </row>
    <row r="7">
      <c r="A7" s="12" t="inlineStr">
        <is>
          <t>1. Khả năng sinh lời</t>
        </is>
      </c>
    </row>
    <row r="8">
      <c r="A8" s="13" t="inlineStr">
        <is>
          <t>ROE (LNST CĐ Cty mẹ / VCSH bình quân)</t>
        </is>
      </c>
      <c r="B8" s="14" t="inlineStr">
        <is>
          <t>n/a</t>
        </is>
      </c>
      <c r="C8" s="15">
        <f>IFERROR(C$55/((C$40+B$40)/2),"n/a")</f>
        <v/>
      </c>
      <c r="D8" s="15">
        <f>IFERROR(D$55/((D$40+C$40)/2),"n/a")</f>
        <v/>
      </c>
      <c r="E8" s="15">
        <f>IFERROR(E$55/((E$40+D$40)/2),"n/a")</f>
        <v/>
      </c>
    </row>
    <row r="9">
      <c r="A9" s="13" t="inlineStr">
        <is>
          <t>ROA (LNST / Tổng tài sản bình quân)</t>
        </is>
      </c>
      <c r="B9" s="14" t="inlineStr">
        <is>
          <t>n/a</t>
        </is>
      </c>
      <c r="C9" s="15">
        <f>IFERROR(C$54/((C$41+B$41)/2),"n/a")</f>
        <v/>
      </c>
      <c r="D9" s="15">
        <f>IFERROR(D$54/((D$41+C$41)/2),"n/a")</f>
        <v/>
      </c>
      <c r="E9" s="15">
        <f>IFERROR(E$54/((E$41+D$41)/2),"n/a")</f>
        <v/>
      </c>
    </row>
    <row r="10">
      <c r="A10" s="13" t="inlineStr">
        <is>
          <t>Tăng trưởng LN Cổ đông Cty mẹ</t>
        </is>
      </c>
      <c r="B10" s="14" t="inlineStr">
        <is>
          <t>n/a</t>
        </is>
      </c>
      <c r="C10" s="15">
        <f>IFERROR((C$55-B$55)/ABS(B$55),"n/a")</f>
        <v/>
      </c>
      <c r="D10" s="15">
        <f>IFERROR((D$55-C$55)/ABS(C$55),"n/a")</f>
        <v/>
      </c>
      <c r="E10" s="15">
        <f>IFERROR((E$55-D$55)/ABS(D$55),"n/a")</f>
        <v/>
      </c>
    </row>
    <row r="11">
      <c r="A11" s="13" t="inlineStr">
        <is>
          <t>Tăng trưởng Doanh thu thuần</t>
        </is>
      </c>
      <c r="B11" s="14" t="inlineStr">
        <is>
          <t>n/a</t>
        </is>
      </c>
      <c r="C11" s="15">
        <f>IFERROR((C$47-B$47)/ABS(B$47),"n/a")</f>
        <v/>
      </c>
      <c r="D11" s="15">
        <f>IFERROR((D$47-C$47)/ABS(C$47),"n/a")</f>
        <v/>
      </c>
      <c r="E11" s="15">
        <f>IFERROR((E$47-D$47)/ABS(D$47),"n/a")</f>
        <v/>
      </c>
    </row>
    <row r="12"/>
    <row r="13">
      <c r="A13" s="12" t="inlineStr">
        <is>
          <t>2. Biên lợi nhuận</t>
        </is>
      </c>
    </row>
    <row r="14">
      <c r="A14" s="13" t="inlineStr">
        <is>
          <t>Biên lợi nhuận gộp</t>
        </is>
      </c>
      <c r="B14" s="15">
        <f>IFERROR(B$49/B$47,"n/a")</f>
        <v/>
      </c>
      <c r="C14" s="15">
        <f>IFERROR(C$49/C$47,"n/a")</f>
        <v/>
      </c>
      <c r="D14" s="15">
        <f>IFERROR(D$49/D$47,"n/a")</f>
        <v/>
      </c>
      <c r="E14" s="15">
        <f>IFERROR(E$49/E$47,"n/a")</f>
        <v/>
      </c>
    </row>
    <row r="15">
      <c r="A15" s="13" t="inlineStr">
        <is>
          <t>Biên lợi nhuận ròng</t>
        </is>
      </c>
      <c r="B15" s="15">
        <f>IFERROR(B$54/B$47,"n/a")</f>
        <v/>
      </c>
      <c r="C15" s="15">
        <f>IFERROR(C$54/C$47,"n/a")</f>
        <v/>
      </c>
      <c r="D15" s="15">
        <f>IFERROR(D$54/D$47,"n/a")</f>
        <v/>
      </c>
      <c r="E15" s="15">
        <f>IFERROR(E$54/E$47,"n/a")</f>
        <v/>
      </c>
    </row>
    <row r="16"/>
    <row r="17">
      <c r="A17" s="12" t="inlineStr">
        <is>
          <t>3. Đòn bẩy tài chính</t>
        </is>
      </c>
    </row>
    <row r="18">
      <c r="A18" s="13" t="inlineStr">
        <is>
          <t>D/E (Nợ vay / Vốn chủ sở hữu)</t>
        </is>
      </c>
      <c r="B18" s="16">
        <f>IFERROR((B$45+B$46)/B$40,"n/a")</f>
        <v/>
      </c>
      <c r="C18" s="16">
        <f>IFERROR((C$45+C$46)/C$40,"n/a")</f>
        <v/>
      </c>
      <c r="D18" s="16">
        <f>IFERROR((D$45+D$46)/D$40,"n/a")</f>
        <v/>
      </c>
      <c r="E18" s="16">
        <f>IFERROR((E$45+E$46)/E$40,"n/a")</f>
        <v/>
      </c>
    </row>
    <row r="19">
      <c r="A19" s="3" t="inlineStr">
        <is>
          <t xml:space="preserve">     - Nợ vay dài hạn/Vốn chủ sở hữu</t>
        </is>
      </c>
      <c r="B19" s="16">
        <f>IFERROR(B$46/B$40,"n/a")</f>
        <v/>
      </c>
      <c r="C19" s="16">
        <f>IFERROR(C$46/C$40,"n/a")</f>
        <v/>
      </c>
      <c r="D19" s="16">
        <f>IFERROR(D$46/D$40,"n/a")</f>
        <v/>
      </c>
      <c r="E19" s="16">
        <f>IFERROR(E$46/E$40,"n/a")</f>
        <v/>
      </c>
    </row>
    <row r="20">
      <c r="A20" s="3" t="inlineStr">
        <is>
          <t xml:space="preserve">     - Nợ vay ngắn hạn/Vốn chủ sở hữu</t>
        </is>
      </c>
      <c r="B20" s="16">
        <f>IFERROR(B$45/B$40,"n/a")</f>
        <v/>
      </c>
      <c r="C20" s="16">
        <f>IFERROR(C$45/C$40,"n/a")</f>
        <v/>
      </c>
      <c r="D20" s="16">
        <f>IFERROR(D$45/D$40,"n/a")</f>
        <v/>
      </c>
      <c r="E20" s="16">
        <f>IFERROR(E$45/E$40,"n/a")</f>
        <v/>
      </c>
    </row>
    <row r="21">
      <c r="A21" s="13" t="inlineStr">
        <is>
          <t>Nợ phải trả/Vốn chủ sở hữu</t>
        </is>
      </c>
      <c r="B21" s="16">
        <f>IFERROR(B$42/B$40,"n/a")</f>
        <v/>
      </c>
      <c r="C21" s="16">
        <f>IFERROR(C$42/C$40,"n/a")</f>
        <v/>
      </c>
      <c r="D21" s="16">
        <f>IFERROR(D$42/D$40,"n/a")</f>
        <v/>
      </c>
      <c r="E21" s="16">
        <f>IFERROR(E$42/E$40,"n/a")</f>
        <v/>
      </c>
    </row>
    <row r="22">
      <c r="A22" s="3" t="inlineStr">
        <is>
          <t xml:space="preserve">     - Nợ dài hạn/Vốn chủ sở hữu</t>
        </is>
      </c>
      <c r="B22" s="16">
        <f>IFERROR(B$44/B$40,"n/a")</f>
        <v/>
      </c>
      <c r="C22" s="16">
        <f>IFERROR(C$44/C$40,"n/a")</f>
        <v/>
      </c>
      <c r="D22" s="16">
        <f>IFERROR(D$44/D$40,"n/a")</f>
        <v/>
      </c>
      <c r="E22" s="16">
        <f>IFERROR(E$44/E$40,"n/a")</f>
        <v/>
      </c>
    </row>
    <row r="23">
      <c r="A23" s="3" t="inlineStr">
        <is>
          <t xml:space="preserve">     - Nợ ngắn hạn/Vốn chủ sở hữu</t>
        </is>
      </c>
      <c r="B23" s="16">
        <f>IFERROR(B$43/B$40,"n/a")</f>
        <v/>
      </c>
      <c r="C23" s="16">
        <f>IFERROR(C$43/C$40,"n/a")</f>
        <v/>
      </c>
      <c r="D23" s="16">
        <f>IFERROR(D$43/D$40,"n/a")</f>
        <v/>
      </c>
      <c r="E23" s="16">
        <f>IFERROR(E$43/E$40,"n/a")</f>
        <v/>
      </c>
    </row>
    <row r="24"/>
    <row r="25">
      <c r="A25" s="12" t="inlineStr">
        <is>
          <t>4. Chi phí &amp; khả năng trả lãi</t>
        </is>
      </c>
    </row>
    <row r="26">
      <c r="A26" s="13" t="inlineStr">
        <is>
          <t>Chi phí bán hàng, quản lý/LN gộp</t>
        </is>
      </c>
      <c r="B26" s="15">
        <f>IFERROR((ABS(B$50)+ABS(B$51))/B$49,"n/a")</f>
        <v/>
      </c>
      <c r="C26" s="15">
        <f>IFERROR((ABS(C$50)+ABS(C$51))/C$49,"n/a")</f>
        <v/>
      </c>
      <c r="D26" s="15">
        <f>IFERROR((ABS(D$50)+ABS(D$51))/D$49,"n/a")</f>
        <v/>
      </c>
      <c r="E26" s="15">
        <f>IFERROR((ABS(E$50)+ABS(E$51))/E$49,"n/a")</f>
        <v/>
      </c>
    </row>
    <row r="27">
      <c r="A27" s="13" t="inlineStr">
        <is>
          <t>Chi phí lãi vay/LN từ hoạt động kinh doanh</t>
        </is>
      </c>
      <c r="B27" s="15">
        <f>IFERROR(ABS(B$53)/B$52,"n/a")</f>
        <v/>
      </c>
      <c r="C27" s="15">
        <f>IFERROR(ABS(C$53)/C$52,"n/a")</f>
        <v/>
      </c>
      <c r="D27" s="15">
        <f>IFERROR(ABS(D$53)/D$52,"n/a")</f>
        <v/>
      </c>
      <c r="E27" s="15">
        <f>IFERROR(ABS(E$53)/E$52,"n/a")</f>
        <v/>
      </c>
    </row>
    <row r="28"/>
    <row r="29">
      <c r="A29" s="12" t="inlineStr">
        <is>
          <t>5. Chu kỳ hoạt động vốn lưu động</t>
        </is>
      </c>
    </row>
    <row r="30">
      <c r="A30" s="13" t="inlineStr">
        <is>
          <t>Số ngày phải trả (DPO)</t>
        </is>
      </c>
      <c r="B30" s="14" t="inlineStr">
        <is>
          <t>n/a</t>
        </is>
      </c>
      <c r="C30" s="17">
        <f>IFERROR(((C$57+B$57)/2)/ABS(C$48)*365,"n/a")</f>
        <v/>
      </c>
      <c r="D30" s="17">
        <f>IFERROR(((D$57+C$57)/2)/ABS(D$48)*365,"n/a")</f>
        <v/>
      </c>
      <c r="E30" s="17">
        <f>IFERROR(((E$57+D$57)/2)/ABS(E$48)*365,"n/a")</f>
        <v/>
      </c>
    </row>
    <row r="31">
      <c r="A31" s="13" t="inlineStr">
        <is>
          <t>Số ngày phải thu (DSO)</t>
        </is>
      </c>
      <c r="B31" s="14" t="inlineStr">
        <is>
          <t>n/a</t>
        </is>
      </c>
      <c r="C31" s="17">
        <f>IFERROR(((C$56+B$56)/2)/C$47*365,"n/a")</f>
        <v/>
      </c>
      <c r="D31" s="17">
        <f>IFERROR(((D$56+C$56)/2)/D$47*365,"n/a")</f>
        <v/>
      </c>
      <c r="E31" s="17">
        <f>IFERROR(((E$56+D$56)/2)/E$47*365,"n/a")</f>
        <v/>
      </c>
    </row>
    <row r="32">
      <c r="A32" s="13" t="inlineStr">
        <is>
          <t>Số ngày tồn kho (DIO)</t>
        </is>
      </c>
      <c r="B32" s="14" t="inlineStr">
        <is>
          <t>n/a</t>
        </is>
      </c>
      <c r="C32" s="17">
        <f>IFERROR(((C$58+B$58)/2)/ABS(C$48)*365,"n/a")</f>
        <v/>
      </c>
      <c r="D32" s="17">
        <f>IFERROR(((D$58+C$58)/2)/ABS(D$48)*365,"n/a")</f>
        <v/>
      </c>
      <c r="E32" s="17">
        <f>IFERROR(((E$58+D$58)/2)/ABS(E$48)*365,"n/a")</f>
        <v/>
      </c>
    </row>
    <row r="33"/>
    <row r="34">
      <c r="A34" s="12" t="inlineStr">
        <is>
          <t>6. Cơ cấu tài sản</t>
        </is>
      </c>
    </row>
    <row r="35">
      <c r="A35" s="13" t="inlineStr">
        <is>
          <t>Tiền và tương đương tiền/Tài sản</t>
        </is>
      </c>
      <c r="B35" s="15">
        <f>IFERROR(B$59/B$41,"n/a")</f>
        <v/>
      </c>
      <c r="C35" s="15">
        <f>IFERROR(C$59/C$41,"n/a")</f>
        <v/>
      </c>
      <c r="D35" s="15">
        <f>IFERROR(D$59/D$41,"n/a")</f>
        <v/>
      </c>
      <c r="E35" s="15">
        <f>IFERROR(E$59/E$41,"n/a")</f>
        <v/>
      </c>
    </row>
    <row r="36">
      <c r="A36" s="13" t="inlineStr">
        <is>
          <t>Hàng tồn kho/Tài sản</t>
        </is>
      </c>
      <c r="B36" s="15">
        <f>IFERROR(B$58/B$41,"n/a")</f>
        <v/>
      </c>
      <c r="C36" s="15">
        <f>IFERROR(C$58/C$41,"n/a")</f>
        <v/>
      </c>
      <c r="D36" s="15">
        <f>IFERROR(D$58/D$41,"n/a")</f>
        <v/>
      </c>
      <c r="E36" s="15">
        <f>IFERROR(E$58/E$41,"n/a")</f>
        <v/>
      </c>
    </row>
    <row r="37"/>
    <row r="38">
      <c r="A38" s="8" t="inlineStr">
        <is>
          <t>II. DỮ LIỆU TRÍCH XUẤT (tự động dò theo tên khoản mục)</t>
        </is>
      </c>
      <c r="B38" s="9" t="n"/>
      <c r="C38" s="9" t="n"/>
      <c r="D38" s="9" t="n"/>
      <c r="E38" s="9" t="n"/>
    </row>
    <row r="39">
      <c r="A39" s="10" t="inlineStr">
        <is>
          <t>Khoản mục</t>
        </is>
      </c>
      <c r="B39" s="11">
        <f>'balance_sheet'!E1</f>
        <v/>
      </c>
      <c r="C39" s="11">
        <f>'balance_sheet'!D1</f>
        <v/>
      </c>
      <c r="D39" s="11">
        <f>'balance_sheet'!C1</f>
        <v/>
      </c>
      <c r="E39" s="11">
        <f>'balance_sheet'!B1</f>
        <v/>
      </c>
    </row>
    <row r="40">
      <c r="A40" s="3" t="inlineStr">
        <is>
          <t>VỐN CHỦ SỞ HỮU</t>
        </is>
      </c>
      <c r="B40" s="18">
        <f>IFERROR(INDEX(balance_sheet!$B:$E,MATCH("VỐN CHỦ SỞ HỮU",balance_sheet!$A:$A,0),MATCH(B$39,balance_sheet!$B$1:$E$1,0)),"")</f>
        <v/>
      </c>
      <c r="C40" s="18">
        <f>IFERROR(INDEX(balance_sheet!$B:$E,MATCH("VỐN CHỦ SỞ HỮU",balance_sheet!$A:$A,0),MATCH(C$39,balance_sheet!$B$1:$E$1,0)),"")</f>
        <v/>
      </c>
      <c r="D40" s="18">
        <f>IFERROR(INDEX(balance_sheet!$B:$E,MATCH("VỐN CHỦ SỞ HỮU",balance_sheet!$A:$A,0),MATCH(D$39,balance_sheet!$B$1:$E$1,0)),"")</f>
        <v/>
      </c>
      <c r="E40" s="18">
        <f>IFERROR(INDEX(balance_sheet!$B:$E,MATCH("VỐN CHỦ SỞ HỮU",balance_sheet!$A:$A,0),MATCH(E$39,balance_sheet!$B$1:$E$1,0)),"")</f>
        <v/>
      </c>
    </row>
    <row r="41">
      <c r="A41" s="3" t="inlineStr">
        <is>
          <t>TỔNG TÀI SẢN</t>
        </is>
      </c>
      <c r="B41" s="18">
        <f>IFERROR(INDEX(balance_sheet!$B:$E,MATCH("TỔNG TÀI SẢN",balance_sheet!$A:$A,0),MATCH(B$39,balance_sheet!$B$1:$E$1,0)),"")</f>
        <v/>
      </c>
      <c r="C41" s="18">
        <f>IFERROR(INDEX(balance_sheet!$B:$E,MATCH("TỔNG TÀI SẢN",balance_sheet!$A:$A,0),MATCH(C$39,balance_sheet!$B$1:$E$1,0)),"")</f>
        <v/>
      </c>
      <c r="D41" s="18">
        <f>IFERROR(INDEX(balance_sheet!$B:$E,MATCH("TỔNG TÀI SẢN",balance_sheet!$A:$A,0),MATCH(D$39,balance_sheet!$B$1:$E$1,0)),"")</f>
        <v/>
      </c>
      <c r="E41" s="18">
        <f>IFERROR(INDEX(balance_sheet!$B:$E,MATCH("TỔNG TÀI SẢN",balance_sheet!$A:$A,0),MATCH(E$39,balance_sheet!$B$1:$E$1,0)),"")</f>
        <v/>
      </c>
    </row>
    <row r="42">
      <c r="A42" s="3" t="inlineStr">
        <is>
          <t>TỔNG NỢ PHẢI TRẢ</t>
        </is>
      </c>
      <c r="B42" s="18">
        <f>IFERROR(INDEX(balance_sheet!$B:$E,MATCH("TỔNG NỢ PHẢI TRẢ",balance_sheet!$A:$A,0),MATCH(B$39,balance_sheet!$B$1:$E$1,0)),"")</f>
        <v/>
      </c>
      <c r="C42" s="18">
        <f>IFERROR(INDEX(balance_sheet!$B:$E,MATCH("TỔNG NỢ PHẢI TRẢ",balance_sheet!$A:$A,0),MATCH(C$39,balance_sheet!$B$1:$E$1,0)),"")</f>
        <v/>
      </c>
      <c r="D42" s="18">
        <f>IFERROR(INDEX(balance_sheet!$B:$E,MATCH("TỔNG NỢ PHẢI TRẢ",balance_sheet!$A:$A,0),MATCH(D$39,balance_sheet!$B$1:$E$1,0)),"")</f>
        <v/>
      </c>
      <c r="E42" s="18">
        <f>IFERROR(INDEX(balance_sheet!$B:$E,MATCH("TỔNG NỢ PHẢI TRẢ",balance_sheet!$A:$A,0),MATCH(E$39,balance_sheet!$B$1:$E$1,0)),"")</f>
        <v/>
      </c>
    </row>
    <row r="43">
      <c r="A43" s="3" t="inlineStr">
        <is>
          <t>Nợ ngắn hạn</t>
        </is>
      </c>
      <c r="B43" s="14" t="inlineStr">
        <is>
          <t>n/a</t>
        </is>
      </c>
      <c r="C43" s="14" t="inlineStr">
        <is>
          <t>n/a</t>
        </is>
      </c>
      <c r="D43" s="14" t="inlineStr">
        <is>
          <t>n/a</t>
        </is>
      </c>
      <c r="E43" s="14" t="inlineStr">
        <is>
          <t>n/a</t>
        </is>
      </c>
    </row>
    <row r="44">
      <c r="A44" s="3" t="inlineStr">
        <is>
          <t>Nợ dài hạn</t>
        </is>
      </c>
      <c r="B44" s="14" t="inlineStr">
        <is>
          <t>n/a</t>
        </is>
      </c>
      <c r="C44" s="14" t="inlineStr">
        <is>
          <t>n/a</t>
        </is>
      </c>
      <c r="D44" s="14" t="inlineStr">
        <is>
          <t>n/a</t>
        </is>
      </c>
      <c r="E44" s="14" t="inlineStr">
        <is>
          <t>n/a</t>
        </is>
      </c>
    </row>
    <row r="45">
      <c r="A45" s="3" t="inlineStr">
        <is>
          <t>Vay và nợ thuê tài chính ngắn hạn</t>
        </is>
      </c>
      <c r="B45" s="14" t="inlineStr">
        <is>
          <t>n/a</t>
        </is>
      </c>
      <c r="C45" s="14" t="inlineStr">
        <is>
          <t>n/a</t>
        </is>
      </c>
      <c r="D45" s="14" t="inlineStr">
        <is>
          <t>n/a</t>
        </is>
      </c>
      <c r="E45" s="14" t="inlineStr">
        <is>
          <t>n/a</t>
        </is>
      </c>
    </row>
    <row r="46">
      <c r="A46" s="3" t="inlineStr">
        <is>
          <t>Vay và nợ thuê tài chính dài hạn</t>
        </is>
      </c>
      <c r="B46" s="14" t="inlineStr">
        <is>
          <t>n/a</t>
        </is>
      </c>
      <c r="C46" s="14" t="inlineStr">
        <is>
          <t>n/a</t>
        </is>
      </c>
      <c r="D46" s="14" t="inlineStr">
        <is>
          <t>n/a</t>
        </is>
      </c>
      <c r="E46" s="14" t="inlineStr">
        <is>
          <t>n/a</t>
        </is>
      </c>
    </row>
    <row r="47">
      <c r="A47" s="3" t="inlineStr">
        <is>
          <t>Tổng thu nhập hoạt động</t>
        </is>
      </c>
      <c r="B47" s="18">
        <f>IFERROR(INDEX(income_statement!$B:$E,MATCH("Tổng thu nhập hoạt động",income_statement!$A:$A,0),MATCH(B$39,income_statement!$B$1:$E$1,0)),"")</f>
        <v/>
      </c>
      <c r="C47" s="18">
        <f>IFERROR(INDEX(income_statement!$B:$E,MATCH("Tổng thu nhập hoạt động",income_statement!$A:$A,0),MATCH(C$39,income_statement!$B$1:$E$1,0)),"")</f>
        <v/>
      </c>
      <c r="D47" s="18">
        <f>IFERROR(INDEX(income_statement!$B:$E,MATCH("Tổng thu nhập hoạt động",income_statement!$A:$A,0),MATCH(D$39,income_statement!$B$1:$E$1,0)),"")</f>
        <v/>
      </c>
      <c r="E47" s="18">
        <f>IFERROR(INDEX(income_statement!$B:$E,MATCH("Tổng thu nhập hoạt động",income_statement!$A:$A,0),MATCH(E$39,income_statement!$B$1:$E$1,0)),"")</f>
        <v/>
      </c>
    </row>
    <row r="48">
      <c r="A48" s="3" t="inlineStr">
        <is>
          <t>Giá vốn hàng bán / Chi phí hoạt động</t>
        </is>
      </c>
      <c r="B48" s="14" t="inlineStr">
        <is>
          <t>n/a</t>
        </is>
      </c>
      <c r="C48" s="14" t="inlineStr">
        <is>
          <t>n/a</t>
        </is>
      </c>
      <c r="D48" s="14" t="inlineStr">
        <is>
          <t>n/a</t>
        </is>
      </c>
      <c r="E48" s="14" t="inlineStr">
        <is>
          <t>n/a</t>
        </is>
      </c>
    </row>
    <row r="49">
      <c r="A49" s="3" t="inlineStr">
        <is>
          <t>Lợi nhuận gộp</t>
        </is>
      </c>
      <c r="B49" s="14" t="inlineStr">
        <is>
          <t>n/a</t>
        </is>
      </c>
      <c r="C49" s="14" t="inlineStr">
        <is>
          <t>n/a</t>
        </is>
      </c>
      <c r="D49" s="14" t="inlineStr">
        <is>
          <t>n/a</t>
        </is>
      </c>
      <c r="E49" s="14" t="inlineStr">
        <is>
          <t>n/a</t>
        </is>
      </c>
    </row>
    <row r="50">
      <c r="A50" s="3" t="inlineStr">
        <is>
          <t>Chi phí bán hàng</t>
        </is>
      </c>
      <c r="B50" s="14" t="inlineStr">
        <is>
          <t>n/a</t>
        </is>
      </c>
      <c r="C50" s="14" t="inlineStr">
        <is>
          <t>n/a</t>
        </is>
      </c>
      <c r="D50" s="14" t="inlineStr">
        <is>
          <t>n/a</t>
        </is>
      </c>
      <c r="E50" s="14" t="inlineStr">
        <is>
          <t>n/a</t>
        </is>
      </c>
    </row>
    <row r="51">
      <c r="A51" s="3" t="inlineStr">
        <is>
          <t>Chi phí quản lý doanh nghiệp</t>
        </is>
      </c>
      <c r="B51" s="18">
        <f>IFERROR(INDEX(income_statement!$B:$E,MATCH("Chi phí quản lý doanh nghiệp",income_statement!$A:$A,0),MATCH(B$39,income_statement!$B$1:$E$1,0)),"")</f>
        <v/>
      </c>
      <c r="C51" s="18">
        <f>IFERROR(INDEX(income_statement!$B:$E,MATCH("Chi phí quản lý doanh nghiệp",income_statement!$A:$A,0),MATCH(C$39,income_statement!$B$1:$E$1,0)),"")</f>
        <v/>
      </c>
      <c r="D51" s="18">
        <f>IFERROR(INDEX(income_statement!$B:$E,MATCH("Chi phí quản lý doanh nghiệp",income_statement!$A:$A,0),MATCH(D$39,income_statement!$B$1:$E$1,0)),"")</f>
        <v/>
      </c>
      <c r="E51" s="18">
        <f>IFERROR(INDEX(income_statement!$B:$E,MATCH("Chi phí quản lý doanh nghiệp",income_statement!$A:$A,0),MATCH(E$39,income_statement!$B$1:$E$1,0)),"")</f>
        <v/>
      </c>
    </row>
    <row r="52">
      <c r="A52" s="3" t="inlineStr">
        <is>
          <t>Lợi nhuận thuần hoạt động trước khi trích lập dự phòng tổn thất tín dụng</t>
        </is>
      </c>
      <c r="B52" s="18">
        <f>IFERROR(INDEX(income_statement!$B:$E,MATCH("Lợi nhuận thuần hoạt động trước khi trích lập dự phòng tổn thất tín dụng",income_statement!$A:$A,0),MATCH(B$39,income_statement!$B$1:$E$1,0)),"")</f>
        <v/>
      </c>
      <c r="C52" s="18">
        <f>IFERROR(INDEX(income_statement!$B:$E,MATCH("Lợi nhuận thuần hoạt động trước khi trích lập dự phòng tổn thất tín dụng",income_statement!$A:$A,0),MATCH(C$39,income_statement!$B$1:$E$1,0)),"")</f>
        <v/>
      </c>
      <c r="D52" s="18">
        <f>IFERROR(INDEX(income_statement!$B:$E,MATCH("Lợi nhuận thuần hoạt động trước khi trích lập dự phòng tổn thất tín dụng",income_statement!$A:$A,0),MATCH(D$39,income_statement!$B$1:$E$1,0)),"")</f>
        <v/>
      </c>
      <c r="E52" s="18">
        <f>IFERROR(INDEX(income_statement!$B:$E,MATCH("Lợi nhuận thuần hoạt động trước khi trích lập dự phòng tổn thất tín dụng",income_statement!$A:$A,0),MATCH(E$39,income_statement!$B$1:$E$1,0)),"")</f>
        <v/>
      </c>
    </row>
    <row r="53">
      <c r="A53" s="3" t="inlineStr">
        <is>
          <t>Chi phí lãi và các chi phí tương tự</t>
        </is>
      </c>
      <c r="B53" s="18">
        <f>IFERROR(INDEX(income_statement!$B:$E,MATCH("Chi phí lãi và các chi phí tương tự",income_statement!$A:$A,0),MATCH(B$39,income_statement!$B$1:$E$1,0)),"")</f>
        <v/>
      </c>
      <c r="C53" s="18">
        <f>IFERROR(INDEX(income_statement!$B:$E,MATCH("Chi phí lãi và các chi phí tương tự",income_statement!$A:$A,0),MATCH(C$39,income_statement!$B$1:$E$1,0)),"")</f>
        <v/>
      </c>
      <c r="D53" s="18">
        <f>IFERROR(INDEX(income_statement!$B:$E,MATCH("Chi phí lãi và các chi phí tương tự",income_statement!$A:$A,0),MATCH(D$39,income_statement!$B$1:$E$1,0)),"")</f>
        <v/>
      </c>
      <c r="E53" s="18">
        <f>IFERROR(INDEX(income_statement!$B:$E,MATCH("Chi phí lãi và các chi phí tương tự",income_statement!$A:$A,0),MATCH(E$39,income_statement!$B$1:$E$1,0)),"")</f>
        <v/>
      </c>
    </row>
    <row r="54">
      <c r="A54" s="3" t="inlineStr">
        <is>
          <t>Lợi nhuận sau thuế</t>
        </is>
      </c>
      <c r="B54" s="18">
        <f>IFERROR(INDEX(income_statement!$B:$E,MATCH("Lợi nhuận sau thuế",income_statement!$A:$A,0),MATCH(B$39,income_statement!$B$1:$E$1,0)),"")</f>
        <v/>
      </c>
      <c r="C54" s="18">
        <f>IFERROR(INDEX(income_statement!$B:$E,MATCH("Lợi nhuận sau thuế",income_statement!$A:$A,0),MATCH(C$39,income_statement!$B$1:$E$1,0)),"")</f>
        <v/>
      </c>
      <c r="D54" s="18">
        <f>IFERROR(INDEX(income_statement!$B:$E,MATCH("Lợi nhuận sau thuế",income_statement!$A:$A,0),MATCH(D$39,income_statement!$B$1:$E$1,0)),"")</f>
        <v/>
      </c>
      <c r="E54" s="18">
        <f>IFERROR(INDEX(income_statement!$B:$E,MATCH("Lợi nhuận sau thuế",income_statement!$A:$A,0),MATCH(E$39,income_statement!$B$1:$E$1,0)),"")</f>
        <v/>
      </c>
    </row>
    <row r="55">
      <c r="A55" s="3" t="inlineStr">
        <is>
          <t>Cổ đông của Công ty mẹ</t>
        </is>
      </c>
      <c r="B55" s="18">
        <f>IFERROR(INDEX(income_statement!$B:$E,MATCH("Cổ đông của Công ty mẹ",income_statement!$A:$A,0),MATCH(B$39,income_statement!$B$1:$E$1,0)),"")</f>
        <v/>
      </c>
      <c r="C55" s="18">
        <f>IFERROR(INDEX(income_statement!$B:$E,MATCH("Cổ đông của Công ty mẹ",income_statement!$A:$A,0),MATCH(C$39,income_statement!$B$1:$E$1,0)),"")</f>
        <v/>
      </c>
      <c r="D55" s="18">
        <f>IFERROR(INDEX(income_statement!$B:$E,MATCH("Cổ đông của Công ty mẹ",income_statement!$A:$A,0),MATCH(D$39,income_statement!$B$1:$E$1,0)),"")</f>
        <v/>
      </c>
      <c r="E55" s="18">
        <f>IFERROR(INDEX(income_statement!$B:$E,MATCH("Cổ đông của Công ty mẹ",income_statement!$A:$A,0),MATCH(E$39,income_statement!$B$1:$E$1,0)),"")</f>
        <v/>
      </c>
    </row>
    <row r="56">
      <c r="A56" s="3" t="inlineStr">
        <is>
          <t>Phải thu khách hàng</t>
        </is>
      </c>
      <c r="B56" s="14" t="inlineStr">
        <is>
          <t>n/a</t>
        </is>
      </c>
      <c r="C56" s="14" t="inlineStr">
        <is>
          <t>n/a</t>
        </is>
      </c>
      <c r="D56" s="14" t="inlineStr">
        <is>
          <t>n/a</t>
        </is>
      </c>
      <c r="E56" s="14" t="inlineStr">
        <is>
          <t>n/a</t>
        </is>
      </c>
    </row>
    <row r="57">
      <c r="A57" s="3" t="inlineStr">
        <is>
          <t>Phải trả người bán</t>
        </is>
      </c>
      <c r="B57" s="14" t="inlineStr">
        <is>
          <t>n/a</t>
        </is>
      </c>
      <c r="C57" s="14" t="inlineStr">
        <is>
          <t>n/a</t>
        </is>
      </c>
      <c r="D57" s="14" t="inlineStr">
        <is>
          <t>n/a</t>
        </is>
      </c>
      <c r="E57" s="14" t="inlineStr">
        <is>
          <t>n/a</t>
        </is>
      </c>
    </row>
    <row r="58">
      <c r="A58" s="3" t="inlineStr">
        <is>
          <t>Hàng tồn kho, ròng</t>
        </is>
      </c>
      <c r="B58" s="14" t="inlineStr">
        <is>
          <t>n/a</t>
        </is>
      </c>
      <c r="C58" s="14" t="inlineStr">
        <is>
          <t>n/a</t>
        </is>
      </c>
      <c r="D58" s="14" t="inlineStr">
        <is>
          <t>n/a</t>
        </is>
      </c>
      <c r="E58" s="14" t="inlineStr">
        <is>
          <t>n/a</t>
        </is>
      </c>
    </row>
    <row r="59">
      <c r="A59" s="3" t="inlineStr">
        <is>
          <t>Tiền mặt, vàng bạc, đá quý</t>
        </is>
      </c>
      <c r="B59" s="18">
        <f>IFERROR(INDEX(balance_sheet!$B:$E,MATCH("Tiền mặt, vàng bạc, đá quý",balance_sheet!$A:$A,0),MATCH(B$39,balance_sheet!$B$1:$E$1,0)),"")</f>
        <v/>
      </c>
      <c r="C59" s="18">
        <f>IFERROR(INDEX(balance_sheet!$B:$E,MATCH("Tiền mặt, vàng bạc, đá quý",balance_sheet!$A:$A,0),MATCH(C$39,balance_sheet!$B$1:$E$1,0)),"")</f>
        <v/>
      </c>
      <c r="D59" s="18">
        <f>IFERROR(INDEX(balance_sheet!$B:$E,MATCH("Tiền mặt, vàng bạc, đá quý",balance_sheet!$A:$A,0),MATCH(D$39,balance_sheet!$B$1:$E$1,0)),"")</f>
        <v/>
      </c>
      <c r="E59" s="18">
        <f>IFERROR(INDEX(balance_sheet!$B:$E,MATCH("Tiền mặt, vàng bạc, đá quý",balance_sheet!$A:$A,0),MATCH(E$39,balance_sheet!$B$1:$E$1,0)),"")</f>
        <v/>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2026-08-18T09:49:20Z</dcterms:created>
  <dcterms:modified xsi:type="dcterms:W3CDTF">2026-08-18T09:49:20Z</dcterms:modified>
</cp:coreProperties>
</file>
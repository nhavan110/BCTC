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lance_sheet" sheetId="1" state="visible" r:id="rId1"/>
    <sheet name="income_statement" sheetId="2" state="visible" r:id="rId2"/>
    <sheet name="cash_flow" sheetId="3" state="visible" r:id="rId3"/>
    <sheet name="chi_so_tai_chinh" sheetId="4" state="visible" r:id="rId4"/>
  </sheets>
  <definedNames/>
  <calcPr calcId="124519" fullCalcOnLoad="1"/>
</workbook>
</file>

<file path=xl/styles.xml><?xml version="1.0" encoding="utf-8"?>
<styleSheet xmlns="http://schemas.openxmlformats.org/spreadsheetml/2006/main">
  <numFmts count="4">
    <numFmt numFmtId="164" formatCode="#,##0;(#,##0);&quot;-&quot;"/>
    <numFmt numFmtId="165" formatCode="0.0%"/>
    <numFmt numFmtId="166" formatCode="0.00&quot;x&quot;"/>
    <numFmt numFmtId="167" formatCode="#,##0 &quot;ngày&quot;"/>
  </numFmts>
  <fonts count="14">
    <font>
      <name val="Calibri"/>
      <family val="2"/>
      <color theme="1"/>
      <sz val="11"/>
      <scheme val="minor"/>
    </font>
    <font>
      <b val="1"/>
    </font>
    <font>
      <name val="Tahoma"/>
      <b val="1"/>
      <color rgb="00FFFFFF"/>
    </font>
    <font>
      <name val="Tahoma"/>
      <sz val="10"/>
    </font>
    <font>
      <name val="Tahoma"/>
      <b val="1"/>
      <color rgb="00FFFFFF"/>
      <sz val="14"/>
    </font>
    <font>
      <name val="Tahoma"/>
      <i val="1"/>
      <color rgb="00808080"/>
      <sz val="9"/>
    </font>
    <font>
      <name val="Tahoma"/>
      <b val="1"/>
      <sz val="11"/>
    </font>
    <font>
      <name val="Calibri"/>
      <charset val="1"/>
      <family val="2"/>
      <color theme="1"/>
      <sz val="11"/>
    </font>
    <font>
      <name val="Tahoma"/>
      <b val="1"/>
    </font>
    <font>
      <name val="Tahoma"/>
      <b val="1"/>
      <i val="1"/>
      <sz val="10"/>
    </font>
    <font>
      <name val="Tahoma"/>
      <b val="1"/>
      <sz val="10"/>
    </font>
    <font>
      <name val="Tahoma"/>
      <i val="1"/>
      <color rgb="00808080"/>
      <sz val="10"/>
    </font>
    <font>
      <name val="Tahoma"/>
      <color rgb="00000000"/>
      <sz val="10"/>
    </font>
    <font>
      <name val="Tahoma"/>
      <color rgb="00008000"/>
      <sz val="10"/>
    </font>
  </fonts>
  <fills count="4">
    <fill>
      <patternFill/>
    </fill>
    <fill>
      <patternFill patternType="gray125"/>
    </fill>
    <fill>
      <patternFill patternType="solid">
        <fgColor rgb="001F4E78"/>
      </patternFill>
    </fill>
    <fill>
      <patternFill patternType="solid">
        <fgColor rgb="00D9E1F2"/>
      </patternFill>
    </fill>
  </fills>
  <borders count="3">
    <border>
      <left/>
      <right/>
      <top/>
      <bottom/>
      <diagonal/>
    </border>
    <border>
      <left style="thin"/>
      <right style="thin"/>
      <top style="thin"/>
      <bottom style="thin"/>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2" fillId="2" borderId="2" applyAlignment="1" pivotButton="0" quotePrefix="0" xfId="0">
      <alignment horizontal="left"/>
    </xf>
    <xf numFmtId="0" fontId="2" fillId="2" borderId="2" applyAlignment="1" pivotButton="0" quotePrefix="0" xfId="0">
      <alignment horizontal="center"/>
    </xf>
    <xf numFmtId="0" fontId="3" fillId="0" borderId="2" pivotButton="0" quotePrefix="0" xfId="0"/>
    <xf numFmtId="164" fontId="3" fillId="0" borderId="2" pivotButton="0" quotePrefix="0" xfId="0"/>
    <xf numFmtId="0" fontId="4" fillId="2" borderId="0" pivotButton="0" quotePrefix="0" xfId="0"/>
    <xf numFmtId="0" fontId="5" fillId="0" borderId="0" applyAlignment="1" pivotButton="0" quotePrefix="0" xfId="0">
      <alignment vertical="top" wrapText="1"/>
    </xf>
    <xf numFmtId="0" fontId="6" fillId="3" borderId="0" pivotButton="0" quotePrefix="0" xfId="0"/>
    <xf numFmtId="0" fontId="7" fillId="3" borderId="0" pivotButton="0" quotePrefix="0" xfId="0"/>
    <xf numFmtId="0" fontId="8" fillId="0" borderId="2" pivotButton="0" quotePrefix="0" xfId="0"/>
    <xf numFmtId="1" fontId="8" fillId="0" borderId="2" applyAlignment="1" pivotButton="0" quotePrefix="0" xfId="0">
      <alignment horizontal="center"/>
    </xf>
    <xf numFmtId="0" fontId="9" fillId="0" borderId="0" pivotButton="0" quotePrefix="0" xfId="0"/>
    <xf numFmtId="0" fontId="10" fillId="0" borderId="2" pivotButton="0" quotePrefix="0" xfId="0"/>
    <xf numFmtId="0" fontId="11" fillId="0" borderId="2" pivotButton="0" quotePrefix="0" xfId="0"/>
    <xf numFmtId="165" fontId="12" fillId="0" borderId="2" pivotButton="0" quotePrefix="0" xfId="0"/>
    <xf numFmtId="166" fontId="12" fillId="0" borderId="2" pivotButton="0" quotePrefix="0" xfId="0"/>
    <xf numFmtId="167" fontId="12" fillId="0" borderId="2" pivotButton="0" quotePrefix="0" xfId="0"/>
    <xf numFmtId="164" fontId="13"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3"/>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s>
  <sheetData>
    <row r="1">
      <c r="A1" s="1" t="inlineStr">
        <is>
          <t>item</t>
        </is>
      </c>
      <c r="B1" s="2" t="inlineStr">
        <is>
          <t>2025</t>
        </is>
      </c>
      <c r="C1" s="2" t="inlineStr">
        <is>
          <t>2024</t>
        </is>
      </c>
      <c r="D1" s="2" t="inlineStr">
        <is>
          <t>2023</t>
        </is>
      </c>
      <c r="E1" s="2" t="inlineStr">
        <is>
          <t>2022</t>
        </is>
      </c>
    </row>
    <row r="2">
      <c r="A2" s="3" t="inlineStr">
        <is>
          <t>TÀI SẢN NGẮN HẠN</t>
        </is>
      </c>
      <c r="B2" s="4" t="n">
        <v>77201650782966</v>
      </c>
      <c r="C2" s="4" t="n">
        <v>65836422620040</v>
      </c>
      <c r="D2" s="4" t="n">
        <v>51950337976047</v>
      </c>
      <c r="E2" s="4" t="n">
        <v>44577607228189</v>
      </c>
    </row>
    <row r="3">
      <c r="A3" s="3" t="inlineStr">
        <is>
          <t>Tiền và tương đương tiền</t>
        </is>
      </c>
      <c r="B3" s="4" t="n">
        <v>4999925717187</v>
      </c>
      <c r="C3" s="4" t="n">
        <v>4897331540730</v>
      </c>
      <c r="D3" s="4" t="n">
        <v>5365704857172</v>
      </c>
      <c r="E3" s="4" t="n">
        <v>5061020547422</v>
      </c>
    </row>
    <row r="4">
      <c r="A4" s="3" t="inlineStr">
        <is>
          <t>Tiền</t>
        </is>
      </c>
      <c r="B4" s="4" t="n">
        <v>4960375717187</v>
      </c>
      <c r="C4" s="4" t="n">
        <v>4697331540730</v>
      </c>
      <c r="D4" s="4" t="n">
        <v>4795636583222</v>
      </c>
      <c r="E4" s="4" t="n">
        <v>3846020547422</v>
      </c>
    </row>
    <row r="5">
      <c r="A5" s="3" t="inlineStr">
        <is>
          <t>Các khoản tương đương tiền</t>
        </is>
      </c>
      <c r="B5" s="4" t="n">
        <v>39550000000</v>
      </c>
      <c r="C5" s="4" t="n">
        <v>200000000000</v>
      </c>
      <c r="D5" s="4" t="n">
        <v>570068273950</v>
      </c>
      <c r="E5" s="4" t="n">
        <v>1215000000000</v>
      </c>
    </row>
    <row r="6">
      <c r="A6" s="3" t="inlineStr">
        <is>
          <t>Đầu tư ngắn hạn</t>
        </is>
      </c>
      <c r="B6" s="4" t="n">
        <v>0</v>
      </c>
      <c r="C6" s="4" t="n">
        <v>0</v>
      </c>
      <c r="D6" s="4" t="n">
        <v>0</v>
      </c>
      <c r="E6" s="4" t="n">
        <v>0</v>
      </c>
    </row>
    <row r="7">
      <c r="A7" s="3" t="inlineStr">
        <is>
          <t>Đầu tư ngắn hạn</t>
        </is>
      </c>
      <c r="B7" s="4" t="n">
        <v>0</v>
      </c>
      <c r="C7" s="4" t="n">
        <v>0</v>
      </c>
      <c r="D7" s="4" t="n">
        <v>0</v>
      </c>
      <c r="E7" s="4" t="n">
        <v>0</v>
      </c>
    </row>
    <row r="8">
      <c r="A8" s="3" t="inlineStr">
        <is>
          <t>Dự phòng giảm giá</t>
        </is>
      </c>
      <c r="B8" s="4" t="n">
        <v>0</v>
      </c>
      <c r="C8" s="4" t="n">
        <v>0</v>
      </c>
      <c r="D8" s="4" t="n">
        <v>0</v>
      </c>
      <c r="E8" s="4" t="n">
        <v>0</v>
      </c>
    </row>
    <row r="9">
      <c r="A9" s="3" t="inlineStr">
        <is>
          <t>Các khoản phải thu</t>
        </is>
      </c>
      <c r="B9" s="4" t="n">
        <v>10182835978469</v>
      </c>
      <c r="C9" s="4" t="n">
        <v>8825896224771</v>
      </c>
      <c r="D9" s="4" t="n">
        <v>5158853337785</v>
      </c>
      <c r="E9" s="4" t="n">
        <v>3000817466182</v>
      </c>
    </row>
    <row r="10">
      <c r="A10" s="3" t="inlineStr">
        <is>
          <t>Phải thu khách hàng</t>
        </is>
      </c>
      <c r="B10" s="4" t="n">
        <v>253358838280</v>
      </c>
      <c r="C10" s="4" t="n">
        <v>241405396887</v>
      </c>
      <c r="D10" s="4" t="n">
        <v>308474343927</v>
      </c>
      <c r="E10" s="4" t="n">
        <v>178061365251</v>
      </c>
    </row>
    <row r="11">
      <c r="A11" s="3" t="inlineStr">
        <is>
          <t>Trả trước người bán</t>
        </is>
      </c>
      <c r="B11" s="4" t="n">
        <v>141627187798</v>
      </c>
      <c r="C11" s="4" t="n">
        <v>115888383111</v>
      </c>
      <c r="D11" s="4" t="n">
        <v>95981093251</v>
      </c>
      <c r="E11" s="4" t="n">
        <v>403669438496</v>
      </c>
    </row>
    <row r="12">
      <c r="A12" s="3" t="inlineStr">
        <is>
          <t>Phải thu nội bộ</t>
        </is>
      </c>
      <c r="B12" s="4" t="n">
        <v>0</v>
      </c>
      <c r="C12" s="4" t="n">
        <v>0</v>
      </c>
      <c r="D12" s="4" t="n">
        <v>0</v>
      </c>
      <c r="E12" s="4" t="n">
        <v>0</v>
      </c>
    </row>
    <row r="13">
      <c r="A13" s="3" t="inlineStr">
        <is>
          <t>Phải thu hợp đồng xây dựng đang thực hiện</t>
        </is>
      </c>
      <c r="B13" s="4" t="n">
        <v>0</v>
      </c>
      <c r="C13" s="4" t="n">
        <v>0</v>
      </c>
      <c r="D13" s="4" t="n">
        <v>0</v>
      </c>
      <c r="E13" s="4" t="n">
        <v>0</v>
      </c>
    </row>
    <row r="14">
      <c r="A14" s="3" t="inlineStr">
        <is>
          <t>Phải thu khác</t>
        </is>
      </c>
      <c r="B14" s="4" t="n">
        <v>2877349952391</v>
      </c>
      <c r="C14" s="4" t="n">
        <v>2430887848672</v>
      </c>
      <c r="D14" s="4" t="n">
        <v>2668480202969</v>
      </c>
      <c r="E14" s="4" t="n">
        <v>2402168964797</v>
      </c>
    </row>
    <row r="15">
      <c r="A15" s="3" t="inlineStr">
        <is>
          <t>Dự phòng nợ khó đòi</t>
        </is>
      </c>
      <c r="B15" s="4" t="n">
        <v>0</v>
      </c>
      <c r="C15" s="4" t="n">
        <v>0</v>
      </c>
      <c r="D15" s="4" t="n">
        <v>0</v>
      </c>
      <c r="E15" s="4" t="n">
        <v>0</v>
      </c>
    </row>
    <row r="16">
      <c r="A16" s="3" t="inlineStr">
        <is>
          <t>Hàng tồn kho, ròng</t>
        </is>
      </c>
      <c r="B16" s="4" t="n">
        <v>27266851974258</v>
      </c>
      <c r="C16" s="4" t="n">
        <v>22244676326705</v>
      </c>
      <c r="D16" s="4" t="n">
        <v>21824235626176</v>
      </c>
      <c r="E16" s="4" t="n">
        <v>25696077735282</v>
      </c>
    </row>
    <row r="17">
      <c r="A17" s="3" t="inlineStr">
        <is>
          <t>Hàng tồn kho</t>
        </is>
      </c>
      <c r="B17" s="4" t="n">
        <v>27876446129267</v>
      </c>
      <c r="C17" s="4" t="n">
        <v>22667774012643</v>
      </c>
      <c r="D17" s="4" t="n">
        <v>22028684523096</v>
      </c>
      <c r="E17" s="4" t="n">
        <v>26058131396686</v>
      </c>
    </row>
    <row r="18">
      <c r="A18" s="3" t="inlineStr">
        <is>
          <t>Dự phòng giảm giá hàng tồn kho</t>
        </is>
      </c>
      <c r="B18" s="4" t="n">
        <v>-609594155009</v>
      </c>
      <c r="C18" s="4" t="n">
        <v>-423097685938</v>
      </c>
      <c r="D18" s="4" t="n">
        <v>-204448896920</v>
      </c>
      <c r="E18" s="4" t="n">
        <v>-362053661404</v>
      </c>
    </row>
    <row r="19">
      <c r="A19" s="3" t="inlineStr">
        <is>
          <t>Tài sản lưu động khác</t>
        </is>
      </c>
      <c r="B19" s="4" t="n">
        <v>0</v>
      </c>
      <c r="C19" s="4" t="n">
        <v>0</v>
      </c>
      <c r="D19" s="4" t="n">
        <v>0</v>
      </c>
      <c r="E19" s="4" t="n">
        <v>0</v>
      </c>
    </row>
    <row r="20">
      <c r="A20" s="3" t="inlineStr">
        <is>
          <t>Chi phí trả trước ngắn hạn</t>
        </is>
      </c>
      <c r="B20" s="4" t="n">
        <v>518599409258</v>
      </c>
      <c r="C20" s="4" t="n">
        <v>390391360669</v>
      </c>
      <c r="D20" s="4" t="n">
        <v>481240961302</v>
      </c>
      <c r="E20" s="4" t="n">
        <v>565060213333</v>
      </c>
    </row>
    <row r="21">
      <c r="A21" s="3" t="inlineStr">
        <is>
          <t>Thuế GTGT được khấu trừ</t>
        </is>
      </c>
      <c r="B21" s="4" t="n">
        <v>314874106182</v>
      </c>
      <c r="C21" s="4" t="n">
        <v>121055116270</v>
      </c>
      <c r="D21" s="4" t="n">
        <v>159821188825</v>
      </c>
      <c r="E21" s="4" t="n">
        <v>156743753740</v>
      </c>
    </row>
    <row r="22">
      <c r="A22" s="3" t="inlineStr">
        <is>
          <t>Phải thu thuế khác</t>
        </is>
      </c>
      <c r="B22" s="4" t="n">
        <v>44293494912</v>
      </c>
      <c r="C22" s="4" t="n">
        <v>32630294575</v>
      </c>
      <c r="D22" s="4" t="n">
        <v>23473930964</v>
      </c>
      <c r="E22" s="4" t="n">
        <v>28637906590</v>
      </c>
    </row>
    <row r="23">
      <c r="A23" s="3" t="inlineStr">
        <is>
          <t>Tài sản lưu động khác</t>
        </is>
      </c>
      <c r="B23" s="4" t="n">
        <v>0</v>
      </c>
      <c r="C23" s="4" t="n">
        <v>0</v>
      </c>
      <c r="D23" s="4" t="n">
        <v>0</v>
      </c>
      <c r="E23" s="4" t="n">
        <v>0</v>
      </c>
    </row>
    <row r="24">
      <c r="A24" s="3" t="inlineStr">
        <is>
          <t>TÀI SẢN DÀI HẠN</t>
        </is>
      </c>
      <c r="B24" s="4" t="n">
        <v>6743968829068</v>
      </c>
      <c r="C24" s="4" t="n">
        <v>4601353101564</v>
      </c>
      <c r="D24" s="4" t="n">
        <v>8160899236677</v>
      </c>
      <c r="E24" s="4" t="n">
        <v>11256488385860</v>
      </c>
    </row>
    <row r="25">
      <c r="A25" s="3" t="inlineStr">
        <is>
          <t>Phải thu dài hạn</t>
        </is>
      </c>
      <c r="B25" s="4" t="n">
        <v>403823784845</v>
      </c>
      <c r="C25" s="4" t="n">
        <v>389707802472</v>
      </c>
      <c r="D25" s="4" t="n">
        <v>457569986630</v>
      </c>
      <c r="E25" s="4" t="n">
        <v>503486573563</v>
      </c>
    </row>
    <row r="26">
      <c r="A26" s="3" t="inlineStr">
        <is>
          <t>Phải thu khách hàng dài hạn</t>
        </is>
      </c>
      <c r="B26" s="4" t="n">
        <v>0</v>
      </c>
      <c r="C26" s="4" t="n">
        <v>0</v>
      </c>
      <c r="D26" s="4" t="n">
        <v>0</v>
      </c>
      <c r="E26" s="4" t="n">
        <v>0</v>
      </c>
    </row>
    <row r="27">
      <c r="A27" s="3" t="inlineStr">
        <is>
          <t>Phải thu nội bộ dài hạn</t>
        </is>
      </c>
      <c r="B27" s="4" t="n">
        <v>0</v>
      </c>
      <c r="C27" s="4" t="n">
        <v>0</v>
      </c>
      <c r="D27" s="4" t="n">
        <v>0</v>
      </c>
      <c r="E27" s="4" t="n">
        <v>0</v>
      </c>
    </row>
    <row r="28">
      <c r="A28" s="3" t="inlineStr">
        <is>
          <t>Phải thu dài hạn khác</t>
        </is>
      </c>
      <c r="B28" s="4" t="n">
        <v>403823784845</v>
      </c>
      <c r="C28" s="4" t="n">
        <v>389707802472</v>
      </c>
      <c r="D28" s="4" t="n">
        <v>448325013301</v>
      </c>
      <c r="E28" s="4" t="n">
        <v>493741850234</v>
      </c>
    </row>
    <row r="29">
      <c r="A29" s="3" t="inlineStr">
        <is>
          <t>Dự phòng phải thu dài hạn</t>
        </is>
      </c>
      <c r="B29" s="4" t="n">
        <v>0</v>
      </c>
      <c r="C29" s="4" t="n">
        <v>0</v>
      </c>
      <c r="D29" s="4" t="n">
        <v>0</v>
      </c>
      <c r="E29" s="4" t="n">
        <v>0</v>
      </c>
    </row>
    <row r="30">
      <c r="A30" s="3" t="inlineStr">
        <is>
          <t>Tài sản cố định</t>
        </is>
      </c>
      <c r="B30" s="4" t="n">
        <v>2598189217583</v>
      </c>
      <c r="C30" s="4" t="n">
        <v>3586628664045</v>
      </c>
      <c r="D30" s="4" t="n">
        <v>6500135608914</v>
      </c>
      <c r="E30" s="4" t="n">
        <v>9727502911440</v>
      </c>
    </row>
    <row r="31">
      <c r="A31" s="3" t="inlineStr">
        <is>
          <t>GTCL TSCĐ hữu hình</t>
        </is>
      </c>
      <c r="B31" s="4" t="n">
        <v>2540074321107</v>
      </c>
      <c r="C31" s="4" t="n">
        <v>3523161097906</v>
      </c>
      <c r="D31" s="4" t="n">
        <v>6431315373113</v>
      </c>
      <c r="E31" s="4" t="n">
        <v>9653330005976</v>
      </c>
    </row>
    <row r="32">
      <c r="A32" s="3" t="inlineStr">
        <is>
          <t>Nguyên giá TSCĐ hữu hình</t>
        </is>
      </c>
      <c r="B32" s="4" t="n">
        <v>19478200234864</v>
      </c>
      <c r="C32" s="4" t="n">
        <v>19174626383752</v>
      </c>
      <c r="D32" s="4" t="n">
        <v>20139282722977</v>
      </c>
      <c r="E32" s="4" t="n">
        <v>20841513609195</v>
      </c>
    </row>
    <row r="33">
      <c r="A33" s="3" t="inlineStr">
        <is>
          <t>Khấu hao lũy kế TSCĐ hữu hình</t>
        </is>
      </c>
      <c r="B33" s="4" t="n">
        <v>-16938125913757</v>
      </c>
      <c r="C33" s="4" t="n">
        <v>-15651465285846</v>
      </c>
      <c r="D33" s="4" t="n">
        <v>-13707967349864</v>
      </c>
      <c r="E33" s="4" t="n">
        <v>-11188183603219</v>
      </c>
    </row>
    <row r="34">
      <c r="A34" s="3" t="inlineStr">
        <is>
          <t>GTCL tài sản thuê tài chính</t>
        </is>
      </c>
      <c r="B34" s="4" t="n">
        <v>0</v>
      </c>
      <c r="C34" s="4" t="n">
        <v>0</v>
      </c>
      <c r="D34" s="4" t="n">
        <v>0</v>
      </c>
      <c r="E34" s="4" t="n">
        <v>0</v>
      </c>
    </row>
    <row r="35">
      <c r="A35" s="3" t="inlineStr">
        <is>
          <t>Nguyên giá tài sản thuê tài chính</t>
        </is>
      </c>
      <c r="B35" s="4" t="n">
        <v>0</v>
      </c>
      <c r="C35" s="4" t="n">
        <v>0</v>
      </c>
      <c r="D35" s="4" t="n">
        <v>0</v>
      </c>
      <c r="E35" s="4" t="n">
        <v>0</v>
      </c>
    </row>
    <row r="36">
      <c r="A36" s="3" t="inlineStr">
        <is>
          <t>Khấu hao lũy kế tài sản thuê tài chính</t>
        </is>
      </c>
      <c r="B36" s="4" t="n">
        <v>0</v>
      </c>
      <c r="C36" s="4" t="n">
        <v>0</v>
      </c>
      <c r="D36" s="4" t="n">
        <v>0</v>
      </c>
      <c r="E36" s="4" t="n">
        <v>0</v>
      </c>
    </row>
    <row r="37">
      <c r="A37" s="3" t="inlineStr">
        <is>
          <t>GTCL tài sản cố định vô hình</t>
        </is>
      </c>
      <c r="B37" s="4" t="n">
        <v>58114896476</v>
      </c>
      <c r="C37" s="4" t="n">
        <v>63467566139</v>
      </c>
      <c r="D37" s="4" t="n">
        <v>68820235801</v>
      </c>
      <c r="E37" s="4" t="n">
        <v>74172905464</v>
      </c>
    </row>
    <row r="38">
      <c r="A38" s="3" t="inlineStr">
        <is>
          <t>Nguyên giá TSCĐ vô hình</t>
        </is>
      </c>
      <c r="B38" s="4" t="n">
        <v>90297772827</v>
      </c>
      <c r="C38" s="4" t="n">
        <v>90297772827</v>
      </c>
      <c r="D38" s="4" t="n">
        <v>90297772827</v>
      </c>
      <c r="E38" s="4" t="n">
        <v>90297772827</v>
      </c>
    </row>
    <row r="39">
      <c r="A39" s="3" t="inlineStr">
        <is>
          <t>Khấu hao lũy kế TSCĐ vô hình</t>
        </is>
      </c>
      <c r="B39" s="4" t="n">
        <v>-32182876351</v>
      </c>
      <c r="C39" s="4" t="n">
        <v>-26830206688</v>
      </c>
      <c r="D39" s="4" t="n">
        <v>-21477537026</v>
      </c>
      <c r="E39" s="4" t="n">
        <v>-16124867363</v>
      </c>
    </row>
    <row r="40">
      <c r="A40" s="3" t="inlineStr">
        <is>
          <t>Xây dựng cơ bản đang dang dở (trước 2015)</t>
        </is>
      </c>
      <c r="B40" s="4" t="n">
        <v>0</v>
      </c>
      <c r="C40" s="4" t="n">
        <v>0</v>
      </c>
      <c r="D40" s="4" t="n">
        <v>0</v>
      </c>
      <c r="E40" s="4" t="n">
        <v>0</v>
      </c>
    </row>
    <row r="41">
      <c r="A41" s="3" t="inlineStr">
        <is>
          <t>Giá trị ròng tài sản đầu tư</t>
        </is>
      </c>
      <c r="B41" s="4" t="n">
        <v>0</v>
      </c>
      <c r="C41" s="4" t="n">
        <v>0</v>
      </c>
      <c r="D41" s="4" t="n">
        <v>0</v>
      </c>
      <c r="E41" s="4" t="n">
        <v>0</v>
      </c>
    </row>
    <row r="42">
      <c r="A42" s="3" t="inlineStr">
        <is>
          <t>Nguyên giá tài sản đầu tư</t>
        </is>
      </c>
      <c r="B42" s="4" t="n">
        <v>0</v>
      </c>
      <c r="C42" s="4" t="n">
        <v>0</v>
      </c>
      <c r="D42" s="4" t="n">
        <v>0</v>
      </c>
      <c r="E42" s="4" t="n">
        <v>0</v>
      </c>
    </row>
    <row r="43">
      <c r="A43" s="3" t="inlineStr">
        <is>
          <t>Khấu hao lũy kế tài sản đầu tư</t>
        </is>
      </c>
      <c r="B43" s="4" t="n">
        <v>0</v>
      </c>
      <c r="C43" s="4" t="n">
        <v>0</v>
      </c>
      <c r="D43" s="4" t="n">
        <v>0</v>
      </c>
      <c r="E43" s="4" t="n">
        <v>0</v>
      </c>
    </row>
    <row r="44">
      <c r="A44" s="3" t="inlineStr">
        <is>
          <t>Đầu tư dài hạn</t>
        </is>
      </c>
      <c r="B44" s="4" t="n">
        <v>3136315564517</v>
      </c>
      <c r="C44" s="4" t="n">
        <v>242035797830</v>
      </c>
      <c r="D44" s="4" t="n">
        <v>746632252729</v>
      </c>
      <c r="E44" s="4" t="n">
        <v>231034840000</v>
      </c>
    </row>
    <row r="45">
      <c r="A45" s="3" t="inlineStr">
        <is>
          <t>Đầu tư vào các công ty con</t>
        </is>
      </c>
      <c r="B45" s="4" t="n">
        <v>0</v>
      </c>
      <c r="C45" s="4" t="n">
        <v>0</v>
      </c>
      <c r="D45" s="4" t="n">
        <v>0</v>
      </c>
      <c r="E45" s="4" t="n">
        <v>0</v>
      </c>
    </row>
    <row r="46">
      <c r="A46" s="3" t="inlineStr">
        <is>
          <t>Đầu tư vào các công ty liên kết</t>
        </is>
      </c>
      <c r="B46" s="4" t="n">
        <v>371159064517</v>
      </c>
      <c r="C46" s="4" t="n">
        <v>242035797830</v>
      </c>
      <c r="D46" s="4" t="n">
        <v>286632252729</v>
      </c>
      <c r="E46" s="4" t="n">
        <v>181034840000</v>
      </c>
    </row>
    <row r="47">
      <c r="A47" s="3" t="inlineStr">
        <is>
          <t>Đầu tư dài hạn khác</t>
        </is>
      </c>
      <c r="B47" s="4" t="n">
        <v>0</v>
      </c>
      <c r="C47" s="4" t="n">
        <v>0</v>
      </c>
      <c r="D47" s="4" t="n">
        <v>0</v>
      </c>
      <c r="E47" s="4" t="n">
        <v>0</v>
      </c>
    </row>
    <row r="48">
      <c r="A48" s="3" t="inlineStr">
        <is>
          <t>Dự phòng giảm giá đầu tư dài hạn</t>
        </is>
      </c>
      <c r="B48" s="4" t="n">
        <v>0</v>
      </c>
      <c r="C48" s="4" t="n">
        <v>0</v>
      </c>
      <c r="D48" s="4" t="n">
        <v>0</v>
      </c>
      <c r="E48" s="4" t="n">
        <v>0</v>
      </c>
    </row>
    <row r="49">
      <c r="A49" s="3" t="inlineStr">
        <is>
          <t>Lợi thế thương mại (trước 2015)</t>
        </is>
      </c>
      <c r="B49" s="4" t="n">
        <v>0</v>
      </c>
      <c r="C49" s="4" t="n">
        <v>0</v>
      </c>
      <c r="D49" s="4" t="n">
        <v>0</v>
      </c>
      <c r="E49" s="4" t="n">
        <v>0</v>
      </c>
    </row>
    <row r="50">
      <c r="A50" s="3" t="inlineStr">
        <is>
          <t>Tài sản dài hạn khác</t>
        </is>
      </c>
      <c r="B50" s="4" t="n">
        <v>514740794251</v>
      </c>
      <c r="C50" s="4" t="n">
        <v>358454413877</v>
      </c>
      <c r="D50" s="4" t="n">
        <v>452067531470</v>
      </c>
      <c r="E50" s="4" t="n">
        <v>670590081979</v>
      </c>
    </row>
    <row r="51">
      <c r="A51" s="3" t="inlineStr">
        <is>
          <t>Trả trước dài hạn</t>
        </is>
      </c>
      <c r="B51" s="4" t="n">
        <v>63643388286</v>
      </c>
      <c r="C51" s="4" t="n">
        <v>68471833530</v>
      </c>
      <c r="D51" s="4" t="n">
        <v>105411103799</v>
      </c>
      <c r="E51" s="4" t="n">
        <v>175104437161</v>
      </c>
    </row>
    <row r="52">
      <c r="A52" s="3" t="inlineStr">
        <is>
          <t>Thuế thu nhập hoãn lại</t>
        </is>
      </c>
      <c r="B52" s="4" t="n">
        <v>0</v>
      </c>
      <c r="C52" s="4" t="n">
        <v>0</v>
      </c>
      <c r="D52" s="4" t="n">
        <v>1168691414</v>
      </c>
      <c r="E52" s="4" t="n">
        <v>0</v>
      </c>
    </row>
    <row r="53">
      <c r="A53" s="3" t="inlineStr">
        <is>
          <t>Các tài sản dài hạn khác</t>
        </is>
      </c>
      <c r="B53" s="4" t="n">
        <v>0</v>
      </c>
      <c r="C53" s="4" t="n">
        <v>0</v>
      </c>
      <c r="D53" s="4" t="n">
        <v>0</v>
      </c>
      <c r="E53" s="4" t="n">
        <v>0</v>
      </c>
    </row>
    <row r="54">
      <c r="A54" s="3" t="inlineStr">
        <is>
          <t>TỔNG CỘNG TÀI SẢN</t>
        </is>
      </c>
      <c r="B54" s="4" t="n">
        <v>83945619612034</v>
      </c>
      <c r="C54" s="4" t="n">
        <v>70437775721604</v>
      </c>
      <c r="D54" s="4" t="n">
        <v>60111237212724</v>
      </c>
      <c r="E54" s="4" t="n">
        <v>55834095614049</v>
      </c>
    </row>
    <row r="55">
      <c r="A55" s="3" t="inlineStr">
        <is>
          <t>NỢ PHẢI TRẢ</t>
        </is>
      </c>
      <c r="B55" s="4" t="n">
        <v>50769502237457</v>
      </c>
      <c r="C55" s="4" t="n">
        <v>42316198897749</v>
      </c>
      <c r="D55" s="4" t="n">
        <v>36751679245386</v>
      </c>
      <c r="E55" s="4" t="n">
        <v>31901514096473</v>
      </c>
    </row>
    <row r="56">
      <c r="A56" s="3" t="inlineStr">
        <is>
          <t>Nợ ngắn hạn</t>
        </is>
      </c>
      <c r="B56" s="4" t="n">
        <v>50769502237457</v>
      </c>
      <c r="C56" s="4" t="n">
        <v>42316198897749</v>
      </c>
      <c r="D56" s="4" t="n">
        <v>30765260553972</v>
      </c>
      <c r="E56" s="4" t="n">
        <v>26000264096473</v>
      </c>
    </row>
    <row r="57">
      <c r="A57" s="3" t="inlineStr">
        <is>
          <t>Vay ngắn hạn</t>
        </is>
      </c>
      <c r="B57" s="4" t="n">
        <v>29930942961668</v>
      </c>
      <c r="C57" s="4" t="n">
        <v>27300246721779</v>
      </c>
      <c r="D57" s="4" t="n">
        <v>19128541817781</v>
      </c>
      <c r="E57" s="4" t="n">
        <v>10688138631456</v>
      </c>
    </row>
    <row r="58">
      <c r="A58" s="3" t="inlineStr">
        <is>
          <t>Phải trả người bán</t>
        </is>
      </c>
      <c r="B58" s="4" t="n">
        <v>13113899672272</v>
      </c>
      <c r="C58" s="4" t="n">
        <v>9179636054558</v>
      </c>
      <c r="D58" s="4" t="n">
        <v>7927069727935</v>
      </c>
      <c r="E58" s="4" t="n">
        <v>8745827331813</v>
      </c>
    </row>
    <row r="59">
      <c r="A59" s="3" t="inlineStr">
        <is>
          <t>Người mua trả tiền trước</t>
        </is>
      </c>
      <c r="B59" s="4" t="n">
        <v>210360719303</v>
      </c>
      <c r="C59" s="4" t="n">
        <v>90966314915</v>
      </c>
      <c r="D59" s="4" t="n">
        <v>88995836420</v>
      </c>
      <c r="E59" s="4" t="n">
        <v>97659957856</v>
      </c>
    </row>
    <row r="60">
      <c r="A60" s="3" t="inlineStr">
        <is>
          <t>Thuế và các khoản phải trả Nhà nước</t>
        </is>
      </c>
      <c r="B60" s="4" t="n">
        <v>899553978698</v>
      </c>
      <c r="C60" s="4" t="n">
        <v>691059561096</v>
      </c>
      <c r="D60" s="4" t="n">
        <v>421532018021</v>
      </c>
      <c r="E60" s="4" t="n">
        <v>764244077963</v>
      </c>
    </row>
    <row r="61">
      <c r="A61" s="3" t="inlineStr">
        <is>
          <t>Phải trả người lao động</t>
        </is>
      </c>
      <c r="B61" s="4" t="n">
        <v>342221054994</v>
      </c>
      <c r="C61" s="4" t="n">
        <v>649999685139</v>
      </c>
      <c r="D61" s="4" t="n">
        <v>438404323414</v>
      </c>
      <c r="E61" s="4" t="n">
        <v>475431939590</v>
      </c>
    </row>
    <row r="62">
      <c r="A62" s="3" t="inlineStr">
        <is>
          <t>Chi phí phải trả</t>
        </is>
      </c>
      <c r="B62" s="4" t="n">
        <v>4474359546479</v>
      </c>
      <c r="C62" s="4" t="n">
        <v>3357568974136</v>
      </c>
      <c r="D62" s="4" t="n">
        <v>1372808265814</v>
      </c>
      <c r="E62" s="4" t="n">
        <v>2180365916409</v>
      </c>
    </row>
    <row r="63">
      <c r="A63" s="3" t="inlineStr">
        <is>
          <t>Phải trả nội bộ</t>
        </is>
      </c>
      <c r="B63" s="4" t="n">
        <v>0</v>
      </c>
      <c r="C63" s="4" t="n">
        <v>0</v>
      </c>
      <c r="D63" s="4" t="n">
        <v>0</v>
      </c>
      <c r="E63" s="4" t="n">
        <v>0</v>
      </c>
    </row>
    <row r="64">
      <c r="A64" s="3" t="inlineStr">
        <is>
          <t>Phải trả về xây dựng cơ bản</t>
        </is>
      </c>
      <c r="B64" s="4" t="n">
        <v>0</v>
      </c>
      <c r="C64" s="4" t="n">
        <v>0</v>
      </c>
      <c r="D64" s="4" t="n">
        <v>0</v>
      </c>
      <c r="E64" s="4" t="n">
        <v>0</v>
      </c>
    </row>
    <row r="65">
      <c r="A65" s="3" t="inlineStr">
        <is>
          <t>Phải trả khác</t>
        </is>
      </c>
      <c r="B65" s="4" t="n">
        <v>1171729524469</v>
      </c>
      <c r="C65" s="4" t="n">
        <v>924674307090</v>
      </c>
      <c r="D65" s="4" t="n">
        <v>1316566967018</v>
      </c>
      <c r="E65" s="4" t="n">
        <v>2971948189708</v>
      </c>
    </row>
    <row r="66">
      <c r="A66" s="3" t="inlineStr">
        <is>
          <t>Dự phòng các khoản phải trả ngắn hạn</t>
        </is>
      </c>
      <c r="B66" s="4" t="n">
        <v>89498061130</v>
      </c>
      <c r="C66" s="4" t="n">
        <v>70239666911</v>
      </c>
      <c r="D66" s="4" t="n">
        <v>67935804338</v>
      </c>
      <c r="E66" s="4" t="n">
        <v>76261107986</v>
      </c>
    </row>
    <row r="67">
      <c r="A67" s="3" t="inlineStr">
        <is>
          <t>Quỹ khen thưởng, phúc lợi</t>
        </is>
      </c>
      <c r="B67" s="4" t="n">
        <v>0</v>
      </c>
      <c r="C67" s="4" t="n">
        <v>0</v>
      </c>
      <c r="D67" s="4" t="n">
        <v>0</v>
      </c>
      <c r="E67" s="4" t="n">
        <v>0</v>
      </c>
    </row>
    <row r="68">
      <c r="A68" s="3" t="inlineStr">
        <is>
          <t>Nợ dài hạn</t>
        </is>
      </c>
      <c r="B68" s="4" t="n">
        <v>0</v>
      </c>
      <c r="C68" s="4" t="n">
        <v>0</v>
      </c>
      <c r="D68" s="4" t="n">
        <v>5986418691414</v>
      </c>
      <c r="E68" s="4" t="n">
        <v>5901250000000</v>
      </c>
    </row>
    <row r="69">
      <c r="A69" s="3" t="inlineStr">
        <is>
          <t>Phải trả nhà cung cấp dài hạn</t>
        </is>
      </c>
      <c r="B69" s="4" t="n">
        <v>0</v>
      </c>
      <c r="C69" s="4" t="n">
        <v>0</v>
      </c>
      <c r="D69" s="4" t="n">
        <v>0</v>
      </c>
      <c r="E69" s="4" t="n">
        <v>0</v>
      </c>
    </row>
    <row r="70">
      <c r="A70" s="3" t="inlineStr">
        <is>
          <t>Phải trả nội bộ dài hạn</t>
        </is>
      </c>
      <c r="B70" s="4" t="n">
        <v>0</v>
      </c>
      <c r="C70" s="4" t="n">
        <v>0</v>
      </c>
      <c r="D70" s="4" t="n">
        <v>0</v>
      </c>
      <c r="E70" s="4" t="n">
        <v>0</v>
      </c>
    </row>
    <row r="71">
      <c r="A71" s="3" t="inlineStr">
        <is>
          <t>Phải trả dài hạn khác</t>
        </is>
      </c>
      <c r="B71" s="4" t="n">
        <v>0</v>
      </c>
      <c r="C71" s="4" t="n">
        <v>0</v>
      </c>
      <c r="D71" s="4" t="n">
        <v>0</v>
      </c>
      <c r="E71" s="4" t="n">
        <v>0</v>
      </c>
    </row>
    <row r="72">
      <c r="A72" s="3" t="inlineStr">
        <is>
          <t>Vay dài hạn</t>
        </is>
      </c>
      <c r="B72" s="4" t="n">
        <v>0</v>
      </c>
      <c r="C72" s="4" t="n">
        <v>0</v>
      </c>
      <c r="D72" s="4" t="n">
        <v>5985250000000</v>
      </c>
      <c r="E72" s="4" t="n">
        <v>5901250000000</v>
      </c>
    </row>
    <row r="73">
      <c r="A73" s="3" t="inlineStr">
        <is>
          <t>Thuế thu nhập hoãn lại</t>
        </is>
      </c>
      <c r="B73" s="4" t="n">
        <v>0</v>
      </c>
      <c r="C73" s="4" t="n">
        <v>0</v>
      </c>
      <c r="D73" s="4" t="n">
        <v>1168691414</v>
      </c>
      <c r="E73" s="4" t="n">
        <v>0</v>
      </c>
    </row>
    <row r="74">
      <c r="A74" s="3" t="inlineStr">
        <is>
          <t>Dự phòng trợ cấp thôi việc</t>
        </is>
      </c>
      <c r="B74" s="4" t="n">
        <v>0</v>
      </c>
      <c r="C74" s="4" t="n">
        <v>0</v>
      </c>
      <c r="D74" s="4" t="n">
        <v>0</v>
      </c>
      <c r="E74" s="4" t="n">
        <v>0</v>
      </c>
    </row>
    <row r="75">
      <c r="A75" s="3" t="inlineStr">
        <is>
          <t>Dự phòng các khoản nợ dài hạn</t>
        </is>
      </c>
      <c r="B75" s="4" t="n">
        <v>0</v>
      </c>
      <c r="C75" s="4" t="n">
        <v>0</v>
      </c>
      <c r="D75" s="4" t="n">
        <v>0</v>
      </c>
      <c r="E75" s="4" t="n">
        <v>0</v>
      </c>
    </row>
    <row r="76">
      <c r="A76" s="3" t="inlineStr">
        <is>
          <t>Doanh thu chưa thực hiện</t>
        </is>
      </c>
      <c r="B76" s="4" t="n">
        <v>0</v>
      </c>
      <c r="C76" s="4" t="n">
        <v>0</v>
      </c>
      <c r="D76" s="4" t="n">
        <v>0</v>
      </c>
      <c r="E76" s="4" t="n">
        <v>0</v>
      </c>
    </row>
    <row r="77">
      <c r="A77" s="3" t="inlineStr">
        <is>
          <t>Quỹ phát triển khoa học công nghệ</t>
        </is>
      </c>
      <c r="B77" s="4" t="n">
        <v>0</v>
      </c>
      <c r="C77" s="4" t="n">
        <v>0</v>
      </c>
      <c r="D77" s="4" t="n">
        <v>0</v>
      </c>
      <c r="E77" s="4" t="n">
        <v>0</v>
      </c>
    </row>
    <row r="78">
      <c r="A78" s="3" t="inlineStr">
        <is>
          <t>Vốn chủ sở hữu</t>
        </is>
      </c>
      <c r="B78" s="4" t="n">
        <v>33176117374577</v>
      </c>
      <c r="C78" s="4" t="n">
        <v>28121576823855</v>
      </c>
      <c r="D78" s="4" t="n">
        <v>23359557967338</v>
      </c>
      <c r="E78" s="4" t="n">
        <v>23932581517576</v>
      </c>
    </row>
    <row r="79">
      <c r="A79" s="3" t="inlineStr">
        <is>
          <t>Vốn và các quỹ</t>
        </is>
      </c>
      <c r="B79" s="4" t="n">
        <v>33176117374577</v>
      </c>
      <c r="C79" s="4" t="n">
        <v>28121576823855</v>
      </c>
      <c r="D79" s="4" t="n">
        <v>23359557967338</v>
      </c>
      <c r="E79" s="4" t="n">
        <v>23932581517576</v>
      </c>
    </row>
    <row r="80">
      <c r="A80" s="3" t="inlineStr">
        <is>
          <t>Vốn góp</t>
        </is>
      </c>
      <c r="B80" s="4" t="n">
        <v>14696931770000</v>
      </c>
      <c r="C80" s="4" t="n">
        <v>14622441770000</v>
      </c>
      <c r="D80" s="4" t="n">
        <v>14633767160000</v>
      </c>
      <c r="E80" s="4" t="n">
        <v>14638792800000</v>
      </c>
    </row>
    <row r="81">
      <c r="A81" s="3" t="inlineStr">
        <is>
          <t>Thặng dư vốn cổ phần</t>
        </is>
      </c>
      <c r="B81" s="4" t="n">
        <v>-152995820060</v>
      </c>
      <c r="C81" s="4" t="n">
        <v>558110430986</v>
      </c>
      <c r="D81" s="4" t="n">
        <v>558110430986</v>
      </c>
      <c r="E81" s="4" t="n">
        <v>558110430986</v>
      </c>
    </row>
    <row r="82">
      <c r="A82" s="3" t="inlineStr">
        <is>
          <t>Vốn khác</t>
        </is>
      </c>
      <c r="B82" s="4" t="n">
        <v>0</v>
      </c>
      <c r="C82" s="4" t="n">
        <v>0</v>
      </c>
      <c r="D82" s="4" t="n">
        <v>0</v>
      </c>
      <c r="E82" s="4" t="n">
        <v>0</v>
      </c>
    </row>
    <row r="83">
      <c r="A83" s="3" t="inlineStr">
        <is>
          <t>Cổ phiếu quỹ</t>
        </is>
      </c>
      <c r="B83" s="4" t="n">
        <v>-12364140000</v>
      </c>
      <c r="C83" s="4" t="n">
        <v>-7599680000</v>
      </c>
      <c r="D83" s="4" t="n">
        <v>-9783280000</v>
      </c>
      <c r="E83" s="4" t="n">
        <v>-5025640000</v>
      </c>
    </row>
    <row r="84">
      <c r="A84" s="3" t="inlineStr">
        <is>
          <t>Chênh lệch đánh giá lại tài sản</t>
        </is>
      </c>
      <c r="B84" s="4" t="n">
        <v>0</v>
      </c>
      <c r="C84" s="4" t="n">
        <v>0</v>
      </c>
      <c r="D84" s="4" t="n">
        <v>0</v>
      </c>
      <c r="E84" s="4" t="n">
        <v>0</v>
      </c>
    </row>
    <row r="85">
      <c r="A85" s="3" t="inlineStr">
        <is>
          <t>Chênh lệch tỷ giá</t>
        </is>
      </c>
      <c r="B85" s="4" t="n">
        <v>0</v>
      </c>
      <c r="C85" s="4" t="n">
        <v>2458384629</v>
      </c>
      <c r="D85" s="4" t="n">
        <v>3739030306</v>
      </c>
      <c r="E85" s="4" t="n">
        <v>2261603090</v>
      </c>
    </row>
    <row r="86">
      <c r="A86" s="3" t="inlineStr">
        <is>
          <t>Quỹ đầu tư và phát triển</t>
        </is>
      </c>
      <c r="B86" s="4" t="n">
        <v>0</v>
      </c>
      <c r="C86" s="4" t="n">
        <v>0</v>
      </c>
      <c r="D86" s="4" t="n">
        <v>0</v>
      </c>
      <c r="E86" s="4" t="n">
        <v>0</v>
      </c>
    </row>
    <row r="87">
      <c r="A87" s="3" t="inlineStr">
        <is>
          <t>Quỹ dự phòng tài chính</t>
        </is>
      </c>
      <c r="B87" s="4" t="n">
        <v>0</v>
      </c>
      <c r="C87" s="4" t="n">
        <v>0</v>
      </c>
      <c r="D87" s="4" t="n">
        <v>0</v>
      </c>
      <c r="E87" s="4" t="n">
        <v>0</v>
      </c>
    </row>
    <row r="88">
      <c r="A88" s="3" t="inlineStr">
        <is>
          <t>Quỹ khác</t>
        </is>
      </c>
      <c r="B88" s="4" t="n">
        <v>0</v>
      </c>
      <c r="C88" s="4" t="n">
        <v>0</v>
      </c>
      <c r="D88" s="4" t="n">
        <v>0</v>
      </c>
      <c r="E88" s="4" t="n">
        <v>0</v>
      </c>
    </row>
    <row r="89">
      <c r="A89" s="3" t="inlineStr">
        <is>
          <t>Lãi chưa phân phối</t>
        </is>
      </c>
      <c r="B89" s="4" t="n">
        <v>18068194576159</v>
      </c>
      <c r="C89" s="4" t="n">
        <v>12582145266842</v>
      </c>
      <c r="D89" s="4" t="n">
        <v>8160323595574</v>
      </c>
      <c r="E89" s="4" t="n">
        <v>8723934226370</v>
      </c>
    </row>
    <row r="90">
      <c r="A90" s="3" t="inlineStr">
        <is>
          <t>Quỹ hỗ trợ sắp xếp doanh nghiệp</t>
        </is>
      </c>
      <c r="B90" s="4" t="n">
        <v>0</v>
      </c>
      <c r="C90" s="4" t="n">
        <v>0</v>
      </c>
      <c r="D90" s="4" t="n">
        <v>0</v>
      </c>
      <c r="E90" s="4" t="n">
        <v>0</v>
      </c>
    </row>
    <row r="91">
      <c r="A91" s="3" t="inlineStr">
        <is>
          <t>Vốn Ngân sách nhà nước và quỹ khác</t>
        </is>
      </c>
      <c r="B91" s="4" t="n">
        <v>0</v>
      </c>
      <c r="C91" s="4" t="n">
        <v>0</v>
      </c>
      <c r="D91" s="4" t="n">
        <v>0</v>
      </c>
      <c r="E91" s="4" t="n">
        <v>0</v>
      </c>
    </row>
    <row r="92">
      <c r="A92" s="3" t="inlineStr">
        <is>
          <t>Quỹ khen thưởng, phúc lợi (trước 2010)</t>
        </is>
      </c>
      <c r="B92" s="4" t="n">
        <v>0</v>
      </c>
      <c r="C92" s="4" t="n">
        <v>0</v>
      </c>
      <c r="D92" s="4" t="n">
        <v>0</v>
      </c>
      <c r="E92" s="4" t="n">
        <v>0</v>
      </c>
    </row>
    <row r="93">
      <c r="A93" s="3" t="inlineStr">
        <is>
          <t>Vốn ngân sách nhà nước và quỹ khác</t>
        </is>
      </c>
      <c r="B93" s="4" t="n">
        <v>0</v>
      </c>
      <c r="C93" s="4" t="n">
        <v>0</v>
      </c>
      <c r="D93" s="4" t="n">
        <v>0</v>
      </c>
      <c r="E93" s="4" t="n">
        <v>0</v>
      </c>
    </row>
    <row r="94">
      <c r="A94" s="3" t="inlineStr">
        <is>
          <t>Lợi ích của cổ đông thiểu số</t>
        </is>
      </c>
      <c r="B94" s="4" t="n">
        <v>0</v>
      </c>
      <c r="C94" s="4" t="n">
        <v>0</v>
      </c>
      <c r="D94" s="4" t="n">
        <v>0</v>
      </c>
      <c r="E94" s="4" t="n">
        <v>0</v>
      </c>
    </row>
    <row r="95">
      <c r="A95" s="3" t="inlineStr">
        <is>
          <t>Tổng cộng nguồn vốn</t>
        </is>
      </c>
      <c r="B95" s="4" t="n">
        <v>83945619612034</v>
      </c>
      <c r="C95" s="4" t="n">
        <v>70437775721604</v>
      </c>
      <c r="D95" s="4" t="n">
        <v>60111237212724</v>
      </c>
      <c r="E95" s="4" t="n">
        <v>55834095614049</v>
      </c>
    </row>
    <row r="96">
      <c r="A96" s="3" t="inlineStr">
        <is>
          <t>Cổ phiếu ưu đãi</t>
        </is>
      </c>
      <c r="B96" s="4" t="n">
        <v>0</v>
      </c>
      <c r="C96" s="4" t="n">
        <v>0</v>
      </c>
      <c r="D96" s="4" t="n">
        <v>0</v>
      </c>
      <c r="E96" s="4" t="n">
        <v>0</v>
      </c>
    </row>
    <row r="97">
      <c r="A97" s="3" t="inlineStr">
        <is>
          <t>Đầu tư nắm giữ đến ngày đáo hạn</t>
        </is>
      </c>
      <c r="B97" s="4" t="n">
        <v>2765156500000</v>
      </c>
      <c r="C97" s="4" t="n">
        <v>0</v>
      </c>
      <c r="D97" s="4" t="n">
        <v>460000000000</v>
      </c>
      <c r="E97" s="4" t="n">
        <v>50000000000</v>
      </c>
    </row>
    <row r="98">
      <c r="A98" s="3" t="inlineStr">
        <is>
          <t>Vốn kinh doanh ở các đơn vị trực thuộc</t>
        </is>
      </c>
      <c r="B98" s="4" t="n">
        <v>0</v>
      </c>
      <c r="C98" s="4" t="n">
        <v>0</v>
      </c>
      <c r="D98" s="4" t="n">
        <v>0</v>
      </c>
      <c r="E98" s="4" t="n">
        <v>0</v>
      </c>
    </row>
    <row r="99">
      <c r="A99" s="3" t="inlineStr">
        <is>
          <t>Tài sản thiếu cần xử lý</t>
        </is>
      </c>
      <c r="B99" s="4" t="n">
        <v>0</v>
      </c>
      <c r="C99" s="4" t="n">
        <v>0</v>
      </c>
      <c r="D99" s="4" t="n">
        <v>0</v>
      </c>
      <c r="E99" s="4" t="n">
        <v>0</v>
      </c>
    </row>
    <row r="100">
      <c r="A100" s="3" t="inlineStr">
        <is>
          <t>Phải thu cho vay ngắn hạn</t>
        </is>
      </c>
      <c r="B100" s="4" t="n">
        <v>6910500000000</v>
      </c>
      <c r="C100" s="4" t="n">
        <v>6037714596101</v>
      </c>
      <c r="D100" s="4" t="n">
        <v>2085917697638</v>
      </c>
      <c r="E100" s="4" t="n">
        <v>16917697638</v>
      </c>
    </row>
    <row r="101">
      <c r="A101" s="3" t="inlineStr">
        <is>
          <t>Giao dịch mua bán lại trái phiếu Chính phủ</t>
        </is>
      </c>
      <c r="B101" s="4" t="n">
        <v>0</v>
      </c>
      <c r="C101" s="4" t="n">
        <v>0</v>
      </c>
      <c r="D101" s="4" t="n">
        <v>0</v>
      </c>
      <c r="E101" s="4" t="n">
        <v>0</v>
      </c>
    </row>
    <row r="102">
      <c r="A102" s="3" t="inlineStr">
        <is>
          <t>Trả trước người bán dài hạn</t>
        </is>
      </c>
      <c r="B102" s="4" t="n">
        <v>0</v>
      </c>
      <c r="C102" s="4" t="n">
        <v>0</v>
      </c>
      <c r="D102" s="4" t="n">
        <v>0</v>
      </c>
      <c r="E102" s="4" t="n">
        <v>0</v>
      </c>
    </row>
    <row r="103">
      <c r="A103" s="3" t="inlineStr">
        <is>
          <t>Phải thu cho vay dài hạn</t>
        </is>
      </c>
      <c r="B103" s="4" t="n">
        <v>0</v>
      </c>
      <c r="C103" s="4" t="n">
        <v>0</v>
      </c>
      <c r="D103" s="4" t="n">
        <v>9244973329</v>
      </c>
      <c r="E103" s="4" t="n">
        <v>9744723329</v>
      </c>
    </row>
    <row r="104">
      <c r="A104" s="3" t="inlineStr">
        <is>
          <t>Tài sản dở dang dài hạn</t>
        </is>
      </c>
      <c r="B104" s="4" t="n">
        <v>90899467872</v>
      </c>
      <c r="C104" s="4" t="n">
        <v>24526423340</v>
      </c>
      <c r="D104" s="4" t="n">
        <v>4493856934</v>
      </c>
      <c r="E104" s="4" t="n">
        <v>123873978878</v>
      </c>
    </row>
    <row r="105">
      <c r="A105" s="3" t="inlineStr">
        <is>
          <t>Chi phí sản xuất, kinh doanh dở dang dài hạn</t>
        </is>
      </c>
      <c r="B105" s="4" t="n">
        <v>0</v>
      </c>
      <c r="C105" s="4" t="n">
        <v>0</v>
      </c>
      <c r="D105" s="4" t="n">
        <v>0</v>
      </c>
      <c r="E105" s="4" t="n">
        <v>0</v>
      </c>
    </row>
    <row r="106">
      <c r="A106" s="3" t="inlineStr">
        <is>
          <t>Đầu tư nắm giữ đến ngày đáo hạn</t>
        </is>
      </c>
      <c r="B106" s="4" t="n">
        <v>2765156500000</v>
      </c>
      <c r="C106" s="4" t="n">
        <v>0</v>
      </c>
      <c r="D106" s="4" t="n">
        <v>460000000000</v>
      </c>
      <c r="E106" s="4" t="n">
        <v>50000000000</v>
      </c>
    </row>
    <row r="107">
      <c r="A107" s="3" t="inlineStr">
        <is>
          <t>Thiết bị, vật tư, phụ tùng thay thế dài hạn</t>
        </is>
      </c>
      <c r="B107" s="4" t="n">
        <v>0</v>
      </c>
      <c r="C107" s="4" t="n">
        <v>0</v>
      </c>
      <c r="D107" s="4" t="n">
        <v>0</v>
      </c>
      <c r="E107" s="4" t="n">
        <v>0</v>
      </c>
    </row>
    <row r="108">
      <c r="A108" s="3" t="inlineStr">
        <is>
          <t>Doanh thu chưa thực hiện ngắn hạn</t>
        </is>
      </c>
      <c r="B108" s="4" t="n">
        <v>536936718444</v>
      </c>
      <c r="C108" s="4" t="n">
        <v>51807612125</v>
      </c>
      <c r="D108" s="4" t="n">
        <v>3405793231</v>
      </c>
      <c r="E108" s="4" t="n">
        <v>386943692</v>
      </c>
    </row>
    <row r="109">
      <c r="A109" s="3" t="inlineStr">
        <is>
          <t>Quỹ bình ổn giá</t>
        </is>
      </c>
      <c r="B109" s="4" t="n">
        <v>0</v>
      </c>
      <c r="C109" s="4" t="n">
        <v>0</v>
      </c>
      <c r="D109" s="4" t="n">
        <v>0</v>
      </c>
      <c r="E109" s="4" t="n">
        <v>0</v>
      </c>
    </row>
    <row r="110">
      <c r="A110" s="3" t="inlineStr">
        <is>
          <t>Giao dịch mua bán lại trái phiếu chính phủ</t>
        </is>
      </c>
      <c r="B110" s="4" t="n">
        <v>0</v>
      </c>
      <c r="C110" s="4" t="n">
        <v>0</v>
      </c>
      <c r="D110" s="4" t="n">
        <v>0</v>
      </c>
      <c r="E110" s="4" t="n">
        <v>0</v>
      </c>
    </row>
    <row r="111">
      <c r="A111" s="3" t="inlineStr">
        <is>
          <t>Người mua trả tiền trước dài hạn</t>
        </is>
      </c>
      <c r="B111" s="4" t="n">
        <v>0</v>
      </c>
      <c r="C111" s="4" t="n">
        <v>0</v>
      </c>
      <c r="D111" s="4" t="n">
        <v>0</v>
      </c>
      <c r="E111" s="4" t="n">
        <v>0</v>
      </c>
    </row>
    <row r="112">
      <c r="A112" s="3" t="inlineStr">
        <is>
          <t>Chi phí phải trả dài hạn</t>
        </is>
      </c>
      <c r="B112" s="4" t="n">
        <v>0</v>
      </c>
      <c r="C112" s="4" t="n">
        <v>0</v>
      </c>
      <c r="D112" s="4" t="n">
        <v>0</v>
      </c>
      <c r="E112" s="4" t="n">
        <v>0</v>
      </c>
    </row>
    <row r="113">
      <c r="A113" s="3" t="inlineStr">
        <is>
          <t>Phải trả nội bộ về vốn kinh doanh</t>
        </is>
      </c>
      <c r="B113" s="4" t="n">
        <v>0</v>
      </c>
      <c r="C113" s="4" t="n">
        <v>0</v>
      </c>
      <c r="D113" s="4" t="n">
        <v>0</v>
      </c>
      <c r="E113" s="4" t="n">
        <v>0</v>
      </c>
    </row>
    <row r="114">
      <c r="A114" s="3" t="inlineStr">
        <is>
          <t>Trái phiếu chuyển đổi</t>
        </is>
      </c>
      <c r="B114" s="4" t="n">
        <v>0</v>
      </c>
      <c r="C114" s="4" t="n">
        <v>0</v>
      </c>
      <c r="D114" s="4" t="n">
        <v>0</v>
      </c>
      <c r="E114" s="4" t="n">
        <v>0</v>
      </c>
    </row>
    <row r="115">
      <c r="A115" s="3" t="inlineStr">
        <is>
          <t>Cổ phiếu ưu đãi</t>
        </is>
      </c>
      <c r="B115" s="4" t="n">
        <v>0</v>
      </c>
      <c r="C115" s="4" t="n">
        <v>0</v>
      </c>
      <c r="D115" s="4" t="n">
        <v>0</v>
      </c>
      <c r="E115" s="4" t="n">
        <v>0</v>
      </c>
    </row>
    <row r="116">
      <c r="A116" s="3" t="inlineStr">
        <is>
          <t>Cổ phiếu phổ thông</t>
        </is>
      </c>
      <c r="B116" s="4" t="n">
        <v>14696931770000</v>
      </c>
      <c r="C116" s="4" t="n">
        <v>14622441770000</v>
      </c>
      <c r="D116" s="4" t="n">
        <v>14633767160000</v>
      </c>
      <c r="E116" s="4" t="n">
        <v>14638792800000</v>
      </c>
    </row>
    <row r="117">
      <c r="A117" s="3" t="inlineStr">
        <is>
          <t>Quyền chọn chuyển đổi trái phiếu</t>
        </is>
      </c>
      <c r="B117" s="4" t="n">
        <v>0</v>
      </c>
      <c r="C117" s="4" t="n">
        <v>0</v>
      </c>
      <c r="D117" s="4" t="n">
        <v>0</v>
      </c>
      <c r="E117" s="4" t="n">
        <v>0</v>
      </c>
    </row>
    <row r="118">
      <c r="A118" s="3" t="inlineStr">
        <is>
          <t>LNST chưa phân phối lũy kế đến cuối kỳ trước</t>
        </is>
      </c>
      <c r="B118" s="4" t="n">
        <v>11034463805990</v>
      </c>
      <c r="C118" s="4" t="n">
        <v>8860276825181</v>
      </c>
      <c r="D118" s="4" t="n">
        <v>7992654202870</v>
      </c>
      <c r="E118" s="4" t="n">
        <v>4624171199065</v>
      </c>
    </row>
    <row r="119">
      <c r="A119" s="3" t="inlineStr">
        <is>
          <t>LNST chưa phân phối kỳ này</t>
        </is>
      </c>
      <c r="B119" s="4" t="n">
        <v>7033730770169</v>
      </c>
      <c r="C119" s="4" t="n">
        <v>3721868441661</v>
      </c>
      <c r="D119" s="4" t="n">
        <v>167669392704</v>
      </c>
      <c r="E119" s="4" t="n">
        <v>4099763027305</v>
      </c>
    </row>
    <row r="120">
      <c r="A120" s="3" t="inlineStr">
        <is>
          <t>Xây dựng cơ bản đang dở dang</t>
        </is>
      </c>
      <c r="B120" s="4" t="n">
        <v>90899467872</v>
      </c>
      <c r="C120" s="4" t="n">
        <v>24526423340</v>
      </c>
      <c r="D120" s="4" t="n">
        <v>4493856934</v>
      </c>
      <c r="E120" s="4" t="n">
        <v>123873978878</v>
      </c>
    </row>
    <row r="121">
      <c r="A121" s="3" t="inlineStr">
        <is>
          <t>Lợi thế thương mại</t>
        </is>
      </c>
      <c r="B121" s="4" t="n">
        <v>0</v>
      </c>
      <c r="C121" s="4" t="n">
        <v>0</v>
      </c>
      <c r="D121" s="4" t="n">
        <v>245567488471</v>
      </c>
      <c r="E121" s="4" t="n">
        <v>306959360590</v>
      </c>
    </row>
    <row r="122">
      <c r="A122" s="3" t="inlineStr">
        <is>
          <t>Lợi ích cổ đông không kiểm soát</t>
        </is>
      </c>
      <c r="B122" s="4" t="n">
        <v>576350988478</v>
      </c>
      <c r="C122" s="4" t="n">
        <v>364020651398</v>
      </c>
      <c r="D122" s="4" t="n">
        <v>13401030472</v>
      </c>
      <c r="E122" s="4" t="n">
        <v>14508097130</v>
      </c>
    </row>
    <row r="123">
      <c r="A123" s="3" t="inlineStr">
        <is>
          <t>Nguồn kinh phí đã hình thành TSCĐ</t>
        </is>
      </c>
      <c r="B123" s="4" t="n">
        <v>0</v>
      </c>
      <c r="C123" s="4" t="n">
        <v>0</v>
      </c>
      <c r="D123" s="4" t="n">
        <v>0</v>
      </c>
      <c r="E123" s="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6"/>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s>
  <sheetData>
    <row r="1">
      <c r="A1" s="1" t="inlineStr">
        <is>
          <t>item</t>
        </is>
      </c>
      <c r="B1" s="2" t="inlineStr">
        <is>
          <t>2025</t>
        </is>
      </c>
      <c r="C1" s="2" t="inlineStr">
        <is>
          <t>2024</t>
        </is>
      </c>
      <c r="D1" s="2" t="inlineStr">
        <is>
          <t>2023</t>
        </is>
      </c>
      <c r="E1" s="2" t="inlineStr">
        <is>
          <t>2022</t>
        </is>
      </c>
    </row>
    <row r="2">
      <c r="A2" s="3" t="inlineStr">
        <is>
          <t>Doanh thu bán hàng và cung cấp dịch vụ</t>
        </is>
      </c>
      <c r="B2" s="4" t="n">
        <v>156836115054975</v>
      </c>
      <c r="C2" s="4" t="n">
        <v>135225101298992</v>
      </c>
      <c r="D2" s="4" t="n">
        <v>119234184825086</v>
      </c>
      <c r="E2" s="4" t="n">
        <v>134722248887557</v>
      </c>
    </row>
    <row r="3">
      <c r="A3" s="3" t="inlineStr">
        <is>
          <t>Các khoản giảm trừ doanh thu</t>
        </is>
      </c>
      <c r="B3" s="4" t="n">
        <v>-907969435608</v>
      </c>
      <c r="C3" s="4" t="n">
        <v>-883948450190</v>
      </c>
      <c r="D3" s="4" t="n">
        <v>-954396369644</v>
      </c>
      <c r="E3" s="4" t="n">
        <v>-1317471297033</v>
      </c>
    </row>
    <row r="4">
      <c r="A4" s="3" t="inlineStr">
        <is>
          <t>Doanh thu thuần</t>
        </is>
      </c>
      <c r="B4" s="4" t="n">
        <v>155928145619367</v>
      </c>
      <c r="C4" s="4" t="n">
        <v>134341152848802</v>
      </c>
      <c r="D4" s="4" t="n">
        <v>118279788455442</v>
      </c>
      <c r="E4" s="4" t="n">
        <v>133404777590524</v>
      </c>
    </row>
    <row r="5">
      <c r="A5" s="3" t="inlineStr">
        <is>
          <t>Giá vốn hàng bán</t>
        </is>
      </c>
      <c r="B5" s="4" t="n">
        <v>-124926268219546</v>
      </c>
      <c r="C5" s="4" t="n">
        <v>-106841942771781</v>
      </c>
      <c r="D5" s="4" t="n">
        <v>-95759175291712</v>
      </c>
      <c r="E5" s="4" t="n">
        <v>-102542735094343</v>
      </c>
    </row>
    <row r="6">
      <c r="A6" s="3" t="inlineStr">
        <is>
          <t>Lợi nhuận gộp</t>
        </is>
      </c>
      <c r="B6" s="4" t="n">
        <v>31001877399821</v>
      </c>
      <c r="C6" s="4" t="n">
        <v>27499210077021</v>
      </c>
      <c r="D6" s="4" t="n">
        <v>22520613163730</v>
      </c>
      <c r="E6" s="4" t="n">
        <v>30862042496181</v>
      </c>
    </row>
    <row r="7">
      <c r="A7" s="3" t="inlineStr">
        <is>
          <t>Doanh thu hoạt động tài chính</t>
        </is>
      </c>
      <c r="B7" s="4" t="n">
        <v>3107348733939</v>
      </c>
      <c r="C7" s="4" t="n">
        <v>2376502605263</v>
      </c>
      <c r="D7" s="4" t="n">
        <v>2166963715091</v>
      </c>
      <c r="E7" s="4" t="n">
        <v>1313137304323</v>
      </c>
    </row>
    <row r="8">
      <c r="A8" s="3" t="inlineStr">
        <is>
          <t>Chi phí tài chính</t>
        </is>
      </c>
      <c r="B8" s="4" t="n">
        <v>-1542518673463</v>
      </c>
      <c r="C8" s="4" t="n">
        <v>-1188465609510</v>
      </c>
      <c r="D8" s="4" t="n">
        <v>-1556146106982</v>
      </c>
      <c r="E8" s="4" t="n">
        <v>-1382620454532</v>
      </c>
    </row>
    <row r="9">
      <c r="A9" s="3" t="inlineStr">
        <is>
          <t>Chi phí lãi vay</t>
        </is>
      </c>
      <c r="B9" s="4" t="n">
        <v>-1470675593604</v>
      </c>
      <c r="C9" s="4" t="n">
        <v>-1137236129748</v>
      </c>
      <c r="D9" s="4" t="n">
        <v>-1447718354797</v>
      </c>
      <c r="E9" s="4" t="n">
        <v>-1362143909103</v>
      </c>
    </row>
    <row r="10">
      <c r="A10" s="3" t="inlineStr">
        <is>
          <t>Chi phí bán hàng</t>
        </is>
      </c>
      <c r="B10" s="4" t="n">
        <v>-19330903536858</v>
      </c>
      <c r="C10" s="4" t="n">
        <v>-19849837609882</v>
      </c>
      <c r="D10" s="4" t="n">
        <v>-20916710755306</v>
      </c>
      <c r="E10" s="4" t="n">
        <v>-22336838067678</v>
      </c>
    </row>
    <row r="11">
      <c r="A11" s="3" t="inlineStr">
        <is>
          <t>Chi phí quản lý doanh nghiệp</t>
        </is>
      </c>
      <c r="B11" s="4" t="n">
        <v>-4596074513172</v>
      </c>
      <c r="C11" s="4" t="n">
        <v>-3565767583102</v>
      </c>
      <c r="D11" s="4" t="n">
        <v>-1167651662536</v>
      </c>
      <c r="E11" s="4" t="n">
        <v>-1881027579714</v>
      </c>
    </row>
    <row r="12">
      <c r="A12" s="3" t="inlineStr">
        <is>
          <t>Lãi/(lỗ) từ hoạt động kinh doanh</t>
        </is>
      </c>
      <c r="B12" s="4" t="n">
        <v>8664080489454</v>
      </c>
      <c r="C12" s="4" t="n">
        <v>5227045424891</v>
      </c>
      <c r="D12" s="4" t="n">
        <v>1047068353997</v>
      </c>
      <c r="E12" s="4" t="n">
        <v>6574693698580</v>
      </c>
    </row>
    <row r="13">
      <c r="A13" s="3" t="inlineStr">
        <is>
          <t>Thu nhập khác</t>
        </is>
      </c>
      <c r="B13" s="4" t="n">
        <v>52777770887</v>
      </c>
      <c r="C13" s="4" t="n">
        <v>25743895664</v>
      </c>
      <c r="D13" s="4" t="n">
        <v>36883419051</v>
      </c>
      <c r="E13" s="4" t="n">
        <v>61606712681</v>
      </c>
    </row>
    <row r="14">
      <c r="A14" s="3" t="inlineStr">
        <is>
          <t>Chi phí khác</t>
        </is>
      </c>
      <c r="B14" s="4" t="n">
        <v>-83790676915</v>
      </c>
      <c r="C14" s="4" t="n">
        <v>-427026307477</v>
      </c>
      <c r="D14" s="4" t="n">
        <v>-394259405152</v>
      </c>
      <c r="E14" s="4" t="n">
        <v>-579945037703</v>
      </c>
    </row>
    <row r="15">
      <c r="A15" s="3" t="inlineStr">
        <is>
          <t>Thu nhập khác, ròng</t>
        </is>
      </c>
      <c r="B15" s="4" t="n">
        <v>-31012906028</v>
      </c>
      <c r="C15" s="4" t="n">
        <v>-401282411813</v>
      </c>
      <c r="D15" s="4" t="n">
        <v>-357375986101</v>
      </c>
      <c r="E15" s="4" t="n">
        <v>-518338325022</v>
      </c>
    </row>
    <row r="16">
      <c r="A16" s="3" t="inlineStr">
        <is>
          <t>Lãi/(lỗ) từ công ty liên doanh</t>
        </is>
      </c>
      <c r="B16" s="4" t="n">
        <v>0</v>
      </c>
      <c r="C16" s="4" t="n">
        <v>0</v>
      </c>
      <c r="D16" s="4" t="n">
        <v>0</v>
      </c>
      <c r="E16" s="4" t="n">
        <v>0</v>
      </c>
    </row>
    <row r="17">
      <c r="A17" s="3" t="inlineStr">
        <is>
          <t>Lãi/(lỗ) trước thuế</t>
        </is>
      </c>
      <c r="B17" s="4" t="n">
        <v>8633067583426</v>
      </c>
      <c r="C17" s="4" t="n">
        <v>4825763013078</v>
      </c>
      <c r="D17" s="4" t="n">
        <v>689692367896</v>
      </c>
      <c r="E17" s="4" t="n">
        <v>6056355373558</v>
      </c>
    </row>
    <row r="18">
      <c r="A18" s="3" t="inlineStr">
        <is>
          <t>Thuế thu nhập doanh nghiệp - hiện thời</t>
        </is>
      </c>
      <c r="B18" s="4" t="n">
        <v>-1721559523168</v>
      </c>
      <c r="C18" s="4" t="n">
        <v>-1282537116919</v>
      </c>
      <c r="D18" s="4" t="n">
        <v>-433257176515</v>
      </c>
      <c r="E18" s="4" t="n">
        <v>-1792998810102</v>
      </c>
    </row>
    <row r="19">
      <c r="A19" s="3" t="inlineStr">
        <is>
          <t>Thuế thu nhập doanh nghiệp - hoãn lại</t>
        </is>
      </c>
      <c r="B19" s="4" t="n">
        <v>161114825617</v>
      </c>
      <c r="C19" s="4" t="n">
        <v>190062332561</v>
      </c>
      <c r="D19" s="4" t="n">
        <v>-88606036442</v>
      </c>
      <c r="E19" s="4" t="n">
        <v>-161642138517</v>
      </c>
    </row>
    <row r="20">
      <c r="A20" s="3" t="inlineStr">
        <is>
          <t>Chi phí thuế thu nhập doanh nghiệp</t>
        </is>
      </c>
      <c r="B20" s="4" t="n">
        <v>-1560444697551</v>
      </c>
      <c r="C20" s="4" t="n">
        <v>-1092474784358</v>
      </c>
      <c r="D20" s="4" t="n">
        <v>-521863212957</v>
      </c>
      <c r="E20" s="4" t="n">
        <v>-1954640948619</v>
      </c>
    </row>
    <row r="21">
      <c r="A21" s="3" t="inlineStr">
        <is>
          <t>Lãi/(lỗ) thuần sau thuế</t>
        </is>
      </c>
      <c r="B21" s="4" t="n">
        <v>7072622885875</v>
      </c>
      <c r="C21" s="4" t="n">
        <v>3733288228720</v>
      </c>
      <c r="D21" s="4" t="n">
        <v>167829154939</v>
      </c>
      <c r="E21" s="4" t="n">
        <v>4101714424939</v>
      </c>
    </row>
    <row r="22">
      <c r="A22" s="3" t="inlineStr">
        <is>
          <t>Lợi ích của cổ đông thiểu số</t>
        </is>
      </c>
      <c r="B22" s="4" t="n">
        <v>38892115706</v>
      </c>
      <c r="C22" s="4" t="n">
        <v>11419787059</v>
      </c>
      <c r="D22" s="4" t="n">
        <v>159762235</v>
      </c>
      <c r="E22" s="4" t="n">
        <v>1951397634</v>
      </c>
    </row>
    <row r="23">
      <c r="A23" s="3" t="inlineStr">
        <is>
          <t>Lợi nhuận của Cổ đông của Công ty mẹ</t>
        </is>
      </c>
      <c r="B23" s="4" t="n">
        <v>7033730770169</v>
      </c>
      <c r="C23" s="4" t="n">
        <v>3721868441661</v>
      </c>
      <c r="D23" s="4" t="n">
        <v>167669392704</v>
      </c>
      <c r="E23" s="4" t="n">
        <v>4099763027305</v>
      </c>
    </row>
    <row r="24">
      <c r="A24" s="3" t="inlineStr">
        <is>
          <t>Lãi cơ bản trên cổ phiếu (VND)</t>
        </is>
      </c>
      <c r="B24" s="4" t="n">
        <v>4774</v>
      </c>
      <c r="C24" s="4" t="n">
        <v>2546</v>
      </c>
      <c r="D24" s="4" t="n">
        <v>115</v>
      </c>
      <c r="E24" s="4" t="n">
        <v>2810</v>
      </c>
    </row>
    <row r="25">
      <c r="A25" s="3" t="inlineStr">
        <is>
          <t>Lãi trên cổ phiếu pha loãng (VND)</t>
        </is>
      </c>
      <c r="B25" s="4" t="n">
        <v>4774</v>
      </c>
      <c r="C25" s="4" t="n">
        <v>2546</v>
      </c>
      <c r="D25" s="4" t="n">
        <v>115</v>
      </c>
      <c r="E25" s="4" t="n">
        <v>2810</v>
      </c>
    </row>
    <row r="26">
      <c r="A26" s="3" t="inlineStr">
        <is>
          <t>Lãi/(lỗ) từ công ty liên doanh (từ năm 2015)</t>
        </is>
      </c>
      <c r="B26" s="4" t="n">
        <v>24351079187</v>
      </c>
      <c r="C26" s="4" t="n">
        <v>-44596454899</v>
      </c>
      <c r="D26" s="4" t="n">
        <v>0</v>
      </c>
      <c r="E26" s="4"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2"/>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s>
  <sheetData>
    <row r="1">
      <c r="A1" s="1" t="inlineStr">
        <is>
          <t>item</t>
        </is>
      </c>
      <c r="B1" s="2" t="inlineStr">
        <is>
          <t>2025</t>
        </is>
      </c>
      <c r="C1" s="2" t="inlineStr">
        <is>
          <t>2024</t>
        </is>
      </c>
      <c r="D1" s="2" t="inlineStr">
        <is>
          <t>2023</t>
        </is>
      </c>
      <c r="E1" s="2" t="inlineStr">
        <is>
          <t>2022</t>
        </is>
      </c>
    </row>
    <row r="2">
      <c r="A2" s="3" t="inlineStr">
        <is>
          <t>Lợi nhuận/(lỗ) trước thuế</t>
        </is>
      </c>
      <c r="B2" s="4" t="n">
        <v>8633067583426</v>
      </c>
      <c r="C2" s="4" t="n">
        <v>4825763013078</v>
      </c>
      <c r="D2" s="4" t="n">
        <v>689692367896</v>
      </c>
      <c r="E2" s="4" t="n">
        <v>6056355373558</v>
      </c>
    </row>
    <row r="3">
      <c r="A3" s="3" t="inlineStr">
        <is>
          <t>Khấu hao TSCĐ và BĐSĐT</t>
        </is>
      </c>
      <c r="B3" s="4" t="n">
        <v>1890882108632</v>
      </c>
      <c r="C3" s="4" t="n">
        <v>2913419081483</v>
      </c>
      <c r="D3" s="4" t="n">
        <v>3351314267883</v>
      </c>
      <c r="E3" s="4" t="n">
        <v>3540324726294</v>
      </c>
    </row>
    <row r="4">
      <c r="A4" s="3" t="inlineStr">
        <is>
          <t>Chi phí dự phòng</t>
        </is>
      </c>
      <c r="B4" s="4" t="n">
        <v>205754863290</v>
      </c>
      <c r="C4" s="4" t="n">
        <v>220952651591</v>
      </c>
      <c r="D4" s="4" t="n">
        <v>-165930068132</v>
      </c>
      <c r="E4" s="4" t="n">
        <v>-321799366884</v>
      </c>
    </row>
    <row r="5">
      <c r="A5" s="3" t="inlineStr">
        <is>
          <t>Lãi/lỗ chênh lệch tỷ giá hối đoái do đánh giá lại các khoản mục tiền tệ có gốc ngoại tệ</t>
        </is>
      </c>
      <c r="B5" s="4" t="n">
        <v>48281410640</v>
      </c>
      <c r="C5" s="4" t="n">
        <v>25689580954</v>
      </c>
      <c r="D5" s="4" t="n">
        <v>83631272202</v>
      </c>
      <c r="E5" s="4" t="n">
        <v>284374414</v>
      </c>
    </row>
    <row r="6">
      <c r="A6" s="3" t="inlineStr">
        <is>
          <t>Lãi/(lỗ) từ thanh lý tài sản cố định</t>
        </is>
      </c>
      <c r="B6" s="4" t="n">
        <v>0</v>
      </c>
      <c r="C6" s="4" t="n">
        <v>0</v>
      </c>
      <c r="D6" s="4" t="n">
        <v>0</v>
      </c>
      <c r="E6" s="4" t="n">
        <v>0</v>
      </c>
    </row>
    <row r="7">
      <c r="A7" s="3" t="inlineStr">
        <is>
          <t>(Lãi)/lỗ từ hoạt động đầu tư</t>
        </is>
      </c>
      <c r="B7" s="4" t="n">
        <v>-2908766491708</v>
      </c>
      <c r="C7" s="4" t="n">
        <v>-1729164103487</v>
      </c>
      <c r="D7" s="4" t="n">
        <v>-1509203341265</v>
      </c>
      <c r="E7" s="4" t="n">
        <v>-348599792355</v>
      </c>
    </row>
    <row r="8">
      <c r="A8" s="3" t="inlineStr">
        <is>
          <t>Chi phí lãi vay</t>
        </is>
      </c>
      <c r="B8" s="4" t="n">
        <v>1470675593604</v>
      </c>
      <c r="C8" s="4" t="n">
        <v>1137236129748</v>
      </c>
      <c r="D8" s="4" t="n">
        <v>1447718354797</v>
      </c>
      <c r="E8" s="4" t="n">
        <v>1362143909103</v>
      </c>
    </row>
    <row r="9">
      <c r="A9" s="3" t="inlineStr">
        <is>
          <t>Thu lãi và cổ tức</t>
        </is>
      </c>
      <c r="B9" s="4" t="n">
        <v>0</v>
      </c>
      <c r="C9" s="4" t="n">
        <v>0</v>
      </c>
      <c r="D9" s="4" t="n">
        <v>0</v>
      </c>
      <c r="E9" s="4" t="n">
        <v>0</v>
      </c>
    </row>
    <row r="10">
      <c r="A10" s="3" t="inlineStr">
        <is>
          <t>Lợi nhuận/(lỗ) từ hoạt động kinh doanh trước những thay đổi vốn lưu động</t>
        </is>
      </c>
      <c r="B10" s="4" t="n">
        <v>9339895067884</v>
      </c>
      <c r="C10" s="4" t="n">
        <v>7393896353367</v>
      </c>
      <c r="D10" s="4" t="n">
        <v>3897222853381</v>
      </c>
      <c r="E10" s="4" t="n">
        <v>10288709224130</v>
      </c>
    </row>
    <row r="11">
      <c r="A11" s="3" t="inlineStr">
        <is>
          <t>(Tăng)/giảm các khoản phải thu</t>
        </is>
      </c>
      <c r="B11" s="4" t="n">
        <v>-308618709954</v>
      </c>
      <c r="C11" s="4" t="n">
        <v>151205190961</v>
      </c>
      <c r="D11" s="4" t="n">
        <v>672440536688</v>
      </c>
      <c r="E11" s="4" t="n">
        <v>-588827639446</v>
      </c>
    </row>
    <row r="12">
      <c r="A12" s="3" t="inlineStr">
        <is>
          <t>(Tăng)/giảm hàng tồn kho</t>
        </is>
      </c>
      <c r="B12" s="4" t="n">
        <v>-5207942331422</v>
      </c>
      <c r="C12" s="4" t="n">
        <v>-636927914305</v>
      </c>
      <c r="D12" s="4" t="n">
        <v>4169031757473</v>
      </c>
      <c r="E12" s="4" t="n">
        <v>3791937421033</v>
      </c>
    </row>
    <row r="13">
      <c r="A13" s="3" t="inlineStr">
        <is>
          <t>Tăng/(giảm) các khoản phải trả</t>
        </is>
      </c>
      <c r="B13" s="4" t="n">
        <v>5339106069277</v>
      </c>
      <c r="C13" s="4" t="n">
        <v>3581806724649</v>
      </c>
      <c r="D13" s="4" t="n">
        <v>-3136706601092</v>
      </c>
      <c r="E13" s="4" t="n">
        <v>-2286756979213</v>
      </c>
    </row>
    <row r="14">
      <c r="A14" s="3" t="inlineStr">
        <is>
          <t>(Tăng)/giảm chi phí trả trước</t>
        </is>
      </c>
      <c r="B14" s="4" t="n">
        <v>-123379603345</v>
      </c>
      <c r="C14" s="4" t="n">
        <v>127788870902</v>
      </c>
      <c r="D14" s="4" t="n">
        <v>130000103455</v>
      </c>
      <c r="E14" s="4" t="n">
        <v>-101041271147</v>
      </c>
    </row>
    <row r="15">
      <c r="A15" s="3" t="inlineStr">
        <is>
          <t>Tiền lãi vay đã trả</t>
        </is>
      </c>
      <c r="B15" s="4" t="n">
        <v>-1396460327956</v>
      </c>
      <c r="C15" s="4" t="n">
        <v>-1141521540734</v>
      </c>
      <c r="D15" s="4" t="n">
        <v>-1435731870616</v>
      </c>
      <c r="E15" s="4" t="n">
        <v>-1322381109404</v>
      </c>
    </row>
    <row r="16">
      <c r="A16" s="3" t="inlineStr">
        <is>
          <t>Thuế thu nhập doanh nghiệp đã nộp</t>
        </is>
      </c>
      <c r="B16" s="4" t="n">
        <v>-1546459474269</v>
      </c>
      <c r="C16" s="4" t="n">
        <v>-958914978098</v>
      </c>
      <c r="D16" s="4" t="n">
        <v>-860429603219</v>
      </c>
      <c r="E16" s="4" t="n">
        <v>-1805340844308</v>
      </c>
    </row>
    <row r="17">
      <c r="A17" s="3" t="inlineStr">
        <is>
          <t>Tiền thu khác từ hoạt động kinh doanh</t>
        </is>
      </c>
      <c r="B17" s="4" t="n">
        <v>0</v>
      </c>
      <c r="C17" s="4" t="n">
        <v>0</v>
      </c>
      <c r="D17" s="4" t="n">
        <v>0</v>
      </c>
      <c r="E17" s="4" t="n">
        <v>0</v>
      </c>
    </row>
    <row r="18">
      <c r="A18" s="3" t="inlineStr">
        <is>
          <t>Tiền chi khác cho hoạt động kinh doanh</t>
        </is>
      </c>
      <c r="B18" s="4" t="n">
        <v>0</v>
      </c>
      <c r="C18" s="4" t="n">
        <v>0</v>
      </c>
      <c r="D18" s="4" t="n">
        <v>0</v>
      </c>
      <c r="E18" s="4" t="n">
        <v>0</v>
      </c>
    </row>
    <row r="19">
      <c r="A19" s="3" t="inlineStr">
        <is>
          <t>Lưu chuyển tiền tệ ròng từ các hoạt động sản xuất kinh doanh</t>
        </is>
      </c>
      <c r="B19" s="4" t="n">
        <v>6096140690215</v>
      </c>
      <c r="C19" s="4" t="n">
        <v>8517332706742</v>
      </c>
      <c r="D19" s="4" t="n">
        <v>3435827176070</v>
      </c>
      <c r="E19" s="4" t="n">
        <v>7976298801645</v>
      </c>
    </row>
    <row r="20">
      <c r="A20" s="3" t="inlineStr">
        <is>
          <t>Tiền chi để mua sắm, xây dựng TSCĐ và các tài sản dài hạn khác</t>
        </is>
      </c>
      <c r="B20" s="4" t="n">
        <v>-888461890189</v>
      </c>
      <c r="C20" s="4" t="n">
        <v>-303747827395</v>
      </c>
      <c r="D20" s="4" t="n">
        <v>-523383330794</v>
      </c>
      <c r="E20" s="4" t="n">
        <v>-4465359523505</v>
      </c>
    </row>
    <row r="21">
      <c r="A21" s="3" t="inlineStr">
        <is>
          <t>Tiền thu từ thanh lý, nhượng bán TSCĐ và các tài sản dài hạn khác</t>
        </is>
      </c>
      <c r="B21" s="4" t="n">
        <v>10165412732</v>
      </c>
      <c r="C21" s="4" t="n">
        <v>54661690191</v>
      </c>
      <c r="D21" s="4" t="n">
        <v>31276790650</v>
      </c>
      <c r="E21" s="4" t="n">
        <v>5331159526</v>
      </c>
    </row>
    <row r="22">
      <c r="A22" s="3" t="inlineStr">
        <is>
          <t>Tiền chi cho vay, mua các công cụ nợ của đơn vị khác</t>
        </is>
      </c>
      <c r="B22" s="4" t="n">
        <v>-56848212766085</v>
      </c>
      <c r="C22" s="4" t="n">
        <v>-52159250994595</v>
      </c>
      <c r="D22" s="4" t="n">
        <v>-34151374180637</v>
      </c>
      <c r="E22" s="4" t="n">
        <v>-20799334065331</v>
      </c>
    </row>
    <row r="23">
      <c r="A23" s="3" t="inlineStr">
        <is>
          <t>Tiền thu hồi cho vay, bán lại các công cụ nợ của đơn vị khác</t>
        </is>
      </c>
      <c r="B23" s="4" t="n">
        <v>48660442515806</v>
      </c>
      <c r="C23" s="4" t="n">
        <v>38289265386964</v>
      </c>
      <c r="D23" s="4" t="n">
        <v>22805115462454</v>
      </c>
      <c r="E23" s="4" t="n">
        <v>25851966071069</v>
      </c>
    </row>
    <row r="24">
      <c r="A24" s="3" t="inlineStr">
        <is>
          <t>Tiền chi đầu tư góp vốn vào đơn vị khác</t>
        </is>
      </c>
      <c r="B24" s="4" t="n">
        <v>-104772187500</v>
      </c>
      <c r="C24" s="4" t="n">
        <v>0</v>
      </c>
      <c r="D24" s="4" t="n">
        <v>-105597412729</v>
      </c>
      <c r="E24" s="4" t="n">
        <v>-181034840000</v>
      </c>
    </row>
    <row r="25">
      <c r="A25" s="3" t="inlineStr">
        <is>
          <t>Tiền thu hồi đầu tư góp vốn vào đơn vị khác</t>
        </is>
      </c>
      <c r="B25" s="4" t="n">
        <v>0</v>
      </c>
      <c r="C25" s="4" t="n">
        <v>0</v>
      </c>
      <c r="D25" s="4" t="n">
        <v>0</v>
      </c>
      <c r="E25" s="4" t="n">
        <v>0</v>
      </c>
    </row>
    <row r="26">
      <c r="A26" s="3" t="inlineStr">
        <is>
          <t>Tiền thu lãi cho vay, cổ tức và lợi nhuận được chia</t>
        </is>
      </c>
      <c r="B26" s="4" t="n">
        <v>2510063523663</v>
      </c>
      <c r="C26" s="4" t="n">
        <v>2375786074417</v>
      </c>
      <c r="D26" s="4" t="n">
        <v>1112667974114</v>
      </c>
      <c r="E26" s="4" t="n">
        <v>1137542621557</v>
      </c>
    </row>
    <row r="27">
      <c r="A27" s="3" t="inlineStr">
        <is>
          <t>Lưu chuyển tiền thuần từ hoạt động đầu tư</t>
        </is>
      </c>
      <c r="B27" s="4" t="n">
        <v>-6660775391573</v>
      </c>
      <c r="C27" s="4" t="n">
        <v>-11743285670418</v>
      </c>
      <c r="D27" s="4" t="n">
        <v>-10831294696942</v>
      </c>
      <c r="E27" s="4" t="n">
        <v>1549111423316</v>
      </c>
    </row>
    <row r="28">
      <c r="A28" s="3" t="inlineStr">
        <is>
          <t>Tiền thu từ phát hành cổ phiếu, nhận vốn góp của chủ sở hữu</t>
        </is>
      </c>
      <c r="B28" s="4" t="n">
        <v>283527980000</v>
      </c>
      <c r="C28" s="4" t="n">
        <v>1771634338542</v>
      </c>
      <c r="D28" s="4" t="n">
        <v>443220000</v>
      </c>
      <c r="E28" s="4" t="n">
        <v>192628370000</v>
      </c>
    </row>
    <row r="29">
      <c r="A29" s="3" t="inlineStr">
        <is>
          <t>Tiền chi trả vốn góp cho các chủ sở hữu, mua lại cổ phiếu của doanh nghiệp đã phát hành</t>
        </is>
      </c>
      <c r="B29" s="4" t="n">
        <v>-815870711046</v>
      </c>
      <c r="C29" s="4" t="n">
        <v>-9141790000</v>
      </c>
      <c r="D29" s="4" t="n">
        <v>-9783280000</v>
      </c>
      <c r="E29" s="4" t="n">
        <v>-5025640000</v>
      </c>
    </row>
    <row r="30">
      <c r="A30" s="3" t="inlineStr">
        <is>
          <t>Tiền thu được các khoản đi vay</t>
        </is>
      </c>
      <c r="B30" s="4" t="n">
        <v>98550109184689</v>
      </c>
      <c r="C30" s="4" t="n">
        <v>74756279079533</v>
      </c>
      <c r="D30" s="4" t="n">
        <v>70373733043570</v>
      </c>
      <c r="E30" s="4" t="n">
        <v>65251647851081</v>
      </c>
    </row>
    <row r="31">
      <c r="A31" s="3" t="inlineStr">
        <is>
          <t>Tiền trả nợ gốc vay</t>
        </is>
      </c>
      <c r="B31" s="4" t="n">
        <v>-95872137944800</v>
      </c>
      <c r="C31" s="4" t="n">
        <v>-73030338420383</v>
      </c>
      <c r="D31" s="4" t="n">
        <v>-61933329857245</v>
      </c>
      <c r="E31" s="4" t="n">
        <v>-73313739286999</v>
      </c>
    </row>
    <row r="32">
      <c r="A32" s="3" t="inlineStr">
        <is>
          <t>Tiền trả nợ gốc thuê tài chính</t>
        </is>
      </c>
      <c r="B32" s="4" t="n">
        <v>0</v>
      </c>
      <c r="C32" s="4" t="n">
        <v>0</v>
      </c>
      <c r="D32" s="4" t="n">
        <v>0</v>
      </c>
      <c r="E32" s="4" t="n">
        <v>0</v>
      </c>
    </row>
    <row r="33">
      <c r="A33" s="3" t="inlineStr">
        <is>
          <t>Cổ tức, lợi nhuận đã trả cho chủ sở hữu</t>
        </is>
      </c>
      <c r="B33" s="4" t="n">
        <v>-1478456763000</v>
      </c>
      <c r="C33" s="4" t="n">
        <v>-730957694000</v>
      </c>
      <c r="D33" s="4" t="n">
        <v>-731280023500</v>
      </c>
      <c r="E33" s="4" t="n">
        <v>-731854815000</v>
      </c>
    </row>
    <row r="34">
      <c r="A34" s="3" t="inlineStr">
        <is>
          <t>Tiền lãi đã nhận</t>
        </is>
      </c>
      <c r="B34" s="4" t="n">
        <v>0</v>
      </c>
      <c r="C34" s="4" t="n">
        <v>0</v>
      </c>
      <c r="D34" s="4" t="n">
        <v>0</v>
      </c>
      <c r="E34" s="4" t="n">
        <v>0</v>
      </c>
    </row>
    <row r="35">
      <c r="A35" s="3" t="inlineStr">
        <is>
          <t>Lưu chuyển tiền thuần từ hoạt động tài chính</t>
        </is>
      </c>
      <c r="B35" s="4" t="n">
        <v>667171745843</v>
      </c>
      <c r="C35" s="4" t="n">
        <v>2757475513692</v>
      </c>
      <c r="D35" s="4" t="n">
        <v>7699783102825</v>
      </c>
      <c r="E35" s="4" t="n">
        <v>-8606343520918</v>
      </c>
    </row>
    <row r="36">
      <c r="A36" s="3" t="inlineStr">
        <is>
          <t>Lưu chuyển tiền thuần trong kỳ</t>
        </is>
      </c>
      <c r="B36" s="4" t="n">
        <v>102537044485</v>
      </c>
      <c r="C36" s="4" t="n">
        <v>-468477449984</v>
      </c>
      <c r="D36" s="4" t="n">
        <v>304315581953</v>
      </c>
      <c r="E36" s="4" t="n">
        <v>919066704043</v>
      </c>
    </row>
    <row r="37">
      <c r="A37" s="3" t="inlineStr">
        <is>
          <t>Tiền và tương đương tiền đầu kỳ</t>
        </is>
      </c>
      <c r="B37" s="4" t="n">
        <v>4897331540730</v>
      </c>
      <c r="C37" s="4" t="n">
        <v>5365704857172</v>
      </c>
      <c r="D37" s="4" t="n">
        <v>5061020547422</v>
      </c>
      <c r="E37" s="4" t="n">
        <v>4142015762555</v>
      </c>
    </row>
    <row r="38">
      <c r="A38" s="3" t="inlineStr">
        <is>
          <t>Ảnh hưởng của thay đổi tỷ giá hối đoái quy đổi ngoại tệ</t>
        </is>
      </c>
      <c r="B38" s="4" t="n">
        <v>57131972</v>
      </c>
      <c r="C38" s="4" t="n">
        <v>104133542</v>
      </c>
      <c r="D38" s="4" t="n">
        <v>368727797</v>
      </c>
      <c r="E38" s="4" t="n">
        <v>-61919176</v>
      </c>
    </row>
    <row r="39">
      <c r="A39" s="3" t="inlineStr">
        <is>
          <t>Tiền và tương đương tiền cuối kỳ</t>
        </is>
      </c>
      <c r="B39" s="4" t="n">
        <v>4999925717187</v>
      </c>
      <c r="C39" s="4" t="n">
        <v>4897331540730</v>
      </c>
      <c r="D39" s="4" t="n">
        <v>5365704857172</v>
      </c>
      <c r="E39" s="4" t="n">
        <v>5061020547422</v>
      </c>
    </row>
    <row r="40">
      <c r="A40" s="3" t="inlineStr">
        <is>
          <t>Phân bổ lợi thế thương mại</t>
        </is>
      </c>
      <c r="B40" s="4" t="n">
        <v>0</v>
      </c>
      <c r="C40" s="4" t="n">
        <v>0</v>
      </c>
      <c r="D40" s="4" t="n">
        <v>0</v>
      </c>
      <c r="E40" s="4" t="n">
        <v>0</v>
      </c>
    </row>
    <row r="41">
      <c r="A41" s="3" t="inlineStr">
        <is>
          <t>Các khoản điều chỉnh khác</t>
        </is>
      </c>
      <c r="B41" s="4" t="n">
        <v>0</v>
      </c>
      <c r="C41" s="4" t="n">
        <v>0</v>
      </c>
      <c r="D41" s="4" t="n">
        <v>0</v>
      </c>
      <c r="E41" s="4" t="n">
        <v>0</v>
      </c>
    </row>
    <row r="42">
      <c r="A42" s="3" t="inlineStr">
        <is>
          <t>(Tăng)/giảm chứng khoán kinh doanh</t>
        </is>
      </c>
      <c r="B42" s="4" t="n">
        <v>0</v>
      </c>
      <c r="C42" s="4" t="n">
        <v>0</v>
      </c>
      <c r="D42" s="4" t="n">
        <v>0</v>
      </c>
      <c r="E42" s="4"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8"/>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4" customWidth="1" min="2" max="2"/>
    <col width="14" customWidth="1" min="3" max="3"/>
    <col width="14" customWidth="1" min="4" max="4"/>
    <col width="14" customWidth="1" min="5" max="5"/>
    <col width="3" customWidth="1" min="6" max="6"/>
  </cols>
  <sheetData>
    <row r="1" ht="22" customHeight="1">
      <c r="A1" s="5" t="inlineStr">
        <is>
          <t>CHỈ SỐ TÀI CHÍNH — MWG</t>
        </is>
      </c>
    </row>
    <row r="2" ht="42" customHeight="1">
      <c r="A2" s="6" t="inlineStr">
        <is>
          <t>Khối "CHỈ SỐ TÀI CHÍNH" tính bằng công thức từ khối "DỮ LIỆU TRÍCH XUẤT" bên dưới, không phải số nhập tay. Khối "DỮ LIỆU TRÍCH XUẤT" được dò tự động theo TÊN khoản mục (đúng theo tên gốc trong báo cáo) và theo NĂM từ 3 sheet balance_sheet / income_statement — không tham chiếu ô cố định. Có thể sửa nhãn khoản mục ở cột A khối này nếu công ty đổi tên dòng; công thức sẽ tự dò lại. Các năm được xếp tăng dần từ trái sang phải.</t>
        </is>
      </c>
    </row>
    <row r="3"/>
    <row r="4">
      <c r="A4" s="7" t="inlineStr">
        <is>
          <t>I. CHỈ SỐ TÀI CHÍNH</t>
        </is>
      </c>
      <c r="B4" s="8" t="n"/>
      <c r="C4" s="8" t="n"/>
      <c r="D4" s="8" t="n"/>
      <c r="E4" s="8" t="n"/>
    </row>
    <row r="5">
      <c r="A5" s="9" t="inlineStr">
        <is>
          <t>Chỉ tiêu</t>
        </is>
      </c>
      <c r="B5" s="10">
        <f>'balance_sheet'!E1</f>
        <v/>
      </c>
      <c r="C5" s="10">
        <f>'balance_sheet'!D1</f>
        <v/>
      </c>
      <c r="D5" s="10">
        <f>'balance_sheet'!C1</f>
        <v/>
      </c>
      <c r="E5" s="10">
        <f>'balance_sheet'!B1</f>
        <v/>
      </c>
    </row>
    <row r="6">
      <c r="A6" s="11" t="inlineStr">
        <is>
          <t>1. Khả năng sinh lời</t>
        </is>
      </c>
    </row>
    <row r="7">
      <c r="A7" s="12" t="inlineStr">
        <is>
          <t>ROE (LNST CĐ Cty mẹ / VCSH bình quân)</t>
        </is>
      </c>
      <c r="B7" s="13" t="inlineStr">
        <is>
          <t>n/a</t>
        </is>
      </c>
      <c r="C7" s="14">
        <f>IFERROR(C$54/((C$39+B$39)/2),"n/a")</f>
        <v/>
      </c>
      <c r="D7" s="14">
        <f>IFERROR(D$54/((D$39+C$39)/2),"n/a")</f>
        <v/>
      </c>
      <c r="E7" s="14">
        <f>IFERROR(E$54/((E$39+D$39)/2),"n/a")</f>
        <v/>
      </c>
    </row>
    <row r="8">
      <c r="A8" s="12" t="inlineStr">
        <is>
          <t>ROA (LNST / Tổng tài sản bình quân)</t>
        </is>
      </c>
      <c r="B8" s="13" t="inlineStr">
        <is>
          <t>n/a</t>
        </is>
      </c>
      <c r="C8" s="14">
        <f>IFERROR(C$53/((C$40+B$40)/2),"n/a")</f>
        <v/>
      </c>
      <c r="D8" s="14">
        <f>IFERROR(D$53/((D$40+C$40)/2),"n/a")</f>
        <v/>
      </c>
      <c r="E8" s="14">
        <f>IFERROR(E$53/((E$40+D$40)/2),"n/a")</f>
        <v/>
      </c>
    </row>
    <row r="9">
      <c r="A9" s="12" t="inlineStr">
        <is>
          <t>Tăng trưởng LN Cổ đông Cty mẹ</t>
        </is>
      </c>
      <c r="B9" s="13" t="inlineStr">
        <is>
          <t>n/a</t>
        </is>
      </c>
      <c r="C9" s="14">
        <f>IFERROR((C$54-B$54)/ABS(B$54),"n/a")</f>
        <v/>
      </c>
      <c r="D9" s="14">
        <f>IFERROR((D$54-C$54)/ABS(C$54),"n/a")</f>
        <v/>
      </c>
      <c r="E9" s="14">
        <f>IFERROR((E$54-D$54)/ABS(D$54),"n/a")</f>
        <v/>
      </c>
    </row>
    <row r="10">
      <c r="A10" s="12" t="inlineStr">
        <is>
          <t>Tăng trưởng Doanh thu thuần</t>
        </is>
      </c>
      <c r="B10" s="13" t="inlineStr">
        <is>
          <t>n/a</t>
        </is>
      </c>
      <c r="C10" s="14">
        <f>IFERROR((C$46-B$46)/ABS(B$46),"n/a")</f>
        <v/>
      </c>
      <c r="D10" s="14">
        <f>IFERROR((D$46-C$46)/ABS(C$46),"n/a")</f>
        <v/>
      </c>
      <c r="E10" s="14">
        <f>IFERROR((E$46-D$46)/ABS(D$46),"n/a")</f>
        <v/>
      </c>
    </row>
    <row r="11"/>
    <row r="12">
      <c r="A12" s="11" t="inlineStr">
        <is>
          <t>2. Biên lợi nhuận</t>
        </is>
      </c>
    </row>
    <row r="13">
      <c r="A13" s="12" t="inlineStr">
        <is>
          <t>Biên lợi nhuận gộp</t>
        </is>
      </c>
      <c r="B13" s="14">
        <f>IFERROR(B$48/B$46,"n/a")</f>
        <v/>
      </c>
      <c r="C13" s="14">
        <f>IFERROR(C$48/C$46,"n/a")</f>
        <v/>
      </c>
      <c r="D13" s="14">
        <f>IFERROR(D$48/D$46,"n/a")</f>
        <v/>
      </c>
      <c r="E13" s="14">
        <f>IFERROR(E$48/E$46,"n/a")</f>
        <v/>
      </c>
    </row>
    <row r="14">
      <c r="A14" s="12" t="inlineStr">
        <is>
          <t>Biên lợi nhuận ròng</t>
        </is>
      </c>
      <c r="B14" s="14">
        <f>IFERROR(B$53/B$46,"n/a")</f>
        <v/>
      </c>
      <c r="C14" s="14">
        <f>IFERROR(C$53/C$46,"n/a")</f>
        <v/>
      </c>
      <c r="D14" s="14">
        <f>IFERROR(D$53/D$46,"n/a")</f>
        <v/>
      </c>
      <c r="E14" s="14">
        <f>IFERROR(E$53/E$46,"n/a")</f>
        <v/>
      </c>
    </row>
    <row r="15"/>
    <row r="16">
      <c r="A16" s="11" t="inlineStr">
        <is>
          <t>3. Đòn bẩy tài chính</t>
        </is>
      </c>
    </row>
    <row r="17">
      <c r="A17" s="12" t="inlineStr">
        <is>
          <t>D/E (Nợ vay / Vốn chủ sở hữu)</t>
        </is>
      </c>
      <c r="B17" s="15">
        <f>IFERROR((B$44+B$45)/B$39,"n/a")</f>
        <v/>
      </c>
      <c r="C17" s="15">
        <f>IFERROR((C$44+C$45)/C$39,"n/a")</f>
        <v/>
      </c>
      <c r="D17" s="15">
        <f>IFERROR((D$44+D$45)/D$39,"n/a")</f>
        <v/>
      </c>
      <c r="E17" s="15">
        <f>IFERROR((E$44+E$45)/E$39,"n/a")</f>
        <v/>
      </c>
    </row>
    <row r="18">
      <c r="A18" s="3" t="inlineStr">
        <is>
          <t xml:space="preserve">     - Nợ vay dài hạn/Vốn chủ sở hữu</t>
        </is>
      </c>
      <c r="B18" s="15">
        <f>IFERROR(B$45/B$39,"n/a")</f>
        <v/>
      </c>
      <c r="C18" s="15">
        <f>IFERROR(C$45/C$39,"n/a")</f>
        <v/>
      </c>
      <c r="D18" s="15">
        <f>IFERROR(D$45/D$39,"n/a")</f>
        <v/>
      </c>
      <c r="E18" s="15">
        <f>IFERROR(E$45/E$39,"n/a")</f>
        <v/>
      </c>
    </row>
    <row r="19">
      <c r="A19" s="3" t="inlineStr">
        <is>
          <t xml:space="preserve">     - Nợ vay ngắn hạn/Vốn chủ sở hữu</t>
        </is>
      </c>
      <c r="B19" s="15">
        <f>IFERROR(B$44/B$39,"n/a")</f>
        <v/>
      </c>
      <c r="C19" s="15">
        <f>IFERROR(C$44/C$39,"n/a")</f>
        <v/>
      </c>
      <c r="D19" s="15">
        <f>IFERROR(D$44/D$39,"n/a")</f>
        <v/>
      </c>
      <c r="E19" s="15">
        <f>IFERROR(E$44/E$39,"n/a")</f>
        <v/>
      </c>
    </row>
    <row r="20">
      <c r="A20" s="12" t="inlineStr">
        <is>
          <t>Nợ phải trả/Vốn chủ sở hữu</t>
        </is>
      </c>
      <c r="B20" s="15">
        <f>IFERROR(B$41/B$39,"n/a")</f>
        <v/>
      </c>
      <c r="C20" s="15">
        <f>IFERROR(C$41/C$39,"n/a")</f>
        <v/>
      </c>
      <c r="D20" s="15">
        <f>IFERROR(D$41/D$39,"n/a")</f>
        <v/>
      </c>
      <c r="E20" s="15">
        <f>IFERROR(E$41/E$39,"n/a")</f>
        <v/>
      </c>
    </row>
    <row r="21">
      <c r="A21" s="3" t="inlineStr">
        <is>
          <t xml:space="preserve">     - Nợ dài hạn/Vốn chủ sở hữu</t>
        </is>
      </c>
      <c r="B21" s="15">
        <f>IFERROR(B$43/B$39,"n/a")</f>
        <v/>
      </c>
      <c r="C21" s="15">
        <f>IFERROR(C$43/C$39,"n/a")</f>
        <v/>
      </c>
      <c r="D21" s="15">
        <f>IFERROR(D$43/D$39,"n/a")</f>
        <v/>
      </c>
      <c r="E21" s="15">
        <f>IFERROR(E$43/E$39,"n/a")</f>
        <v/>
      </c>
    </row>
    <row r="22">
      <c r="A22" s="3" t="inlineStr">
        <is>
          <t xml:space="preserve">     - Nợ ngắn hạn/Vốn chủ sở hữu</t>
        </is>
      </c>
      <c r="B22" s="15">
        <f>IFERROR(B$42/B$39,"n/a")</f>
        <v/>
      </c>
      <c r="C22" s="15">
        <f>IFERROR(C$42/C$39,"n/a")</f>
        <v/>
      </c>
      <c r="D22" s="15">
        <f>IFERROR(D$42/D$39,"n/a")</f>
        <v/>
      </c>
      <c r="E22" s="15">
        <f>IFERROR(E$42/E$39,"n/a")</f>
        <v/>
      </c>
    </row>
    <row r="23"/>
    <row r="24">
      <c r="A24" s="11" t="inlineStr">
        <is>
          <t>4. Chi phí &amp; khả năng trả lãi</t>
        </is>
      </c>
    </row>
    <row r="25">
      <c r="A25" s="12" t="inlineStr">
        <is>
          <t>Chi phí bán hàng, quản lý/LN gộp</t>
        </is>
      </c>
      <c r="B25" s="14">
        <f>IFERROR((ABS(B$49)+ABS(B$50))/B$48,"n/a")</f>
        <v/>
      </c>
      <c r="C25" s="14">
        <f>IFERROR((ABS(C$49)+ABS(C$50))/C$48,"n/a")</f>
        <v/>
      </c>
      <c r="D25" s="14">
        <f>IFERROR((ABS(D$49)+ABS(D$50))/D$48,"n/a")</f>
        <v/>
      </c>
      <c r="E25" s="14">
        <f>IFERROR((ABS(E$49)+ABS(E$50))/E$48,"n/a")</f>
        <v/>
      </c>
    </row>
    <row r="26">
      <c r="A26" s="12" t="inlineStr">
        <is>
          <t>Chi phí lãi vay/LN từ hoạt động kinh doanh</t>
        </is>
      </c>
      <c r="B26" s="14">
        <f>IFERROR(ABS(B$52)/B$51,"n/a")</f>
        <v/>
      </c>
      <c r="C26" s="14">
        <f>IFERROR(ABS(C$52)/C$51,"n/a")</f>
        <v/>
      </c>
      <c r="D26" s="14">
        <f>IFERROR(ABS(D$52)/D$51,"n/a")</f>
        <v/>
      </c>
      <c r="E26" s="14">
        <f>IFERROR(ABS(E$52)/E$51,"n/a")</f>
        <v/>
      </c>
    </row>
    <row r="27"/>
    <row r="28">
      <c r="A28" s="11" t="inlineStr">
        <is>
          <t>5. Chu kỳ hoạt động vốn lưu động</t>
        </is>
      </c>
    </row>
    <row r="29">
      <c r="A29" s="12" t="inlineStr">
        <is>
          <t>Số ngày phải trả (DPO)</t>
        </is>
      </c>
      <c r="B29" s="13" t="inlineStr">
        <is>
          <t>n/a</t>
        </is>
      </c>
      <c r="C29" s="16">
        <f>IFERROR(((C$56+B$56)/2)/ABS(C$47)*365,"n/a")</f>
        <v/>
      </c>
      <c r="D29" s="16">
        <f>IFERROR(((D$56+C$56)/2)/ABS(D$47)*365,"n/a")</f>
        <v/>
      </c>
      <c r="E29" s="16">
        <f>IFERROR(((E$56+D$56)/2)/ABS(E$47)*365,"n/a")</f>
        <v/>
      </c>
    </row>
    <row r="30">
      <c r="A30" s="12" t="inlineStr">
        <is>
          <t>Số ngày phải thu (DSO)</t>
        </is>
      </c>
      <c r="B30" s="13" t="inlineStr">
        <is>
          <t>n/a</t>
        </is>
      </c>
      <c r="C30" s="16">
        <f>IFERROR(((C$55+B$55)/2)/C$46*365,"n/a")</f>
        <v/>
      </c>
      <c r="D30" s="16">
        <f>IFERROR(((D$55+C$55)/2)/D$46*365,"n/a")</f>
        <v/>
      </c>
      <c r="E30" s="16">
        <f>IFERROR(((E$55+D$55)/2)/E$46*365,"n/a")</f>
        <v/>
      </c>
    </row>
    <row r="31">
      <c r="A31" s="12" t="inlineStr">
        <is>
          <t>Số ngày tồn kho (DIO)</t>
        </is>
      </c>
      <c r="B31" s="13" t="inlineStr">
        <is>
          <t>n/a</t>
        </is>
      </c>
      <c r="C31" s="16">
        <f>IFERROR(((C$57+B$57)/2)/ABS(C$47)*365,"n/a")</f>
        <v/>
      </c>
      <c r="D31" s="16">
        <f>IFERROR(((D$57+C$57)/2)/ABS(D$47)*365,"n/a")</f>
        <v/>
      </c>
      <c r="E31" s="16">
        <f>IFERROR(((E$57+D$57)/2)/ABS(E$47)*365,"n/a")</f>
        <v/>
      </c>
    </row>
    <row r="32"/>
    <row r="33">
      <c r="A33" s="11" t="inlineStr">
        <is>
          <t>6. Cơ cấu tài sản</t>
        </is>
      </c>
    </row>
    <row r="34">
      <c r="A34" s="12" t="inlineStr">
        <is>
          <t>Tiền và tương đương tiền/Tài sản</t>
        </is>
      </c>
      <c r="B34" s="14">
        <f>IFERROR(B$58/B$40,"n/a")</f>
        <v/>
      </c>
      <c r="C34" s="14">
        <f>IFERROR(C$58/C$40,"n/a")</f>
        <v/>
      </c>
      <c r="D34" s="14">
        <f>IFERROR(D$58/D$40,"n/a")</f>
        <v/>
      </c>
      <c r="E34" s="14">
        <f>IFERROR(E$58/E$40,"n/a")</f>
        <v/>
      </c>
    </row>
    <row r="35">
      <c r="A35" s="12" t="inlineStr">
        <is>
          <t>Hàng tồn kho/Tài sản</t>
        </is>
      </c>
      <c r="B35" s="14">
        <f>IFERROR(B$57/B$40,"n/a")</f>
        <v/>
      </c>
      <c r="C35" s="14">
        <f>IFERROR(C$57/C$40,"n/a")</f>
        <v/>
      </c>
      <c r="D35" s="14">
        <f>IFERROR(D$57/D$40,"n/a")</f>
        <v/>
      </c>
      <c r="E35" s="14">
        <f>IFERROR(E$57/E$40,"n/a")</f>
        <v/>
      </c>
    </row>
    <row r="36"/>
    <row r="37">
      <c r="A37" s="7" t="inlineStr">
        <is>
          <t>II. DỮ LIỆU TRÍCH XUẤT (tự động dò theo tên khoản mục)</t>
        </is>
      </c>
      <c r="B37" s="8" t="n"/>
      <c r="C37" s="8" t="n"/>
      <c r="D37" s="8" t="n"/>
      <c r="E37" s="8" t="n"/>
    </row>
    <row r="38">
      <c r="A38" s="9" t="inlineStr">
        <is>
          <t>Khoản mục</t>
        </is>
      </c>
      <c r="B38" s="10">
        <f>'balance_sheet'!E1</f>
        <v/>
      </c>
      <c r="C38" s="10">
        <f>'balance_sheet'!D1</f>
        <v/>
      </c>
      <c r="D38" s="10">
        <f>'balance_sheet'!C1</f>
        <v/>
      </c>
      <c r="E38" s="10">
        <f>'balance_sheet'!B1</f>
        <v/>
      </c>
    </row>
    <row r="39">
      <c r="A39" s="3" t="inlineStr">
        <is>
          <t>Vốn chủ sở hữu</t>
        </is>
      </c>
      <c r="B39" s="17">
        <f>IFERROR(INDEX(balance_sheet!$B:$E,MATCH("Vốn chủ sở hữu",balance_sheet!$A:$A,0),MATCH(B$38,balance_sheet!$B$1:$E$1,0)),"")</f>
        <v/>
      </c>
      <c r="C39" s="17">
        <f>IFERROR(INDEX(balance_sheet!$B:$E,MATCH("Vốn chủ sở hữu",balance_sheet!$A:$A,0),MATCH(C$38,balance_sheet!$B$1:$E$1,0)),"")</f>
        <v/>
      </c>
      <c r="D39" s="17">
        <f>IFERROR(INDEX(balance_sheet!$B:$E,MATCH("Vốn chủ sở hữu",balance_sheet!$A:$A,0),MATCH(D$38,balance_sheet!$B$1:$E$1,0)),"")</f>
        <v/>
      </c>
      <c r="E39" s="17">
        <f>IFERROR(INDEX(balance_sheet!$B:$E,MATCH("Vốn chủ sở hữu",balance_sheet!$A:$A,0),MATCH(E$38,balance_sheet!$B$1:$E$1,0)),"")</f>
        <v/>
      </c>
    </row>
    <row r="40">
      <c r="A40" s="3" t="inlineStr">
        <is>
          <t>TỔNG CỘNG TÀI SẢN</t>
        </is>
      </c>
      <c r="B40" s="17">
        <f>IFERROR(INDEX(balance_sheet!$B:$E,MATCH("TỔNG CỘNG TÀI SẢN",balance_sheet!$A:$A,0),MATCH(B$38,balance_sheet!$B$1:$E$1,0)),"")</f>
        <v/>
      </c>
      <c r="C40" s="17">
        <f>IFERROR(INDEX(balance_sheet!$B:$E,MATCH("TỔNG CỘNG TÀI SẢN",balance_sheet!$A:$A,0),MATCH(C$38,balance_sheet!$B$1:$E$1,0)),"")</f>
        <v/>
      </c>
      <c r="D40" s="17">
        <f>IFERROR(INDEX(balance_sheet!$B:$E,MATCH("TỔNG CỘNG TÀI SẢN",balance_sheet!$A:$A,0),MATCH(D$38,balance_sheet!$B$1:$E$1,0)),"")</f>
        <v/>
      </c>
      <c r="E40" s="17">
        <f>IFERROR(INDEX(balance_sheet!$B:$E,MATCH("TỔNG CỘNG TÀI SẢN",balance_sheet!$A:$A,0),MATCH(E$38,balance_sheet!$B$1:$E$1,0)),"")</f>
        <v/>
      </c>
    </row>
    <row r="41">
      <c r="A41" s="3" t="inlineStr">
        <is>
          <t>NỢ PHẢI TRẢ</t>
        </is>
      </c>
      <c r="B41" s="17">
        <f>IFERROR(INDEX(balance_sheet!$B:$E,MATCH("NỢ PHẢI TRẢ",balance_sheet!$A:$A,0),MATCH(B$38,balance_sheet!$B$1:$E$1,0)),"")</f>
        <v/>
      </c>
      <c r="C41" s="17">
        <f>IFERROR(INDEX(balance_sheet!$B:$E,MATCH("NỢ PHẢI TRẢ",balance_sheet!$A:$A,0),MATCH(C$38,balance_sheet!$B$1:$E$1,0)),"")</f>
        <v/>
      </c>
      <c r="D41" s="17">
        <f>IFERROR(INDEX(balance_sheet!$B:$E,MATCH("NỢ PHẢI TRẢ",balance_sheet!$A:$A,0),MATCH(D$38,balance_sheet!$B$1:$E$1,0)),"")</f>
        <v/>
      </c>
      <c r="E41" s="17">
        <f>IFERROR(INDEX(balance_sheet!$B:$E,MATCH("NỢ PHẢI TRẢ",balance_sheet!$A:$A,0),MATCH(E$38,balance_sheet!$B$1:$E$1,0)),"")</f>
        <v/>
      </c>
    </row>
    <row r="42">
      <c r="A42" s="3" t="inlineStr">
        <is>
          <t>Nợ ngắn hạn</t>
        </is>
      </c>
      <c r="B42" s="17">
        <f>IFERROR(INDEX(balance_sheet!$B:$E,MATCH("Nợ ngắn hạn",balance_sheet!$A:$A,0),MATCH(B$38,balance_sheet!$B$1:$E$1,0)),"")</f>
        <v/>
      </c>
      <c r="C42" s="17">
        <f>IFERROR(INDEX(balance_sheet!$B:$E,MATCH("Nợ ngắn hạn",balance_sheet!$A:$A,0),MATCH(C$38,balance_sheet!$B$1:$E$1,0)),"")</f>
        <v/>
      </c>
      <c r="D42" s="17">
        <f>IFERROR(INDEX(balance_sheet!$B:$E,MATCH("Nợ ngắn hạn",balance_sheet!$A:$A,0),MATCH(D$38,balance_sheet!$B$1:$E$1,0)),"")</f>
        <v/>
      </c>
      <c r="E42" s="17">
        <f>IFERROR(INDEX(balance_sheet!$B:$E,MATCH("Nợ ngắn hạn",balance_sheet!$A:$A,0),MATCH(E$38,balance_sheet!$B$1:$E$1,0)),"")</f>
        <v/>
      </c>
    </row>
    <row r="43">
      <c r="A43" s="3" t="inlineStr">
        <is>
          <t>Nợ dài hạn</t>
        </is>
      </c>
      <c r="B43" s="17">
        <f>IFERROR(INDEX(balance_sheet!$B:$E,MATCH("Nợ dài hạn",balance_sheet!$A:$A,0),MATCH(B$38,balance_sheet!$B$1:$E$1,0)),"")</f>
        <v/>
      </c>
      <c r="C43" s="17">
        <f>IFERROR(INDEX(balance_sheet!$B:$E,MATCH("Nợ dài hạn",balance_sheet!$A:$A,0),MATCH(C$38,balance_sheet!$B$1:$E$1,0)),"")</f>
        <v/>
      </c>
      <c r="D43" s="17">
        <f>IFERROR(INDEX(balance_sheet!$B:$E,MATCH("Nợ dài hạn",balance_sheet!$A:$A,0),MATCH(D$38,balance_sheet!$B$1:$E$1,0)),"")</f>
        <v/>
      </c>
      <c r="E43" s="17">
        <f>IFERROR(INDEX(balance_sheet!$B:$E,MATCH("Nợ dài hạn",balance_sheet!$A:$A,0),MATCH(E$38,balance_sheet!$B$1:$E$1,0)),"")</f>
        <v/>
      </c>
    </row>
    <row r="44">
      <c r="A44" s="3" t="inlineStr">
        <is>
          <t>Vay ngắn hạn</t>
        </is>
      </c>
      <c r="B44" s="17">
        <f>IFERROR(INDEX(balance_sheet!$B:$E,MATCH("Vay ngắn hạn",balance_sheet!$A:$A,0),MATCH(B$38,balance_sheet!$B$1:$E$1,0)),"")</f>
        <v/>
      </c>
      <c r="C44" s="17">
        <f>IFERROR(INDEX(balance_sheet!$B:$E,MATCH("Vay ngắn hạn",balance_sheet!$A:$A,0),MATCH(C$38,balance_sheet!$B$1:$E$1,0)),"")</f>
        <v/>
      </c>
      <c r="D44" s="17">
        <f>IFERROR(INDEX(balance_sheet!$B:$E,MATCH("Vay ngắn hạn",balance_sheet!$A:$A,0),MATCH(D$38,balance_sheet!$B$1:$E$1,0)),"")</f>
        <v/>
      </c>
      <c r="E44" s="17">
        <f>IFERROR(INDEX(balance_sheet!$B:$E,MATCH("Vay ngắn hạn",balance_sheet!$A:$A,0),MATCH(E$38,balance_sheet!$B$1:$E$1,0)),"")</f>
        <v/>
      </c>
    </row>
    <row r="45">
      <c r="A45" s="3" t="inlineStr">
        <is>
          <t>Vay dài hạn</t>
        </is>
      </c>
      <c r="B45" s="17">
        <f>IFERROR(INDEX(balance_sheet!$B:$E,MATCH("Vay dài hạn",balance_sheet!$A:$A,0),MATCH(B$38,balance_sheet!$B$1:$E$1,0)),"")</f>
        <v/>
      </c>
      <c r="C45" s="17">
        <f>IFERROR(INDEX(balance_sheet!$B:$E,MATCH("Vay dài hạn",balance_sheet!$A:$A,0),MATCH(C$38,balance_sheet!$B$1:$E$1,0)),"")</f>
        <v/>
      </c>
      <c r="D45" s="17">
        <f>IFERROR(INDEX(balance_sheet!$B:$E,MATCH("Vay dài hạn",balance_sheet!$A:$A,0),MATCH(D$38,balance_sheet!$B$1:$E$1,0)),"")</f>
        <v/>
      </c>
      <c r="E45" s="17">
        <f>IFERROR(INDEX(balance_sheet!$B:$E,MATCH("Vay dài hạn",balance_sheet!$A:$A,0),MATCH(E$38,balance_sheet!$B$1:$E$1,0)),"")</f>
        <v/>
      </c>
    </row>
    <row r="46">
      <c r="A46" s="3" t="inlineStr">
        <is>
          <t>Doanh thu thuần</t>
        </is>
      </c>
      <c r="B46" s="17">
        <f>IFERROR(INDEX(income_statement!$B:$E,MATCH("Doanh thu thuần",income_statement!$A:$A,0),MATCH(B$38,income_statement!$B$1:$E$1,0)),"")</f>
        <v/>
      </c>
      <c r="C46" s="17">
        <f>IFERROR(INDEX(income_statement!$B:$E,MATCH("Doanh thu thuần",income_statement!$A:$A,0),MATCH(C$38,income_statement!$B$1:$E$1,0)),"")</f>
        <v/>
      </c>
      <c r="D46" s="17">
        <f>IFERROR(INDEX(income_statement!$B:$E,MATCH("Doanh thu thuần",income_statement!$A:$A,0),MATCH(D$38,income_statement!$B$1:$E$1,0)),"")</f>
        <v/>
      </c>
      <c r="E46" s="17">
        <f>IFERROR(INDEX(income_statement!$B:$E,MATCH("Doanh thu thuần",income_statement!$A:$A,0),MATCH(E$38,income_statement!$B$1:$E$1,0)),"")</f>
        <v/>
      </c>
    </row>
    <row r="47">
      <c r="A47" s="3" t="inlineStr">
        <is>
          <t>Giá vốn hàng bán</t>
        </is>
      </c>
      <c r="B47" s="17">
        <f>IFERROR(INDEX(income_statement!$B:$E,MATCH("Giá vốn hàng bán",income_statement!$A:$A,0),MATCH(B$38,income_statement!$B$1:$E$1,0)),"")</f>
        <v/>
      </c>
      <c r="C47" s="17">
        <f>IFERROR(INDEX(income_statement!$B:$E,MATCH("Giá vốn hàng bán",income_statement!$A:$A,0),MATCH(C$38,income_statement!$B$1:$E$1,0)),"")</f>
        <v/>
      </c>
      <c r="D47" s="17">
        <f>IFERROR(INDEX(income_statement!$B:$E,MATCH("Giá vốn hàng bán",income_statement!$A:$A,0),MATCH(D$38,income_statement!$B$1:$E$1,0)),"")</f>
        <v/>
      </c>
      <c r="E47" s="17">
        <f>IFERROR(INDEX(income_statement!$B:$E,MATCH("Giá vốn hàng bán",income_statement!$A:$A,0),MATCH(E$38,income_statement!$B$1:$E$1,0)),"")</f>
        <v/>
      </c>
    </row>
    <row r="48">
      <c r="A48" s="3" t="inlineStr">
        <is>
          <t>Lợi nhuận gộp</t>
        </is>
      </c>
      <c r="B48" s="17">
        <f>IFERROR(INDEX(income_statement!$B:$E,MATCH("Lợi nhuận gộp",income_statement!$A:$A,0),MATCH(B$38,income_statement!$B$1:$E$1,0)),"")</f>
        <v/>
      </c>
      <c r="C48" s="17">
        <f>IFERROR(INDEX(income_statement!$B:$E,MATCH("Lợi nhuận gộp",income_statement!$A:$A,0),MATCH(C$38,income_statement!$B$1:$E$1,0)),"")</f>
        <v/>
      </c>
      <c r="D48" s="17">
        <f>IFERROR(INDEX(income_statement!$B:$E,MATCH("Lợi nhuận gộp",income_statement!$A:$A,0),MATCH(D$38,income_statement!$B$1:$E$1,0)),"")</f>
        <v/>
      </c>
      <c r="E48" s="17">
        <f>IFERROR(INDEX(income_statement!$B:$E,MATCH("Lợi nhuận gộp",income_statement!$A:$A,0),MATCH(E$38,income_statement!$B$1:$E$1,0)),"")</f>
        <v/>
      </c>
    </row>
    <row r="49">
      <c r="A49" s="3" t="inlineStr">
        <is>
          <t>Chi phí bán hàng</t>
        </is>
      </c>
      <c r="B49" s="17">
        <f>IFERROR(INDEX(income_statement!$B:$E,MATCH("Chi phí bán hàng",income_statement!$A:$A,0),MATCH(B$38,income_statement!$B$1:$E$1,0)),"")</f>
        <v/>
      </c>
      <c r="C49" s="17">
        <f>IFERROR(INDEX(income_statement!$B:$E,MATCH("Chi phí bán hàng",income_statement!$A:$A,0),MATCH(C$38,income_statement!$B$1:$E$1,0)),"")</f>
        <v/>
      </c>
      <c r="D49" s="17">
        <f>IFERROR(INDEX(income_statement!$B:$E,MATCH("Chi phí bán hàng",income_statement!$A:$A,0),MATCH(D$38,income_statement!$B$1:$E$1,0)),"")</f>
        <v/>
      </c>
      <c r="E49" s="17">
        <f>IFERROR(INDEX(income_statement!$B:$E,MATCH("Chi phí bán hàng",income_statement!$A:$A,0),MATCH(E$38,income_statement!$B$1:$E$1,0)),"")</f>
        <v/>
      </c>
    </row>
    <row r="50">
      <c r="A50" s="3" t="inlineStr">
        <is>
          <t>Chi phí quản lý doanh nghiệp</t>
        </is>
      </c>
      <c r="B50" s="17">
        <f>IFERROR(INDEX(income_statement!$B:$E,MATCH("Chi phí quản lý doanh nghiệp",income_statement!$A:$A,0),MATCH(B$38,income_statement!$B$1:$E$1,0)),"")</f>
        <v/>
      </c>
      <c r="C50" s="17">
        <f>IFERROR(INDEX(income_statement!$B:$E,MATCH("Chi phí quản lý doanh nghiệp",income_statement!$A:$A,0),MATCH(C$38,income_statement!$B$1:$E$1,0)),"")</f>
        <v/>
      </c>
      <c r="D50" s="17">
        <f>IFERROR(INDEX(income_statement!$B:$E,MATCH("Chi phí quản lý doanh nghiệp",income_statement!$A:$A,0),MATCH(D$38,income_statement!$B$1:$E$1,0)),"")</f>
        <v/>
      </c>
      <c r="E50" s="17">
        <f>IFERROR(INDEX(income_statement!$B:$E,MATCH("Chi phí quản lý doanh nghiệp",income_statement!$A:$A,0),MATCH(E$38,income_statement!$B$1:$E$1,0)),"")</f>
        <v/>
      </c>
    </row>
    <row r="51">
      <c r="A51" s="3" t="inlineStr">
        <is>
          <t>Lãi/(lỗ) từ hoạt động kinh doanh</t>
        </is>
      </c>
      <c r="B51" s="17">
        <f>IFERROR(INDEX(income_statement!$B:$E,MATCH("Lãi/(lỗ) từ hoạt động kinh doanh",income_statement!$A:$A,0),MATCH(B$38,income_statement!$B$1:$E$1,0)),"")</f>
        <v/>
      </c>
      <c r="C51" s="17">
        <f>IFERROR(INDEX(income_statement!$B:$E,MATCH("Lãi/(lỗ) từ hoạt động kinh doanh",income_statement!$A:$A,0),MATCH(C$38,income_statement!$B$1:$E$1,0)),"")</f>
        <v/>
      </c>
      <c r="D51" s="17">
        <f>IFERROR(INDEX(income_statement!$B:$E,MATCH("Lãi/(lỗ) từ hoạt động kinh doanh",income_statement!$A:$A,0),MATCH(D$38,income_statement!$B$1:$E$1,0)),"")</f>
        <v/>
      </c>
      <c r="E51" s="17">
        <f>IFERROR(INDEX(income_statement!$B:$E,MATCH("Lãi/(lỗ) từ hoạt động kinh doanh",income_statement!$A:$A,0),MATCH(E$38,income_statement!$B$1:$E$1,0)),"")</f>
        <v/>
      </c>
    </row>
    <row r="52">
      <c r="A52" s="3" t="inlineStr">
        <is>
          <t>Chi phí lãi vay</t>
        </is>
      </c>
      <c r="B52" s="17">
        <f>IFERROR(INDEX(income_statement!$B:$E,MATCH("Chi phí lãi vay",income_statement!$A:$A,0),MATCH(B$38,income_statement!$B$1:$E$1,0)),"")</f>
        <v/>
      </c>
      <c r="C52" s="17">
        <f>IFERROR(INDEX(income_statement!$B:$E,MATCH("Chi phí lãi vay",income_statement!$A:$A,0),MATCH(C$38,income_statement!$B$1:$E$1,0)),"")</f>
        <v/>
      </c>
      <c r="D52" s="17">
        <f>IFERROR(INDEX(income_statement!$B:$E,MATCH("Chi phí lãi vay",income_statement!$A:$A,0),MATCH(D$38,income_statement!$B$1:$E$1,0)),"")</f>
        <v/>
      </c>
      <c r="E52" s="17">
        <f>IFERROR(INDEX(income_statement!$B:$E,MATCH("Chi phí lãi vay",income_statement!$A:$A,0),MATCH(E$38,income_statement!$B$1:$E$1,0)),"")</f>
        <v/>
      </c>
    </row>
    <row r="53">
      <c r="A53" s="3" t="inlineStr">
        <is>
          <t>Lãi/(lỗ) thuần sau thuế</t>
        </is>
      </c>
      <c r="B53" s="17">
        <f>IFERROR(INDEX(income_statement!$B:$E,MATCH("Lãi/(lỗ) thuần sau thuế",income_statement!$A:$A,0),MATCH(B$38,income_statement!$B$1:$E$1,0)),"")</f>
        <v/>
      </c>
      <c r="C53" s="17">
        <f>IFERROR(INDEX(income_statement!$B:$E,MATCH("Lãi/(lỗ) thuần sau thuế",income_statement!$A:$A,0),MATCH(C$38,income_statement!$B$1:$E$1,0)),"")</f>
        <v/>
      </c>
      <c r="D53" s="17">
        <f>IFERROR(INDEX(income_statement!$B:$E,MATCH("Lãi/(lỗ) thuần sau thuế",income_statement!$A:$A,0),MATCH(D$38,income_statement!$B$1:$E$1,0)),"")</f>
        <v/>
      </c>
      <c r="E53" s="17">
        <f>IFERROR(INDEX(income_statement!$B:$E,MATCH("Lãi/(lỗ) thuần sau thuế",income_statement!$A:$A,0),MATCH(E$38,income_statement!$B$1:$E$1,0)),"")</f>
        <v/>
      </c>
    </row>
    <row r="54">
      <c r="A54" s="3" t="inlineStr">
        <is>
          <t>Lợi nhuận của Cổ đông của Công ty mẹ</t>
        </is>
      </c>
      <c r="B54" s="17">
        <f>IFERROR(INDEX(income_statement!$B:$E,MATCH("Lợi nhuận của Cổ đông của Công ty mẹ",income_statement!$A:$A,0),MATCH(B$38,income_statement!$B$1:$E$1,0)),"")</f>
        <v/>
      </c>
      <c r="C54" s="17">
        <f>IFERROR(INDEX(income_statement!$B:$E,MATCH("Lợi nhuận của Cổ đông của Công ty mẹ",income_statement!$A:$A,0),MATCH(C$38,income_statement!$B$1:$E$1,0)),"")</f>
        <v/>
      </c>
      <c r="D54" s="17">
        <f>IFERROR(INDEX(income_statement!$B:$E,MATCH("Lợi nhuận của Cổ đông của Công ty mẹ",income_statement!$A:$A,0),MATCH(D$38,income_statement!$B$1:$E$1,0)),"")</f>
        <v/>
      </c>
      <c r="E54" s="17">
        <f>IFERROR(INDEX(income_statement!$B:$E,MATCH("Lợi nhuận của Cổ đông của Công ty mẹ",income_statement!$A:$A,0),MATCH(E$38,income_statement!$B$1:$E$1,0)),"")</f>
        <v/>
      </c>
    </row>
    <row r="55">
      <c r="A55" s="3" t="inlineStr">
        <is>
          <t>Phải thu khách hàng</t>
        </is>
      </c>
      <c r="B55" s="17">
        <f>IFERROR(INDEX(balance_sheet!$B:$E,MATCH("Phải thu khách hàng",balance_sheet!$A:$A,0),MATCH(B$38,balance_sheet!$B$1:$E$1,0)),"")</f>
        <v/>
      </c>
      <c r="C55" s="17">
        <f>IFERROR(INDEX(balance_sheet!$B:$E,MATCH("Phải thu khách hàng",balance_sheet!$A:$A,0),MATCH(C$38,balance_sheet!$B$1:$E$1,0)),"")</f>
        <v/>
      </c>
      <c r="D55" s="17">
        <f>IFERROR(INDEX(balance_sheet!$B:$E,MATCH("Phải thu khách hàng",balance_sheet!$A:$A,0),MATCH(D$38,balance_sheet!$B$1:$E$1,0)),"")</f>
        <v/>
      </c>
      <c r="E55" s="17">
        <f>IFERROR(INDEX(balance_sheet!$B:$E,MATCH("Phải thu khách hàng",balance_sheet!$A:$A,0),MATCH(E$38,balance_sheet!$B$1:$E$1,0)),"")</f>
        <v/>
      </c>
    </row>
    <row r="56">
      <c r="A56" s="3" t="inlineStr">
        <is>
          <t>Phải trả người bán</t>
        </is>
      </c>
      <c r="B56" s="17">
        <f>IFERROR(INDEX(balance_sheet!$B:$E,MATCH("Phải trả người bán",balance_sheet!$A:$A,0),MATCH(B$38,balance_sheet!$B$1:$E$1,0)),"")</f>
        <v/>
      </c>
      <c r="C56" s="17">
        <f>IFERROR(INDEX(balance_sheet!$B:$E,MATCH("Phải trả người bán",balance_sheet!$A:$A,0),MATCH(C$38,balance_sheet!$B$1:$E$1,0)),"")</f>
        <v/>
      </c>
      <c r="D56" s="17">
        <f>IFERROR(INDEX(balance_sheet!$B:$E,MATCH("Phải trả người bán",balance_sheet!$A:$A,0),MATCH(D$38,balance_sheet!$B$1:$E$1,0)),"")</f>
        <v/>
      </c>
      <c r="E56" s="17">
        <f>IFERROR(INDEX(balance_sheet!$B:$E,MATCH("Phải trả người bán",balance_sheet!$A:$A,0),MATCH(E$38,balance_sheet!$B$1:$E$1,0)),"")</f>
        <v/>
      </c>
    </row>
    <row r="57">
      <c r="A57" s="3" t="inlineStr">
        <is>
          <t>Hàng tồn kho, ròng</t>
        </is>
      </c>
      <c r="B57" s="17">
        <f>IFERROR(INDEX(balance_sheet!$B:$E,MATCH("Hàng tồn kho, ròng",balance_sheet!$A:$A,0),MATCH(B$38,balance_sheet!$B$1:$E$1,0)),"")</f>
        <v/>
      </c>
      <c r="C57" s="17">
        <f>IFERROR(INDEX(balance_sheet!$B:$E,MATCH("Hàng tồn kho, ròng",balance_sheet!$A:$A,0),MATCH(C$38,balance_sheet!$B$1:$E$1,0)),"")</f>
        <v/>
      </c>
      <c r="D57" s="17">
        <f>IFERROR(INDEX(balance_sheet!$B:$E,MATCH("Hàng tồn kho, ròng",balance_sheet!$A:$A,0),MATCH(D$38,balance_sheet!$B$1:$E$1,0)),"")</f>
        <v/>
      </c>
      <c r="E57" s="17">
        <f>IFERROR(INDEX(balance_sheet!$B:$E,MATCH("Hàng tồn kho, ròng",balance_sheet!$A:$A,0),MATCH(E$38,balance_sheet!$B$1:$E$1,0)),"")</f>
        <v/>
      </c>
    </row>
    <row r="58">
      <c r="A58" s="3" t="inlineStr">
        <is>
          <t>Tiền và tương đương tiền</t>
        </is>
      </c>
      <c r="B58" s="17">
        <f>IFERROR(INDEX(balance_sheet!$B:$E,MATCH("Tiền và tương đương tiền",balance_sheet!$A:$A,0),MATCH(B$38,balance_sheet!$B$1:$E$1,0)),"")</f>
        <v/>
      </c>
      <c r="C58" s="17">
        <f>IFERROR(INDEX(balance_sheet!$B:$E,MATCH("Tiền và tương đương tiền",balance_sheet!$A:$A,0),MATCH(C$38,balance_sheet!$B$1:$E$1,0)),"")</f>
        <v/>
      </c>
      <c r="D58" s="17">
        <f>IFERROR(INDEX(balance_sheet!$B:$E,MATCH("Tiền và tương đương tiền",balance_sheet!$A:$A,0),MATCH(D$38,balance_sheet!$B$1:$E$1,0)),"")</f>
        <v/>
      </c>
      <c r="E58" s="17">
        <f>IFERROR(INDEX(balance_sheet!$B:$E,MATCH("Tiền và tương đương tiền",balance_sheet!$A:$A,0),MATCH(E$38,balance_sheet!$B$1:$E$1,0)),"")</f>
        <v/>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2026-08-18T09:49:21Z</dcterms:created>
  <dcterms:modified xsi:type="dcterms:W3CDTF">2026-08-18T09:49:21Z</dcterms:modified>
</cp:coreProperties>
</file>
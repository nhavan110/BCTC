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\-"/>
    <numFmt numFmtId="167" formatCode="0.00\x"/>
    <numFmt numFmtId="168" formatCode="_(* #,##0_);_(* \(#,##0\);_(* &quot;-&quot;??_);_(@_)"/>
  </numFmts>
  <fonts count="16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0" pivotButton="0" quotePrefix="0" xfId="0"/>
    <xf numFmtId="0" fontId="8" fillId="4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166" fontId="10" fillId="0" borderId="4" pivotButton="0" quotePrefix="0" xfId="0"/>
    <xf numFmtId="0" fontId="11" fillId="0" borderId="4" pivotButton="0" quotePrefix="0" xfId="0"/>
    <xf numFmtId="166" fontId="11" fillId="0" borderId="4" pivotButton="0" quotePrefix="0" xfId="0"/>
    <xf numFmtId="9" fontId="11" fillId="0" borderId="4" pivotButton="0" quotePrefix="0" xfId="0"/>
    <xf numFmtId="166" fontId="11" fillId="0" borderId="0" pivotButton="0" quotePrefix="0" xfId="0"/>
    <xf numFmtId="166" fontId="10" fillId="0" borderId="0" pivotButton="0" quotePrefix="0" xfId="0"/>
    <xf numFmtId="0" fontId="12" fillId="0" borderId="5" pivotButton="0" quotePrefix="0" xfId="0"/>
    <xf numFmtId="0" fontId="12" fillId="0" borderId="4" pivotButton="0" quotePrefix="0" xfId="0"/>
    <xf numFmtId="0" fontId="13" fillId="0" borderId="3" pivotButton="0" quotePrefix="0" xfId="0"/>
    <xf numFmtId="1" fontId="4" fillId="0" borderId="3" applyAlignment="1" pivotButton="0" quotePrefix="0" xfId="0">
      <alignment horizontal="center"/>
    </xf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0" fontId="14" fillId="0" borderId="3" pivotButton="0" quotePrefix="0" xfId="0"/>
    <xf numFmtId="3" fontId="14" fillId="0" borderId="3" pivotButton="0" quotePrefix="0" xfId="0"/>
    <xf numFmtId="3" fontId="14" fillId="0" borderId="0" pivotButton="0" quotePrefix="0" xfId="0"/>
    <xf numFmtId="41" fontId="14" fillId="0" borderId="3" pivotButton="0" quotePrefix="0" xfId="0"/>
    <xf numFmtId="41" fontId="14" fillId="0" borderId="0" pivotButton="0" quotePrefix="0" xfId="0"/>
    <xf numFmtId="43" fontId="14" fillId="0" borderId="0" pivotButton="0" quotePrefix="0" xfId="0"/>
    <xf numFmtId="9" fontId="14" fillId="0" borderId="0" pivotButton="0" quotePrefix="0" xfId="0"/>
    <xf numFmtId="1" fontId="14" fillId="0" borderId="0" pivotButton="0" quotePrefix="0" xfId="0"/>
    <xf numFmtId="0" fontId="15" fillId="0" borderId="3" pivotButton="0" quotePrefix="0" xfId="0"/>
    <xf numFmtId="168" fontId="15" fillId="0" borderId="3" pivotButton="0" quotePrefix="0" xfId="0"/>
    <xf numFmtId="43" fontId="15" fillId="0" borderId="3" pivotButton="0" quotePrefix="0" xfId="0"/>
    <xf numFmtId="0" fontId="15" fillId="0" borderId="0" pivotButton="0" quotePrefix="0" xfId="0"/>
    <xf numFmtId="9" fontId="14" fillId="0" borderId="3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38.33203125" customWidth="1" min="1" max="1"/>
    <col width="17.44140625" customWidth="1" min="2" max="2"/>
    <col width="21.88671875" customWidth="1" min="9" max="9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>
        <f>I39+0.95*J51</f>
        <v/>
      </c>
    </row>
    <row r="40">
      <c r="A40" s="20" t="inlineStr">
        <is>
          <t>Tăng VCSH/LN cổ đông cty mẹ</t>
        </is>
      </c>
      <c r="B40" s="21" t="n"/>
      <c r="C40" s="22">
        <f>(C39-B39)/C51</f>
        <v/>
      </c>
      <c r="D40" s="22">
        <f>(D39-C39)/D51</f>
        <v/>
      </c>
      <c r="E40" s="22">
        <f>(E39-D39)/E51</f>
        <v/>
      </c>
      <c r="F40" s="22">
        <f>(F39-E39)/F51</f>
        <v/>
      </c>
      <c r="G40" s="22">
        <f>(G39-F39)/G51</f>
        <v/>
      </c>
      <c r="H40" s="22">
        <f>(H39-G39)/H51</f>
        <v/>
      </c>
      <c r="I40" s="22">
        <f>(I39-H39)/I51</f>
        <v/>
      </c>
      <c r="J40" s="23" t="n"/>
    </row>
    <row r="41">
      <c r="A41" s="15" t="inlineStr">
        <is>
          <t>Lợi ích cổ đông không kiểm soát</t>
        </is>
      </c>
      <c r="B41" s="19">
        <f>IFERROR(INDEX(balance_sheet!$B:$I,MATCH("Lợi ích cổ đông không kiểm soát",balance_sheet!$A:$A,0),MATCH(B$23,balance_sheet!$B$1:$I$1,0)),"")</f>
        <v/>
      </c>
      <c r="C41" s="19">
        <f>IFERROR(INDEX(balance_sheet!$B:$I,MATCH("Lợi ích cổ đông không kiểm soát",balance_sheet!$A:$A,0),MATCH(C$23,balance_sheet!$B$1:$I$1,0)),"")</f>
        <v/>
      </c>
      <c r="D41" s="19">
        <f>IFERROR(INDEX(balance_sheet!$B:$I,MATCH("Lợi ích cổ đông không kiểm soát",balance_sheet!$A:$A,0),MATCH(D$23,balance_sheet!$B$1:$I$1,0)),"")</f>
        <v/>
      </c>
      <c r="E41" s="19">
        <f>IFERROR(INDEX(balance_sheet!$B:$I,MATCH("Lợi ích cổ đông không kiểm soát",balance_sheet!$A:$A,0),MATCH(E$23,balance_sheet!$B$1:$I$1,0)),"")</f>
        <v/>
      </c>
      <c r="F41" s="19">
        <f>IFERROR(INDEX(balance_sheet!$B:$I,MATCH("Lợi ích cổ đông không kiểm soát",balance_sheet!$A:$A,0),MATCH(F$23,balance_sheet!$B$1:$I$1,0)),"")</f>
        <v/>
      </c>
      <c r="G41" s="19">
        <f>IFERROR(INDEX(balance_sheet!$B:$I,MATCH("Lợi ích cổ đông không kiểm soát",balance_sheet!$A:$A,0),MATCH(G$23,balance_sheet!$B$1:$I$1,0)),"")</f>
        <v/>
      </c>
      <c r="H41" s="19">
        <f>IFERROR(INDEX(balance_sheet!$B:$I,MATCH("Lợi ích cổ đông không kiểm soát",balance_sheet!$A:$A,0),MATCH(H$23,balance_sheet!$B$1:$I$1,0)),"")</f>
        <v/>
      </c>
      <c r="I41" s="19">
        <f>IFERROR(INDEX(balance_sheet!$B:$I,MATCH("Lợi ích cổ đông không kiểm soát",balance_sheet!$A:$A,0),MATCH(I$23,balance_sheet!$B$1:$I$1,0)),"")</f>
        <v/>
      </c>
      <c r="J41" s="24" t="n"/>
    </row>
    <row r="42">
      <c r="A42" s="25" t="inlineStr">
        <is>
          <t>Kết quả hoạt động kinh doanh</t>
        </is>
      </c>
    </row>
    <row r="43">
      <c r="A43" s="15" t="inlineStr">
        <is>
          <t>Doanh thu thuần</t>
        </is>
      </c>
      <c r="B43" s="19">
        <f>IFERROR(INDEX(income_statement!$B:$I,MATCH("Doanh thu thuần",income_statement!$A:$A,0),MATCH(B$23,income_statement!$B$1:$I$1,0)),"")</f>
        <v/>
      </c>
      <c r="C43" s="19">
        <f>IFERROR(INDEX(income_statement!$B:$I,MATCH("Doanh thu thuần",income_statement!$A:$A,0),MATCH(C$23,income_statement!$B$1:$I$1,0)),"")</f>
        <v/>
      </c>
      <c r="D43" s="19">
        <f>IFERROR(INDEX(income_statement!$B:$I,MATCH("Doanh thu thuần",income_statement!$A:$A,0),MATCH(D$23,income_statement!$B$1:$I$1,0)),"")</f>
        <v/>
      </c>
      <c r="E43" s="19">
        <f>IFERROR(INDEX(income_statement!$B:$I,MATCH("Doanh thu thuần",income_statement!$A:$A,0),MATCH(E$23,income_statement!$B$1:$I$1,0)),"")</f>
        <v/>
      </c>
      <c r="F43" s="19">
        <f>IFERROR(INDEX(income_statement!$B:$I,MATCH("Doanh thu thuần",income_statement!$A:$A,0),MATCH(F$23,income_statement!$B$1:$I$1,0)),"")</f>
        <v/>
      </c>
      <c r="G43" s="19">
        <f>IFERROR(INDEX(income_statement!$B:$I,MATCH("Doanh thu thuần",income_statement!$A:$A,0),MATCH(G$23,income_statement!$B$1:$I$1,0)),"")</f>
        <v/>
      </c>
      <c r="H43" s="19">
        <f>IFERROR(INDEX(income_statement!$B:$I,MATCH("Doanh thu thuần",income_statement!$A:$A,0),MATCH(H$23,income_statement!$B$1:$I$1,0)),"")</f>
        <v/>
      </c>
      <c r="I43" s="19">
        <f>IFERROR(INDEX(income_statement!$B:$I,MATCH("Doanh thu thuần",income_statement!$A:$A,0),MATCH(I$23,income_statement!$B$1:$I$1,0)),"")</f>
        <v/>
      </c>
      <c r="J43" s="19" t="n">
        <v>210000000000000</v>
      </c>
    </row>
    <row r="44">
      <c r="A44" s="17" t="inlineStr">
        <is>
          <t>Giá vốn hàng bán</t>
        </is>
      </c>
      <c r="B44" s="18">
        <f>IFERROR(INDEX(income_statement!$B:$I,MATCH("Giá vốn hàng bán",income_statement!$A:$A,0),MATCH(B$23,income_statement!$B$1:$I$1,0)),"")</f>
        <v/>
      </c>
      <c r="C44" s="18">
        <f>IFERROR(INDEX(income_statement!$B:$I,MATCH("Giá vốn hàng bán",income_statement!$A:$A,0),MATCH(C$23,income_statement!$B$1:$I$1,0)),"")</f>
        <v/>
      </c>
      <c r="D44" s="18">
        <f>IFERROR(INDEX(income_statement!$B:$I,MATCH("Giá vốn hàng bán",income_statement!$A:$A,0),MATCH(D$23,income_statement!$B$1:$I$1,0)),"")</f>
        <v/>
      </c>
      <c r="E44" s="18">
        <f>IFERROR(INDEX(income_statement!$B:$I,MATCH("Giá vốn hàng bán",income_statement!$A:$A,0),MATCH(E$23,income_statement!$B$1:$I$1,0)),"")</f>
        <v/>
      </c>
      <c r="F44" s="18">
        <f>IFERROR(INDEX(income_statement!$B:$I,MATCH("Giá vốn hàng bán",income_statement!$A:$A,0),MATCH(F$23,income_statement!$B$1:$I$1,0)),"")</f>
        <v/>
      </c>
      <c r="G44" s="18">
        <f>IFERROR(INDEX(income_statement!$B:$I,MATCH("Giá vốn hàng bán",income_statement!$A:$A,0),MATCH(G$23,income_statement!$B$1:$I$1,0)),"")</f>
        <v/>
      </c>
      <c r="H44" s="18">
        <f>IFERROR(INDEX(income_statement!$B:$I,MATCH("Giá vốn hàng bán",income_statement!$A:$A,0),MATCH(H$23,income_statement!$B$1:$I$1,0)),"")</f>
        <v/>
      </c>
      <c r="I44" s="18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19">
        <f>IFERROR(INDEX(income_statement!$B:$I,MATCH("Lợi nhuận gộp",income_statement!$A:$A,0),MATCH(B$23,income_statement!$B$1:$I$1,0)),"")</f>
        <v/>
      </c>
      <c r="C45" s="19">
        <f>IFERROR(INDEX(income_statement!$B:$I,MATCH("Lợi nhuận gộp",income_statement!$A:$A,0),MATCH(C$23,income_statement!$B$1:$I$1,0)),"")</f>
        <v/>
      </c>
      <c r="D45" s="19">
        <f>IFERROR(INDEX(income_statement!$B:$I,MATCH("Lợi nhuận gộp",income_statement!$A:$A,0),MATCH(D$23,income_statement!$B$1:$I$1,0)),"")</f>
        <v/>
      </c>
      <c r="E45" s="19">
        <f>IFERROR(INDEX(income_statement!$B:$I,MATCH("Lợi nhuận gộp",income_statement!$A:$A,0),MATCH(E$23,income_statement!$B$1:$I$1,0)),"")</f>
        <v/>
      </c>
      <c r="F45" s="19">
        <f>IFERROR(INDEX(income_statement!$B:$I,MATCH("Lợi nhuận gộp",income_statement!$A:$A,0),MATCH(F$23,income_statement!$B$1:$I$1,0)),"")</f>
        <v/>
      </c>
      <c r="G45" s="19">
        <f>IFERROR(INDEX(income_statement!$B:$I,MATCH("Lợi nhuận gộp",income_statement!$A:$A,0),MATCH(G$23,income_statement!$B$1:$I$1,0)),"")</f>
        <v/>
      </c>
      <c r="H45" s="19">
        <f>IFERROR(INDEX(income_statement!$B:$I,MATCH("Lợi nhuận gộp",income_statement!$A:$A,0),MATCH(H$23,income_statement!$B$1:$I$1,0)),"")</f>
        <v/>
      </c>
      <c r="I45" s="19">
        <f>IFERROR(INDEX(income_statement!$B:$I,MATCH("Lợi nhuận gộp",income_statement!$A:$A,0),MATCH(I$23,income_statement!$B$1:$I$1,0)),"")</f>
        <v/>
      </c>
    </row>
    <row r="46">
      <c r="A46" s="17" t="inlineStr">
        <is>
          <t>Chi phí bán hàng</t>
        </is>
      </c>
      <c r="B46" s="18">
        <f>IFERROR(INDEX(income_statement!$B:$I,MATCH("Chi phí bán hàng",income_statement!$A:$A,0),MATCH(B$23,income_statement!$B$1:$I$1,0)),"")</f>
        <v/>
      </c>
      <c r="C46" s="18">
        <f>IFERROR(INDEX(income_statement!$B:$I,MATCH("Chi phí bán hàng",income_statement!$A:$A,0),MATCH(C$23,income_statement!$B$1:$I$1,0)),"")</f>
        <v/>
      </c>
      <c r="D46" s="18">
        <f>IFERROR(INDEX(income_statement!$B:$I,MATCH("Chi phí bán hàng",income_statement!$A:$A,0),MATCH(D$23,income_statement!$B$1:$I$1,0)),"")</f>
        <v/>
      </c>
      <c r="E46" s="18">
        <f>IFERROR(INDEX(income_statement!$B:$I,MATCH("Chi phí bán hàng",income_statement!$A:$A,0),MATCH(E$23,income_statement!$B$1:$I$1,0)),"")</f>
        <v/>
      </c>
      <c r="F46" s="18">
        <f>IFERROR(INDEX(income_statement!$B:$I,MATCH("Chi phí bán hàng",income_statement!$A:$A,0),MATCH(F$23,income_statement!$B$1:$I$1,0)),"")</f>
        <v/>
      </c>
      <c r="G46" s="18">
        <f>IFERROR(INDEX(income_statement!$B:$I,MATCH("Chi phí bán hàng",income_statement!$A:$A,0),MATCH(G$23,income_statement!$B$1:$I$1,0)),"")</f>
        <v/>
      </c>
      <c r="H46" s="18">
        <f>IFERROR(INDEX(income_statement!$B:$I,MATCH("Chi phí bán hàng",income_statement!$A:$A,0),MATCH(H$23,income_statement!$B$1:$I$1,0)),"")</f>
        <v/>
      </c>
      <c r="I46" s="18">
        <f>IFERROR(INDEX(income_statement!$B:$I,MATCH("Chi phí bán hàng",income_statement!$A:$A,0),MATCH(I$23,income_statement!$B$1:$I$1,0)),"")</f>
        <v/>
      </c>
    </row>
    <row r="47">
      <c r="A47" s="17" t="inlineStr">
        <is>
          <t>Chi phí quản lý doanh nghiệp</t>
        </is>
      </c>
      <c r="B47" s="18">
        <f>IFERROR(INDEX(income_statement!$B:$I,MATCH("Chi phí quản lý doanh nghiệp",income_statement!$A:$A,0),MATCH(B$23,income_statement!$B$1:$I$1,0)),"")</f>
        <v/>
      </c>
      <c r="C47" s="18">
        <f>IFERROR(INDEX(income_statement!$B:$I,MATCH("Chi phí quản lý doanh nghiệp",income_statement!$A:$A,0),MATCH(C$23,income_statement!$B$1:$I$1,0)),"")</f>
        <v/>
      </c>
      <c r="D47" s="18">
        <f>IFERROR(INDEX(income_statement!$B:$I,MATCH("Chi phí quản lý doanh nghiệp",income_statement!$A:$A,0),MATCH(D$23,income_statement!$B$1:$I$1,0)),"")</f>
        <v/>
      </c>
      <c r="E47" s="18">
        <f>IFERROR(INDEX(income_statement!$B:$I,MATCH("Chi phí quản lý doanh nghiệp",income_statement!$A:$A,0),MATCH(E$23,income_statement!$B$1:$I$1,0)),"")</f>
        <v/>
      </c>
      <c r="F47" s="18">
        <f>IFERROR(INDEX(income_statement!$B:$I,MATCH("Chi phí quản lý doanh nghiệp",income_statement!$A:$A,0),MATCH(F$23,income_statement!$B$1:$I$1,0)),"")</f>
        <v/>
      </c>
      <c r="G47" s="18">
        <f>IFERROR(INDEX(income_statement!$B:$I,MATCH("Chi phí quản lý doanh nghiệp",income_statement!$A:$A,0),MATCH(G$23,income_statement!$B$1:$I$1,0)),"")</f>
        <v/>
      </c>
      <c r="H47" s="18">
        <f>IFERROR(INDEX(income_statement!$B:$I,MATCH("Chi phí quản lý doanh nghiệp",income_statement!$A:$A,0),MATCH(H$23,income_statement!$B$1:$I$1,0)),"")</f>
        <v/>
      </c>
      <c r="I47" s="18">
        <f>IFERROR(INDEX(income_statement!$B:$I,MATCH("Chi phí quản lý doanh nghiệp",income_statement!$A:$A,0),MATCH(I$23,income_statement!$B$1:$I$1,0)),"")</f>
        <v/>
      </c>
    </row>
    <row r="48">
      <c r="A48" s="17" t="inlineStr">
        <is>
          <t>Lãi/(lỗ) từ hoạt động kinh doanh</t>
        </is>
      </c>
      <c r="B48" s="18">
        <f>IFERROR(INDEX(income_statement!$B:$I,MATCH("Lãi/(lỗ) từ hoạt động kinh doanh",income_statement!$A:$A,0),MATCH(B$23,income_statement!$B$1:$I$1,0)),"")</f>
        <v/>
      </c>
      <c r="C48" s="18">
        <f>IFERROR(INDEX(income_statement!$B:$I,MATCH("Lãi/(lỗ) từ hoạt động kinh doanh",income_statement!$A:$A,0),MATCH(C$23,income_statement!$B$1:$I$1,0)),"")</f>
        <v/>
      </c>
      <c r="D48" s="18">
        <f>IFERROR(INDEX(income_statement!$B:$I,MATCH("Lãi/(lỗ) từ hoạt động kinh doanh",income_statement!$A:$A,0),MATCH(D$23,income_statement!$B$1:$I$1,0)),"")</f>
        <v/>
      </c>
      <c r="E48" s="18">
        <f>IFERROR(INDEX(income_statement!$B:$I,MATCH("Lãi/(lỗ) từ hoạt động kinh doanh",income_statement!$A:$A,0),MATCH(E$23,income_statement!$B$1:$I$1,0)),"")</f>
        <v/>
      </c>
      <c r="F48" s="18">
        <f>IFERROR(INDEX(income_statement!$B:$I,MATCH("Lãi/(lỗ) từ hoạt động kinh doanh",income_statement!$A:$A,0),MATCH(F$23,income_statement!$B$1:$I$1,0)),"")</f>
        <v/>
      </c>
      <c r="G48" s="18">
        <f>IFERROR(INDEX(income_statement!$B:$I,MATCH("Lãi/(lỗ) từ hoạt động kinh doanh",income_statement!$A:$A,0),MATCH(G$23,income_statement!$B$1:$I$1,0)),"")</f>
        <v/>
      </c>
      <c r="H48" s="18">
        <f>IFERROR(INDEX(income_statement!$B:$I,MATCH("Lãi/(lỗ) từ hoạt động kinh doanh",income_statement!$A:$A,0),MATCH(H$23,income_statement!$B$1:$I$1,0)),"")</f>
        <v/>
      </c>
      <c r="I48" s="18">
        <f>IFERROR(INDEX(income_statement!$B:$I,MATCH("Lãi/(lỗ) từ hoạt động kinh doanh",income_statement!$A:$A,0),MATCH(I$23,income_statement!$B$1:$I$1,0)),"")</f>
        <v/>
      </c>
    </row>
    <row r="49">
      <c r="A49" s="17" t="inlineStr">
        <is>
          <t>Chi phí lãi vay</t>
        </is>
      </c>
      <c r="B49" s="18">
        <f>IFERROR(INDEX(income_statement!$B:$I,MATCH("Chi phí lãi vay",income_statement!$A:$A,0),MATCH(B$23,income_statement!$B$1:$I$1,0)),"")</f>
        <v/>
      </c>
      <c r="C49" s="18">
        <f>IFERROR(INDEX(income_statement!$B:$I,MATCH("Chi phí lãi vay",income_statement!$A:$A,0),MATCH(C$23,income_statement!$B$1:$I$1,0)),"")</f>
        <v/>
      </c>
      <c r="D49" s="18">
        <f>IFERROR(INDEX(income_statement!$B:$I,MATCH("Chi phí lãi vay",income_statement!$A:$A,0),MATCH(D$23,income_statement!$B$1:$I$1,0)),"")</f>
        <v/>
      </c>
      <c r="E49" s="18">
        <f>IFERROR(INDEX(income_statement!$B:$I,MATCH("Chi phí lãi vay",income_statement!$A:$A,0),MATCH(E$23,income_statement!$B$1:$I$1,0)),"")</f>
        <v/>
      </c>
      <c r="F49" s="18">
        <f>IFERROR(INDEX(income_statement!$B:$I,MATCH("Chi phí lãi vay",income_statement!$A:$A,0),MATCH(F$23,income_statement!$B$1:$I$1,0)),"")</f>
        <v/>
      </c>
      <c r="G49" s="18">
        <f>IFERROR(INDEX(income_statement!$B:$I,MATCH("Chi phí lãi vay",income_statement!$A:$A,0),MATCH(G$23,income_statement!$B$1:$I$1,0)),"")</f>
        <v/>
      </c>
      <c r="H49" s="18">
        <f>IFERROR(INDEX(income_statement!$B:$I,MATCH("Chi phí lãi vay",income_statement!$A:$A,0),MATCH(H$23,income_statement!$B$1:$I$1,0)),"")</f>
        <v/>
      </c>
      <c r="I49" s="18">
        <f>IFERROR(INDEX(income_statement!$B:$I,MATCH("Chi phí lãi vay",income_statement!$A:$A,0),MATCH(I$23,income_statement!$B$1:$I$1,0)),"")</f>
        <v/>
      </c>
    </row>
    <row r="50">
      <c r="A50" s="17" t="inlineStr">
        <is>
          <t>Lãi/(lỗ) thuần sau thuế</t>
        </is>
      </c>
      <c r="B50" s="18">
        <f>IFERROR(INDEX(income_statement!$B:$I,MATCH("Lãi/(lỗ) thuần sau thuế",income_statement!$A:$A,0),MATCH(B$23,income_statement!$B$1:$I$1,0)),"")</f>
        <v/>
      </c>
      <c r="C50" s="18">
        <f>IFERROR(INDEX(income_statement!$B:$I,MATCH("Lãi/(lỗ) thuần sau thuế",income_statement!$A:$A,0),MATCH(C$23,income_statement!$B$1:$I$1,0)),"")</f>
        <v/>
      </c>
      <c r="D50" s="18">
        <f>IFERROR(INDEX(income_statement!$B:$I,MATCH("Lãi/(lỗ) thuần sau thuế",income_statement!$A:$A,0),MATCH(D$23,income_statement!$B$1:$I$1,0)),"")</f>
        <v/>
      </c>
      <c r="E50" s="18">
        <f>IFERROR(INDEX(income_statement!$B:$I,MATCH("Lãi/(lỗ) thuần sau thuế",income_statement!$A:$A,0),MATCH(E$23,income_statement!$B$1:$I$1,0)),"")</f>
        <v/>
      </c>
      <c r="F50" s="18">
        <f>IFERROR(INDEX(income_statement!$B:$I,MATCH("Lãi/(lỗ) thuần sau thuế",income_statement!$A:$A,0),MATCH(F$23,income_statement!$B$1:$I$1,0)),"")</f>
        <v/>
      </c>
      <c r="G50" s="18">
        <f>IFERROR(INDEX(income_statement!$B:$I,MATCH("Lãi/(lỗ) thuần sau thuế",income_statement!$A:$A,0),MATCH(G$23,income_statement!$B$1:$I$1,0)),"")</f>
        <v/>
      </c>
      <c r="H50" s="18">
        <f>IFERROR(INDEX(income_statement!$B:$I,MATCH("Lãi/(lỗ) thuần sau thuế",income_statement!$A:$A,0),MATCH(H$23,income_statement!$B$1:$I$1,0)),"")</f>
        <v/>
      </c>
      <c r="I50" s="18">
        <f>IFERROR(INDEX(income_statement!$B:$I,MATCH("Lãi/(lỗ) thuần sau thuế",income_statement!$A:$A,0),MATCH(I$23,income_statement!$B$1:$I$1,0)),"")</f>
        <v/>
      </c>
      <c r="J50" s="19" t="n">
        <v>22000000000000</v>
      </c>
    </row>
    <row r="5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 t="n">
        <v>22000000000000</v>
      </c>
    </row>
    <row r="52">
      <c r="A52" s="26" t="inlineStr">
        <is>
          <t>Lưu chuyển tiền tệ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/>
    <row r="58"/>
    <row r="59">
      <c r="A59" s="27" t="inlineStr">
        <is>
          <t>CHỈ SỐ THÊM</t>
        </is>
      </c>
      <c r="B59" s="28" t="n">
        <v>2018</v>
      </c>
      <c r="C59" s="28" t="n">
        <v>2019</v>
      </c>
      <c r="D59" s="28" t="n">
        <v>2020</v>
      </c>
      <c r="E59" s="28" t="n">
        <v>2021</v>
      </c>
      <c r="F59" s="28" t="n">
        <v>2022</v>
      </c>
      <c r="G59" s="28" t="n">
        <v>2023</v>
      </c>
      <c r="H59" s="28" t="n">
        <v>2024</v>
      </c>
      <c r="I59" s="28" t="n">
        <v>2025</v>
      </c>
    </row>
    <row r="60">
      <c r="A60" s="27" t="inlineStr">
        <is>
          <t>Khả năng sinh lời &amp; hiệu quả sử dụng vốn</t>
        </is>
      </c>
      <c r="B60" s="29" t="n"/>
      <c r="C60" s="29" t="n"/>
      <c r="D60" s="29" t="n"/>
      <c r="E60" s="29" t="n"/>
      <c r="F60" s="29" t="n"/>
      <c r="G60" s="29" t="n"/>
      <c r="H60" s="29" t="n"/>
      <c r="I60" s="29" t="n"/>
    </row>
    <row r="61">
      <c r="A61" s="29" t="inlineStr">
        <is>
          <t>ROCE</t>
        </is>
      </c>
      <c r="B61" s="30">
        <f>IFERROR(B$63/(B$31-B$35),"n/a")</f>
        <v/>
      </c>
      <c r="C61" s="30">
        <f>IFERROR(C$63/(C$31-C$35),"n/a")</f>
        <v/>
      </c>
      <c r="D61" s="30">
        <f>IFERROR(D$63/(D$31-D$35),"n/a")</f>
        <v/>
      </c>
      <c r="E61" s="30">
        <f>IFERROR(E$63/(E$31-E$35),"n/a")</f>
        <v/>
      </c>
      <c r="F61" s="30">
        <f>IFERROR(F$63/(F$31-F$35),"n/a")</f>
        <v/>
      </c>
      <c r="G61" s="30">
        <f>IFERROR(G$63/(G$31-G$35),"n/a")</f>
        <v/>
      </c>
      <c r="H61" s="30">
        <f>IFERROR(H$63/(H$31-H$35),"n/a")</f>
        <v/>
      </c>
      <c r="I61" s="30">
        <f>IFERROR(I$63/(I$31-I$35),"n/a")</f>
        <v/>
      </c>
    </row>
    <row r="62">
      <c r="A62" s="29" t="inlineStr">
        <is>
          <t>CROIC</t>
        </is>
      </c>
      <c r="B62" s="30">
        <f>IFERROR(B$67/(B$31-B$35),"n/a")</f>
        <v/>
      </c>
      <c r="C62" s="30">
        <f>IFERROR(C$67/(C$31-C$35),"n/a")</f>
        <v/>
      </c>
      <c r="D62" s="30">
        <f>IFERROR(D$67/(D$31-D$35),"n/a")</f>
        <v/>
      </c>
      <c r="E62" s="30">
        <f>IFERROR(E$67/(E$31-E$35),"n/a")</f>
        <v/>
      </c>
      <c r="F62" s="30">
        <f>IFERROR(F$67/(F$31-F$35),"n/a")</f>
        <v/>
      </c>
      <c r="G62" s="30">
        <f>IFERROR(G$67/(G$31-G$35),"n/a")</f>
        <v/>
      </c>
      <c r="H62" s="30">
        <f>IFERROR(H$67/(H$31-H$35),"n/a")</f>
        <v/>
      </c>
      <c r="I62" s="30">
        <f>IFERROR(I$67/(I$31-I$35),"n/a")</f>
        <v/>
      </c>
    </row>
    <row r="63">
      <c r="A63" s="29" t="inlineStr">
        <is>
          <t>EBIT</t>
        </is>
      </c>
      <c r="B63" s="31">
        <f>IFERROR(B$48+ABS(B$49),"n/a")</f>
        <v/>
      </c>
      <c r="C63" s="31">
        <f>IFERROR(C$48+ABS(C$49),"n/a")</f>
        <v/>
      </c>
      <c r="D63" s="31">
        <f>IFERROR(D$48+ABS(D$49),"n/a")</f>
        <v/>
      </c>
      <c r="E63" s="31">
        <f>IFERROR(E$48+ABS(E$49),"n/a")</f>
        <v/>
      </c>
      <c r="F63" s="31">
        <f>IFERROR(F$48+ABS(F$49),"n/a")</f>
        <v/>
      </c>
      <c r="G63" s="31">
        <f>IFERROR(G$48+ABS(G$49),"n/a")</f>
        <v/>
      </c>
      <c r="H63" s="31">
        <f>IFERROR(H$48+ABS(H$49),"n/a")</f>
        <v/>
      </c>
      <c r="I63" s="31">
        <f>IFERROR(I$48+ABS(I$49),"n/a")</f>
        <v/>
      </c>
    </row>
    <row r="64">
      <c r="A64" s="29" t="inlineStr">
        <is>
          <t>EBIT/DT</t>
        </is>
      </c>
      <c r="B64" s="30">
        <f>IFERROR(B$63/B$43,"n/a")</f>
        <v/>
      </c>
      <c r="C64" s="30">
        <f>IFERROR(C$63/C$43,"n/a")</f>
        <v/>
      </c>
      <c r="D64" s="30">
        <f>IFERROR(D$63/D$43,"n/a")</f>
        <v/>
      </c>
      <c r="E64" s="30">
        <f>IFERROR(E$63/E$43,"n/a")</f>
        <v/>
      </c>
      <c r="F64" s="30">
        <f>IFERROR(F$63/F$43,"n/a")</f>
        <v/>
      </c>
      <c r="G64" s="30">
        <f>IFERROR(G$63/G$43,"n/a")</f>
        <v/>
      </c>
      <c r="H64" s="30">
        <f>IFERROR(H$63/H$43,"n/a")</f>
        <v/>
      </c>
      <c r="I64" s="30">
        <f>IFERROR(I$63/I$43,"n/a")</f>
        <v/>
      </c>
    </row>
    <row r="65">
      <c r="A65" s="29" t="inlineStr">
        <is>
          <t>DT/TS</t>
        </is>
      </c>
      <c r="B65" s="30">
        <f>IFERROR(B$43/B$31,"n/a")</f>
        <v/>
      </c>
      <c r="C65" s="30">
        <f>IFERROR(C$43/C$31,"n/a")</f>
        <v/>
      </c>
      <c r="D65" s="30">
        <f>IFERROR(D$43/D$31,"n/a")</f>
        <v/>
      </c>
      <c r="E65" s="30">
        <f>IFERROR(E$43/E$31,"n/a")</f>
        <v/>
      </c>
      <c r="F65" s="30">
        <f>IFERROR(F$43/F$31,"n/a")</f>
        <v/>
      </c>
      <c r="G65" s="30">
        <f>IFERROR(G$43/G$31,"n/a")</f>
        <v/>
      </c>
      <c r="H65" s="30">
        <f>IFERROR(H$43/H$31,"n/a")</f>
        <v/>
      </c>
      <c r="I65" s="30">
        <f>IFERROR(I$43/I$31,"n/a")</f>
        <v/>
      </c>
    </row>
    <row r="66">
      <c r="A66" s="27" t="inlineStr">
        <is>
          <t>Dòng tiền &amp; tái đầu tư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29" t="inlineStr">
        <is>
          <t>FCF</t>
        </is>
      </c>
      <c r="B67" s="31">
        <f>IFERROR(B$55-ABS(B$54),"n/a")</f>
        <v/>
      </c>
      <c r="C67" s="31">
        <f>IFERROR(C$55-ABS(C$54),"n/a")</f>
        <v/>
      </c>
      <c r="D67" s="31">
        <f>IFERROR(D$55-ABS(D$54),"n/a")</f>
        <v/>
      </c>
      <c r="E67" s="31">
        <f>IFERROR(E$55-ABS(E$54),"n/a")</f>
        <v/>
      </c>
      <c r="F67" s="31">
        <f>IFERROR(F$55-ABS(F$54),"n/a")</f>
        <v/>
      </c>
      <c r="G67" s="31">
        <f>IFERROR(G$55-ABS(G$54),"n/a")</f>
        <v/>
      </c>
      <c r="H67" s="31">
        <f>IFERROR(H$55-ABS(H$54),"n/a")</f>
        <v/>
      </c>
      <c r="I67" s="31">
        <f>IFERROR(I$55-ABS(I$54),"n/a")</f>
        <v/>
      </c>
    </row>
    <row r="68">
      <c r="A68" s="29" t="inlineStr">
        <is>
          <t>FCF/DT</t>
        </is>
      </c>
      <c r="B68" s="30">
        <f>IFERROR(B$67/B$43,"n/a")</f>
        <v/>
      </c>
      <c r="C68" s="30">
        <f>IFERROR(C$67/C$43,"n/a")</f>
        <v/>
      </c>
      <c r="D68" s="30">
        <f>IFERROR(D$67/D$43,"n/a")</f>
        <v/>
      </c>
      <c r="E68" s="30">
        <f>IFERROR(E$67/E$43,"n/a")</f>
        <v/>
      </c>
      <c r="F68" s="30">
        <f>IFERROR(F$67/F$43,"n/a")</f>
        <v/>
      </c>
      <c r="G68" s="30">
        <f>IFERROR(G$67/G$43,"n/a")</f>
        <v/>
      </c>
      <c r="H68" s="30">
        <f>IFERROR(H$67/H$43,"n/a")</f>
        <v/>
      </c>
      <c r="I68" s="30">
        <f>IFERROR(I$67/I$43,"n/a")</f>
        <v/>
      </c>
    </row>
    <row r="69">
      <c r="A69" s="29" t="inlineStr">
        <is>
          <t>FCF/Nợ ngắn hạn</t>
        </is>
      </c>
      <c r="B69" s="30">
        <f>IFERROR(B$67/B$35,"n/a")</f>
        <v/>
      </c>
      <c r="C69" s="30">
        <f>IFERROR(C$67/C$35,"n/a")</f>
        <v/>
      </c>
      <c r="D69" s="30">
        <f>IFERROR(D$67/D$35,"n/a")</f>
        <v/>
      </c>
      <c r="E69" s="30">
        <f>IFERROR(E$67/E$35,"n/a")</f>
        <v/>
      </c>
      <c r="F69" s="30">
        <f>IFERROR(F$67/F$35,"n/a")</f>
        <v/>
      </c>
      <c r="G69" s="30">
        <f>IFERROR(G$67/G$35,"n/a")</f>
        <v/>
      </c>
      <c r="H69" s="30">
        <f>IFERROR(H$67/H$35,"n/a")</f>
        <v/>
      </c>
      <c r="I69" s="30">
        <f>IFERROR(I$67/I$35,"n/a")</f>
        <v/>
      </c>
    </row>
    <row r="70">
      <c r="A70" s="29" t="inlineStr">
        <is>
          <t>Capex</t>
        </is>
      </c>
      <c r="B70" s="31">
        <f>IFERROR(ABS(B$54),"n/a")</f>
        <v/>
      </c>
      <c r="C70" s="31">
        <f>IFERROR(ABS(C$54),"n/a")</f>
        <v/>
      </c>
      <c r="D70" s="31">
        <f>IFERROR(ABS(D$54),"n/a")</f>
        <v/>
      </c>
      <c r="E70" s="31">
        <f>IFERROR(ABS(E$54),"n/a")</f>
        <v/>
      </c>
      <c r="F70" s="31">
        <f>IFERROR(ABS(F$54),"n/a")</f>
        <v/>
      </c>
      <c r="G70" s="31">
        <f>IFERROR(ABS(G$54),"n/a")</f>
        <v/>
      </c>
      <c r="H70" s="31">
        <f>IFERROR(ABS(H$54),"n/a")</f>
        <v/>
      </c>
      <c r="I70" s="31">
        <f>IFERROR(ABS(I$54),"n/a")</f>
        <v/>
      </c>
    </row>
    <row r="71">
      <c r="A71" s="29" t="inlineStr">
        <is>
          <t>Capex/TS</t>
        </is>
      </c>
      <c r="B71" s="30">
        <f>IFERROR(B$70/B$31,"n/a")</f>
        <v/>
      </c>
      <c r="C71" s="30">
        <f>IFERROR(C$70/C$31,"n/a")</f>
        <v/>
      </c>
      <c r="D71" s="30">
        <f>IFERROR(D$70/D$31,"n/a")</f>
        <v/>
      </c>
      <c r="E71" s="30">
        <f>IFERROR(E$70/E$31,"n/a")</f>
        <v/>
      </c>
      <c r="F71" s="30">
        <f>IFERROR(F$70/F$31,"n/a")</f>
        <v/>
      </c>
      <c r="G71" s="30">
        <f>IFERROR(G$70/G$31,"n/a")</f>
        <v/>
      </c>
      <c r="H71" s="30">
        <f>IFERROR(H$70/H$31,"n/a")</f>
        <v/>
      </c>
      <c r="I71" s="30">
        <f>IFERROR(I$70/I$31,"n/a")</f>
        <v/>
      </c>
    </row>
    <row r="72">
      <c r="A72" s="29" t="inlineStr">
        <is>
          <t>Capex/LNST</t>
        </is>
      </c>
      <c r="B72" s="30">
        <f>IFERROR(B$70/ABS(B$50),"n/a")</f>
        <v/>
      </c>
      <c r="C72" s="30">
        <f>IFERROR(C$70/ABS(C$50),"n/a")</f>
        <v/>
      </c>
      <c r="D72" s="30">
        <f>IFERROR(D$70/ABS(D$50),"n/a")</f>
        <v/>
      </c>
      <c r="E72" s="30">
        <f>IFERROR(E$70/ABS(E$50),"n/a")</f>
        <v/>
      </c>
      <c r="F72" s="30">
        <f>IFERROR(F$70/ABS(F$50),"n/a")</f>
        <v/>
      </c>
      <c r="G72" s="30">
        <f>IFERROR(G$70/ABS(G$50),"n/a")</f>
        <v/>
      </c>
      <c r="H72" s="30">
        <f>IFERROR(H$70/ABS(H$50),"n/a")</f>
        <v/>
      </c>
      <c r="I72" s="30">
        <f>IFERROR(I$70/ABS(I$50),"n/a")</f>
        <v/>
      </c>
    </row>
    <row r="73">
      <c r="A73" s="29" t="inlineStr">
        <is>
          <t>Chi phí khấu hao/Lợi nhuận gộp</t>
        </is>
      </c>
      <c r="B73" s="30">
        <f>IFERROR(ABS(B$53)/B$45,"n/a")</f>
        <v/>
      </c>
      <c r="C73" s="30">
        <f>IFERROR(ABS(C$53)/C$45,"n/a")</f>
        <v/>
      </c>
      <c r="D73" s="30">
        <f>IFERROR(ABS(D$53)/D$45,"n/a")</f>
        <v/>
      </c>
      <c r="E73" s="30">
        <f>IFERROR(ABS(E$53)/E$45,"n/a")</f>
        <v/>
      </c>
      <c r="F73" s="30">
        <f>IFERROR(ABS(F$53)/F$45,"n/a")</f>
        <v/>
      </c>
      <c r="G73" s="30">
        <f>IFERROR(ABS(G$53)/G$45,"n/a")</f>
        <v/>
      </c>
      <c r="H73" s="30">
        <f>IFERROR(ABS(H$53)/H$45,"n/a")</f>
        <v/>
      </c>
      <c r="I73" s="30">
        <f>IFERROR(ABS(I$53)/I$45,"n/a")</f>
        <v/>
      </c>
    </row>
    <row r="74">
      <c r="A74" s="29" t="inlineStr">
        <is>
          <t>EBIT/Chi phí lãi vay</t>
        </is>
      </c>
      <c r="B74" s="32">
        <f>IFERROR(B$63/ABS(B$49),"n/a")</f>
        <v/>
      </c>
      <c r="C74" s="32">
        <f>IFERROR(C$63/ABS(C$49),"n/a")</f>
        <v/>
      </c>
      <c r="D74" s="32">
        <f>IFERROR(D$63/ABS(D$49),"n/a")</f>
        <v/>
      </c>
      <c r="E74" s="32">
        <f>IFERROR(E$63/ABS(E$49),"n/a")</f>
        <v/>
      </c>
      <c r="F74" s="32">
        <f>IFERROR(F$63/ABS(F$49),"n/a")</f>
        <v/>
      </c>
      <c r="G74" s="32">
        <f>IFERROR(G$63/ABS(G$49),"n/a")</f>
        <v/>
      </c>
      <c r="H74" s="32">
        <f>IFERROR(H$63/ABS(H$49),"n/a")</f>
        <v/>
      </c>
      <c r="I74" s="32">
        <f>IFERROR(I$63/ABS(I$49),"n/a")</f>
        <v/>
      </c>
    </row>
    <row r="75">
      <c r="A75" s="27" t="inlineStr">
        <is>
          <t>Vốn lưu động &amp; hiệu quả hoạt động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29" t="inlineStr">
        <is>
          <t>Vòng quay tiền mặt</t>
        </is>
      </c>
      <c r="B76" s="33">
        <f>IFERROR(B$17+B$18-B$16,"n/a")</f>
        <v/>
      </c>
      <c r="C76" s="33">
        <f>IFERROR(C$17+C$18-C$16,"n/a")</f>
        <v/>
      </c>
      <c r="D76" s="33">
        <f>IFERROR(D$17+D$18-D$16,"n/a")</f>
        <v/>
      </c>
      <c r="E76" s="33">
        <f>IFERROR(E$17+E$18-E$16,"n/a")</f>
        <v/>
      </c>
      <c r="F76" s="33">
        <f>IFERROR(F$17+F$18-F$16,"n/a")</f>
        <v/>
      </c>
      <c r="G76" s="33">
        <f>IFERROR(G$17+G$18-G$16,"n/a")</f>
        <v/>
      </c>
      <c r="H76" s="33">
        <f>IFERROR(H$17+H$18-H$16,"n/a")</f>
        <v/>
      </c>
      <c r="I76" s="33">
        <f>IFERROR(I$17+I$18-I$16,"n/a")</f>
        <v/>
      </c>
    </row>
    <row r="77">
      <c r="A77" s="29" t="inlineStr">
        <is>
          <t>HTK/DT</t>
        </is>
      </c>
      <c r="B77" s="30">
        <f>IFERROR(B$28/B$43,"n/a")</f>
        <v/>
      </c>
      <c r="C77" s="30">
        <f>IFERROR(C$28/C$43,"n/a")</f>
        <v/>
      </c>
      <c r="D77" s="30">
        <f>IFERROR(D$28/D$43,"n/a")</f>
        <v/>
      </c>
      <c r="E77" s="30">
        <f>IFERROR(E$28/E$43,"n/a")</f>
        <v/>
      </c>
      <c r="F77" s="30">
        <f>IFERROR(F$28/F$43,"n/a")</f>
        <v/>
      </c>
      <c r="G77" s="30">
        <f>IFERROR(G$28/G$43,"n/a")</f>
        <v/>
      </c>
      <c r="H77" s="30">
        <f>IFERROR(H$28/H$43,"n/a")</f>
        <v/>
      </c>
      <c r="I77" s="30">
        <f>IFERROR(I$28/I$43,"n/a")</f>
        <v/>
      </c>
    </row>
    <row r="78">
      <c r="A78" s="29" t="inlineStr">
        <is>
          <t>HTK/TS</t>
        </is>
      </c>
      <c r="B78" s="30">
        <f>IFERROR(B$28/B$31,"n/a")</f>
        <v/>
      </c>
      <c r="C78" s="30">
        <f>IFERROR(C$28/C$31,"n/a")</f>
        <v/>
      </c>
      <c r="D78" s="30">
        <f>IFERROR(D$28/D$31,"n/a")</f>
        <v/>
      </c>
      <c r="E78" s="30">
        <f>IFERROR(E$28/E$31,"n/a")</f>
        <v/>
      </c>
      <c r="F78" s="30">
        <f>IFERROR(F$28/F$31,"n/a")</f>
        <v/>
      </c>
      <c r="G78" s="30">
        <f>IFERROR(G$28/G$31,"n/a")</f>
        <v/>
      </c>
      <c r="H78" s="30">
        <f>IFERROR(H$28/H$31,"n/a")</f>
        <v/>
      </c>
      <c r="I78" s="30">
        <f>IFERROR(I$28/I$31,"n/a")</f>
        <v/>
      </c>
    </row>
    <row r="79">
      <c r="A79" s="29" t="inlineStr">
        <is>
          <t>DT/TS</t>
        </is>
      </c>
      <c r="B79" s="30">
        <f>IFERROR(B$43/B$31,"n/a")</f>
        <v/>
      </c>
      <c r="C79" s="30">
        <f>IFERROR(C$43/C$31,"n/a")</f>
        <v/>
      </c>
      <c r="D79" s="30">
        <f>IFERROR(D$43/D$31,"n/a")</f>
        <v/>
      </c>
      <c r="E79" s="30">
        <f>IFERROR(E$43/E$31,"n/a")</f>
        <v/>
      </c>
      <c r="F79" s="30">
        <f>IFERROR(F$43/F$31,"n/a")</f>
        <v/>
      </c>
      <c r="G79" s="30">
        <f>IFERROR(G$43/G$31,"n/a")</f>
        <v/>
      </c>
      <c r="H79" s="30">
        <f>IFERROR(H$43/H$31,"n/a")</f>
        <v/>
      </c>
      <c r="I79" s="30">
        <f>IFERROR(I$43/I$31,"n/a")</f>
        <v/>
      </c>
    </row>
    <row r="80">
      <c r="A80" s="27" t="inlineStr">
        <is>
          <t>Khả năng thanh toán</t>
        </is>
      </c>
      <c r="B80" s="29" t="n"/>
      <c r="C80" s="29" t="n"/>
      <c r="D80" s="29" t="n"/>
      <c r="E80" s="29" t="n"/>
      <c r="F80" s="29" t="n"/>
      <c r="G80" s="29" t="n"/>
      <c r="H80" s="29" t="n"/>
      <c r="I80" s="29" t="n"/>
    </row>
    <row r="81">
      <c r="A81" s="29" t="inlineStr">
        <is>
          <t>(TS ngắn hạn − HTK)/Nợ ngắn hạn</t>
        </is>
      </c>
      <c r="B81" s="32">
        <f>IFERROR((B$29-B$28)/B$35,"n/a")</f>
        <v/>
      </c>
      <c r="C81" s="32">
        <f>IFERROR((C$29-C$28)/C$35,"n/a")</f>
        <v/>
      </c>
      <c r="D81" s="32">
        <f>IFERROR((D$29-D$28)/D$35,"n/a")</f>
        <v/>
      </c>
      <c r="E81" s="32">
        <f>IFERROR((E$29-E$28)/E$35,"n/a")</f>
        <v/>
      </c>
      <c r="F81" s="32">
        <f>IFERROR((F$29-F$28)/F$35,"n/a")</f>
        <v/>
      </c>
      <c r="G81" s="32">
        <f>IFERROR((G$29-G$28)/G$35,"n/a")</f>
        <v/>
      </c>
      <c r="H81" s="32">
        <f>IFERROR((H$29-H$28)/H$35,"n/a")</f>
        <v/>
      </c>
      <c r="I81" s="32">
        <f>IFERROR((I$29-I$28)/I$35,"n/a")</f>
        <v/>
      </c>
    </row>
    <row r="82">
      <c r="A82" s="29" t="inlineStr">
        <is>
          <t>TS ngắn hạn/Nợ ngắn hạn</t>
        </is>
      </c>
      <c r="B82" s="32">
        <f>IFERROR(B$29/B$35,"n/a")</f>
        <v/>
      </c>
      <c r="C82" s="32">
        <f>IFERROR(C$29/C$35,"n/a")</f>
        <v/>
      </c>
      <c r="D82" s="32">
        <f>IFERROR(D$29/D$35,"n/a")</f>
        <v/>
      </c>
      <c r="E82" s="32">
        <f>IFERROR(E$29/E$35,"n/a")</f>
        <v/>
      </c>
      <c r="F82" s="32">
        <f>IFERROR(F$29/F$35,"n/a")</f>
        <v/>
      </c>
      <c r="G82" s="32">
        <f>IFERROR(G$29/G$35,"n/a")</f>
        <v/>
      </c>
      <c r="H82" s="32">
        <f>IFERROR(H$29/H$35,"n/a")</f>
        <v/>
      </c>
      <c r="I82" s="32">
        <f>IFERROR(I$29/I$35,"n/a")</f>
        <v/>
      </c>
    </row>
    <row r="83">
      <c r="A83" s="27" t="inlineStr">
        <is>
          <t>Tài sản &amp; cơ cấu tài sản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29" t="inlineStr">
        <is>
          <t>TSCĐ vô hình</t>
        </is>
      </c>
      <c r="B84" s="31">
        <f>IFERROR(B$30,"n/a")</f>
        <v/>
      </c>
      <c r="C84" s="31">
        <f>IFERROR(C$30,"n/a")</f>
        <v/>
      </c>
      <c r="D84" s="31">
        <f>IFERROR(D$30,"n/a")</f>
        <v/>
      </c>
      <c r="E84" s="31">
        <f>IFERROR(E$30,"n/a")</f>
        <v/>
      </c>
      <c r="F84" s="31">
        <f>IFERROR(F$30,"n/a")</f>
        <v/>
      </c>
      <c r="G84" s="31">
        <f>IFERROR(G$30,"n/a")</f>
        <v/>
      </c>
      <c r="H84" s="31">
        <f>IFERROR(H$30,"n/a")</f>
        <v/>
      </c>
      <c r="I84" s="31">
        <f>IFERROR(I$30,"n/a")</f>
        <v/>
      </c>
    </row>
    <row r="85">
      <c r="A85" s="29" t="inlineStr">
        <is>
          <t>Tài sản vô hình/Giá trị sổ sách</t>
        </is>
      </c>
      <c r="B85" s="30">
        <f>IFERROR(B$30/B$39,"n/a")</f>
        <v/>
      </c>
      <c r="C85" s="30">
        <f>IFERROR(C$30/C$39,"n/a")</f>
        <v/>
      </c>
      <c r="D85" s="30">
        <f>IFERROR(D$30/D$39,"n/a")</f>
        <v/>
      </c>
      <c r="E85" s="30">
        <f>IFERROR(E$30/E$39,"n/a")</f>
        <v/>
      </c>
      <c r="F85" s="30">
        <f>IFERROR(F$30/F$39,"n/a")</f>
        <v/>
      </c>
      <c r="G85" s="30">
        <f>IFERROR(G$30/G$39,"n/a")</f>
        <v/>
      </c>
      <c r="H85" s="30">
        <f>IFERROR(H$30/H$39,"n/a")</f>
        <v/>
      </c>
      <c r="I85" s="30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cols>
    <col width="8.21875" customWidth="1" min="1" max="1"/>
    <col width="20" customWidth="1" min="2" max="2"/>
    <col width="19.44140625" customWidth="1" min="6" max="6"/>
    <col width="9.21875" customWidth="1" min="9" max="9"/>
    <col width="8.6640625" customWidth="1" min="11" max="11"/>
    <col width="11.21875" customWidth="1" min="18" max="18"/>
  </cols>
  <sheetData>
    <row r="1" ht="15" customHeight="1">
      <c r="A1" s="34" t="n"/>
      <c r="B1" s="34" t="inlineStr">
        <is>
          <t>Q1/2026</t>
        </is>
      </c>
      <c r="C1" s="34" t="inlineStr">
        <is>
          <t>Q2/2026</t>
        </is>
      </c>
      <c r="D1" s="34" t="inlineStr">
        <is>
          <t>Q3/2026</t>
        </is>
      </c>
      <c r="E1" s="34" t="inlineStr">
        <is>
          <t>Q4/2026</t>
        </is>
      </c>
    </row>
    <row r="2" ht="15" customHeight="1">
      <c r="A2" s="34" t="inlineStr">
        <is>
          <t>Số CP</t>
        </is>
      </c>
      <c r="B2" s="35" t="n">
        <v>8442964520</v>
      </c>
      <c r="C2" s="35" t="n">
        <v>8442964520</v>
      </c>
      <c r="D2" s="35" t="n">
        <v>8442964520</v>
      </c>
      <c r="E2" s="35" t="n">
        <v>8442964520</v>
      </c>
      <c r="F2" s="36" t="n"/>
    </row>
    <row r="3" ht="15" customHeight="1">
      <c r="A3" s="34" t="inlineStr">
        <is>
          <t>Thị giá</t>
        </is>
      </c>
      <c r="B3" s="35">
        <f>[1]Sheet1!$B$2</f>
        <v/>
      </c>
      <c r="C3" s="35">
        <f>[1]Sheet1!$B$2</f>
        <v/>
      </c>
      <c r="D3" s="35">
        <f>[1]Sheet1!$B$2</f>
        <v/>
      </c>
      <c r="E3" s="35">
        <f>[1]Sheet1!$B$2</f>
        <v/>
      </c>
      <c r="F3" s="36" t="n"/>
    </row>
    <row r="4" ht="15" customHeight="1">
      <c r="A4" s="34" t="inlineStr">
        <is>
          <t>Vốn hoá</t>
        </is>
      </c>
      <c r="B4" s="35">
        <f>B2*B3</f>
        <v/>
      </c>
      <c r="C4" s="35">
        <f>C2*C3</f>
        <v/>
      </c>
      <c r="D4" s="35">
        <f>D2*D3</f>
        <v/>
      </c>
      <c r="E4" s="35">
        <f>E2*E3</f>
        <v/>
      </c>
      <c r="F4" s="36" t="n"/>
    </row>
    <row r="5" ht="15" customHeight="1"/>
    <row r="6" ht="15" customHeight="1">
      <c r="A6" s="34" t="inlineStr">
        <is>
          <t>VCSH</t>
        </is>
      </c>
      <c r="B6" s="37" t="n">
        <v>139782000000000</v>
      </c>
      <c r="C6" s="37" t="n">
        <v>141516000000000</v>
      </c>
      <c r="D6" s="37">
        <f>B6*(($E$6/$B$6)^(2/3))</f>
        <v/>
      </c>
      <c r="E6" s="37">
        <f>chi_so_tai_chinh!J39</f>
        <v/>
      </c>
      <c r="F6" s="38" t="n"/>
      <c r="G6" s="39" t="n"/>
    </row>
    <row r="7" ht="15" customHeight="1">
      <c r="A7" s="34" t="inlineStr">
        <is>
          <t>LICĐKKS</t>
        </is>
      </c>
      <c r="B7" s="35">
        <f>B6*0.35/100</f>
        <v/>
      </c>
      <c r="C7" s="35">
        <f>C6*0.35/100</f>
        <v/>
      </c>
      <c r="D7" s="35">
        <f>D6*0.35/100</f>
        <v/>
      </c>
      <c r="E7" s="35">
        <f>E6*0.35/100</f>
        <v/>
      </c>
      <c r="F7" s="40" t="n"/>
      <c r="G7" s="40" t="n"/>
    </row>
    <row r="8" ht="15" customHeight="1">
      <c r="A8" s="34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H8" s="41" t="n"/>
      <c r="I8" s="41" t="n"/>
      <c r="J8" s="41" t="n"/>
    </row>
    <row r="9" ht="15" customHeight="1">
      <c r="A9" s="42" t="inlineStr">
        <is>
          <t>BVPS</t>
        </is>
      </c>
      <c r="B9" s="43">
        <f>B8/B2</f>
        <v/>
      </c>
      <c r="C9" s="43">
        <f>C8/C2</f>
        <v/>
      </c>
      <c r="D9" s="43">
        <f>D8/D2</f>
        <v/>
      </c>
      <c r="E9" s="43">
        <f>E8/E2</f>
        <v/>
      </c>
    </row>
    <row r="10" ht="15" customHeight="1">
      <c r="A10" s="42" t="inlineStr">
        <is>
          <t>PB</t>
        </is>
      </c>
      <c r="B10" s="44">
        <f>$E$3/B9</f>
        <v/>
      </c>
      <c r="C10" s="44">
        <f>$E$3/C9</f>
        <v/>
      </c>
      <c r="D10" s="44">
        <f>$E$3/D9</f>
        <v/>
      </c>
      <c r="E10" s="44">
        <f>$E$3/E9</f>
        <v/>
      </c>
    </row>
    <row r="11" ht="15" customHeight="1">
      <c r="M11" s="41" t="n"/>
      <c r="N11" s="41" t="n"/>
      <c r="O11" s="41" t="n"/>
      <c r="P11" s="41" t="n"/>
      <c r="Q11" s="41" t="n"/>
      <c r="R11" s="41" t="n"/>
    </row>
    <row r="12"/>
    <row r="13"/>
    <row r="14">
      <c r="I14" s="45" t="n"/>
      <c r="J14" s="45" t="n"/>
      <c r="K14" s="45" t="n"/>
      <c r="L14" s="45" t="n"/>
    </row>
    <row r="15"/>
    <row r="16">
      <c r="I16" s="45" t="n"/>
      <c r="J16" s="45" t="n"/>
      <c r="K16" s="45" t="n"/>
      <c r="L16" s="45" t="n"/>
    </row>
    <row r="17"/>
    <row r="18"/>
    <row r="19">
      <c r="M19" s="45" t="n"/>
      <c r="N19" s="45" t="n"/>
      <c r="O19" s="45" t="n"/>
      <c r="P19" s="45" t="n"/>
      <c r="Q19" s="45" t="n"/>
    </row>
    <row r="20"/>
    <row r="21">
      <c r="M21" s="45" t="n"/>
      <c r="N21" s="45" t="n"/>
      <c r="O21" s="45" t="n"/>
      <c r="P21" s="45" t="n"/>
      <c r="Q21" s="4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0.33203125" customWidth="1" min="1" max="1"/>
    <col width="10.109375" customWidth="1" min="2" max="2"/>
    <col width="11.109375" customWidth="1" min="3" max="3"/>
    <col width="8.6640625" customWidth="1" min="8" max="8"/>
    <col width="11.21875" customWidth="1" min="22" max="22"/>
  </cols>
  <sheetData>
    <row r="1">
      <c r="A1" s="34" t="inlineStr">
        <is>
          <t>Chỉ tiêu</t>
        </is>
      </c>
      <c r="B1" s="34" t="n">
        <v>2020</v>
      </c>
      <c r="C1" s="34" t="n">
        <v>2021</v>
      </c>
      <c r="D1" s="34" t="n">
        <v>2022</v>
      </c>
      <c r="E1" s="34" t="n">
        <v>2023</v>
      </c>
      <c r="F1" s="34" t="n">
        <v>2024</v>
      </c>
      <c r="G1" s="34" t="n">
        <v>2025</v>
      </c>
    </row>
    <row r="2">
      <c r="A2" s="34" t="inlineStr">
        <is>
          <t>Doanh thu kế hoạch</t>
        </is>
      </c>
      <c r="B2" s="35" t="n">
        <v>86000000</v>
      </c>
      <c r="C2" s="35" t="n">
        <v>120000000</v>
      </c>
      <c r="D2" s="35" t="n">
        <v>160000000</v>
      </c>
      <c r="E2" s="35" t="n">
        <v>150000000</v>
      </c>
      <c r="F2" s="35" t="n">
        <v>140000000</v>
      </c>
      <c r="G2" s="35" t="n">
        <v>170000000</v>
      </c>
    </row>
    <row r="3">
      <c r="A3" s="34" t="inlineStr">
        <is>
          <t>Doanh thu thuần về bán hàng và cung cấp dịch vụ</t>
        </is>
      </c>
      <c r="B3" s="35">
        <f>[2]KQHĐKD!O4*1000</f>
        <v/>
      </c>
      <c r="C3" s="35">
        <f>[2]KQHĐKD!P4*1000</f>
        <v/>
      </c>
      <c r="D3" s="35">
        <f>[2]KQHĐKD!Q4*1000</f>
        <v/>
      </c>
      <c r="E3" s="35">
        <f>[2]KQHĐKD!R4*1000</f>
        <v/>
      </c>
      <c r="F3" s="35">
        <f>[2]KQHĐKD!S4*1000</f>
        <v/>
      </c>
      <c r="G3" s="35" t="n"/>
    </row>
    <row r="4">
      <c r="A4" s="34" t="inlineStr">
        <is>
          <t>%thực hiện</t>
        </is>
      </c>
      <c r="B4" s="46">
        <f>B3/B2</f>
        <v/>
      </c>
      <c r="C4" s="46">
        <f>C3/C2</f>
        <v/>
      </c>
      <c r="D4" s="46">
        <f>D3/D2</f>
        <v/>
      </c>
      <c r="E4" s="46">
        <f>E3/E2</f>
        <v/>
      </c>
      <c r="F4" s="46">
        <f>F3/F2</f>
        <v/>
      </c>
      <c r="G4" s="46" t="n"/>
    </row>
    <row r="5">
      <c r="A5" s="34" t="inlineStr">
        <is>
          <t>Lợi nhuận sau thuế kế hoạch</t>
        </is>
      </c>
      <c r="B5" s="35" t="n">
        <v>9000000</v>
      </c>
      <c r="C5" s="35" t="n">
        <v>18000000</v>
      </c>
      <c r="D5" s="35" t="n">
        <v>30000000</v>
      </c>
      <c r="E5" s="35" t="n">
        <v>8000000</v>
      </c>
      <c r="F5" s="35" t="n">
        <v>10000000</v>
      </c>
      <c r="G5" s="35" t="n">
        <v>15000000</v>
      </c>
    </row>
    <row r="6">
      <c r="A6" s="34" t="inlineStr">
        <is>
          <t>Lợi nhuận sau thuế thu nhập doanh nghiệp</t>
        </is>
      </c>
      <c r="B6" s="35">
        <f>[2]KQHĐKD!O21*1000</f>
        <v/>
      </c>
      <c r="C6" s="35">
        <f>[2]KQHĐKD!P21*1000</f>
        <v/>
      </c>
      <c r="D6" s="35">
        <f>[2]KQHĐKD!Q21*1000</f>
        <v/>
      </c>
      <c r="E6" s="35">
        <f>[2]KQHĐKD!R21*1000</f>
        <v/>
      </c>
      <c r="F6" s="35">
        <f>[2]KQHĐKD!S21*1000</f>
        <v/>
      </c>
      <c r="G6" s="35" t="n"/>
    </row>
    <row r="7">
      <c r="A7" s="34" t="inlineStr">
        <is>
          <t>%thực hiện</t>
        </is>
      </c>
      <c r="B7" s="46">
        <f>B6/B5</f>
        <v/>
      </c>
      <c r="C7" s="46">
        <f>C6/C5</f>
        <v/>
      </c>
      <c r="D7" s="46">
        <f>D6/D5</f>
        <v/>
      </c>
      <c r="E7" s="46">
        <f>E6/E5</f>
        <v/>
      </c>
      <c r="F7" s="46">
        <f>F6/F5</f>
        <v/>
      </c>
      <c r="G7" s="46" t="n"/>
    </row>
    <row r="8"/>
    <row r="9">
      <c r="A9" s="34" t="inlineStr">
        <is>
          <t>Trung vị %thực hiện DT</t>
        </is>
      </c>
      <c r="B9" s="46">
        <f>MEDIAN(B4:F4)</f>
        <v/>
      </c>
    </row>
    <row r="10">
      <c r="A10" s="34" t="inlineStr">
        <is>
          <t>Trung vị %thực hiện LNST</t>
        </is>
      </c>
      <c r="B10" s="46">
        <f>MEDIAN(B7:F7)</f>
        <v/>
      </c>
    </row>
    <row r="11"/>
    <row r="12">
      <c r="A12" s="34" t="inlineStr">
        <is>
          <t>Tỷ lệ hoàn thành DT trên 95%</t>
        </is>
      </c>
      <c r="B12" s="46">
        <f>COUNTIF(B4:F4,"&gt;=95%")/COUNT(B4:F4)</f>
        <v/>
      </c>
    </row>
    <row r="13">
      <c r="A13" s="34" t="inlineStr">
        <is>
          <t>Tỷ lệ hoàn thành LNST trên 95%</t>
        </is>
      </c>
      <c r="B13" s="46">
        <f>COUNTIF(B7:F7,"&gt;=95%")/COUNT(B7:F7)</f>
        <v/>
      </c>
    </row>
  </sheetData>
  <conditionalFormatting sqref="B9:B10">
    <cfRule type="cellIs" priority="3" operator="lessThanOrEqual" dxfId="1" stopIfTrue="1">
      <formula>0.9</formula>
    </cfRule>
    <cfRule type="cellIs" priority="4" operator="greaterThanOrEqual" dxfId="0" stopIfTrue="1">
      <formula>0.95</formula>
    </cfRule>
    <cfRule type="cellIs" priority="5" operator="between" dxfId="2">
      <formula>0.9</formula>
      <formula>0.95</formula>
    </cfRule>
  </conditionalFormatting>
  <conditionalFormatting sqref="B12:B13">
    <cfRule type="cellIs" priority="1" operator="lessThan" dxfId="1">
      <formula>0.8</formula>
    </cfRule>
    <cfRule type="cellIs" priority="2" operator="greaterThanOrEqual" dxfId="0">
      <formula>0.8</formula>
    </cfRule>
  </conditionalFormatting>
  <conditionalFormatting sqref="B4:G4 B7:G7">
    <cfRule type="cellIs" priority="6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2026-09-23T03:38:19Z</dcterms:created>
  <dcterms:modified xsi:type="dcterms:W3CDTF">2026-09-23T03:38:19Z</dcterms:modified>
</cp:coreProperties>
</file>
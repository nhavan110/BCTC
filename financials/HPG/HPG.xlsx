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  <sheet name="Hiệu quả thực hiện K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"/>
    <numFmt numFmtId="166" formatCode="#,##0;\(#,##0\);\-"/>
    <numFmt numFmtId="167" formatCode="0.00\x"/>
    <numFmt numFmtId="168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charset val="1"/>
      <family val="2"/>
      <b val="1"/>
      <sz val="10"/>
    </font>
    <font>
      <name val="Tahoma"/>
      <charset val="1"/>
      <family val="2"/>
      <i val="1"/>
      <color rgb="FF808080"/>
      <sz val="10"/>
    </font>
    <font>
      <name val="Tahoma"/>
      <charset val="1"/>
      <family val="2"/>
      <color rgb="FF000000"/>
      <sz val="10"/>
    </font>
    <font>
      <name val="Tahoma"/>
      <charset val="1"/>
      <family val="2"/>
      <sz val="10"/>
    </font>
    <font>
      <name val="Tahoma"/>
      <charset val="1"/>
      <family val="2"/>
      <color theme="1"/>
      <sz val="10"/>
    </font>
    <font>
      <name val="Tahoma"/>
      <charset val="1"/>
      <family val="2"/>
      <color rgb="FF008000"/>
      <sz val="10"/>
    </font>
    <font>
      <name val="Tahoma"/>
      <charset val="1"/>
      <family val="2"/>
      <b val="1"/>
      <color rgb="FF008000"/>
      <sz val="10"/>
    </font>
    <font>
      <name val="Tahoma"/>
      <charset val="1"/>
      <family val="2"/>
      <b val="1"/>
      <color rgb="FF7030A0"/>
      <sz val="10"/>
    </font>
    <font>
      <name val="Tahoma"/>
      <family val="2"/>
      <b val="1"/>
      <sz val="10"/>
    </font>
    <font>
      <name val="Tahoma"/>
      <charset val="1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color rgb="FF7030A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65" fontId="5" fillId="3" borderId="2" pivotButton="0" quotePrefix="0" xfId="0"/>
    <xf numFmtId="9" fontId="5" fillId="3" borderId="2" pivotButton="0" quotePrefix="0" xfId="0"/>
    <xf numFmtId="0" fontId="6" fillId="3" borderId="2" pivotButton="0" quotePrefix="0" xfId="0"/>
    <xf numFmtId="1" fontId="4" fillId="3" borderId="2" pivotButton="0" quotePrefix="0" xfId="0"/>
    <xf numFmtId="1" fontId="5" fillId="3" borderId="2" pivotButton="0" quotePrefix="0" xfId="0"/>
    <xf numFmtId="0" fontId="3" fillId="4" borderId="0" pivotButton="0" quotePrefix="0" xfId="0"/>
    <xf numFmtId="0" fontId="7" fillId="4" borderId="0" pivotButton="0" quotePrefix="0" xfId="0"/>
    <xf numFmtId="0" fontId="3" fillId="0" borderId="3" pivotButton="0" quotePrefix="0" xfId="0"/>
    <xf numFmtId="1" fontId="3" fillId="0" borderId="3" applyAlignment="1" pivotButton="0" quotePrefix="0" xfId="0">
      <alignment horizontal="center"/>
    </xf>
    <xf numFmtId="0" fontId="6" fillId="0" borderId="3" pivotButton="0" quotePrefix="0" xfId="0"/>
    <xf numFmtId="166" fontId="8" fillId="0" borderId="3" pivotButton="0" quotePrefix="0" xfId="0"/>
    <xf numFmtId="166" fontId="9" fillId="0" borderId="3" pivotButton="0" quotePrefix="0" xfId="0"/>
    <xf numFmtId="0" fontId="10" fillId="0" borderId="3" pivotButton="0" quotePrefix="0" xfId="0"/>
    <xf numFmtId="166" fontId="10" fillId="0" borderId="3" pivotButton="0" quotePrefix="0" xfId="0"/>
    <xf numFmtId="9" fontId="10" fillId="0" borderId="3" pivotButton="0" quotePrefix="0" xfId="0"/>
    <xf numFmtId="166" fontId="10" fillId="0" borderId="0" pivotButton="0" quotePrefix="0" xfId="0"/>
    <xf numFmtId="166" fontId="9" fillId="0" borderId="0" pivotButton="0" quotePrefix="0" xfId="0"/>
    <xf numFmtId="0" fontId="11" fillId="0" borderId="4" pivotButton="0" quotePrefix="0" xfId="0"/>
    <xf numFmtId="0" fontId="11" fillId="0" borderId="3" pivotButton="0" quotePrefix="0" xfId="0"/>
    <xf numFmtId="0" fontId="12" fillId="0" borderId="2" pivotButton="0" quotePrefix="0" xfId="0"/>
    <xf numFmtId="1" fontId="3" fillId="0" borderId="2" applyAlignment="1" pivotButton="0" quotePrefix="0" xfId="0">
      <alignment horizontal="center"/>
    </xf>
    <xf numFmtId="0" fontId="7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167" fontId="7" fillId="0" borderId="2" pivotButton="0" quotePrefix="0" xfId="0"/>
    <xf numFmtId="1" fontId="7" fillId="0" borderId="2" pivotButton="0" quotePrefix="0" xfId="0"/>
    <xf numFmtId="0" fontId="13" fillId="0" borderId="2" pivotButton="0" quotePrefix="0" xfId="0"/>
    <xf numFmtId="3" fontId="13" fillId="0" borderId="2" pivotButton="0" quotePrefix="0" xfId="0"/>
    <xf numFmtId="3" fontId="13" fillId="0" borderId="0" pivotButton="0" quotePrefix="0" xfId="0"/>
    <xf numFmtId="41" fontId="13" fillId="0" borderId="2" pivotButton="0" quotePrefix="0" xfId="0"/>
    <xf numFmtId="41" fontId="13" fillId="0" borderId="0" pivotButton="0" quotePrefix="0" xfId="0"/>
    <xf numFmtId="43" fontId="13" fillId="0" borderId="0" pivotButton="0" quotePrefix="0" xfId="0"/>
    <xf numFmtId="9" fontId="13" fillId="0" borderId="0" pivotButton="0" quotePrefix="0" xfId="0"/>
    <xf numFmtId="1" fontId="13" fillId="0" borderId="0" pivotButton="0" quotePrefix="0" xfId="0"/>
    <xf numFmtId="0" fontId="14" fillId="0" borderId="2" pivotButton="0" quotePrefix="0" xfId="0"/>
    <xf numFmtId="168" fontId="14" fillId="0" borderId="2" pivotButton="0" quotePrefix="0" xfId="0"/>
    <xf numFmtId="43" fontId="14" fillId="0" borderId="2" pivotButton="0" quotePrefix="0" xfId="0"/>
    <xf numFmtId="0" fontId="14" fillId="0" borderId="0" pivotButton="0" quotePrefix="0" xfId="0"/>
    <xf numFmtId="9" fontId="13" fillId="0" borderId="2" pivotButton="0" quotePrefix="0" xfId="0"/>
  </cellXfs>
  <cellStyles count="1">
    <cellStyle name="Normal" xfId="0" builtinId="0" hidden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fgColor theme="9"/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25308725187618</v>
      </c>
      <c r="C2" s="4" t="n">
        <v>30436936909894</v>
      </c>
      <c r="D2" s="4" t="n">
        <v>56747258197010</v>
      </c>
      <c r="E2" s="4" t="n">
        <v>94154859648304</v>
      </c>
      <c r="F2" s="4" t="n">
        <v>80514708725456</v>
      </c>
      <c r="G2" s="4" t="n">
        <v>82716439173043</v>
      </c>
      <c r="H2" s="4" t="n">
        <v>86674276272995</v>
      </c>
      <c r="I2" s="4" t="n">
        <v>103659402759724</v>
      </c>
    </row>
    <row r="3">
      <c r="A3" s="3" t="inlineStr">
        <is>
          <t>Tiền và tương đương tiền</t>
        </is>
      </c>
      <c r="B3" s="4" t="n">
        <v>2515617135457</v>
      </c>
      <c r="C3" s="4" t="n">
        <v>4544900252204</v>
      </c>
      <c r="D3" s="4" t="n">
        <v>13696099298228</v>
      </c>
      <c r="E3" s="4" t="n">
        <v>22471375562130</v>
      </c>
      <c r="F3" s="4" t="n">
        <v>8324588920227</v>
      </c>
      <c r="G3" s="4" t="n">
        <v>12252001160884</v>
      </c>
      <c r="H3" s="4" t="n">
        <v>6887646139852</v>
      </c>
      <c r="I3" s="4" t="n">
        <v>8300890304205</v>
      </c>
    </row>
    <row r="4">
      <c r="A4" s="3" t="inlineStr">
        <is>
          <t>Tiền</t>
        </is>
      </c>
      <c r="B4" s="4" t="n">
        <v>1822302135457</v>
      </c>
      <c r="C4" s="4" t="n">
        <v>1678314252204</v>
      </c>
      <c r="D4" s="4" t="n">
        <v>2094314298228</v>
      </c>
      <c r="E4" s="4" t="n">
        <v>6316299666510</v>
      </c>
      <c r="F4" s="4" t="n">
        <v>3458049733104</v>
      </c>
      <c r="G4" s="4" t="n">
        <v>3771595160884</v>
      </c>
      <c r="H4" s="4" t="n">
        <v>2919531945908</v>
      </c>
      <c r="I4" s="4" t="n">
        <v>4602047650138</v>
      </c>
    </row>
    <row r="5">
      <c r="A5" s="3" t="inlineStr">
        <is>
          <t>Các khoản tương đương tiền</t>
        </is>
      </c>
      <c r="B5" s="4" t="n">
        <v>693315000000</v>
      </c>
      <c r="C5" s="4" t="n">
        <v>2866586000000</v>
      </c>
      <c r="D5" s="4" t="n">
        <v>11601785000000</v>
      </c>
      <c r="E5" s="4" t="n">
        <v>16155075895620</v>
      </c>
      <c r="F5" s="4" t="n">
        <v>4866539187123</v>
      </c>
      <c r="G5" s="4" t="n">
        <v>8480406000000</v>
      </c>
      <c r="H5" s="4" t="n">
        <v>3968114193944</v>
      </c>
      <c r="I5" s="4" t="n">
        <v>3698842654067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Đầu tư ngắn hạn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3210278608751</v>
      </c>
      <c r="C9" s="4" t="n">
        <v>3561397190688</v>
      </c>
      <c r="D9" s="4" t="n">
        <v>6124790460291</v>
      </c>
      <c r="E9" s="4" t="n">
        <v>7662680796645</v>
      </c>
      <c r="F9" s="4" t="n">
        <v>9892867373309</v>
      </c>
      <c r="G9" s="4" t="n">
        <v>10702136439996</v>
      </c>
      <c r="H9" s="4" t="n">
        <v>7647800286988</v>
      </c>
      <c r="I9" s="4" t="n">
        <v>15042323117690</v>
      </c>
    </row>
    <row r="10">
      <c r="A10" s="3" t="inlineStr">
        <is>
          <t>Phải thu khách hàng</t>
        </is>
      </c>
      <c r="B10" s="4" t="n">
        <v>2281760501157</v>
      </c>
      <c r="C10" s="4" t="n">
        <v>2699937350329</v>
      </c>
      <c r="D10" s="4" t="n">
        <v>3949486943250</v>
      </c>
      <c r="E10" s="4" t="n">
        <v>4973095672343</v>
      </c>
      <c r="F10" s="4" t="n">
        <v>2958587125337</v>
      </c>
      <c r="G10" s="4" t="n">
        <v>5999539831497</v>
      </c>
      <c r="H10" s="4" t="n">
        <v>4352135419872</v>
      </c>
      <c r="I10" s="4" t="n">
        <v>10971774018235</v>
      </c>
    </row>
    <row r="11">
      <c r="A11" s="3" t="inlineStr">
        <is>
          <t>Trả trước người bán</t>
        </is>
      </c>
      <c r="B11" s="4" t="n">
        <v>810319171039</v>
      </c>
      <c r="C11" s="4" t="n">
        <v>757832561191</v>
      </c>
      <c r="D11" s="4" t="n">
        <v>1303037835829</v>
      </c>
      <c r="E11" s="4" t="n">
        <v>1722371823278</v>
      </c>
      <c r="F11" s="4" t="n">
        <v>5366251939739</v>
      </c>
      <c r="G11" s="4" t="n">
        <v>2583940446585</v>
      </c>
      <c r="H11" s="4" t="n">
        <v>2118824427004</v>
      </c>
      <c r="I11" s="4" t="n">
        <v>1878084035938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Phải thu khác</t>
        </is>
      </c>
      <c r="B14" s="4" t="n">
        <v>150952350749</v>
      </c>
      <c r="C14" s="4" t="n">
        <v>139273246353</v>
      </c>
      <c r="D14" s="4" t="n">
        <v>910365502671</v>
      </c>
      <c r="E14" s="4" t="n">
        <v>981799066828</v>
      </c>
      <c r="F14" s="4" t="n">
        <v>1482978249031</v>
      </c>
      <c r="G14" s="4" t="n">
        <v>1961601875298</v>
      </c>
      <c r="H14" s="4" t="n">
        <v>1248992845378</v>
      </c>
      <c r="I14" s="4" t="n">
        <v>2318283126429</v>
      </c>
    </row>
    <row r="15">
      <c r="A15" s="3" t="inlineStr">
        <is>
          <t>Dự phòng nợ khó đòi</t>
        </is>
      </c>
      <c r="B15" s="4" t="n">
        <v>-37693842866</v>
      </c>
      <c r="C15" s="4" t="n">
        <v>-37145790132</v>
      </c>
      <c r="D15" s="4" t="n">
        <v>-39336197606</v>
      </c>
      <c r="E15" s="4" t="n">
        <v>-39275168162</v>
      </c>
      <c r="F15" s="4" t="n">
        <v>-41074336139</v>
      </c>
      <c r="G15" s="4" t="n">
        <v>-46628415158</v>
      </c>
      <c r="H15" s="4" t="n">
        <v>-159993736285</v>
      </c>
      <c r="I15" s="4" t="n">
        <v>-132548698812</v>
      </c>
    </row>
    <row r="16">
      <c r="A16" s="3" t="inlineStr">
        <is>
          <t>Hàng tồn kho, ròng</t>
        </is>
      </c>
      <c r="B16" s="4" t="n">
        <v>14115139048908</v>
      </c>
      <c r="C16" s="4" t="n">
        <v>19411922748095</v>
      </c>
      <c r="D16" s="4" t="n">
        <v>26286822229202</v>
      </c>
      <c r="E16" s="4" t="n">
        <v>42134493932210</v>
      </c>
      <c r="F16" s="4" t="n">
        <v>34491111096123</v>
      </c>
      <c r="G16" s="4" t="n">
        <v>34504487406261</v>
      </c>
      <c r="H16" s="4" t="n">
        <v>46091222189472</v>
      </c>
      <c r="I16" s="4" t="n">
        <v>52828227344442</v>
      </c>
    </row>
    <row r="17">
      <c r="A17" s="3" t="inlineStr">
        <is>
          <t>Hàng tồn kho</t>
        </is>
      </c>
      <c r="B17" s="4" t="n">
        <v>14188336169734</v>
      </c>
      <c r="C17" s="4" t="n">
        <v>19480666530260</v>
      </c>
      <c r="D17" s="4" t="n">
        <v>26373360826788</v>
      </c>
      <c r="E17" s="4" t="n">
        <v>42370012405544</v>
      </c>
      <c r="F17" s="4" t="n">
        <v>35727277739296</v>
      </c>
      <c r="G17" s="4" t="n">
        <v>34628367844950</v>
      </c>
      <c r="H17" s="4" t="n">
        <v>46192292081813</v>
      </c>
      <c r="I17" s="4" t="n">
        <v>52892273238885</v>
      </c>
    </row>
    <row r="18">
      <c r="A18" s="3" t="inlineStr">
        <is>
          <t>Dự phòng giảm giá hàng tồn kho</t>
        </is>
      </c>
      <c r="B18" s="4" t="n">
        <v>-73197120826</v>
      </c>
      <c r="C18" s="4" t="n">
        <v>-68743782165</v>
      </c>
      <c r="D18" s="4" t="n">
        <v>-86538597586</v>
      </c>
      <c r="E18" s="4" t="n">
        <v>-235518473334</v>
      </c>
      <c r="F18" s="4" t="n">
        <v>-1236166643173</v>
      </c>
      <c r="G18" s="4" t="n">
        <v>-123880438689</v>
      </c>
      <c r="H18" s="4" t="n">
        <v>-101069892341</v>
      </c>
      <c r="I18" s="4" t="n">
        <v>-64045894443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122420331320</v>
      </c>
      <c r="C20" s="4" t="n">
        <v>118551289085</v>
      </c>
      <c r="D20" s="4" t="n">
        <v>141398046799</v>
      </c>
      <c r="E20" s="4" t="n">
        <v>296697348350</v>
      </c>
      <c r="F20" s="4" t="n">
        <v>320077470557</v>
      </c>
      <c r="G20" s="4" t="n">
        <v>330834978197</v>
      </c>
      <c r="H20" s="4" t="n">
        <v>426149499088</v>
      </c>
      <c r="I20" s="4" t="n">
        <v>567293994902</v>
      </c>
    </row>
    <row r="21">
      <c r="A21" s="3" t="inlineStr">
        <is>
          <t>Thuế GTGT được khấu trừ</t>
        </is>
      </c>
      <c r="B21" s="4" t="n">
        <v>1601957215751</v>
      </c>
      <c r="C21" s="4" t="n">
        <v>1400159900793</v>
      </c>
      <c r="D21" s="4" t="n">
        <v>2357338685110</v>
      </c>
      <c r="E21" s="4" t="n">
        <v>3335690250424</v>
      </c>
      <c r="F21" s="4" t="n">
        <v>1117646951943</v>
      </c>
      <c r="G21" s="4" t="n">
        <v>2737971196700</v>
      </c>
      <c r="H21" s="4" t="n">
        <v>6636666459154</v>
      </c>
      <c r="I21" s="4" t="n">
        <v>7429884133408</v>
      </c>
    </row>
    <row r="22">
      <c r="A22" s="3" t="inlineStr">
        <is>
          <t>Phải thu thuế khác</t>
        </is>
      </c>
      <c r="B22" s="4" t="n">
        <v>18750136896</v>
      </c>
      <c r="C22" s="4" t="n">
        <v>25665176119</v>
      </c>
      <c r="D22" s="4" t="n">
        <v>13816802000</v>
      </c>
      <c r="E22" s="4" t="n">
        <v>17769142467</v>
      </c>
      <c r="F22" s="4" t="n">
        <v>100170236943</v>
      </c>
      <c r="G22" s="4" t="n">
        <v>11704488524</v>
      </c>
      <c r="H22" s="4" t="n">
        <v>10074967536</v>
      </c>
      <c r="I22" s="4" t="n">
        <v>6371103672</v>
      </c>
    </row>
    <row r="23">
      <c r="A23" s="3" t="inlineStr">
        <is>
          <t>Tài sản lưu động khác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52914282483307</v>
      </c>
      <c r="C24" s="4" t="n">
        <v>71339093190006</v>
      </c>
      <c r="D24" s="4" t="n">
        <v>74764176191827</v>
      </c>
      <c r="E24" s="4" t="n">
        <v>84081562709945</v>
      </c>
      <c r="F24" s="4" t="n">
        <v>89820810782676</v>
      </c>
      <c r="G24" s="4" t="n">
        <v>105066147390758</v>
      </c>
      <c r="H24" s="4" t="n">
        <v>137815431280986</v>
      </c>
      <c r="I24" s="4" t="n">
        <v>154239798057823</v>
      </c>
    </row>
    <row r="25">
      <c r="A25" s="3" t="inlineStr">
        <is>
          <t>Phải thu dài hạn</t>
        </is>
      </c>
      <c r="B25" s="4" t="n">
        <v>22301804672</v>
      </c>
      <c r="C25" s="4" t="n">
        <v>27717594984</v>
      </c>
      <c r="D25" s="4" t="n">
        <v>305165547431</v>
      </c>
      <c r="E25" s="4" t="n">
        <v>809234947969</v>
      </c>
      <c r="F25" s="4" t="n">
        <v>894484456379</v>
      </c>
      <c r="G25" s="4" t="n">
        <v>1880922130348</v>
      </c>
      <c r="H25" s="4" t="n">
        <v>923400123614</v>
      </c>
      <c r="I25" s="4" t="n">
        <v>290327516308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22301804672</v>
      </c>
      <c r="C28" s="4" t="n">
        <v>22807248984</v>
      </c>
      <c r="D28" s="4" t="n">
        <v>209158308631</v>
      </c>
      <c r="E28" s="4" t="n">
        <v>690833578689</v>
      </c>
      <c r="F28" s="4" t="n">
        <v>792790894665</v>
      </c>
      <c r="G28" s="4" t="n">
        <v>781079548004</v>
      </c>
      <c r="H28" s="4" t="n">
        <v>840594835822</v>
      </c>
      <c r="I28" s="4" t="n">
        <v>248919079879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Tài sản cố định</t>
        </is>
      </c>
      <c r="B30" s="4" t="n">
        <v>12782560625001</v>
      </c>
      <c r="C30" s="4" t="n">
        <v>31249493917960</v>
      </c>
      <c r="D30" s="4" t="n">
        <v>65561657180137</v>
      </c>
      <c r="E30" s="4" t="n">
        <v>69280841784004</v>
      </c>
      <c r="F30" s="4" t="n">
        <v>70832915657865</v>
      </c>
      <c r="G30" s="4" t="n">
        <v>71998370737871</v>
      </c>
      <c r="H30" s="4" t="n">
        <v>67428366953514</v>
      </c>
      <c r="I30" s="4" t="n">
        <v>133608057859977</v>
      </c>
    </row>
    <row r="31">
      <c r="A31" s="3" t="inlineStr">
        <is>
          <t>GTCL TSCĐ hữu hình</t>
        </is>
      </c>
      <c r="B31" s="4" t="n">
        <v>12565363529879</v>
      </c>
      <c r="C31" s="4" t="n">
        <v>30980122434704</v>
      </c>
      <c r="D31" s="4" t="n">
        <v>65307819877543</v>
      </c>
      <c r="E31" s="4" t="n">
        <v>68744125939109</v>
      </c>
      <c r="F31" s="4" t="n">
        <v>70199153681536</v>
      </c>
      <c r="G31" s="4" t="n">
        <v>71787251586301</v>
      </c>
      <c r="H31" s="4" t="n">
        <v>67244150975048</v>
      </c>
      <c r="I31" s="4" t="n">
        <v>133420846696083</v>
      </c>
    </row>
    <row r="32">
      <c r="A32" s="3" t="inlineStr">
        <is>
          <t>Nguyên giá TSCĐ hữu hình</t>
        </is>
      </c>
      <c r="B32" s="4" t="n">
        <v>22992663946845</v>
      </c>
      <c r="C32" s="4" t="n">
        <v>43804940121895</v>
      </c>
      <c r="D32" s="4" t="n">
        <v>82616810188887</v>
      </c>
      <c r="E32" s="4" t="n">
        <v>91026106008677</v>
      </c>
      <c r="F32" s="4" t="n">
        <v>98976369133844</v>
      </c>
      <c r="G32" s="4" t="n">
        <v>106923132503430</v>
      </c>
      <c r="H32" s="4" t="n">
        <v>108146566348954</v>
      </c>
      <c r="I32" s="4" t="n">
        <v>182308655292963</v>
      </c>
    </row>
    <row r="33">
      <c r="A33" s="3" t="inlineStr">
        <is>
          <t>Khấu hao lũy kế TSCĐ hữu hình</t>
        </is>
      </c>
      <c r="B33" s="4" t="n">
        <v>-10427300416966</v>
      </c>
      <c r="C33" s="4" t="n">
        <v>-12824817687191</v>
      </c>
      <c r="D33" s="4" t="n">
        <v>-17308990311344</v>
      </c>
      <c r="E33" s="4" t="n">
        <v>-22281980069568</v>
      </c>
      <c r="F33" s="4" t="n">
        <v>-28777215452308</v>
      </c>
      <c r="G33" s="4" t="n">
        <v>-35135880917129</v>
      </c>
      <c r="H33" s="4" t="n">
        <v>-40902415373906</v>
      </c>
      <c r="I33" s="4" t="n">
        <v>-48887808596880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GTCL tài sản cố định vô hình</t>
        </is>
      </c>
      <c r="B37" s="4" t="n">
        <v>217197095122</v>
      </c>
      <c r="C37" s="4" t="n">
        <v>269371483256</v>
      </c>
      <c r="D37" s="4" t="n">
        <v>253837302594</v>
      </c>
      <c r="E37" s="4" t="n">
        <v>536715844895</v>
      </c>
      <c r="F37" s="4" t="n">
        <v>633761976329</v>
      </c>
      <c r="G37" s="4" t="n">
        <v>211119151570</v>
      </c>
      <c r="H37" s="4" t="n">
        <v>184215978466</v>
      </c>
      <c r="I37" s="4" t="n">
        <v>187211163894</v>
      </c>
    </row>
    <row r="38">
      <c r="A38" s="3" t="inlineStr">
        <is>
          <t>Nguyên giá TSCĐ vô hình</t>
        </is>
      </c>
      <c r="B38" s="4" t="n">
        <v>268391812870</v>
      </c>
      <c r="C38" s="4" t="n">
        <v>339570963463</v>
      </c>
      <c r="D38" s="4" t="n">
        <v>342995279178</v>
      </c>
      <c r="E38" s="4" t="n">
        <v>618321659402</v>
      </c>
      <c r="F38" s="4" t="n">
        <v>744538077973</v>
      </c>
      <c r="G38" s="4" t="n">
        <v>357031331749</v>
      </c>
      <c r="H38" s="4" t="n">
        <v>367057604707</v>
      </c>
      <c r="I38" s="4" t="n">
        <v>394755577407</v>
      </c>
    </row>
    <row r="39">
      <c r="A39" s="3" t="inlineStr">
        <is>
          <t>Khấu hao lũy kế TSCĐ vô hình</t>
        </is>
      </c>
      <c r="B39" s="4" t="n">
        <v>-51194717748</v>
      </c>
      <c r="C39" s="4" t="n">
        <v>-70199480207</v>
      </c>
      <c r="D39" s="4" t="n">
        <v>-89157976584</v>
      </c>
      <c r="E39" s="4" t="n">
        <v>-81605814507</v>
      </c>
      <c r="F39" s="4" t="n">
        <v>-110776101644</v>
      </c>
      <c r="G39" s="4" t="n">
        <v>-145912180179</v>
      </c>
      <c r="H39" s="4" t="n">
        <v>-182841626241</v>
      </c>
      <c r="I39" s="4" t="n">
        <v>-207544413513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179740530488</v>
      </c>
      <c r="C41" s="4" t="n">
        <v>576616510917</v>
      </c>
      <c r="D41" s="4" t="n">
        <v>564296973801</v>
      </c>
      <c r="E41" s="4" t="n">
        <v>548210755123</v>
      </c>
      <c r="F41" s="4" t="n">
        <v>629111776960</v>
      </c>
      <c r="G41" s="4" t="n">
        <v>593920277320</v>
      </c>
      <c r="H41" s="4" t="n">
        <v>559598463093</v>
      </c>
      <c r="I41" s="4" t="n">
        <v>528191122247</v>
      </c>
    </row>
    <row r="42">
      <c r="A42" s="3" t="inlineStr">
        <is>
          <t>Nguyên giá tài sản đầu tư</t>
        </is>
      </c>
      <c r="B42" s="4" t="n">
        <v>246767060543</v>
      </c>
      <c r="C42" s="4" t="n">
        <v>663239742390</v>
      </c>
      <c r="D42" s="4" t="n">
        <v>681931844756</v>
      </c>
      <c r="E42" s="4" t="n">
        <v>698820145314</v>
      </c>
      <c r="F42" s="4" t="n">
        <v>859667015615</v>
      </c>
      <c r="G42" s="4" t="n">
        <v>859667015615</v>
      </c>
      <c r="H42" s="4" t="n">
        <v>860549015615</v>
      </c>
      <c r="I42" s="4" t="n">
        <v>863635594434</v>
      </c>
    </row>
    <row r="43">
      <c r="A43" s="3" t="inlineStr">
        <is>
          <t>Khấu hao lũy kế tài sản đầu tư</t>
        </is>
      </c>
      <c r="B43" s="4" t="n">
        <v>-67026530055</v>
      </c>
      <c r="C43" s="4" t="n">
        <v>-86623231473</v>
      </c>
      <c r="D43" s="4" t="n">
        <v>-117634870955</v>
      </c>
      <c r="E43" s="4" t="n">
        <v>-150609390191</v>
      </c>
      <c r="F43" s="4" t="n">
        <v>-230555238655</v>
      </c>
      <c r="G43" s="4" t="n">
        <v>-265746738295</v>
      </c>
      <c r="H43" s="4" t="n">
        <v>-300950552522</v>
      </c>
      <c r="I43" s="4" t="n">
        <v>-335444472187</v>
      </c>
    </row>
    <row r="44">
      <c r="A44" s="3" t="inlineStr">
        <is>
          <t>Đầu tư dài hạn</t>
        </is>
      </c>
      <c r="B44" s="4" t="n">
        <v>66584926457</v>
      </c>
      <c r="C44" s="4" t="n">
        <v>45794216642</v>
      </c>
      <c r="D44" s="4" t="n">
        <v>171085206311</v>
      </c>
      <c r="E44" s="4" t="n">
        <v>6715955617</v>
      </c>
      <c r="F44" s="4" t="n">
        <v>700000000</v>
      </c>
      <c r="G44" s="4" t="n">
        <v>40000000000</v>
      </c>
      <c r="H44" s="4" t="n">
        <v>136500000000</v>
      </c>
      <c r="I44" s="4" t="n">
        <v>2248000000000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0</v>
      </c>
      <c r="C46" s="4" t="n">
        <v>-1431313615</v>
      </c>
      <c r="D46" s="4" t="n">
        <v>385206311</v>
      </c>
      <c r="E46" s="4" t="n">
        <v>6015955617</v>
      </c>
      <c r="F46" s="4" t="n">
        <v>0</v>
      </c>
      <c r="G46" s="4" t="n">
        <v>0</v>
      </c>
      <c r="H46" s="4" t="n">
        <v>0</v>
      </c>
      <c r="I46" s="4" t="n">
        <v>0</v>
      </c>
    </row>
    <row r="47">
      <c r="A47" s="3" t="inlineStr">
        <is>
          <t>Đầu tư dài hạn khác</t>
        </is>
      </c>
      <c r="B47" s="4" t="n">
        <v>700000000</v>
      </c>
      <c r="C47" s="4" t="n">
        <v>700000000</v>
      </c>
      <c r="D47" s="4" t="n">
        <v>700000000</v>
      </c>
      <c r="E47" s="4" t="n">
        <v>700000000</v>
      </c>
      <c r="F47" s="4" t="n">
        <v>700000000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Dự phòng giảm giá đầu tư dài hạn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1755774089572</v>
      </c>
      <c r="C50" s="4" t="n">
        <v>2004150482489</v>
      </c>
      <c r="D50" s="4" t="n">
        <v>1914757777153</v>
      </c>
      <c r="E50" s="4" t="n">
        <v>3737859869519</v>
      </c>
      <c r="F50" s="4" t="n">
        <v>4100323979117</v>
      </c>
      <c r="G50" s="4" t="n">
        <v>4454004867718</v>
      </c>
      <c r="H50" s="4" t="n">
        <v>5016848415359</v>
      </c>
      <c r="I50" s="4" t="n">
        <v>6695330188319</v>
      </c>
    </row>
    <row r="51">
      <c r="A51" s="3" t="inlineStr">
        <is>
          <t>Trả trước dài hạn</t>
        </is>
      </c>
      <c r="B51" s="4" t="n">
        <v>1461311868435</v>
      </c>
      <c r="C51" s="4" t="n">
        <v>1650738623090</v>
      </c>
      <c r="D51" s="4" t="n">
        <v>1646094518464</v>
      </c>
      <c r="E51" s="4" t="n">
        <v>3171382188206</v>
      </c>
      <c r="F51" s="4" t="n">
        <v>3929243956403</v>
      </c>
      <c r="G51" s="4" t="n">
        <v>4215007972679</v>
      </c>
      <c r="H51" s="4" t="n">
        <v>4269141694868</v>
      </c>
      <c r="I51" s="4" t="n">
        <v>6003628755787</v>
      </c>
    </row>
    <row r="52">
      <c r="A52" s="3" t="inlineStr">
        <is>
          <t>Thuế thu nhập hoãn lại</t>
        </is>
      </c>
      <c r="B52" s="4" t="n">
        <v>0</v>
      </c>
      <c r="C52" s="4" t="n">
        <v>1104751459</v>
      </c>
      <c r="D52" s="4" t="n">
        <v>666262529</v>
      </c>
      <c r="E52" s="4" t="n">
        <v>0</v>
      </c>
      <c r="F52" s="4" t="n">
        <v>31207164756</v>
      </c>
      <c r="G52" s="4" t="n">
        <v>30012518415</v>
      </c>
      <c r="H52" s="4" t="n">
        <v>29268483140</v>
      </c>
      <c r="I52" s="4" t="n">
        <v>31013808361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78223007670925</v>
      </c>
      <c r="C54" s="4" t="n">
        <v>101776030099900</v>
      </c>
      <c r="D54" s="4" t="n">
        <v>131511434388837</v>
      </c>
      <c r="E54" s="4" t="n">
        <v>178236422358249</v>
      </c>
      <c r="F54" s="4" t="n">
        <v>170335519508132</v>
      </c>
      <c r="G54" s="4" t="n">
        <v>187782586563801</v>
      </c>
      <c r="H54" s="4" t="n">
        <v>224489707553981</v>
      </c>
      <c r="I54" s="4" t="n">
        <v>257899200817547</v>
      </c>
    </row>
    <row r="55">
      <c r="A55" s="3" t="inlineStr">
        <is>
          <t>NỢ PHẢI TRẢ</t>
        </is>
      </c>
      <c r="B55" s="4" t="n">
        <v>37600057830115</v>
      </c>
      <c r="C55" s="4" t="n">
        <v>53989393956205</v>
      </c>
      <c r="D55" s="4" t="n">
        <v>72291648082726</v>
      </c>
      <c r="E55" s="4" t="n">
        <v>87455796846810</v>
      </c>
      <c r="F55" s="4" t="n">
        <v>74222579892349</v>
      </c>
      <c r="G55" s="4" t="n">
        <v>84946167324422</v>
      </c>
      <c r="H55" s="4" t="n">
        <v>109842249570282</v>
      </c>
      <c r="I55" s="4" t="n">
        <v>126679189940972</v>
      </c>
    </row>
    <row r="56">
      <c r="A56" s="3" t="inlineStr">
        <is>
          <t>Nợ ngắn hạn</t>
        </is>
      </c>
      <c r="B56" s="4" t="n">
        <v>22636149492136</v>
      </c>
      <c r="C56" s="4" t="n">
        <v>26984198187977</v>
      </c>
      <c r="D56" s="4" t="n">
        <v>51975217447498</v>
      </c>
      <c r="E56" s="4" t="n">
        <v>73459315876441</v>
      </c>
      <c r="F56" s="4" t="n">
        <v>62385390680685</v>
      </c>
      <c r="G56" s="4" t="n">
        <v>71513492904733</v>
      </c>
      <c r="H56" s="4" t="n">
        <v>75225243262689</v>
      </c>
      <c r="I56" s="4" t="n">
        <v>94186268324508</v>
      </c>
    </row>
    <row r="57">
      <c r="A57" s="3" t="inlineStr">
        <is>
          <t>Vay ngắn hạn</t>
        </is>
      </c>
      <c r="B57" s="4" t="n">
        <v>11494717393327</v>
      </c>
      <c r="C57" s="4" t="n">
        <v>16837653470387</v>
      </c>
      <c r="D57" s="4" t="n">
        <v>36798465672104</v>
      </c>
      <c r="E57" s="4" t="n">
        <v>43747643082356</v>
      </c>
      <c r="F57" s="4" t="n">
        <v>46748670400471</v>
      </c>
      <c r="G57" s="4" t="n">
        <v>54981883180636</v>
      </c>
      <c r="H57" s="4" t="n">
        <v>55882686213459</v>
      </c>
      <c r="I57" s="4" t="n">
        <v>64694957245143</v>
      </c>
    </row>
    <row r="58">
      <c r="A58" s="3" t="inlineStr">
        <is>
          <t>Phải trả người bán</t>
        </is>
      </c>
      <c r="B58" s="4" t="n">
        <v>8706913341857</v>
      </c>
      <c r="C58" s="4" t="n">
        <v>7507198913115</v>
      </c>
      <c r="D58" s="4" t="n">
        <v>10915752723952</v>
      </c>
      <c r="E58" s="4" t="n">
        <v>23729142569420</v>
      </c>
      <c r="F58" s="4" t="n">
        <v>11107160795326</v>
      </c>
      <c r="G58" s="4" t="n">
        <v>12387496434147</v>
      </c>
      <c r="H58" s="4" t="n">
        <v>14046841160127</v>
      </c>
      <c r="I58" s="4" t="n">
        <v>21183376049432</v>
      </c>
    </row>
    <row r="59">
      <c r="A59" s="3" t="inlineStr">
        <is>
          <t>Người mua trả tiền trước</t>
        </is>
      </c>
      <c r="B59" s="4" t="n">
        <v>361444408581</v>
      </c>
      <c r="C59" s="4" t="n">
        <v>408691837688</v>
      </c>
      <c r="D59" s="4" t="n">
        <v>1257272765123</v>
      </c>
      <c r="E59" s="4" t="n">
        <v>788002603134</v>
      </c>
      <c r="F59" s="4" t="n">
        <v>860793139245</v>
      </c>
      <c r="G59" s="4" t="n">
        <v>741733890580</v>
      </c>
      <c r="H59" s="4" t="n">
        <v>739178306553</v>
      </c>
      <c r="I59" s="4" t="n">
        <v>839645735088</v>
      </c>
    </row>
    <row r="60">
      <c r="A60" s="3" t="inlineStr">
        <is>
          <t>Thuế và các khoản phải trả Nhà nước</t>
        </is>
      </c>
      <c r="B60" s="4" t="n">
        <v>481510200714</v>
      </c>
      <c r="C60" s="4" t="n">
        <v>478426384718</v>
      </c>
      <c r="D60" s="4" t="n">
        <v>548579261453</v>
      </c>
      <c r="E60" s="4" t="n">
        <v>796022241121</v>
      </c>
      <c r="F60" s="4" t="n">
        <v>648407591981</v>
      </c>
      <c r="G60" s="4" t="n">
        <v>945404457633</v>
      </c>
      <c r="H60" s="4" t="n">
        <v>1743411429415</v>
      </c>
      <c r="I60" s="4" t="n">
        <v>2377396188571</v>
      </c>
    </row>
    <row r="61">
      <c r="A61" s="3" t="inlineStr">
        <is>
          <t>Phải trả người lao động</t>
        </is>
      </c>
      <c r="B61" s="4" t="n">
        <v>252288255386</v>
      </c>
      <c r="C61" s="4" t="n">
        <v>247936926136</v>
      </c>
      <c r="D61" s="4" t="n">
        <v>313099678402</v>
      </c>
      <c r="E61" s="4" t="n">
        <v>816457005628</v>
      </c>
      <c r="F61" s="4" t="n">
        <v>306208839467</v>
      </c>
      <c r="G61" s="4" t="n">
        <v>403391467732</v>
      </c>
      <c r="H61" s="4" t="n">
        <v>890893543298</v>
      </c>
      <c r="I61" s="4" t="n">
        <v>995918246781</v>
      </c>
    </row>
    <row r="62">
      <c r="A62" s="3" t="inlineStr">
        <is>
          <t>Chi phí phải trả</t>
        </is>
      </c>
      <c r="B62" s="4" t="n">
        <v>261634131158</v>
      </c>
      <c r="C62" s="4" t="n">
        <v>429777297411</v>
      </c>
      <c r="D62" s="4" t="n">
        <v>640129684182</v>
      </c>
      <c r="E62" s="4" t="n">
        <v>772615123352</v>
      </c>
      <c r="F62" s="4" t="n">
        <v>460508546638</v>
      </c>
      <c r="G62" s="4" t="n">
        <v>477102216071</v>
      </c>
      <c r="H62" s="4" t="n">
        <v>682112072502</v>
      </c>
      <c r="I62" s="4" t="n">
        <v>939347023380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Phải trả khác</t>
        </is>
      </c>
      <c r="B65" s="4" t="n">
        <v>300069780261</v>
      </c>
      <c r="C65" s="4" t="n">
        <v>237391747239</v>
      </c>
      <c r="D65" s="4" t="n">
        <v>328061400351</v>
      </c>
      <c r="E65" s="4" t="n">
        <v>1047158508079</v>
      </c>
      <c r="F65" s="4" t="n">
        <v>418512269668</v>
      </c>
      <c r="G65" s="4" t="n">
        <v>182970590524</v>
      </c>
      <c r="H65" s="4" t="n">
        <v>188076845190</v>
      </c>
      <c r="I65" s="4" t="n">
        <v>2011792352575</v>
      </c>
    </row>
    <row r="66">
      <c r="A66" s="3" t="inlineStr">
        <is>
          <t>Dự phòng các khoản phải trả ngắn hạn</t>
        </is>
      </c>
      <c r="B66" s="4" t="n">
        <v>6238723132</v>
      </c>
      <c r="C66" s="4" t="n">
        <v>3111122885</v>
      </c>
      <c r="D66" s="4" t="n">
        <v>5846534626</v>
      </c>
      <c r="E66" s="4" t="n">
        <v>4755735476</v>
      </c>
      <c r="F66" s="4" t="n">
        <v>5198833687</v>
      </c>
      <c r="G66" s="4" t="n">
        <v>8054106025</v>
      </c>
      <c r="H66" s="4" t="n">
        <v>13672830889</v>
      </c>
      <c r="I66" s="4" t="n">
        <v>15437227372</v>
      </c>
    </row>
    <row r="67">
      <c r="A67" s="3" t="inlineStr">
        <is>
          <t>Quỹ khen thưởng, phúc lợi</t>
        </is>
      </c>
      <c r="B67" s="4" t="n">
        <v>761403536738</v>
      </c>
      <c r="C67" s="4" t="n">
        <v>806604376402</v>
      </c>
      <c r="D67" s="4" t="n">
        <v>1133445419487</v>
      </c>
      <c r="E67" s="4" t="n">
        <v>1740567096715</v>
      </c>
      <c r="F67" s="4" t="n">
        <v>1812955327314</v>
      </c>
      <c r="G67" s="4" t="n">
        <v>1375476964884</v>
      </c>
      <c r="H67" s="4" t="n">
        <v>1027310381825</v>
      </c>
      <c r="I67" s="4" t="n">
        <v>975878976922</v>
      </c>
    </row>
    <row r="68">
      <c r="A68" s="3" t="inlineStr">
        <is>
          <t>Nợ dài hạn</t>
        </is>
      </c>
      <c r="B68" s="4" t="n">
        <v>14963908337979</v>
      </c>
      <c r="C68" s="4" t="n">
        <v>27005195768228</v>
      </c>
      <c r="D68" s="4" t="n">
        <v>20316430635228</v>
      </c>
      <c r="E68" s="4" t="n">
        <v>13996480970369</v>
      </c>
      <c r="F68" s="4" t="n">
        <v>11837189211664</v>
      </c>
      <c r="G68" s="4" t="n">
        <v>13432674419689</v>
      </c>
      <c r="H68" s="4" t="n">
        <v>34617006307593</v>
      </c>
      <c r="I68" s="4" t="n">
        <v>32492921616464</v>
      </c>
    </row>
    <row r="69">
      <c r="A69" s="3" t="inlineStr">
        <is>
          <t>Phải trả nhà cung cấp dài hạn</t>
        </is>
      </c>
      <c r="B69" s="4" t="n">
        <v>1647091707192</v>
      </c>
      <c r="C69" s="4" t="n">
        <v>6652492138554</v>
      </c>
      <c r="D69" s="4" t="n">
        <v>2637987658239</v>
      </c>
      <c r="E69" s="4" t="n">
        <v>0</v>
      </c>
      <c r="F69" s="4" t="n">
        <v>0</v>
      </c>
      <c r="G69" s="4" t="n">
        <v>2324285289468</v>
      </c>
      <c r="H69" s="4" t="n">
        <v>6283630279040</v>
      </c>
      <c r="I69" s="4" t="n">
        <v>4237943510056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36480820999</v>
      </c>
      <c r="C71" s="4" t="n">
        <v>58387110781</v>
      </c>
      <c r="D71" s="4" t="n">
        <v>68736086170</v>
      </c>
      <c r="E71" s="4" t="n">
        <v>63027061241</v>
      </c>
      <c r="F71" s="4" t="n">
        <v>61033120562</v>
      </c>
      <c r="G71" s="4" t="n">
        <v>13361520783</v>
      </c>
      <c r="H71" s="4" t="n">
        <v>12476505170</v>
      </c>
      <c r="I71" s="4" t="n">
        <v>18032488855</v>
      </c>
    </row>
    <row r="72">
      <c r="A72" s="3" t="inlineStr">
        <is>
          <t>Vay dài hạn</t>
        </is>
      </c>
      <c r="B72" s="4" t="n">
        <v>12810996979972</v>
      </c>
      <c r="C72" s="4" t="n">
        <v>19842099219720</v>
      </c>
      <c r="D72" s="4" t="n">
        <v>17343247551512</v>
      </c>
      <c r="E72" s="4" t="n">
        <v>13464931998700</v>
      </c>
      <c r="F72" s="4" t="n">
        <v>11151651204402</v>
      </c>
      <c r="G72" s="4" t="n">
        <v>10399119292481</v>
      </c>
      <c r="H72" s="4" t="n">
        <v>27080443256096</v>
      </c>
      <c r="I72" s="4" t="n">
        <v>27479194057074</v>
      </c>
    </row>
    <row r="73">
      <c r="A73" s="3" t="inlineStr">
        <is>
          <t>Thuế thu nhập hoãn lại</t>
        </is>
      </c>
      <c r="B73" s="4" t="inlineStr"/>
      <c r="C73" s="4" t="inlineStr"/>
      <c r="D73" s="4" t="inlineStr"/>
      <c r="E73" s="4" t="inlineStr"/>
      <c r="F73" s="4" t="n">
        <v>31207164756</v>
      </c>
      <c r="G73" s="4" t="n">
        <v>30012518415</v>
      </c>
      <c r="H73" s="4" t="n">
        <v>29268483140</v>
      </c>
      <c r="I73" s="4" t="n">
        <v>31013808361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18238256789</v>
      </c>
      <c r="C75" s="4" t="n">
        <v>20413737584</v>
      </c>
      <c r="D75" s="4" t="n">
        <v>26000932740</v>
      </c>
      <c r="E75" s="4" t="n">
        <v>49310752616</v>
      </c>
      <c r="F75" s="4" t="n">
        <v>57568259201</v>
      </c>
      <c r="G75" s="4" t="n">
        <v>55168639369</v>
      </c>
      <c r="H75" s="4" t="n">
        <v>121495546940</v>
      </c>
      <c r="I75" s="4" t="n">
        <v>119373951692</v>
      </c>
    </row>
    <row r="76">
      <c r="A76" s="3" t="inlineStr">
        <is>
          <t>Doanh thu chưa thực hiện</t>
        </is>
      </c>
      <c r="B76" s="4" t="n">
        <v>0</v>
      </c>
      <c r="C76" s="4" t="n">
        <v>3369818100</v>
      </c>
      <c r="D76" s="4" t="n">
        <v>16127650192</v>
      </c>
      <c r="E76" s="4" t="n">
        <v>8803217550</v>
      </c>
      <c r="F76" s="4" t="n">
        <v>4109316288</v>
      </c>
      <c r="G76" s="4" t="n">
        <v>174647128</v>
      </c>
      <c r="H76" s="4" t="n">
        <v>0</v>
      </c>
      <c r="I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Vốn chủ sở hữu</t>
        </is>
      </c>
      <c r="B78" s="4" t="n">
        <v>40622949840810</v>
      </c>
      <c r="C78" s="4" t="n">
        <v>47786636143695</v>
      </c>
      <c r="D78" s="4" t="n">
        <v>59219786306111</v>
      </c>
      <c r="E78" s="4" t="n">
        <v>90780625511439</v>
      </c>
      <c r="F78" s="4" t="n">
        <v>96112939615783</v>
      </c>
      <c r="G78" s="4" t="n">
        <v>102836419239379</v>
      </c>
      <c r="H78" s="4" t="n">
        <v>114647457983699</v>
      </c>
      <c r="I78" s="4" t="n">
        <v>131220010876575</v>
      </c>
    </row>
    <row r="79">
      <c r="A79" s="3" t="inlineStr">
        <is>
          <t>Vốn và các quỹ</t>
        </is>
      </c>
      <c r="B79" s="4" t="n">
        <v>40622949840810</v>
      </c>
      <c r="C79" s="4" t="n">
        <v>47786636143695</v>
      </c>
      <c r="D79" s="4" t="n">
        <v>59219786306111</v>
      </c>
      <c r="E79" s="4" t="n">
        <v>90780625511439</v>
      </c>
      <c r="F79" s="4" t="n">
        <v>96112939615783</v>
      </c>
      <c r="G79" s="4" t="n">
        <v>102836419239379</v>
      </c>
      <c r="H79" s="4" t="n">
        <v>114647457983699</v>
      </c>
      <c r="I79" s="4" t="n">
        <v>131220010876575</v>
      </c>
    </row>
    <row r="80">
      <c r="A80" s="3" t="inlineStr">
        <is>
          <t>Vốn góp</t>
        </is>
      </c>
      <c r="B80" s="4" t="n">
        <v>21239071660000</v>
      </c>
      <c r="C80" s="4" t="n">
        <v>27610741150000</v>
      </c>
      <c r="D80" s="4" t="n">
        <v>33132826590000</v>
      </c>
      <c r="E80" s="4" t="n">
        <v>44729227060000</v>
      </c>
      <c r="F80" s="4" t="n">
        <v>58147857000000</v>
      </c>
      <c r="G80" s="4" t="n">
        <v>58147857000000</v>
      </c>
      <c r="H80" s="4" t="n">
        <v>63962502000000</v>
      </c>
      <c r="I80" s="4" t="n">
        <v>76754658550000</v>
      </c>
    </row>
    <row r="81">
      <c r="A81" s="3" t="inlineStr">
        <is>
          <t>Thặng dư vốn cổ phần</t>
        </is>
      </c>
      <c r="B81" s="4" t="n">
        <v>3211560416270</v>
      </c>
      <c r="C81" s="4" t="n">
        <v>3211560416270</v>
      </c>
      <c r="D81" s="4" t="n">
        <v>3211560416270</v>
      </c>
      <c r="E81" s="4" t="n">
        <v>3211560416270</v>
      </c>
      <c r="F81" s="4" t="n">
        <v>3211560416270</v>
      </c>
      <c r="G81" s="4" t="n">
        <v>3211560416270</v>
      </c>
      <c r="H81" s="4" t="n">
        <v>0</v>
      </c>
      <c r="I81" s="4" t="n">
        <v>0</v>
      </c>
    </row>
    <row r="82">
      <c r="A82" s="3" t="inlineStr">
        <is>
          <t>Vốn khác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Cổ phiếu quỹ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276819257</v>
      </c>
      <c r="C85" s="4" t="n">
        <v>565534994</v>
      </c>
      <c r="D85" s="4" t="n">
        <v>5568369072</v>
      </c>
      <c r="E85" s="4" t="n">
        <v>-1925960852</v>
      </c>
      <c r="F85" s="4" t="n">
        <v>-20652355005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Quỹ đầu tư và phát triển</t>
        </is>
      </c>
      <c r="B86" s="4" t="n">
        <v>918641612156</v>
      </c>
      <c r="C86" s="4" t="n">
        <v>923641612156</v>
      </c>
      <c r="D86" s="4" t="n">
        <v>928641612156</v>
      </c>
      <c r="E86" s="4" t="n">
        <v>923549304122</v>
      </c>
      <c r="F86" s="4" t="n">
        <v>834782434216</v>
      </c>
      <c r="G86" s="4" t="n">
        <v>818200313964</v>
      </c>
      <c r="H86" s="4" t="n">
        <v>794841242128</v>
      </c>
      <c r="I86" s="4" t="n">
        <v>1388437800829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Lãi chưa phân phối</t>
        </is>
      </c>
      <c r="B89" s="4" t="n">
        <v>15126437863905</v>
      </c>
      <c r="C89" s="4" t="n">
        <v>15876913750948</v>
      </c>
      <c r="D89" s="4" t="n">
        <v>21792442633285</v>
      </c>
      <c r="E89" s="4" t="n">
        <v>41763425970912</v>
      </c>
      <c r="F89" s="4" t="n">
        <v>33833829973987</v>
      </c>
      <c r="G89" s="4" t="n">
        <v>40593031662654</v>
      </c>
      <c r="H89" s="4" t="n">
        <v>49599124109203</v>
      </c>
      <c r="I89" s="4" t="n">
        <v>51037901749343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78223007670925</v>
      </c>
      <c r="C95" s="4" t="n">
        <v>101776030099900</v>
      </c>
      <c r="D95" s="4" t="n">
        <v>131511434388837</v>
      </c>
      <c r="E95" s="4" t="n">
        <v>178236422358249</v>
      </c>
      <c r="F95" s="4" t="n">
        <v>170335519508132</v>
      </c>
      <c r="G95" s="4" t="n">
        <v>187782586563801</v>
      </c>
      <c r="H95" s="4" t="n">
        <v>224489707553981</v>
      </c>
      <c r="I95" s="4" t="n">
        <v>257899200817547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65884926457</v>
      </c>
      <c r="C97" s="4" t="n">
        <v>46525530257</v>
      </c>
      <c r="D97" s="4" t="n">
        <v>170000000000</v>
      </c>
      <c r="E97" s="4" t="n">
        <v>0</v>
      </c>
      <c r="F97" s="4" t="n">
        <v>0</v>
      </c>
      <c r="G97" s="4" t="n">
        <v>40000000000</v>
      </c>
      <c r="H97" s="4" t="n">
        <v>136500000000</v>
      </c>
      <c r="I97" s="4" t="n">
        <v>2248000000000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4940428672</v>
      </c>
      <c r="C99" s="4" t="n">
        <v>1499822947</v>
      </c>
      <c r="D99" s="4" t="n">
        <v>1236376147</v>
      </c>
      <c r="E99" s="4" t="n">
        <v>1167661858</v>
      </c>
      <c r="F99" s="4" t="n">
        <v>1924395341</v>
      </c>
      <c r="G99" s="4" t="n">
        <v>82701774</v>
      </c>
      <c r="H99" s="4" t="n">
        <v>379714580</v>
      </c>
      <c r="I99" s="4" t="n">
        <v>6730635900</v>
      </c>
    </row>
    <row r="100">
      <c r="A100" s="3" t="inlineStr">
        <is>
          <t>Phải thu cho vay ngắn hạn</t>
        </is>
      </c>
      <c r="B100" s="4" t="n">
        <v>0</v>
      </c>
      <c r="C100" s="4" t="n">
        <v>0</v>
      </c>
      <c r="D100" s="4" t="n">
        <v>0</v>
      </c>
      <c r="E100" s="4" t="n">
        <v>23521740500</v>
      </c>
      <c r="F100" s="4" t="n">
        <v>124200000000</v>
      </c>
      <c r="G100" s="4" t="n">
        <v>203600000000</v>
      </c>
      <c r="H100" s="4" t="n">
        <v>87461616439</v>
      </c>
      <c r="I100" s="4" t="n">
        <v>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1004491555731</v>
      </c>
      <c r="H102" s="4" t="n">
        <v>82805287792</v>
      </c>
      <c r="I102" s="4" t="n">
        <v>41408436429</v>
      </c>
    </row>
    <row r="103">
      <c r="A103" s="3" t="inlineStr">
        <is>
          <t>Phải thu cho vay dài hạn</t>
        </is>
      </c>
      <c r="B103" s="4" t="n">
        <v>0</v>
      </c>
      <c r="C103" s="4" t="n">
        <v>4910346000</v>
      </c>
      <c r="D103" s="4" t="n">
        <v>96007238800</v>
      </c>
      <c r="E103" s="4" t="n">
        <v>118401369280</v>
      </c>
      <c r="F103" s="4" t="n">
        <v>101693561714</v>
      </c>
      <c r="G103" s="4" t="n">
        <v>95351026613</v>
      </c>
      <c r="H103" s="4" t="n">
        <v>0</v>
      </c>
      <c r="I103" s="4" t="n">
        <v>0</v>
      </c>
    </row>
    <row r="104">
      <c r="A104" s="3" t="inlineStr">
        <is>
          <t>Tài sản dở dang dài hạn</t>
        </is>
      </c>
      <c r="B104" s="4" t="n">
        <v>38107320507117</v>
      </c>
      <c r="C104" s="4" t="n">
        <v>37435320467014</v>
      </c>
      <c r="D104" s="4" t="n">
        <v>6247213506994</v>
      </c>
      <c r="E104" s="4" t="n">
        <v>9698699397713</v>
      </c>
      <c r="F104" s="4" t="n">
        <v>13363274912355</v>
      </c>
      <c r="G104" s="4" t="n">
        <v>26098929377501</v>
      </c>
      <c r="H104" s="4" t="n">
        <v>63750717325406</v>
      </c>
      <c r="I104" s="4" t="n">
        <v>10869891370972</v>
      </c>
    </row>
    <row r="105">
      <c r="A105" s="3" t="inlineStr">
        <is>
          <t>Chi phí sản xuất, kinh doanh dở dang dài hạn</t>
        </is>
      </c>
      <c r="B105" s="4" t="n">
        <v>910420483699</v>
      </c>
      <c r="C105" s="4" t="n">
        <v>750146398723</v>
      </c>
      <c r="D105" s="4" t="n">
        <v>918470731946</v>
      </c>
      <c r="E105" s="4" t="n">
        <v>1409414047105</v>
      </c>
      <c r="F105" s="4" t="n">
        <v>28953988212</v>
      </c>
      <c r="G105" s="4" t="n">
        <v>46356652469</v>
      </c>
      <c r="H105" s="4" t="n">
        <v>94859885024</v>
      </c>
      <c r="I105" s="4" t="n">
        <v>148814839011</v>
      </c>
    </row>
    <row r="106">
      <c r="A106" s="3" t="inlineStr">
        <is>
          <t>Đầu tư nắm giữ đến ngày đáo hạn</t>
        </is>
      </c>
      <c r="B106" s="4" t="inlineStr"/>
      <c r="C106" s="4" t="inlineStr"/>
      <c r="D106" s="4" t="inlineStr"/>
      <c r="E106" s="4" t="inlineStr"/>
      <c r="F106" s="4" t="n">
        <v>0</v>
      </c>
      <c r="G106" s="4" t="n">
        <v>40000000000</v>
      </c>
      <c r="H106" s="4" t="n">
        <v>136500000000</v>
      </c>
      <c r="I106" s="4" t="n">
        <v>2248000000000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429422385383</v>
      </c>
      <c r="I107" s="4" t="n">
        <v>335208284895</v>
      </c>
    </row>
    <row r="108">
      <c r="A108" s="3" t="inlineStr">
        <is>
          <t>Doanh thu chưa thực hiện ngắn hạn</t>
        </is>
      </c>
      <c r="B108" s="4" t="n">
        <v>9929720982</v>
      </c>
      <c r="C108" s="4" t="n">
        <v>27406111996</v>
      </c>
      <c r="D108" s="4" t="n">
        <v>34564307818</v>
      </c>
      <c r="E108" s="4" t="n">
        <v>16951911160</v>
      </c>
      <c r="F108" s="4" t="n">
        <v>16974936888</v>
      </c>
      <c r="G108" s="4" t="n">
        <v>9979596501</v>
      </c>
      <c r="H108" s="4" t="n">
        <v>11060479431</v>
      </c>
      <c r="I108" s="4" t="n">
        <v>152519279244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451100573027</v>
      </c>
      <c r="C112" s="4" t="n">
        <v>427328992030</v>
      </c>
      <c r="D112" s="4" t="n">
        <v>223664493846</v>
      </c>
      <c r="E112" s="4" t="n">
        <v>410407940262</v>
      </c>
      <c r="F112" s="4" t="n">
        <v>531620146455</v>
      </c>
      <c r="G112" s="4" t="n">
        <v>610552512045</v>
      </c>
      <c r="H112" s="4" t="n">
        <v>1089692237207</v>
      </c>
      <c r="I112" s="4" t="n">
        <v>607363800426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21239071660000</v>
      </c>
      <c r="C116" s="4" t="n">
        <v>27610741150000</v>
      </c>
      <c r="D116" s="4" t="n">
        <v>33132826590000</v>
      </c>
      <c r="E116" s="4" t="n">
        <v>44729227060000</v>
      </c>
      <c r="F116" s="4" t="n">
        <v>58147857000000</v>
      </c>
      <c r="G116" s="4" t="n">
        <v>58147857000000</v>
      </c>
      <c r="H116" s="4" t="n">
        <v>63962502000000</v>
      </c>
      <c r="I116" s="4" t="n">
        <v>76754658550000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6553423653491</v>
      </c>
      <c r="C118" s="4" t="n">
        <v>8349470883074</v>
      </c>
      <c r="D118" s="4" t="n">
        <v>8342142580473</v>
      </c>
      <c r="E118" s="4" t="n">
        <v>7285282773452</v>
      </c>
      <c r="F118" s="4" t="n">
        <v>25350319419956</v>
      </c>
      <c r="G118" s="4" t="n">
        <v>33796166741483</v>
      </c>
      <c r="H118" s="4" t="n">
        <v>37624250548129</v>
      </c>
      <c r="I118" s="4" t="n">
        <v>35657348003468</v>
      </c>
    </row>
    <row r="119">
      <c r="A119" s="3" t="inlineStr">
        <is>
          <t>LNST chưa phân phối kỳ này</t>
        </is>
      </c>
      <c r="B119" s="4" t="n">
        <v>8573014210414</v>
      </c>
      <c r="C119" s="4" t="n">
        <v>7527442867874</v>
      </c>
      <c r="D119" s="4" t="n">
        <v>13450300052812</v>
      </c>
      <c r="E119" s="4" t="n">
        <v>34478143197460</v>
      </c>
      <c r="F119" s="4" t="n">
        <v>8483510554031</v>
      </c>
      <c r="G119" s="4" t="n">
        <v>6796864921171</v>
      </c>
      <c r="H119" s="4" t="n">
        <v>11974873561074</v>
      </c>
      <c r="I119" s="4" t="n">
        <v>15380553745875</v>
      </c>
    </row>
    <row r="120">
      <c r="A120" s="3" t="inlineStr">
        <is>
          <t>Xây dựng cơ bản đang dở dang</t>
        </is>
      </c>
      <c r="B120" s="4" t="n">
        <v>37196900023418</v>
      </c>
      <c r="C120" s="4" t="n">
        <v>36685174068291</v>
      </c>
      <c r="D120" s="4" t="n">
        <v>5328742775048</v>
      </c>
      <c r="E120" s="4" t="n">
        <v>8289285350608</v>
      </c>
      <c r="F120" s="4" t="n">
        <v>13334320924143</v>
      </c>
      <c r="G120" s="4" t="n">
        <v>26052572725032</v>
      </c>
      <c r="H120" s="4" t="n">
        <v>63655857440382</v>
      </c>
      <c r="I120" s="4" t="n">
        <v>10721076531961</v>
      </c>
    </row>
    <row r="121">
      <c r="A121" s="3" t="inlineStr">
        <is>
          <t>Lợi thế thương mại</t>
        </is>
      </c>
      <c r="B121" s="4" t="n">
        <v>88234324237</v>
      </c>
      <c r="C121" s="4" t="n">
        <v>61185171517</v>
      </c>
      <c r="D121" s="4" t="n">
        <v>43109950665</v>
      </c>
      <c r="E121" s="4" t="n">
        <v>37121950665</v>
      </c>
      <c r="F121" s="4" t="n">
        <v>88008959996</v>
      </c>
      <c r="G121" s="4" t="n">
        <v>75909018692</v>
      </c>
      <c r="H121" s="4" t="n">
        <v>63613126723</v>
      </c>
      <c r="I121" s="4" t="n">
        <v>51513185419</v>
      </c>
    </row>
    <row r="122">
      <c r="A122" s="3" t="inlineStr">
        <is>
          <t>Lợi ích cổ đông không kiểm soát</t>
        </is>
      </c>
      <c r="B122" s="4" t="n">
        <v>126961469222</v>
      </c>
      <c r="C122" s="4" t="n">
        <v>163213679327</v>
      </c>
      <c r="D122" s="4" t="n">
        <v>148746685328</v>
      </c>
      <c r="E122" s="4" t="n">
        <v>154788720987</v>
      </c>
      <c r="F122" s="4" t="n">
        <v>105562146315</v>
      </c>
      <c r="G122" s="4" t="n">
        <v>65769846491</v>
      </c>
      <c r="H122" s="4" t="n">
        <v>290990632368</v>
      </c>
      <c r="I122" s="4" t="n">
        <v>2039012776403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56580423695083</v>
      </c>
      <c r="C2" s="4" t="n">
        <v>64677906575644</v>
      </c>
      <c r="D2" s="4" t="n">
        <v>91279041771826</v>
      </c>
      <c r="E2" s="4" t="n">
        <v>150865359967200</v>
      </c>
      <c r="F2" s="4" t="n">
        <v>142770810676858</v>
      </c>
      <c r="G2" s="4" t="n">
        <v>120355231616139</v>
      </c>
      <c r="H2" s="4" t="n">
        <v>140561387448572</v>
      </c>
      <c r="I2" s="4" t="n">
        <v>158332317934212</v>
      </c>
    </row>
    <row r="3">
      <c r="A3" s="3" t="inlineStr">
        <is>
          <t>Các khoản giảm trừ doanh thu</t>
        </is>
      </c>
      <c r="B3" s="4" t="n">
        <v>-743965315324</v>
      </c>
      <c r="C3" s="4" t="n">
        <v>-1019713901853</v>
      </c>
      <c r="D3" s="4" t="n">
        <v>-1160538345109</v>
      </c>
      <c r="E3" s="4" t="n">
        <v>-1185569987855</v>
      </c>
      <c r="F3" s="4" t="n">
        <v>-1361536216226</v>
      </c>
      <c r="G3" s="4" t="n">
        <v>-1402203722485</v>
      </c>
      <c r="H3" s="4" t="n">
        <v>-1706275317185</v>
      </c>
      <c r="I3" s="4" t="n">
        <v>-2216223315730</v>
      </c>
    </row>
    <row r="4">
      <c r="A4" s="3" t="inlineStr">
        <is>
          <t>Doanh thu thuần</t>
        </is>
      </c>
      <c r="B4" s="4" t="n">
        <v>55836458379759</v>
      </c>
      <c r="C4" s="4" t="n">
        <v>63658192673791</v>
      </c>
      <c r="D4" s="4" t="n">
        <v>90118503426717</v>
      </c>
      <c r="E4" s="4" t="n">
        <v>149679789979345</v>
      </c>
      <c r="F4" s="4" t="n">
        <v>141409274460632</v>
      </c>
      <c r="G4" s="4" t="n">
        <v>118953027893654</v>
      </c>
      <c r="H4" s="4" t="n">
        <v>138855112131387</v>
      </c>
      <c r="I4" s="4" t="n">
        <v>156116094618482</v>
      </c>
    </row>
    <row r="5">
      <c r="A5" s="3" t="inlineStr">
        <is>
          <t>Giá vốn hàng bán</t>
        </is>
      </c>
      <c r="B5" s="4" t="n">
        <v>-44165626148685</v>
      </c>
      <c r="C5" s="4" t="n">
        <v>-52472820451654</v>
      </c>
      <c r="D5" s="4" t="n">
        <v>-71214453522563</v>
      </c>
      <c r="E5" s="4" t="n">
        <v>-108571380446353</v>
      </c>
      <c r="F5" s="4" t="n">
        <v>-124645848221080</v>
      </c>
      <c r="G5" s="4" t="n">
        <v>-106015187198082</v>
      </c>
      <c r="H5" s="4" t="n">
        <v>-120357563003703</v>
      </c>
      <c r="I5" s="4" t="n">
        <v>-131618306435300</v>
      </c>
    </row>
    <row r="6">
      <c r="A6" s="3" t="inlineStr">
        <is>
          <t>Lợi nhuận gộp</t>
        </is>
      </c>
      <c r="B6" s="4" t="n">
        <v>11670832231074</v>
      </c>
      <c r="C6" s="4" t="n">
        <v>11185372222137</v>
      </c>
      <c r="D6" s="4" t="n">
        <v>18904049904154</v>
      </c>
      <c r="E6" s="4" t="n">
        <v>41108409532992</v>
      </c>
      <c r="F6" s="4" t="n">
        <v>16763426239552</v>
      </c>
      <c r="G6" s="4" t="n">
        <v>12937840695572</v>
      </c>
      <c r="H6" s="4" t="n">
        <v>18497549127684</v>
      </c>
      <c r="I6" s="4" t="n">
        <v>24497788183182</v>
      </c>
    </row>
    <row r="7">
      <c r="A7" s="3" t="inlineStr">
        <is>
          <t>Doanh thu hoạt động tài chính</t>
        </is>
      </c>
      <c r="B7" s="4" t="n">
        <v>294408270741</v>
      </c>
      <c r="C7" s="4" t="n">
        <v>471053832011</v>
      </c>
      <c r="D7" s="4" t="n">
        <v>1004789766270</v>
      </c>
      <c r="E7" s="4" t="n">
        <v>3071440640188</v>
      </c>
      <c r="F7" s="4" t="n">
        <v>3743650707331</v>
      </c>
      <c r="G7" s="4" t="n">
        <v>3173086404949</v>
      </c>
      <c r="H7" s="4" t="n">
        <v>2618917240287</v>
      </c>
      <c r="I7" s="4" t="n">
        <v>2081789823040</v>
      </c>
    </row>
    <row r="8">
      <c r="A8" s="3" t="inlineStr">
        <is>
          <t>Chi phí tài chính</t>
        </is>
      </c>
      <c r="B8" s="4" t="n">
        <v>-772317161901</v>
      </c>
      <c r="C8" s="4" t="n">
        <v>-1181675710916</v>
      </c>
      <c r="D8" s="4" t="n">
        <v>-2837406430588</v>
      </c>
      <c r="E8" s="4" t="n">
        <v>-3731542257873</v>
      </c>
      <c r="F8" s="4" t="n">
        <v>-7026723285241</v>
      </c>
      <c r="G8" s="4" t="n">
        <v>-5191511844389</v>
      </c>
      <c r="H8" s="4" t="n">
        <v>-3966636074605</v>
      </c>
      <c r="I8" s="4" t="n">
        <v>-4603575989190</v>
      </c>
    </row>
    <row r="9">
      <c r="A9" s="3" t="inlineStr">
        <is>
          <t>Chi phí lãi vay</t>
        </is>
      </c>
      <c r="B9" s="4" t="n">
        <v>-539861243640</v>
      </c>
      <c r="C9" s="4" t="n">
        <v>-936710218359</v>
      </c>
      <c r="D9" s="4" t="n">
        <v>-2191680923417</v>
      </c>
      <c r="E9" s="4" t="n">
        <v>-2525823258237</v>
      </c>
      <c r="F9" s="4" t="n">
        <v>-3083638131818</v>
      </c>
      <c r="G9" s="4" t="n">
        <v>-3585077683881</v>
      </c>
      <c r="H9" s="4" t="n">
        <v>-2287360810880</v>
      </c>
      <c r="I9" s="4" t="n">
        <v>-3114855868974</v>
      </c>
    </row>
    <row r="10">
      <c r="A10" s="3" t="inlineStr">
        <is>
          <t>Chi phí bán hàng</t>
        </is>
      </c>
      <c r="B10" s="4" t="n">
        <v>-676809221259</v>
      </c>
      <c r="C10" s="4" t="n">
        <v>-873333584688</v>
      </c>
      <c r="D10" s="4" t="n">
        <v>-1090795558423</v>
      </c>
      <c r="E10" s="4" t="n">
        <v>-2120068223228</v>
      </c>
      <c r="F10" s="4" t="n">
        <v>-2665806087302</v>
      </c>
      <c r="G10" s="4" t="n">
        <v>-1961362129952</v>
      </c>
      <c r="H10" s="4" t="n">
        <v>-2337308685264</v>
      </c>
      <c r="I10" s="4" t="n">
        <v>-2633630711908</v>
      </c>
    </row>
    <row r="11">
      <c r="A11" s="3" t="inlineStr">
        <is>
          <t>Chi phí quản lý doanh nghiệp</t>
        </is>
      </c>
      <c r="B11" s="4" t="n">
        <v>-444024985823</v>
      </c>
      <c r="C11" s="4" t="n">
        <v>-569005805722</v>
      </c>
      <c r="D11" s="4" t="n">
        <v>-690298504185</v>
      </c>
      <c r="E11" s="4" t="n">
        <v>-1324261548679</v>
      </c>
      <c r="F11" s="4" t="n">
        <v>-1019444279447</v>
      </c>
      <c r="G11" s="4" t="n">
        <v>-1307290336873</v>
      </c>
      <c r="H11" s="4" t="n">
        <v>-1545516022772</v>
      </c>
      <c r="I11" s="4" t="n">
        <v>-1436537357489</v>
      </c>
    </row>
    <row r="12">
      <c r="A12" s="3" t="inlineStr">
        <is>
          <t>Lãi/(lỗ) từ hoạt động kinh doanh</t>
        </is>
      </c>
      <c r="B12" s="4" t="n">
        <v>10072089132832</v>
      </c>
      <c r="C12" s="4" t="n">
        <v>9030979639207</v>
      </c>
      <c r="D12" s="4" t="n">
        <v>15292303808992</v>
      </c>
      <c r="E12" s="4" t="n">
        <v>37008443446265</v>
      </c>
      <c r="F12" s="4" t="n">
        <v>9794030627309</v>
      </c>
      <c r="G12" s="4" t="n">
        <v>7650762789307</v>
      </c>
      <c r="H12" s="4" t="n">
        <v>13267005585330</v>
      </c>
      <c r="I12" s="4" t="n">
        <v>17905833947635</v>
      </c>
    </row>
    <row r="13">
      <c r="A13" s="3" t="inlineStr">
        <is>
          <t>Thu nhập khác</t>
        </is>
      </c>
      <c r="B13" s="4" t="n">
        <v>488856588036</v>
      </c>
      <c r="C13" s="4" t="n">
        <v>657680931477</v>
      </c>
      <c r="D13" s="4" t="n">
        <v>654081334225</v>
      </c>
      <c r="E13" s="4" t="n">
        <v>796666105925</v>
      </c>
      <c r="F13" s="4" t="n">
        <v>872024724926</v>
      </c>
      <c r="G13" s="4" t="n">
        <v>771973465495</v>
      </c>
      <c r="H13" s="4" t="n">
        <v>1159769685093</v>
      </c>
      <c r="I13" s="4" t="n">
        <v>305593357911</v>
      </c>
    </row>
    <row r="14">
      <c r="A14" s="3" t="inlineStr">
        <is>
          <t>Chi phí khác</t>
        </is>
      </c>
      <c r="B14" s="4" t="n">
        <v>-489872848566</v>
      </c>
      <c r="C14" s="4" t="n">
        <v>-591998447298</v>
      </c>
      <c r="D14" s="4" t="n">
        <v>-589418351516</v>
      </c>
      <c r="E14" s="4" t="n">
        <v>-748331838000</v>
      </c>
      <c r="F14" s="4" t="n">
        <v>-743114224951</v>
      </c>
      <c r="G14" s="4" t="n">
        <v>-630007511629</v>
      </c>
      <c r="H14" s="4" t="n">
        <v>-733273009245</v>
      </c>
      <c r="I14" s="4" t="n">
        <v>-170835327666</v>
      </c>
    </row>
    <row r="15">
      <c r="A15" s="3" t="inlineStr">
        <is>
          <t>Thu nhập khác, ròng</t>
        </is>
      </c>
      <c r="B15" s="4" t="n">
        <v>-1016260530</v>
      </c>
      <c r="C15" s="4" t="n">
        <v>65682484179</v>
      </c>
      <c r="D15" s="4" t="n">
        <v>64662982709</v>
      </c>
      <c r="E15" s="4" t="n">
        <v>48334267925</v>
      </c>
      <c r="F15" s="4" t="n">
        <v>128910499975</v>
      </c>
      <c r="G15" s="4" t="n">
        <v>141965953866</v>
      </c>
      <c r="H15" s="4" t="n">
        <v>426496675848</v>
      </c>
      <c r="I15" s="4" t="n">
        <v>134758030245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10071072872302</v>
      </c>
      <c r="C17" s="4" t="n">
        <v>9096662123386</v>
      </c>
      <c r="D17" s="4" t="n">
        <v>15356966791701</v>
      </c>
      <c r="E17" s="4" t="n">
        <v>37056777714190</v>
      </c>
      <c r="F17" s="4" t="n">
        <v>9922941127284</v>
      </c>
      <c r="G17" s="4" t="n">
        <v>7792728743173</v>
      </c>
      <c r="H17" s="4" t="n">
        <v>13693502261178</v>
      </c>
      <c r="I17" s="4" t="n">
        <v>18040591977880</v>
      </c>
    </row>
    <row r="18">
      <c r="A18" s="3" t="inlineStr">
        <is>
          <t>Thuế thu nhập doanh nghiệp - hiện thời</t>
        </is>
      </c>
      <c r="B18" s="4" t="n">
        <v>-1506320087551</v>
      </c>
      <c r="C18" s="4" t="n">
        <v>-1603307926680</v>
      </c>
      <c r="D18" s="4" t="n">
        <v>-1784567843866</v>
      </c>
      <c r="E18" s="4" t="n">
        <v>-2855306347167</v>
      </c>
      <c r="F18" s="4" t="n">
        <v>-1001020240086</v>
      </c>
      <c r="G18" s="4" t="n">
        <v>-1073551888059</v>
      </c>
      <c r="H18" s="4" t="n">
        <v>-1765806007240</v>
      </c>
      <c r="I18" s="4" t="n">
        <v>-2574223834884</v>
      </c>
    </row>
    <row r="19">
      <c r="A19" s="3" t="inlineStr">
        <is>
          <t>Thuế thu nhập doanh nghiệp - hoãn lại</t>
        </is>
      </c>
      <c r="B19" s="4" t="n">
        <v>35797921476</v>
      </c>
      <c r="C19" s="4" t="n">
        <v>84894039523</v>
      </c>
      <c r="D19" s="4" t="n">
        <v>-66234890928</v>
      </c>
      <c r="E19" s="4" t="n">
        <v>319483564275</v>
      </c>
      <c r="F19" s="4" t="n">
        <v>-477491832682</v>
      </c>
      <c r="G19" s="4" t="n">
        <v>81211459967</v>
      </c>
      <c r="H19" s="4" t="n">
        <v>92327367333</v>
      </c>
      <c r="I19" s="4" t="n">
        <v>48563428610</v>
      </c>
    </row>
    <row r="20">
      <c r="A20" s="3" t="inlineStr">
        <is>
          <t>Chi phí thuế thu nhập doanh nghiệp</t>
        </is>
      </c>
      <c r="B20" s="4" t="n">
        <v>-1470522166075</v>
      </c>
      <c r="C20" s="4" t="n">
        <v>-1518413887157</v>
      </c>
      <c r="D20" s="4" t="n">
        <v>-1850802734794</v>
      </c>
      <c r="E20" s="4" t="n">
        <v>-2535822782892</v>
      </c>
      <c r="F20" s="4" t="n">
        <v>-1478512072768</v>
      </c>
      <c r="G20" s="4" t="n">
        <v>-992340428092</v>
      </c>
      <c r="H20" s="4" t="n">
        <v>-1673478639907</v>
      </c>
      <c r="I20" s="4" t="n">
        <v>-2525660406274</v>
      </c>
    </row>
    <row r="21">
      <c r="A21" s="3" t="inlineStr">
        <is>
          <t>Lãi/(lỗ) thuần sau thuế</t>
        </is>
      </c>
      <c r="B21" s="4" t="n">
        <v>8600550706227</v>
      </c>
      <c r="C21" s="4" t="n">
        <v>7578248236229</v>
      </c>
      <c r="D21" s="4" t="n">
        <v>13506164056907</v>
      </c>
      <c r="E21" s="4" t="n">
        <v>34520954931298</v>
      </c>
      <c r="F21" s="4" t="n">
        <v>8444429054516</v>
      </c>
      <c r="G21" s="4" t="n">
        <v>6800388315081</v>
      </c>
      <c r="H21" s="4" t="n">
        <v>12020023621271</v>
      </c>
      <c r="I21" s="4" t="n">
        <v>15514931571606</v>
      </c>
    </row>
    <row r="22">
      <c r="A22" s="3" t="inlineStr">
        <is>
          <t>Lợi ích của cổ đông thiểu số</t>
        </is>
      </c>
      <c r="B22" s="4" t="n">
        <v>27536495813</v>
      </c>
      <c r="C22" s="4" t="n">
        <v>50805368355</v>
      </c>
      <c r="D22" s="4" t="n">
        <v>55864004095</v>
      </c>
      <c r="E22" s="4" t="n">
        <v>42811733838</v>
      </c>
      <c r="F22" s="4" t="n">
        <v>-39081499515</v>
      </c>
      <c r="G22" s="4" t="n">
        <v>-34676019275</v>
      </c>
      <c r="H22" s="4" t="n">
        <v>-1420214803</v>
      </c>
      <c r="I22" s="4" t="n">
        <v>61757565383</v>
      </c>
    </row>
    <row r="23">
      <c r="A23" s="3" t="inlineStr">
        <is>
          <t>Lợi nhuận của Cổ đông của Công ty mẹ</t>
        </is>
      </c>
      <c r="B23" s="4" t="n">
        <v>8573014210414</v>
      </c>
      <c r="C23" s="4" t="n">
        <v>7527442867874</v>
      </c>
      <c r="D23" s="4" t="n">
        <v>13450300052812</v>
      </c>
      <c r="E23" s="4" t="n">
        <v>34478143197460</v>
      </c>
      <c r="F23" s="4" t="n">
        <v>8483510554031</v>
      </c>
      <c r="G23" s="4" t="n">
        <v>6835064334356</v>
      </c>
      <c r="H23" s="4" t="n">
        <v>12021443836074</v>
      </c>
      <c r="I23" s="4" t="n">
        <v>15453174006223</v>
      </c>
    </row>
    <row r="24">
      <c r="A24" s="3" t="inlineStr">
        <is>
          <t>Lãi cơ bản trên cổ phiếu (VND)</t>
        </is>
      </c>
      <c r="B24" s="4" t="n">
        <v>4037</v>
      </c>
      <c r="C24" s="4" t="n">
        <v>2726</v>
      </c>
      <c r="D24" s="4" t="n">
        <v>3846</v>
      </c>
      <c r="E24" s="4" t="n">
        <v>7166</v>
      </c>
      <c r="F24" s="4" t="n">
        <v>1452</v>
      </c>
      <c r="G24" s="4" t="n">
        <v>1005</v>
      </c>
      <c r="H24" s="4" t="n">
        <v>1505</v>
      </c>
      <c r="I24" s="4" t="n">
        <v>1973</v>
      </c>
    </row>
    <row r="25">
      <c r="A25" s="3" t="inlineStr">
        <is>
          <t>Lãi trên cổ phiếu pha loãng (VND)</t>
        </is>
      </c>
      <c r="B25" s="4" t="n">
        <v>0</v>
      </c>
      <c r="C25" s="4" t="n">
        <v>0</v>
      </c>
      <c r="D25" s="4" t="n">
        <v>0</v>
      </c>
      <c r="E25" s="4" t="n">
        <v>7166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Lãi/(lỗ) từ công ty liên doanh (từ năm 2015)</t>
        </is>
      </c>
      <c r="B26" s="4" t="n">
        <v>0</v>
      </c>
      <c r="C26" s="4" t="n">
        <v>-1431313615</v>
      </c>
      <c r="D26" s="4" t="n">
        <v>1964631764</v>
      </c>
      <c r="E26" s="4" t="n">
        <v>4465302865</v>
      </c>
      <c r="F26" s="4" t="n">
        <v>-1072667584</v>
      </c>
      <c r="G26" s="4" t="n">
        <v>0</v>
      </c>
      <c r="H26" s="4" t="n">
        <v>0</v>
      </c>
      <c r="I2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10071072872302</v>
      </c>
      <c r="C2" s="4" t="n">
        <v>9096662123386</v>
      </c>
      <c r="D2" s="4" t="n">
        <v>15356966791701</v>
      </c>
      <c r="E2" s="4" t="n">
        <v>37056777714190</v>
      </c>
      <c r="F2" s="4" t="n">
        <v>9922941127284</v>
      </c>
      <c r="G2" s="4" t="n">
        <v>7792728743173</v>
      </c>
      <c r="H2" s="4" t="n">
        <v>13693502261178</v>
      </c>
      <c r="I2" s="4" t="n">
        <v>18040591977880</v>
      </c>
    </row>
    <row r="3">
      <c r="A3" s="3" t="inlineStr">
        <is>
          <t>Khấu hao TSCĐ và BĐSĐT</t>
        </is>
      </c>
      <c r="B3" s="4" t="n">
        <v>2259594298268</v>
      </c>
      <c r="C3" s="4" t="n">
        <v>2593232573029</v>
      </c>
      <c r="D3" s="4" t="n">
        <v>4775781721269</v>
      </c>
      <c r="E3" s="4" t="n">
        <v>6076516295417</v>
      </c>
      <c r="F3" s="4" t="n">
        <v>6759462100582</v>
      </c>
      <c r="G3" s="4" t="n">
        <v>6761933539397</v>
      </c>
      <c r="H3" s="4" t="n">
        <v>6915671331197</v>
      </c>
      <c r="I3" s="4" t="n">
        <v>8470683260156</v>
      </c>
    </row>
    <row r="4">
      <c r="A4" s="3" t="inlineStr">
        <is>
          <t>Chi phí dự phòng</t>
        </is>
      </c>
      <c r="B4" s="4" t="n">
        <v>-72990493823</v>
      </c>
      <c r="C4" s="4" t="n">
        <v>-5772614376</v>
      </c>
      <c r="D4" s="4" t="n">
        <v>28314185442</v>
      </c>
      <c r="E4" s="4" t="n">
        <v>163177531627</v>
      </c>
      <c r="F4" s="4" t="n">
        <v>1010922330886</v>
      </c>
      <c r="G4" s="4" t="n">
        <v>-1094201952159</v>
      </c>
      <c r="H4" s="4" t="n">
        <v>108500407214</v>
      </c>
      <c r="I4" s="4" t="n">
        <v>-49830475782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29910869480</v>
      </c>
      <c r="C5" s="4" t="n">
        <v>24183514856</v>
      </c>
      <c r="D5" s="4" t="n">
        <v>52078870772</v>
      </c>
      <c r="E5" s="4" t="n">
        <v>41938831417</v>
      </c>
      <c r="F5" s="4" t="n">
        <v>333983153559</v>
      </c>
      <c r="G5" s="4" t="n">
        <v>291243752578</v>
      </c>
      <c r="H5" s="4" t="n">
        <v>173470579978</v>
      </c>
      <c r="I5" s="4" t="n">
        <v>349627160986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-112985971103</v>
      </c>
      <c r="C7" s="4" t="n">
        <v>-286185193464</v>
      </c>
      <c r="D7" s="4" t="n">
        <v>-490559694590</v>
      </c>
      <c r="E7" s="4" t="n">
        <v>-1661082595981</v>
      </c>
      <c r="F7" s="4" t="n">
        <v>-1832298259730</v>
      </c>
      <c r="G7" s="4" t="n">
        <v>-1927836792719</v>
      </c>
      <c r="H7" s="4" t="n">
        <v>-1718310403845</v>
      </c>
      <c r="I7" s="4" t="n">
        <v>-1298854971642</v>
      </c>
    </row>
    <row r="8">
      <c r="A8" s="3" t="inlineStr">
        <is>
          <t>Chi phí lãi vay</t>
        </is>
      </c>
      <c r="B8" s="4" t="n">
        <v>539861243640</v>
      </c>
      <c r="C8" s="4" t="n">
        <v>936710218359</v>
      </c>
      <c r="D8" s="4" t="n">
        <v>2191680923417</v>
      </c>
      <c r="E8" s="4" t="n">
        <v>2525823258237</v>
      </c>
      <c r="F8" s="4" t="n">
        <v>3083638131818</v>
      </c>
      <c r="G8" s="4" t="n">
        <v>3585077683881</v>
      </c>
      <c r="H8" s="4" t="n">
        <v>2287360810880</v>
      </c>
      <c r="I8" s="4" t="n">
        <v>3114855868974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12740513971484</v>
      </c>
      <c r="C10" s="4" t="n">
        <v>12358830621790</v>
      </c>
      <c r="D10" s="4" t="n">
        <v>21932338018863</v>
      </c>
      <c r="E10" s="4" t="n">
        <v>44209139034907</v>
      </c>
      <c r="F10" s="4" t="n">
        <v>19291327380767</v>
      </c>
      <c r="G10" s="4" t="n">
        <v>15421044915455</v>
      </c>
      <c r="H10" s="4" t="n">
        <v>21472490878571</v>
      </c>
      <c r="I10" s="4" t="n">
        <v>28627072820572</v>
      </c>
    </row>
    <row r="11">
      <c r="A11" s="3" t="inlineStr">
        <is>
          <t>(Tăng)/giảm các khoản phải thu</t>
        </is>
      </c>
      <c r="B11" s="4" t="n">
        <v>-1423156571992</v>
      </c>
      <c r="C11" s="4" t="n">
        <v>-288519564021</v>
      </c>
      <c r="D11" s="4" t="n">
        <v>-3374026162649</v>
      </c>
      <c r="E11" s="4" t="n">
        <v>-3039385771765</v>
      </c>
      <c r="F11" s="4" t="n">
        <v>4711117735355</v>
      </c>
      <c r="G11" s="4" t="n">
        <v>-5601896103470</v>
      </c>
      <c r="H11" s="4" t="n">
        <v>-1818671846432</v>
      </c>
      <c r="I11" s="4" t="n">
        <v>-8743129086281</v>
      </c>
    </row>
    <row r="12">
      <c r="A12" s="3" t="inlineStr">
        <is>
          <t>(Tăng)/giảm hàng tồn kho</t>
        </is>
      </c>
      <c r="B12" s="4" t="n">
        <v>-2301594154020</v>
      </c>
      <c r="C12" s="4" t="n">
        <v>-5132237172021</v>
      </c>
      <c r="D12" s="4" t="n">
        <v>-7061024985401</v>
      </c>
      <c r="E12" s="4" t="n">
        <v>-16949192989135</v>
      </c>
      <c r="F12" s="4" t="n">
        <v>8023194725141</v>
      </c>
      <c r="G12" s="4" t="n">
        <v>1026315216371</v>
      </c>
      <c r="H12" s="4" t="n">
        <v>-10759800904696</v>
      </c>
      <c r="I12" s="4" t="n">
        <v>-7241774532693</v>
      </c>
    </row>
    <row r="13">
      <c r="A13" s="3" t="inlineStr">
        <is>
          <t>Tăng/(giảm) các khoản phải trả</t>
        </is>
      </c>
      <c r="B13" s="4" t="n">
        <v>1459709130157</v>
      </c>
      <c r="C13" s="4" t="n">
        <v>3557798129583</v>
      </c>
      <c r="D13" s="4" t="n">
        <v>4251742399296</v>
      </c>
      <c r="E13" s="4" t="n">
        <v>9250111116260</v>
      </c>
      <c r="F13" s="4" t="n">
        <v>-14666409808394</v>
      </c>
      <c r="G13" s="4" t="n">
        <v>2609540999740</v>
      </c>
      <c r="H13" s="4" t="n">
        <v>1994355381518</v>
      </c>
      <c r="I13" s="4" t="n">
        <v>11393151396033</v>
      </c>
    </row>
    <row r="14">
      <c r="A14" s="3" t="inlineStr">
        <is>
          <t>(Tăng)/giảm chi phí trả trước</t>
        </is>
      </c>
      <c r="B14" s="4" t="n">
        <v>-500921130265</v>
      </c>
      <c r="C14" s="4" t="n">
        <v>-8476974345</v>
      </c>
      <c r="D14" s="4" t="n">
        <v>-89041139127</v>
      </c>
      <c r="E14" s="4" t="n">
        <v>-813988306614</v>
      </c>
      <c r="F14" s="4" t="n">
        <v>2624176162</v>
      </c>
      <c r="G14" s="4" t="n">
        <v>-87803327985</v>
      </c>
      <c r="H14" s="4" t="n">
        <v>-227706209603</v>
      </c>
      <c r="I14" s="4" t="n">
        <v>-1682709234351</v>
      </c>
    </row>
    <row r="15">
      <c r="A15" s="3" t="inlineStr">
        <is>
          <t>Tiền lãi vay đã trả</t>
        </is>
      </c>
      <c r="B15" s="4" t="n">
        <v>-611767789386</v>
      </c>
      <c r="C15" s="4" t="n">
        <v>-867276241172</v>
      </c>
      <c r="D15" s="4" t="n">
        <v>-2027572222288</v>
      </c>
      <c r="E15" s="4" t="n">
        <v>-2567276431082</v>
      </c>
      <c r="F15" s="4" t="n">
        <v>-3061103919849</v>
      </c>
      <c r="G15" s="4" t="n">
        <v>-3647295875670</v>
      </c>
      <c r="H15" s="4" t="n">
        <v>-2332422296347</v>
      </c>
      <c r="I15" s="4" t="n">
        <v>-2884165976918</v>
      </c>
    </row>
    <row r="16">
      <c r="A16" s="3" t="inlineStr">
        <is>
          <t>Thuế thu nhập doanh nghiệp đã nộp</t>
        </is>
      </c>
      <c r="B16" s="4" t="n">
        <v>-1416437918395</v>
      </c>
      <c r="C16" s="4" t="n">
        <v>-1552892549868</v>
      </c>
      <c r="D16" s="4" t="n">
        <v>-1716802619015</v>
      </c>
      <c r="E16" s="4" t="n">
        <v>-2743083962430</v>
      </c>
      <c r="F16" s="4" t="n">
        <v>-1246302085368</v>
      </c>
      <c r="G16" s="4" t="n">
        <v>-559992514733</v>
      </c>
      <c r="H16" s="4" t="n">
        <v>-936764513356</v>
      </c>
      <c r="I16" s="4" t="n">
        <v>-1994842667708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447272727</v>
      </c>
      <c r="I17" s="4" t="n">
        <v>439016917840</v>
      </c>
    </row>
    <row r="18">
      <c r="A18" s="3" t="inlineStr">
        <is>
          <t>Tiền chi khác cho hoạt động kinh doanh</t>
        </is>
      </c>
      <c r="B18" s="4" t="n">
        <v>-304001386852</v>
      </c>
      <c r="C18" s="4" t="n">
        <v>-352057555830</v>
      </c>
      <c r="D18" s="4" t="n">
        <v>-328363376705</v>
      </c>
      <c r="E18" s="4" t="n">
        <v>-625409387033</v>
      </c>
      <c r="F18" s="4" t="n">
        <v>-776811527307</v>
      </c>
      <c r="G18" s="4" t="n">
        <v>-516882532682</v>
      </c>
      <c r="H18" s="4" t="n">
        <v>-783607107167</v>
      </c>
      <c r="I18" s="4" t="n">
        <v>-546760579903</v>
      </c>
    </row>
    <row r="19">
      <c r="A19" s="3" t="inlineStr">
        <is>
          <t>Lưu chuyển tiền tệ ròng từ các hoạt động sản xuất kinh doanh</t>
        </is>
      </c>
      <c r="B19" s="4" t="n">
        <v>7642344150731</v>
      </c>
      <c r="C19" s="4" t="n">
        <v>7715168694116</v>
      </c>
      <c r="D19" s="4" t="n">
        <v>11587249912974</v>
      </c>
      <c r="E19" s="4" t="n">
        <v>26720913303108</v>
      </c>
      <c r="F19" s="4" t="n">
        <v>12277636676507</v>
      </c>
      <c r="G19" s="4" t="n">
        <v>8643030777026</v>
      </c>
      <c r="H19" s="4" t="n">
        <v>6608320655215</v>
      </c>
      <c r="I19" s="4" t="n">
        <v>17365859056591</v>
      </c>
    </row>
    <row r="20">
      <c r="A20" s="3" t="inlineStr">
        <is>
          <t>Tiền chi để mua sắm, xây dựng TSCĐ và các tài sản dài hạn khác</t>
        </is>
      </c>
      <c r="B20" s="4" t="n">
        <v>-27594117760420</v>
      </c>
      <c r="C20" s="4" t="n">
        <v>-20825371574660</v>
      </c>
      <c r="D20" s="4" t="n">
        <v>-11915645555048</v>
      </c>
      <c r="E20" s="4" t="n">
        <v>-11621470092371</v>
      </c>
      <c r="F20" s="4" t="n">
        <v>-17887504647036</v>
      </c>
      <c r="G20" s="4" t="n">
        <v>-17373946475964</v>
      </c>
      <c r="H20" s="4" t="n">
        <v>-35495026797327</v>
      </c>
      <c r="I20" s="4" t="n">
        <v>-25748320476719</v>
      </c>
    </row>
    <row r="21">
      <c r="A21" s="3" t="inlineStr">
        <is>
          <t>Tiền thu từ thanh lý, nhượng bán TSCĐ và các tài sản dài hạn khác</t>
        </is>
      </c>
      <c r="B21" s="4" t="n">
        <v>64821767118</v>
      </c>
      <c r="C21" s="4" t="n">
        <v>26937572033</v>
      </c>
      <c r="D21" s="4" t="n">
        <v>34418355881</v>
      </c>
      <c r="E21" s="4" t="n">
        <v>49348550223</v>
      </c>
      <c r="F21" s="4" t="n">
        <v>21712492859</v>
      </c>
      <c r="G21" s="4" t="n">
        <v>206461627829</v>
      </c>
      <c r="H21" s="4" t="n">
        <v>1253593566574</v>
      </c>
      <c r="I21" s="4" t="n">
        <v>68816516303</v>
      </c>
    </row>
    <row r="22">
      <c r="A22" s="3" t="inlineStr">
        <is>
          <t>Tiền chi cho vay, mua các công cụ nợ của đơn vị khác</t>
        </is>
      </c>
      <c r="B22" s="4" t="n">
        <v>-11295502021543</v>
      </c>
      <c r="C22" s="4" t="n">
        <v>-4467553072509</v>
      </c>
      <c r="D22" s="4" t="n">
        <v>-11971173251594</v>
      </c>
      <c r="E22" s="4" t="n">
        <v>-41061488333969</v>
      </c>
      <c r="F22" s="4" t="n">
        <v>-55505793882381</v>
      </c>
      <c r="G22" s="4" t="n">
        <v>-39803522821759</v>
      </c>
      <c r="H22" s="4" t="n">
        <v>-28505457880646</v>
      </c>
      <c r="I22" s="4" t="n">
        <v>-30319812195952</v>
      </c>
    </row>
    <row r="23">
      <c r="A23" s="3" t="inlineStr">
        <is>
          <t>Tiền thu hồi cho vay, bán lại các công cụ nợ của đơn vị khác</t>
        </is>
      </c>
      <c r="B23" s="4" t="n">
        <v>17443013202984</v>
      </c>
      <c r="C23" s="4" t="n">
        <v>6832224480334</v>
      </c>
      <c r="D23" s="4" t="n">
        <v>5003441426581</v>
      </c>
      <c r="E23" s="4" t="n">
        <v>31076412522291</v>
      </c>
      <c r="F23" s="4" t="n">
        <v>47412529370171</v>
      </c>
      <c r="G23" s="4" t="n">
        <v>43279753995632</v>
      </c>
      <c r="H23" s="4" t="n">
        <v>31587656044222</v>
      </c>
      <c r="I23" s="4" t="n">
        <v>27786077781891</v>
      </c>
    </row>
    <row r="24">
      <c r="A24" s="3" t="inlineStr">
        <is>
          <t>Tiền chi đầu tư góp vốn vào đơn vị khác</t>
        </is>
      </c>
      <c r="B24" s="4" t="n">
        <v>-115947860804</v>
      </c>
      <c r="C24" s="4" t="n">
        <v>0</v>
      </c>
      <c r="D24" s="4" t="n">
        <v>0</v>
      </c>
      <c r="E24" s="4" t="n">
        <v>0</v>
      </c>
      <c r="F24" s="4" t="n">
        <v>-371644175956</v>
      </c>
      <c r="G24" s="4" t="n">
        <v>0</v>
      </c>
      <c r="H24" s="4" t="n">
        <v>0</v>
      </c>
      <c r="I24" s="4" t="n">
        <v>-444100000000</v>
      </c>
    </row>
    <row r="25">
      <c r="A25" s="3" t="inlineStr">
        <is>
          <t>Tiền thu hồi đầu tư góp vốn vào đơn vị khác</t>
        </is>
      </c>
      <c r="B25" s="4" t="n">
        <v>17599680288</v>
      </c>
      <c r="C25" s="4" t="n">
        <v>0</v>
      </c>
      <c r="D25" s="4" t="n">
        <v>0</v>
      </c>
      <c r="E25" s="4" t="n">
        <v>833829028281</v>
      </c>
      <c r="F25" s="4" t="n">
        <v>6672170842</v>
      </c>
      <c r="G25" s="4" t="n">
        <v>-526054585230</v>
      </c>
      <c r="H25" s="4" t="n">
        <v>31246619001</v>
      </c>
      <c r="I25" s="4" t="n">
        <v>1605733375384</v>
      </c>
    </row>
    <row r="26">
      <c r="A26" s="3" t="inlineStr">
        <is>
          <t>Tiền thu lãi cho vay, cổ tức và lợi nhuận được chia</t>
        </is>
      </c>
      <c r="B26" s="4" t="n">
        <v>946999021433</v>
      </c>
      <c r="C26" s="4" t="n">
        <v>369546551545</v>
      </c>
      <c r="D26" s="4" t="n">
        <v>353560779277</v>
      </c>
      <c r="E26" s="4" t="n">
        <v>1053915562539</v>
      </c>
      <c r="F26" s="4" t="n">
        <v>1697815926948</v>
      </c>
      <c r="G26" s="4" t="n">
        <v>2222218737225</v>
      </c>
      <c r="H26" s="4" t="n">
        <v>1339850195728</v>
      </c>
      <c r="I26" s="4" t="n">
        <v>1237212130395</v>
      </c>
    </row>
    <row r="27">
      <c r="A27" s="3" t="inlineStr">
        <is>
          <t>Lưu chuyển tiền thuần từ hoạt động đầu tư</t>
        </is>
      </c>
      <c r="B27" s="4" t="n">
        <v>-20533133970944</v>
      </c>
      <c r="C27" s="4" t="n">
        <v>-18064216043257</v>
      </c>
      <c r="D27" s="4" t="n">
        <v>-18495398244903</v>
      </c>
      <c r="E27" s="4" t="n">
        <v>-19669452763006</v>
      </c>
      <c r="F27" s="4" t="n">
        <v>-24626212744553</v>
      </c>
      <c r="G27" s="4" t="n">
        <v>-11995089522267</v>
      </c>
      <c r="H27" s="4" t="n">
        <v>-29788138252448</v>
      </c>
      <c r="I27" s="4" t="n">
        <v>-25814392868698</v>
      </c>
    </row>
    <row r="28">
      <c r="A28" s="3" t="inlineStr">
        <is>
          <t>Tiền thu từ phát hành cổ phiếu, nhận vốn góp của chủ sở hữu</t>
        </is>
      </c>
      <c r="B28" s="4" t="n">
        <v>11424719202</v>
      </c>
      <c r="C28" s="4" t="n">
        <v>85000000</v>
      </c>
      <c r="D28" s="4" t="n">
        <v>2700000000</v>
      </c>
      <c r="E28" s="4" t="n">
        <v>10630000000</v>
      </c>
      <c r="F28" s="4" t="n">
        <v>4075000000</v>
      </c>
      <c r="G28" s="4" t="n">
        <v>700000000</v>
      </c>
      <c r="H28" s="4" t="n">
        <v>233136000000</v>
      </c>
      <c r="I28" s="4" t="n">
        <v>687500000000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-2343640000</v>
      </c>
      <c r="H29" s="4" t="n">
        <v>-119560000</v>
      </c>
      <c r="I29" s="4" t="n">
        <v>-55020000</v>
      </c>
    </row>
    <row r="30">
      <c r="A30" s="3" t="inlineStr">
        <is>
          <t>Tiền thu được các khoản đi vay</t>
        </is>
      </c>
      <c r="B30" s="4" t="n">
        <v>53472014216173</v>
      </c>
      <c r="C30" s="4" t="n">
        <v>69584170644057</v>
      </c>
      <c r="D30" s="4" t="n">
        <v>83074115401537</v>
      </c>
      <c r="E30" s="4" t="n">
        <v>125075421125272</v>
      </c>
      <c r="F30" s="4" t="n">
        <v>135250023212840</v>
      </c>
      <c r="G30" s="4" t="n">
        <v>127232900840872</v>
      </c>
      <c r="H30" s="4" t="n">
        <v>174465587837075</v>
      </c>
      <c r="I30" s="4" t="n">
        <v>149548990395471</v>
      </c>
    </row>
    <row r="31">
      <c r="A31" s="3" t="inlineStr">
        <is>
          <t>Tiền trả nợ gốc vay</t>
        </is>
      </c>
      <c r="B31" s="4" t="n">
        <v>-42335009094686</v>
      </c>
      <c r="C31" s="4" t="n">
        <v>-57193667828616</v>
      </c>
      <c r="D31" s="4" t="n">
        <v>-65603640057528</v>
      </c>
      <c r="E31" s="4" t="n">
        <v>-121652859327347</v>
      </c>
      <c r="F31" s="4" t="n">
        <v>-134770628364289</v>
      </c>
      <c r="G31" s="4" t="n">
        <v>-119947631065468</v>
      </c>
      <c r="H31" s="4" t="n">
        <v>-156878935679240</v>
      </c>
      <c r="I31" s="4" t="n">
        <v>-140337963743432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Cổ tức, lợi nhuận đã trả cho chủ sở hữu</t>
        </is>
      </c>
      <c r="B33" s="4" t="n">
        <v>-5918198429</v>
      </c>
      <c r="C33" s="4" t="n">
        <v>-12646859136</v>
      </c>
      <c r="D33" s="4" t="n">
        <v>-1419473748756</v>
      </c>
      <c r="E33" s="4" t="n">
        <v>-1693086647969</v>
      </c>
      <c r="F33" s="4" t="n">
        <v>-2261459543241</v>
      </c>
      <c r="G33" s="4" t="n">
        <v>-8013794632</v>
      </c>
      <c r="H33" s="4" t="n">
        <v>-4971010891</v>
      </c>
      <c r="I33" s="4" t="n">
        <v>-36538787548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11142511642260</v>
      </c>
      <c r="C35" s="4" t="n">
        <v>12377940956305</v>
      </c>
      <c r="D35" s="4" t="n">
        <v>16053701595253</v>
      </c>
      <c r="E35" s="4" t="n">
        <v>1740105149956</v>
      </c>
      <c r="F35" s="4" t="n">
        <v>-1777989694690</v>
      </c>
      <c r="G35" s="4" t="n">
        <v>7275612340772</v>
      </c>
      <c r="H35" s="4" t="n">
        <v>17814697586944</v>
      </c>
      <c r="I35" s="4" t="n">
        <v>9861932844491</v>
      </c>
    </row>
    <row r="36">
      <c r="A36" s="3" t="inlineStr">
        <is>
          <t>Lưu chuyển tiền thuần trong kỳ</t>
        </is>
      </c>
      <c r="B36" s="4" t="n">
        <v>-1748278177953</v>
      </c>
      <c r="C36" s="4" t="n">
        <v>2028893607164</v>
      </c>
      <c r="D36" s="4" t="n">
        <v>9145553263324</v>
      </c>
      <c r="E36" s="4" t="n">
        <v>8791565690058</v>
      </c>
      <c r="F36" s="4" t="n">
        <v>-14126565762736</v>
      </c>
      <c r="G36" s="4" t="n">
        <v>3923553595531</v>
      </c>
      <c r="H36" s="4" t="n">
        <v>-5365120010289</v>
      </c>
      <c r="I36" s="4" t="n">
        <v>1413399032384</v>
      </c>
    </row>
    <row r="37">
      <c r="A37" s="3" t="inlineStr">
        <is>
          <t>Tiền và tương đương tiền đầu kỳ</t>
        </is>
      </c>
      <c r="B37" s="4" t="n">
        <v>4264641954689</v>
      </c>
      <c r="C37" s="4" t="n">
        <v>2515617135457</v>
      </c>
      <c r="D37" s="4" t="n">
        <v>4544900252204</v>
      </c>
      <c r="E37" s="4" t="n">
        <v>13696099298228</v>
      </c>
      <c r="F37" s="4" t="n">
        <v>22471375562130</v>
      </c>
      <c r="G37" s="4" t="n">
        <v>8324588920227</v>
      </c>
      <c r="H37" s="4" t="n">
        <v>12252001160884</v>
      </c>
      <c r="I37" s="4" t="n">
        <v>6887646139852</v>
      </c>
    </row>
    <row r="38">
      <c r="A38" s="3" t="inlineStr">
        <is>
          <t>Ảnh hưởng của thay đổi tỷ giá hối đoái quy đổi ngoại tệ</t>
        </is>
      </c>
      <c r="B38" s="4" t="n">
        <v>-746641279</v>
      </c>
      <c r="C38" s="4" t="n">
        <v>389509583</v>
      </c>
      <c r="D38" s="4" t="n">
        <v>5645782700</v>
      </c>
      <c r="E38" s="4" t="n">
        <v>-16289426156</v>
      </c>
      <c r="F38" s="4" t="n">
        <v>-20220879167</v>
      </c>
      <c r="G38" s="4" t="n">
        <v>3858645126</v>
      </c>
      <c r="H38" s="4" t="n">
        <v>764989257</v>
      </c>
      <c r="I38" s="4" t="n">
        <v>-154868031</v>
      </c>
    </row>
    <row r="39">
      <c r="A39" s="3" t="inlineStr">
        <is>
          <t>Tiền và tương đương tiền cuối kỳ</t>
        </is>
      </c>
      <c r="B39" s="4" t="n">
        <v>2515617135457</v>
      </c>
      <c r="C39" s="4" t="n">
        <v>4544900252204</v>
      </c>
      <c r="D39" s="4" t="n">
        <v>13696099298228</v>
      </c>
      <c r="E39" s="4" t="n">
        <v>22471375562130</v>
      </c>
      <c r="F39" s="4" t="n">
        <v>8324588920227</v>
      </c>
      <c r="G39" s="4" t="n">
        <v>12252001160884</v>
      </c>
      <c r="H39" s="4" t="n">
        <v>6887646139852</v>
      </c>
      <c r="I39" s="4" t="n">
        <v>8300890304205</v>
      </c>
    </row>
    <row r="40">
      <c r="A40" s="3" t="inlineStr">
        <is>
          <t>Phân bổ lợi thế thương mại</t>
        </is>
      </c>
      <c r="B40" s="4" t="n">
        <v>26051152720</v>
      </c>
      <c r="C40" s="4" t="n">
        <v>0</v>
      </c>
      <c r="D40" s="4" t="n">
        <v>18075220852</v>
      </c>
      <c r="E40" s="4" t="n">
        <v>5988000000</v>
      </c>
      <c r="F40" s="4" t="n">
        <v>12678796368</v>
      </c>
      <c r="G40" s="4" t="n">
        <v>12099941304</v>
      </c>
      <c r="H40" s="4" t="n">
        <v>12295891969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selection activeCell="A1" sqref="A1"/>
    </sheetView>
  </sheetViews>
  <sheetFormatPr baseColWidth="8" defaultRowHeight="15"/>
  <cols>
    <col width="38.375" customWidth="1" min="1" max="1"/>
    <col width="17.5" customWidth="1" min="2" max="2"/>
    <col width="21.875" customWidth="1" min="9" max="9"/>
    <col width="9" customWidth="1" min="11" max="11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</row>
    <row r="2">
      <c r="A2" s="5" t="inlineStr">
        <is>
          <t>ROE (LNST CĐ Cty mẹ / VCSH bình quân)</t>
        </is>
      </c>
      <c r="B2" s="7" t="inlineStr">
        <is>
          <t>n/a</t>
        </is>
      </c>
      <c r="C2" s="8">
        <f>IFERROR(C$51/((C$39+B$39)/2),"n/a")</f>
        <v/>
      </c>
      <c r="D2" s="8">
        <f>IFERROR(D$51/((D$39+C$39)/2),"n/a")</f>
        <v/>
      </c>
      <c r="E2" s="8">
        <f>IFERROR(E$51/((E$39+D$39)/2),"n/a")</f>
        <v/>
      </c>
      <c r="F2" s="8">
        <f>IFERROR(F$51/((F$39+E$39)/2),"n/a")</f>
        <v/>
      </c>
      <c r="G2" s="8">
        <f>IFERROR(G$51/((G$39+F$39)/2),"n/a")</f>
        <v/>
      </c>
      <c r="H2" s="8">
        <f>IFERROR(H$51/((H$39+G$39)/2),"n/a")</f>
        <v/>
      </c>
      <c r="I2" s="8">
        <f>IFERROR(I$51/((I$39+H$39)/2),"n/a")</f>
        <v/>
      </c>
      <c r="J2" s="8">
        <f>IFERROR(J$51/((J$39+I$39)/2),"n/a")</f>
        <v/>
      </c>
    </row>
    <row r="3">
      <c r="A3" s="5" t="inlineStr">
        <is>
          <t>ROA (LNST / Tổng tài sản bình quân)</t>
        </is>
      </c>
      <c r="B3" s="7" t="inlineStr">
        <is>
          <t>n/a</t>
        </is>
      </c>
      <c r="C3" s="8">
        <f>IFERROR(C$50/((C$31+B$31)/2),"n/a")</f>
        <v/>
      </c>
      <c r="D3" s="8">
        <f>IFERROR(D$50/((D$31+C$31)/2),"n/a")</f>
        <v/>
      </c>
      <c r="E3" s="8">
        <f>IFERROR(E$50/((E$31+D$31)/2),"n/a")</f>
        <v/>
      </c>
      <c r="F3" s="8">
        <f>IFERROR(F$50/((F$31+E$31)/2),"n/a")</f>
        <v/>
      </c>
      <c r="G3" s="8">
        <f>IFERROR(G$50/((G$31+F$31)/2),"n/a")</f>
        <v/>
      </c>
      <c r="H3" s="8">
        <f>IFERROR(H$50/((H$31+G$31)/2),"n/a")</f>
        <v/>
      </c>
      <c r="I3" s="8">
        <f>IFERROR(I$50/((I$31+H$31)/2),"n/a")</f>
        <v/>
      </c>
    </row>
    <row r="4">
      <c r="A4" s="5" t="inlineStr">
        <is>
          <t>Tăng trưởng LN Cổ đông Cty mẹ</t>
        </is>
      </c>
      <c r="B4" s="7" t="inlineStr">
        <is>
          <t>n/a</t>
        </is>
      </c>
      <c r="C4" s="8">
        <f>IFERROR((C$51-B$51)/ABS(B$51),"n/a")</f>
        <v/>
      </c>
      <c r="D4" s="8">
        <f>IFERROR((D$51-C$51)/ABS(C$51),"n/a")</f>
        <v/>
      </c>
      <c r="E4" s="8">
        <f>IFERROR((E$51-D$51)/ABS(D$51),"n/a")</f>
        <v/>
      </c>
      <c r="F4" s="8">
        <f>IFERROR((F$51-E$51)/ABS(E$51),"n/a")</f>
        <v/>
      </c>
      <c r="G4" s="8">
        <f>IFERROR((G$51-F$51)/ABS(F$51),"n/a")</f>
        <v/>
      </c>
      <c r="H4" s="8">
        <f>IFERROR((H$51-G$51)/ABS(G$51),"n/a")</f>
        <v/>
      </c>
      <c r="I4" s="8">
        <f>IFERROR((I$51-H$51)/ABS(H$51),"n/a")</f>
        <v/>
      </c>
      <c r="J4" s="8">
        <f>IFERROR((J$51-I$51)/ABS(I$51),"n/a")</f>
        <v/>
      </c>
    </row>
    <row r="5">
      <c r="A5" s="5" t="inlineStr">
        <is>
          <t>Tăng trưởng Doanh thu thuần</t>
        </is>
      </c>
      <c r="B5" s="7" t="inlineStr">
        <is>
          <t>n/a</t>
        </is>
      </c>
      <c r="C5" s="8">
        <f>IFERROR((C$43-B$43)/ABS(B$43),"n/a")</f>
        <v/>
      </c>
      <c r="D5" s="8">
        <f>IFERROR((D$43-C$43)/ABS(C$43),"n/a")</f>
        <v/>
      </c>
      <c r="E5" s="8">
        <f>IFERROR((E$43-D$43)/ABS(D$43),"n/a")</f>
        <v/>
      </c>
      <c r="F5" s="8">
        <f>IFERROR((F$43-E$43)/ABS(E$43),"n/a")</f>
        <v/>
      </c>
      <c r="G5" s="8">
        <f>IFERROR((G$43-F$43)/ABS(F$43),"n/a")</f>
        <v/>
      </c>
      <c r="H5" s="8">
        <f>IFERROR((H$43-G$43)/ABS(G$43),"n/a")</f>
        <v/>
      </c>
      <c r="I5" s="8">
        <f>IFERROR((I$43-H$43)/ABS(H$43),"n/a")</f>
        <v/>
      </c>
      <c r="J5" s="8">
        <f>IFERROR((J$43-I$43)/ABS(I$43),"n/a")</f>
        <v/>
      </c>
    </row>
    <row r="6">
      <c r="A6" s="5" t="inlineStr">
        <is>
          <t>Biên lợi nhuận gộp</t>
        </is>
      </c>
      <c r="B6" s="8">
        <f>IFERROR(B$45/B$43,"n/a")</f>
        <v/>
      </c>
      <c r="C6" s="8">
        <f>IFERROR(C$45/C$43,"n/a")</f>
        <v/>
      </c>
      <c r="D6" s="8">
        <f>IFERROR(D$45/D$43,"n/a")</f>
        <v/>
      </c>
      <c r="E6" s="8">
        <f>IFERROR(E$45/E$43,"n/a")</f>
        <v/>
      </c>
      <c r="F6" s="8">
        <f>IFERROR(F$45/F$43,"n/a")</f>
        <v/>
      </c>
      <c r="G6" s="8">
        <f>IFERROR(G$45/G$43,"n/a")</f>
        <v/>
      </c>
      <c r="H6" s="8">
        <f>IFERROR(H$45/H$43,"n/a")</f>
        <v/>
      </c>
      <c r="I6" s="8">
        <f>IFERROR(I$45/I$43,"n/a")</f>
        <v/>
      </c>
    </row>
    <row r="7">
      <c r="A7" s="5" t="inlineStr">
        <is>
          <t>Biên lợi nhuận ròng</t>
        </is>
      </c>
      <c r="B7" s="8">
        <f>IFERROR(B$51/B$43,"n/a")</f>
        <v/>
      </c>
      <c r="C7" s="8">
        <f>IFERROR(C$51/C$43,"n/a")</f>
        <v/>
      </c>
      <c r="D7" s="8">
        <f>IFERROR(D$51/D$43,"n/a")</f>
        <v/>
      </c>
      <c r="E7" s="8">
        <f>IFERROR(E$51/E$43,"n/a")</f>
        <v/>
      </c>
      <c r="F7" s="8">
        <f>IFERROR(F$51/F$43,"n/a")</f>
        <v/>
      </c>
      <c r="G7" s="8">
        <f>IFERROR(G$51/G$43,"n/a")</f>
        <v/>
      </c>
      <c r="H7" s="8">
        <f>IFERROR(H$51/H$43,"n/a")</f>
        <v/>
      </c>
      <c r="I7" s="8">
        <f>IFERROR(I$51/I$43,"n/a")</f>
        <v/>
      </c>
      <c r="J7" s="8">
        <f>IFERROR(J$51/J$43,"n/a")</f>
        <v/>
      </c>
    </row>
    <row r="8">
      <c r="A8" s="5" t="inlineStr">
        <is>
          <t>D/E (Nợ vay / Vốn chủ sở hữu)</t>
        </is>
      </c>
      <c r="B8" s="9">
        <f>IFERROR((B$34+B$36)/B$39,"n/a")</f>
        <v/>
      </c>
      <c r="C8" s="9">
        <f>IFERROR((C$34+C$36)/C$39,"n/a")</f>
        <v/>
      </c>
      <c r="D8" s="9">
        <f>IFERROR((D$34+D$36)/D$39,"n/a")</f>
        <v/>
      </c>
      <c r="E8" s="9">
        <f>IFERROR((E$34+E$36)/E$39,"n/a")</f>
        <v/>
      </c>
      <c r="F8" s="9">
        <f>IFERROR((F$34+F$36)/F$39,"n/a")</f>
        <v/>
      </c>
      <c r="G8" s="9">
        <f>IFERROR((G$34+G$36)/G$39,"n/a")</f>
        <v/>
      </c>
      <c r="H8" s="9">
        <f>IFERROR((H$34+H$36)/H$39,"n/a")</f>
        <v/>
      </c>
      <c r="I8" s="9">
        <f>IFERROR((I$34+I$36)/I$39,"n/a")</f>
        <v/>
      </c>
    </row>
    <row r="9">
      <c r="A9" s="10" t="inlineStr">
        <is>
          <t xml:space="preserve">     - Nợ vay dài hạn/Vốn chủ sở hữu</t>
        </is>
      </c>
      <c r="B9" s="9">
        <f>IFERROR(B$36/B$39,"n/a")</f>
        <v/>
      </c>
      <c r="C9" s="9">
        <f>IFERROR(C$36/C$39,"n/a")</f>
        <v/>
      </c>
      <c r="D9" s="9">
        <f>IFERROR(D$36/D$39,"n/a")</f>
        <v/>
      </c>
      <c r="E9" s="9">
        <f>IFERROR(E$36/E$39,"n/a")</f>
        <v/>
      </c>
      <c r="F9" s="9">
        <f>IFERROR(F$36/F$39,"n/a")</f>
        <v/>
      </c>
      <c r="G9" s="9">
        <f>IFERROR(G$36/G$39,"n/a")</f>
        <v/>
      </c>
      <c r="H9" s="9">
        <f>IFERROR(H$36/H$39,"n/a")</f>
        <v/>
      </c>
      <c r="I9" s="9">
        <f>IFERROR(I$36/I$39,"n/a")</f>
        <v/>
      </c>
    </row>
    <row r="10">
      <c r="A10" s="10" t="inlineStr">
        <is>
          <t xml:space="preserve">     - Nợ vay ngắn hạn/Vốn chủ sở hữu</t>
        </is>
      </c>
      <c r="B10" s="9">
        <f>IFERROR(B$34/B$39,"n/a")</f>
        <v/>
      </c>
      <c r="C10" s="9">
        <f>IFERROR(C$34/C$39,"n/a")</f>
        <v/>
      </c>
      <c r="D10" s="9">
        <f>IFERROR(D$34/D$39,"n/a")</f>
        <v/>
      </c>
      <c r="E10" s="9">
        <f>IFERROR(E$34/E$39,"n/a")</f>
        <v/>
      </c>
      <c r="F10" s="9">
        <f>IFERROR(F$34/F$39,"n/a")</f>
        <v/>
      </c>
      <c r="G10" s="9">
        <f>IFERROR(G$34/G$39,"n/a")</f>
        <v/>
      </c>
      <c r="H10" s="9">
        <f>IFERROR(H$34/H$39,"n/a")</f>
        <v/>
      </c>
      <c r="I10" s="9">
        <f>IFERROR(I$34/I$39,"n/a")</f>
        <v/>
      </c>
    </row>
    <row r="11">
      <c r="A11" s="5" t="inlineStr">
        <is>
          <t>Nợ phải trả/Vốn chủ sở hữu</t>
        </is>
      </c>
      <c r="B11" s="9">
        <f>IFERROR(B$38/B$39,"n/a")</f>
        <v/>
      </c>
      <c r="C11" s="9">
        <f>IFERROR(C$38/C$39,"n/a")</f>
        <v/>
      </c>
      <c r="D11" s="9">
        <f>IFERROR(D$38/D$39,"n/a")</f>
        <v/>
      </c>
      <c r="E11" s="9">
        <f>IFERROR(E$38/E$39,"n/a")</f>
        <v/>
      </c>
      <c r="F11" s="9">
        <f>IFERROR(F$38/F$39,"n/a")</f>
        <v/>
      </c>
      <c r="G11" s="9">
        <f>IFERROR(G$38/G$39,"n/a")</f>
        <v/>
      </c>
      <c r="H11" s="9">
        <f>IFERROR(H$38/H$39,"n/a")</f>
        <v/>
      </c>
      <c r="I11" s="9">
        <f>IFERROR(I$38/I$39,"n/a")</f>
        <v/>
      </c>
    </row>
    <row r="12">
      <c r="A12" s="10" t="inlineStr">
        <is>
          <t xml:space="preserve">     - Nợ dài hạn/Vốn chủ sở hữu</t>
        </is>
      </c>
      <c r="B12" s="9">
        <f>IFERROR(B$37/B$39,"n/a")</f>
        <v/>
      </c>
      <c r="C12" s="9">
        <f>IFERROR(C$37/C$39,"n/a")</f>
        <v/>
      </c>
      <c r="D12" s="9">
        <f>IFERROR(D$37/D$39,"n/a")</f>
        <v/>
      </c>
      <c r="E12" s="9">
        <f>IFERROR(E$37/E$39,"n/a")</f>
        <v/>
      </c>
      <c r="F12" s="9">
        <f>IFERROR(F$37/F$39,"n/a")</f>
        <v/>
      </c>
      <c r="G12" s="9">
        <f>IFERROR(G$37/G$39,"n/a")</f>
        <v/>
      </c>
      <c r="H12" s="9">
        <f>IFERROR(H$37/H$39,"n/a")</f>
        <v/>
      </c>
      <c r="I12" s="9">
        <f>IFERROR(I$37/I$39,"n/a")</f>
        <v/>
      </c>
    </row>
    <row r="13">
      <c r="A13" s="10" t="inlineStr">
        <is>
          <t xml:space="preserve">     - Nợ ngắn hạn/Vốn chủ sở hữu</t>
        </is>
      </c>
      <c r="B13" s="9">
        <f>IFERROR(B$35/B$39,"n/a")</f>
        <v/>
      </c>
      <c r="C13" s="9">
        <f>IFERROR(C$35/C$39,"n/a")</f>
        <v/>
      </c>
      <c r="D13" s="9">
        <f>IFERROR(D$35/D$39,"n/a")</f>
        <v/>
      </c>
      <c r="E13" s="9">
        <f>IFERROR(E$35/E$39,"n/a")</f>
        <v/>
      </c>
      <c r="F13" s="9">
        <f>IFERROR(F$35/F$39,"n/a")</f>
        <v/>
      </c>
      <c r="G13" s="9">
        <f>IFERROR(G$35/G$39,"n/a")</f>
        <v/>
      </c>
      <c r="H13" s="9">
        <f>IFERROR(H$35/H$39,"n/a")</f>
        <v/>
      </c>
      <c r="I13" s="9">
        <f>IFERROR(I$35/I$39,"n/a")</f>
        <v/>
      </c>
    </row>
    <row r="14">
      <c r="A14" s="5" t="inlineStr">
        <is>
          <t>Chi phí bán hàng, quản lý/LN gộp</t>
        </is>
      </c>
      <c r="B14" s="8">
        <f>IFERROR((ABS(B$46)+ABS(B$47))/B$45,"n/a")</f>
        <v/>
      </c>
      <c r="C14" s="8">
        <f>IFERROR((ABS(C$46)+ABS(C$47))/C$45,"n/a")</f>
        <v/>
      </c>
      <c r="D14" s="8">
        <f>IFERROR((ABS(D$46)+ABS(D$47))/D$45,"n/a")</f>
        <v/>
      </c>
      <c r="E14" s="8">
        <f>IFERROR((ABS(E$46)+ABS(E$47))/E$45,"n/a")</f>
        <v/>
      </c>
      <c r="F14" s="8">
        <f>IFERROR((ABS(F$46)+ABS(F$47))/F$45,"n/a")</f>
        <v/>
      </c>
      <c r="G14" s="8">
        <f>IFERROR((ABS(G$46)+ABS(G$47))/G$45,"n/a")</f>
        <v/>
      </c>
      <c r="H14" s="8">
        <f>IFERROR((ABS(H$46)+ABS(H$47))/H$45,"n/a")</f>
        <v/>
      </c>
      <c r="I14" s="8">
        <f>IFERROR((ABS(I$46)+ABS(I$47))/I$45,"n/a")</f>
        <v/>
      </c>
    </row>
    <row r="15">
      <c r="A15" s="5" t="inlineStr">
        <is>
          <t>Chi phí lãi vay/LN từ hoạt động kinh doanh</t>
        </is>
      </c>
      <c r="B15" s="8">
        <f>IFERROR(ABS(B$49)/B$48,"n/a")</f>
        <v/>
      </c>
      <c r="C15" s="8">
        <f>IFERROR(ABS(C$49)/C$48,"n/a")</f>
        <v/>
      </c>
      <c r="D15" s="8">
        <f>IFERROR(ABS(D$49)/D$48,"n/a")</f>
        <v/>
      </c>
      <c r="E15" s="8">
        <f>IFERROR(ABS(E$49)/E$48,"n/a")</f>
        <v/>
      </c>
      <c r="F15" s="8">
        <f>IFERROR(ABS(F$49)/F$48,"n/a")</f>
        <v/>
      </c>
      <c r="G15" s="8">
        <f>IFERROR(ABS(G$49)/G$48,"n/a")</f>
        <v/>
      </c>
      <c r="H15" s="8">
        <f>IFERROR(ABS(H$49)/H$48,"n/a")</f>
        <v/>
      </c>
      <c r="I15" s="8">
        <f>IFERROR(ABS(I$49)/I$48,"n/a")</f>
        <v/>
      </c>
    </row>
    <row r="16">
      <c r="A16" s="5" t="inlineStr">
        <is>
          <t>Số ngày phải trả (DPO)</t>
        </is>
      </c>
      <c r="B16" s="11" t="inlineStr">
        <is>
          <t>n/a</t>
        </is>
      </c>
      <c r="C16" s="12">
        <f>IFERROR(((C$33+B$33)/2)/ABS(C$44)*365,"n/a")</f>
        <v/>
      </c>
      <c r="D16" s="12">
        <f>IFERROR(((D$33+C$33)/2)/ABS(D$44)*365,"n/a")</f>
        <v/>
      </c>
      <c r="E16" s="12">
        <f>IFERROR(((E$33+D$33)/2)/ABS(E$44)*365,"n/a")</f>
        <v/>
      </c>
      <c r="F16" s="12">
        <f>IFERROR(((F$33+E$33)/2)/ABS(F$44)*365,"n/a")</f>
        <v/>
      </c>
      <c r="G16" s="12">
        <f>IFERROR(((G$33+F$33)/2)/ABS(G$44)*365,"n/a")</f>
        <v/>
      </c>
      <c r="H16" s="12">
        <f>IFERROR(((H$33+G$33)/2)/ABS(H$44)*365,"n/a")</f>
        <v/>
      </c>
      <c r="I16" s="12">
        <f>IFERROR(((I$33+H$33)/2)/ABS(I$44)*365,"n/a")</f>
        <v/>
      </c>
    </row>
    <row r="17">
      <c r="A17" s="5" t="inlineStr">
        <is>
          <t>Số ngày phải thu (DSO)</t>
        </is>
      </c>
      <c r="B17" s="11" t="inlineStr">
        <is>
          <t>n/a</t>
        </is>
      </c>
      <c r="C17" s="12">
        <f>IFERROR(((C$27+B$27)/2)/C$43*365,"n/a")</f>
        <v/>
      </c>
      <c r="D17" s="12">
        <f>IFERROR(((D$27+C$27)/2)/D$43*365,"n/a")</f>
        <v/>
      </c>
      <c r="E17" s="12">
        <f>IFERROR(((E$27+D$27)/2)/E$43*365,"n/a")</f>
        <v/>
      </c>
      <c r="F17" s="12">
        <f>IFERROR(((F$27+E$27)/2)/F$43*365,"n/a")</f>
        <v/>
      </c>
      <c r="G17" s="12">
        <f>IFERROR(((G$27+F$27)/2)/G$43*365,"n/a")</f>
        <v/>
      </c>
      <c r="H17" s="12">
        <f>IFERROR(((H$27+G$27)/2)/H$43*365,"n/a")</f>
        <v/>
      </c>
      <c r="I17" s="12">
        <f>IFERROR(((I$27+H$27)/2)/I$43*365,"n/a")</f>
        <v/>
      </c>
    </row>
    <row r="18">
      <c r="A18" s="5" t="inlineStr">
        <is>
          <t>Số ngày tồn kho (DIO)</t>
        </is>
      </c>
      <c r="B18" s="11" t="inlineStr">
        <is>
          <t>n/a</t>
        </is>
      </c>
      <c r="C18" s="12">
        <f>IFERROR(((C$28+B$28)/2)/ABS(C$44)*365,"n/a")</f>
        <v/>
      </c>
      <c r="D18" s="12">
        <f>IFERROR(((D$28+C$28)/2)/ABS(D$44)*365,"n/a")</f>
        <v/>
      </c>
      <c r="E18" s="12">
        <f>IFERROR(((E$28+D$28)/2)/ABS(E$44)*365,"n/a")</f>
        <v/>
      </c>
      <c r="F18" s="12">
        <f>IFERROR(((F$28+E$28)/2)/ABS(F$44)*365,"n/a")</f>
        <v/>
      </c>
      <c r="G18" s="12">
        <f>IFERROR(((G$28+F$28)/2)/ABS(G$44)*365,"n/a")</f>
        <v/>
      </c>
      <c r="H18" s="12">
        <f>IFERROR(((H$28+G$28)/2)/ABS(H$44)*365,"n/a")</f>
        <v/>
      </c>
      <c r="I18" s="12">
        <f>IFERROR(((I$28+H$28)/2)/ABS(I$44)*365,"n/a")</f>
        <v/>
      </c>
    </row>
    <row r="19">
      <c r="A19" s="5" t="inlineStr">
        <is>
          <t>Tiền và tương đương tiền/Tài sản</t>
        </is>
      </c>
      <c r="B19" s="8">
        <f>IFERROR(B$26/B$31,"n/a")</f>
        <v/>
      </c>
      <c r="C19" s="8">
        <f>IFERROR(C$26/C$31,"n/a")</f>
        <v/>
      </c>
      <c r="D19" s="8">
        <f>IFERROR(D$26/D$31,"n/a")</f>
        <v/>
      </c>
      <c r="E19" s="8">
        <f>IFERROR(E$26/E$31,"n/a")</f>
        <v/>
      </c>
      <c r="F19" s="8">
        <f>IFERROR(F$26/F$31,"n/a")</f>
        <v/>
      </c>
      <c r="G19" s="8">
        <f>IFERROR(G$26/G$31,"n/a")</f>
        <v/>
      </c>
      <c r="H19" s="8">
        <f>IFERROR(H$26/H$31,"n/a")</f>
        <v/>
      </c>
      <c r="I19" s="8">
        <f>IFERROR(I$26/I$31,"n/a")</f>
        <v/>
      </c>
    </row>
    <row r="20">
      <c r="A20" s="5" t="inlineStr">
        <is>
          <t>Hàng tồn kho/Tài sản</t>
        </is>
      </c>
      <c r="B20" s="8">
        <f>IFERROR(B$28/B$31,"n/a")</f>
        <v/>
      </c>
      <c r="C20" s="8">
        <f>IFERROR(C$28/C$31,"n/a")</f>
        <v/>
      </c>
      <c r="D20" s="8">
        <f>IFERROR(D$28/D$31,"n/a")</f>
        <v/>
      </c>
      <c r="E20" s="8">
        <f>IFERROR(E$28/E$31,"n/a")</f>
        <v/>
      </c>
      <c r="F20" s="8">
        <f>IFERROR(F$28/F$31,"n/a")</f>
        <v/>
      </c>
      <c r="G20" s="8">
        <f>IFERROR(G$28/G$31,"n/a")</f>
        <v/>
      </c>
      <c r="H20" s="8">
        <f>IFERROR(H$28/H$31,"n/a")</f>
        <v/>
      </c>
      <c r="I20" s="8">
        <f>IFERROR(I$28/I$31,"n/a")</f>
        <v/>
      </c>
    </row>
    <row r="21"/>
    <row r="22">
      <c r="A22" s="13" t="inlineStr">
        <is>
          <t>II. DỮ LIỆU TRÍCH XUẤT (tự động dò theo tên khoản mục)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5" t="inlineStr">
        <is>
          <t>Khoản mục</t>
        </is>
      </c>
      <c r="B23" s="16">
        <f>balance_sheet!B1</f>
        <v/>
      </c>
      <c r="C23" s="16">
        <f>balance_sheet!C1</f>
        <v/>
      </c>
      <c r="D23" s="16">
        <f>balance_sheet!D1</f>
        <v/>
      </c>
      <c r="E23" s="16">
        <f>balance_sheet!E1</f>
        <v/>
      </c>
      <c r="F23" s="16">
        <f>balance_sheet!F1</f>
        <v/>
      </c>
      <c r="G23" s="16">
        <f>balance_sheet!G1</f>
        <v/>
      </c>
      <c r="H23" s="16">
        <f>balance_sheet!H1</f>
        <v/>
      </c>
      <c r="I23" s="16">
        <f>balance_sheet!I1</f>
        <v/>
      </c>
    </row>
    <row r="24">
      <c r="A24" s="15" t="inlineStr">
        <is>
          <t>CĐKT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5" t="inlineStr">
        <is>
          <t>Tài sản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7" t="inlineStr">
        <is>
          <t>Tiền và tương đương tiền</t>
        </is>
      </c>
      <c r="B26" s="18">
        <f>IFERROR(INDEX(balance_sheet!$B:$I,MATCH("Tiền và tương đương tiền",balance_sheet!$A:$A,0),MATCH(B$23,balance_sheet!$B$1:$I$1,0)),"")</f>
        <v/>
      </c>
      <c r="C26" s="18">
        <f>IFERROR(INDEX(balance_sheet!$B:$I,MATCH("Tiền và tương đương tiền",balance_sheet!$A:$A,0),MATCH(C$23,balance_sheet!$B$1:$I$1,0)),"")</f>
        <v/>
      </c>
      <c r="D26" s="18">
        <f>IFERROR(INDEX(balance_sheet!$B:$I,MATCH("Tiền và tương đương tiền",balance_sheet!$A:$A,0),MATCH(D$23,balance_sheet!$B$1:$I$1,0)),"")</f>
        <v/>
      </c>
      <c r="E26" s="18">
        <f>IFERROR(INDEX(balance_sheet!$B:$I,MATCH("Tiền và tương đương tiền",balance_sheet!$A:$A,0),MATCH(E$23,balance_sheet!$B$1:$I$1,0)),"")</f>
        <v/>
      </c>
      <c r="F26" s="18">
        <f>IFERROR(INDEX(balance_sheet!$B:$I,MATCH("Tiền và tương đương tiền",balance_sheet!$A:$A,0),MATCH(F$23,balance_sheet!$B$1:$I$1,0)),"")</f>
        <v/>
      </c>
      <c r="G26" s="18">
        <f>IFERROR(INDEX(balance_sheet!$B:$I,MATCH("Tiền và tương đương tiền",balance_sheet!$A:$A,0),MATCH(G$23,balance_sheet!$B$1:$I$1,0)),"")</f>
        <v/>
      </c>
      <c r="H26" s="18">
        <f>IFERROR(INDEX(balance_sheet!$B:$I,MATCH("Tiền và tương đương tiền",balance_sheet!$A:$A,0),MATCH(H$23,balance_sheet!$B$1:$I$1,0)),"")</f>
        <v/>
      </c>
      <c r="I26" s="18">
        <f>IFERROR(INDEX(balance_sheet!$B:$I,MATCH("Tiền và tương đương tiền",balance_sheet!$A:$A,0),MATCH(I$23,balance_sheet!$B$1:$I$1,0)),"")</f>
        <v/>
      </c>
    </row>
    <row r="27">
      <c r="A27" s="17" t="inlineStr">
        <is>
          <t>Phải thu khách hàng</t>
        </is>
      </c>
      <c r="B27" s="18">
        <f>IFERROR(INDEX(balance_sheet!$B:$I,MATCH("Phải thu khách hàng",balance_sheet!$A:$A,0),MATCH(B$23,balance_sheet!$B$1:$I$1,0)),"")</f>
        <v/>
      </c>
      <c r="C27" s="18">
        <f>IFERROR(INDEX(balance_sheet!$B:$I,MATCH("Phải thu khách hàng",balance_sheet!$A:$A,0),MATCH(C$23,balance_sheet!$B$1:$I$1,0)),"")</f>
        <v/>
      </c>
      <c r="D27" s="18">
        <f>IFERROR(INDEX(balance_sheet!$B:$I,MATCH("Phải thu khách hàng",balance_sheet!$A:$A,0),MATCH(D$23,balance_sheet!$B$1:$I$1,0)),"")</f>
        <v/>
      </c>
      <c r="E27" s="18">
        <f>IFERROR(INDEX(balance_sheet!$B:$I,MATCH("Phải thu khách hàng",balance_sheet!$A:$A,0),MATCH(E$23,balance_sheet!$B$1:$I$1,0)),"")</f>
        <v/>
      </c>
      <c r="F27" s="18">
        <f>IFERROR(INDEX(balance_sheet!$B:$I,MATCH("Phải thu khách hàng",balance_sheet!$A:$A,0),MATCH(F$23,balance_sheet!$B$1:$I$1,0)),"")</f>
        <v/>
      </c>
      <c r="G27" s="18">
        <f>IFERROR(INDEX(balance_sheet!$B:$I,MATCH("Phải thu khách hàng",balance_sheet!$A:$A,0),MATCH(G$23,balance_sheet!$B$1:$I$1,0)),"")</f>
        <v/>
      </c>
      <c r="H27" s="18">
        <f>IFERROR(INDEX(balance_sheet!$B:$I,MATCH("Phải thu khách hàng",balance_sheet!$A:$A,0),MATCH(H$23,balance_sheet!$B$1:$I$1,0)),"")</f>
        <v/>
      </c>
      <c r="I27" s="18">
        <f>IFERROR(INDEX(balance_sheet!$B:$I,MATCH("Phải thu khách hàng",balance_sheet!$A:$A,0),MATCH(I$23,balance_sheet!$B$1:$I$1,0)),"")</f>
        <v/>
      </c>
    </row>
    <row r="28">
      <c r="A28" s="17" t="inlineStr">
        <is>
          <t>Hàng tồn kho, ròng</t>
        </is>
      </c>
      <c r="B28" s="18">
        <f>IFERROR(INDEX(balance_sheet!$B:$I,MATCH("Hàng tồn kho, ròng",balance_sheet!$A:$A,0),MATCH(B$23,balance_sheet!$B$1:$I$1,0)),"")</f>
        <v/>
      </c>
      <c r="C28" s="18">
        <f>IFERROR(INDEX(balance_sheet!$B:$I,MATCH("Hàng tồn kho, ròng",balance_sheet!$A:$A,0),MATCH(C$23,balance_sheet!$B$1:$I$1,0)),"")</f>
        <v/>
      </c>
      <c r="D28" s="18">
        <f>IFERROR(INDEX(balance_sheet!$B:$I,MATCH("Hàng tồn kho, ròng",balance_sheet!$A:$A,0),MATCH(D$23,balance_sheet!$B$1:$I$1,0)),"")</f>
        <v/>
      </c>
      <c r="E28" s="18">
        <f>IFERROR(INDEX(balance_sheet!$B:$I,MATCH("Hàng tồn kho, ròng",balance_sheet!$A:$A,0),MATCH(E$23,balance_sheet!$B$1:$I$1,0)),"")</f>
        <v/>
      </c>
      <c r="F28" s="18">
        <f>IFERROR(INDEX(balance_sheet!$B:$I,MATCH("Hàng tồn kho, ròng",balance_sheet!$A:$A,0),MATCH(F$23,balance_sheet!$B$1:$I$1,0)),"")</f>
        <v/>
      </c>
      <c r="G28" s="18">
        <f>IFERROR(INDEX(balance_sheet!$B:$I,MATCH("Hàng tồn kho, ròng",balance_sheet!$A:$A,0),MATCH(G$23,balance_sheet!$B$1:$I$1,0)),"")</f>
        <v/>
      </c>
      <c r="H28" s="18">
        <f>IFERROR(INDEX(balance_sheet!$B:$I,MATCH("Hàng tồn kho, ròng",balance_sheet!$A:$A,0),MATCH(H$23,balance_sheet!$B$1:$I$1,0)),"")</f>
        <v/>
      </c>
      <c r="I28" s="18">
        <f>IFERROR(INDEX(balance_sheet!$B:$I,MATCH("Hàng tồn kho, ròng",balance_sheet!$A:$A,0),MATCH(I$23,balance_sheet!$B$1:$I$1,0)),"")</f>
        <v/>
      </c>
    </row>
    <row r="29">
      <c r="A29" s="17" t="inlineStr">
        <is>
          <t>TÀI SẢN NGẮN HẠN</t>
        </is>
      </c>
      <c r="B29" s="18">
        <f>IFERROR(INDEX(balance_sheet!$B:$I,MATCH("TÀI SẢN NGẮN HẠN",balance_sheet!$A:$A,0),MATCH(B$23,balance_sheet!$B$1:$I$1,0)),"")</f>
        <v/>
      </c>
      <c r="C29" s="18">
        <f>IFERROR(INDEX(balance_sheet!$B:$I,MATCH("TÀI SẢN NGẮN HẠN",balance_sheet!$A:$A,0),MATCH(C$23,balance_sheet!$B$1:$I$1,0)),"")</f>
        <v/>
      </c>
      <c r="D29" s="18">
        <f>IFERROR(INDEX(balance_sheet!$B:$I,MATCH("TÀI SẢN NGẮN HẠN",balance_sheet!$A:$A,0),MATCH(D$23,balance_sheet!$B$1:$I$1,0)),"")</f>
        <v/>
      </c>
      <c r="E29" s="18">
        <f>IFERROR(INDEX(balance_sheet!$B:$I,MATCH("TÀI SẢN NGẮN HẠN",balance_sheet!$A:$A,0),MATCH(E$23,balance_sheet!$B$1:$I$1,0)),"")</f>
        <v/>
      </c>
      <c r="F29" s="18">
        <f>IFERROR(INDEX(balance_sheet!$B:$I,MATCH("TÀI SẢN NGẮN HẠN",balance_sheet!$A:$A,0),MATCH(F$23,balance_sheet!$B$1:$I$1,0)),"")</f>
        <v/>
      </c>
      <c r="G29" s="18">
        <f>IFERROR(INDEX(balance_sheet!$B:$I,MATCH("TÀI SẢN NGẮN HẠN",balance_sheet!$A:$A,0),MATCH(G$23,balance_sheet!$B$1:$I$1,0)),"")</f>
        <v/>
      </c>
      <c r="H29" s="18">
        <f>IFERROR(INDEX(balance_sheet!$B:$I,MATCH("TÀI SẢN NGẮN HẠN",balance_sheet!$A:$A,0),MATCH(H$23,balance_sheet!$B$1:$I$1,0)),"")</f>
        <v/>
      </c>
      <c r="I29" s="18">
        <f>IFERROR(INDEX(balance_sheet!$B:$I,MATCH("TÀI SẢN NGẮN HẠN",balance_sheet!$A:$A,0),MATCH(I$23,balance_sheet!$B$1:$I$1,0)),"")</f>
        <v/>
      </c>
    </row>
    <row r="30">
      <c r="A30" s="17" t="inlineStr">
        <is>
          <t>GTCL tài sản cố định vô hình</t>
        </is>
      </c>
      <c r="B30" s="18">
        <f>IFERROR(INDEX(balance_sheet!$B:$I,MATCH("GTCL tài sản cố định vô hình",balance_sheet!$A:$A,0),MATCH(B$23,balance_sheet!$B$1:$I$1,0)),"")</f>
        <v/>
      </c>
      <c r="C30" s="18">
        <f>IFERROR(INDEX(balance_sheet!$B:$I,MATCH("GTCL tài sản cố định vô hình",balance_sheet!$A:$A,0),MATCH(C$23,balance_sheet!$B$1:$I$1,0)),"")</f>
        <v/>
      </c>
      <c r="D30" s="18">
        <f>IFERROR(INDEX(balance_sheet!$B:$I,MATCH("GTCL tài sản cố định vô hình",balance_sheet!$A:$A,0),MATCH(D$23,balance_sheet!$B$1:$I$1,0)),"")</f>
        <v/>
      </c>
      <c r="E30" s="18">
        <f>IFERROR(INDEX(balance_sheet!$B:$I,MATCH("GTCL tài sản cố định vô hình",balance_sheet!$A:$A,0),MATCH(E$23,balance_sheet!$B$1:$I$1,0)),"")</f>
        <v/>
      </c>
      <c r="F30" s="18">
        <f>IFERROR(INDEX(balance_sheet!$B:$I,MATCH("GTCL tài sản cố định vô hình",balance_sheet!$A:$A,0),MATCH(F$23,balance_sheet!$B$1:$I$1,0)),"")</f>
        <v/>
      </c>
      <c r="G30" s="18">
        <f>IFERROR(INDEX(balance_sheet!$B:$I,MATCH("GTCL tài sản cố định vô hình",balance_sheet!$A:$A,0),MATCH(G$23,balance_sheet!$B$1:$I$1,0)),"")</f>
        <v/>
      </c>
      <c r="H30" s="18">
        <f>IFERROR(INDEX(balance_sheet!$B:$I,MATCH("GTCL tài sản cố định vô hình",balance_sheet!$A:$A,0),MATCH(H$23,balance_sheet!$B$1:$I$1,0)),"")</f>
        <v/>
      </c>
      <c r="I30" s="18">
        <f>IFERROR(INDEX(balance_sheet!$B:$I,MATCH("GTCL tài sản cố định vô hình",balance_sheet!$A:$A,0),MATCH(I$23,balance_sheet!$B$1:$I$1,0)),"")</f>
        <v/>
      </c>
    </row>
    <row r="31">
      <c r="A31" s="17" t="inlineStr">
        <is>
          <t>TỔNG CỘNG TÀI SẢN</t>
        </is>
      </c>
      <c r="B31" s="18">
        <f>IFERROR(INDEX(balance_sheet!$B:$I,MATCH("TỔNG CỘNG TÀI SẢN",balance_sheet!$A:$A,0),MATCH(B$23,balance_sheet!$B$1:$I$1,0)),"")</f>
        <v/>
      </c>
      <c r="C31" s="18">
        <f>IFERROR(INDEX(balance_sheet!$B:$I,MATCH("TỔNG CỘNG TÀI SẢN",balance_sheet!$A:$A,0),MATCH(C$23,balance_sheet!$B$1:$I$1,0)),"")</f>
        <v/>
      </c>
      <c r="D31" s="18">
        <f>IFERROR(INDEX(balance_sheet!$B:$I,MATCH("TỔNG CỘNG TÀI SẢN",balance_sheet!$A:$A,0),MATCH(D$23,balance_sheet!$B$1:$I$1,0)),"")</f>
        <v/>
      </c>
      <c r="E31" s="18">
        <f>IFERROR(INDEX(balance_sheet!$B:$I,MATCH("TỔNG CỘNG TÀI SẢN",balance_sheet!$A:$A,0),MATCH(E$23,balance_sheet!$B$1:$I$1,0)),"")</f>
        <v/>
      </c>
      <c r="F31" s="18">
        <f>IFERROR(INDEX(balance_sheet!$B:$I,MATCH("TỔNG CỘNG TÀI SẢN",balance_sheet!$A:$A,0),MATCH(F$23,balance_sheet!$B$1:$I$1,0)),"")</f>
        <v/>
      </c>
      <c r="G31" s="18">
        <f>IFERROR(INDEX(balance_sheet!$B:$I,MATCH("TỔNG CỘNG TÀI SẢN",balance_sheet!$A:$A,0),MATCH(G$23,balance_sheet!$B$1:$I$1,0)),"")</f>
        <v/>
      </c>
      <c r="H31" s="18">
        <f>IFERROR(INDEX(balance_sheet!$B:$I,MATCH("TỔNG CỘNG TÀI SẢN",balance_sheet!$A:$A,0),MATCH(H$23,balance_sheet!$B$1:$I$1,0)),"")</f>
        <v/>
      </c>
      <c r="I31" s="18">
        <f>IFERROR(INDEX(balance_sheet!$B:$I,MATCH("TỔNG CỘNG TÀI SẢN",balance_sheet!$A:$A,0),MATCH(I$23,balance_sheet!$B$1:$I$1,0)),"")</f>
        <v/>
      </c>
    </row>
    <row r="32">
      <c r="A32" s="15" t="inlineStr">
        <is>
          <t>Nguồn vốn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7" t="inlineStr">
        <is>
          <t>Phải trả người bán</t>
        </is>
      </c>
      <c r="B33" s="18">
        <f>IFERROR(INDEX(balance_sheet!$B:$I,MATCH("Phải trả người bán",balance_sheet!$A:$A,0),MATCH(B$23,balance_sheet!$B$1:$I$1,0)),"")</f>
        <v/>
      </c>
      <c r="C33" s="18">
        <f>IFERROR(INDEX(balance_sheet!$B:$I,MATCH("Phải trả người bán",balance_sheet!$A:$A,0),MATCH(C$23,balance_sheet!$B$1:$I$1,0)),"")</f>
        <v/>
      </c>
      <c r="D33" s="18">
        <f>IFERROR(INDEX(balance_sheet!$B:$I,MATCH("Phải trả người bán",balance_sheet!$A:$A,0),MATCH(D$23,balance_sheet!$B$1:$I$1,0)),"")</f>
        <v/>
      </c>
      <c r="E33" s="18">
        <f>IFERROR(INDEX(balance_sheet!$B:$I,MATCH("Phải trả người bán",balance_sheet!$A:$A,0),MATCH(E$23,balance_sheet!$B$1:$I$1,0)),"")</f>
        <v/>
      </c>
      <c r="F33" s="18">
        <f>IFERROR(INDEX(balance_sheet!$B:$I,MATCH("Phải trả người bán",balance_sheet!$A:$A,0),MATCH(F$23,balance_sheet!$B$1:$I$1,0)),"")</f>
        <v/>
      </c>
      <c r="G33" s="18">
        <f>IFERROR(INDEX(balance_sheet!$B:$I,MATCH("Phải trả người bán",balance_sheet!$A:$A,0),MATCH(G$23,balance_sheet!$B$1:$I$1,0)),"")</f>
        <v/>
      </c>
      <c r="H33" s="18">
        <f>IFERROR(INDEX(balance_sheet!$B:$I,MATCH("Phải trả người bán",balance_sheet!$A:$A,0),MATCH(H$23,balance_sheet!$B$1:$I$1,0)),"")</f>
        <v/>
      </c>
      <c r="I33" s="18">
        <f>IFERROR(INDEX(balance_sheet!$B:$I,MATCH("Phải trả người bán",balance_sheet!$A:$A,0),MATCH(I$23,balance_sheet!$B$1:$I$1,0)),"")</f>
        <v/>
      </c>
    </row>
    <row r="34">
      <c r="A34" s="17" t="inlineStr">
        <is>
          <t>Vay ngắn hạn</t>
        </is>
      </c>
      <c r="B34" s="18">
        <f>IFERROR(INDEX(balance_sheet!$B:$I,MATCH("Vay ngắn hạn",balance_sheet!$A:$A,0),MATCH(B$23,balance_sheet!$B$1:$I$1,0)),"")</f>
        <v/>
      </c>
      <c r="C34" s="18">
        <f>IFERROR(INDEX(balance_sheet!$B:$I,MATCH("Vay ngắn hạn",balance_sheet!$A:$A,0),MATCH(C$23,balance_sheet!$B$1:$I$1,0)),"")</f>
        <v/>
      </c>
      <c r="D34" s="18">
        <f>IFERROR(INDEX(balance_sheet!$B:$I,MATCH("Vay ngắn hạn",balance_sheet!$A:$A,0),MATCH(D$23,balance_sheet!$B$1:$I$1,0)),"")</f>
        <v/>
      </c>
      <c r="E34" s="18">
        <f>IFERROR(INDEX(balance_sheet!$B:$I,MATCH("Vay ngắn hạn",balance_sheet!$A:$A,0),MATCH(E$23,balance_sheet!$B$1:$I$1,0)),"")</f>
        <v/>
      </c>
      <c r="F34" s="18">
        <f>IFERROR(INDEX(balance_sheet!$B:$I,MATCH("Vay ngắn hạn",balance_sheet!$A:$A,0),MATCH(F$23,balance_sheet!$B$1:$I$1,0)),"")</f>
        <v/>
      </c>
      <c r="G34" s="18">
        <f>IFERROR(INDEX(balance_sheet!$B:$I,MATCH("Vay ngắn hạn",balance_sheet!$A:$A,0),MATCH(G$23,balance_sheet!$B$1:$I$1,0)),"")</f>
        <v/>
      </c>
      <c r="H34" s="18">
        <f>IFERROR(INDEX(balance_sheet!$B:$I,MATCH("Vay ngắn hạn",balance_sheet!$A:$A,0),MATCH(H$23,balance_sheet!$B$1:$I$1,0)),"")</f>
        <v/>
      </c>
      <c r="I34" s="18">
        <f>IFERROR(INDEX(balance_sheet!$B:$I,MATCH("Vay ngắn hạn",balance_sheet!$A:$A,0),MATCH(I$23,balance_sheet!$B$1:$I$1,0)),"")</f>
        <v/>
      </c>
    </row>
    <row r="35">
      <c r="A35" s="17" t="inlineStr">
        <is>
          <t>Nợ ngắn hạn</t>
        </is>
      </c>
      <c r="B35" s="18">
        <f>IFERROR(INDEX(balance_sheet!$B:$I,MATCH("Nợ ngắn hạn",balance_sheet!$A:$A,0),MATCH(B$23,balance_sheet!$B$1:$I$1,0)),"")</f>
        <v/>
      </c>
      <c r="C35" s="18">
        <f>IFERROR(INDEX(balance_sheet!$B:$I,MATCH("Nợ ngắn hạn",balance_sheet!$A:$A,0),MATCH(C$23,balance_sheet!$B$1:$I$1,0)),"")</f>
        <v/>
      </c>
      <c r="D35" s="18">
        <f>IFERROR(INDEX(balance_sheet!$B:$I,MATCH("Nợ ngắn hạn",balance_sheet!$A:$A,0),MATCH(D$23,balance_sheet!$B$1:$I$1,0)),"")</f>
        <v/>
      </c>
      <c r="E35" s="18">
        <f>IFERROR(INDEX(balance_sheet!$B:$I,MATCH("Nợ ngắn hạn",balance_sheet!$A:$A,0),MATCH(E$23,balance_sheet!$B$1:$I$1,0)),"")</f>
        <v/>
      </c>
      <c r="F35" s="18">
        <f>IFERROR(INDEX(balance_sheet!$B:$I,MATCH("Nợ ngắn hạn",balance_sheet!$A:$A,0),MATCH(F$23,balance_sheet!$B$1:$I$1,0)),"")</f>
        <v/>
      </c>
      <c r="G35" s="18">
        <f>IFERROR(INDEX(balance_sheet!$B:$I,MATCH("Nợ ngắn hạn",balance_sheet!$A:$A,0),MATCH(G$23,balance_sheet!$B$1:$I$1,0)),"")</f>
        <v/>
      </c>
      <c r="H35" s="18">
        <f>IFERROR(INDEX(balance_sheet!$B:$I,MATCH("Nợ ngắn hạn",balance_sheet!$A:$A,0),MATCH(H$23,balance_sheet!$B$1:$I$1,0)),"")</f>
        <v/>
      </c>
      <c r="I35" s="18">
        <f>IFERROR(INDEX(balance_sheet!$B:$I,MATCH("Nợ ngắn hạn",balance_sheet!$A:$A,0),MATCH(I$23,balance_sheet!$B$1:$I$1,0)),"")</f>
        <v/>
      </c>
    </row>
    <row r="36">
      <c r="A36" s="17" t="inlineStr">
        <is>
          <t>Vay dài hạn</t>
        </is>
      </c>
      <c r="B36" s="18">
        <f>IFERROR(INDEX(balance_sheet!$B:$I,MATCH("Vay dài hạn",balance_sheet!$A:$A,0),MATCH(B$23,balance_sheet!$B$1:$I$1,0)),"")</f>
        <v/>
      </c>
      <c r="C36" s="18">
        <f>IFERROR(INDEX(balance_sheet!$B:$I,MATCH("Vay dài hạn",balance_sheet!$A:$A,0),MATCH(C$23,balance_sheet!$B$1:$I$1,0)),"")</f>
        <v/>
      </c>
      <c r="D36" s="18">
        <f>IFERROR(INDEX(balance_sheet!$B:$I,MATCH("Vay dài hạn",balance_sheet!$A:$A,0),MATCH(D$23,balance_sheet!$B$1:$I$1,0)),"")</f>
        <v/>
      </c>
      <c r="E36" s="18">
        <f>IFERROR(INDEX(balance_sheet!$B:$I,MATCH("Vay dài hạn",balance_sheet!$A:$A,0),MATCH(E$23,balance_sheet!$B$1:$I$1,0)),"")</f>
        <v/>
      </c>
      <c r="F36" s="18">
        <f>IFERROR(INDEX(balance_sheet!$B:$I,MATCH("Vay dài hạn",balance_sheet!$A:$A,0),MATCH(F$23,balance_sheet!$B$1:$I$1,0)),"")</f>
        <v/>
      </c>
      <c r="G36" s="18">
        <f>IFERROR(INDEX(balance_sheet!$B:$I,MATCH("Vay dài hạn",balance_sheet!$A:$A,0),MATCH(G$23,balance_sheet!$B$1:$I$1,0)),"")</f>
        <v/>
      </c>
      <c r="H36" s="18">
        <f>IFERROR(INDEX(balance_sheet!$B:$I,MATCH("Vay dài hạn",balance_sheet!$A:$A,0),MATCH(H$23,balance_sheet!$B$1:$I$1,0)),"")</f>
        <v/>
      </c>
      <c r="I36" s="18">
        <f>IFERROR(INDEX(balance_sheet!$B:$I,MATCH("Vay dài hạn",balance_sheet!$A:$A,0),MATCH(I$23,balance_sheet!$B$1:$I$1,0)),"")</f>
        <v/>
      </c>
    </row>
    <row r="37">
      <c r="A37" s="17" t="inlineStr">
        <is>
          <t>Nợ dài hạn</t>
        </is>
      </c>
      <c r="B37" s="18">
        <f>IFERROR(INDEX(balance_sheet!$B:$I,MATCH("Nợ dài hạn",balance_sheet!$A:$A,0),MATCH(B$23,balance_sheet!$B$1:$I$1,0)),"")</f>
        <v/>
      </c>
      <c r="C37" s="18">
        <f>IFERROR(INDEX(balance_sheet!$B:$I,MATCH("Nợ dài hạn",balance_sheet!$A:$A,0),MATCH(C$23,balance_sheet!$B$1:$I$1,0)),"")</f>
        <v/>
      </c>
      <c r="D37" s="18">
        <f>IFERROR(INDEX(balance_sheet!$B:$I,MATCH("Nợ dài hạn",balance_sheet!$A:$A,0),MATCH(D$23,balance_sheet!$B$1:$I$1,0)),"")</f>
        <v/>
      </c>
      <c r="E37" s="18">
        <f>IFERROR(INDEX(balance_sheet!$B:$I,MATCH("Nợ dài hạn",balance_sheet!$A:$A,0),MATCH(E$23,balance_sheet!$B$1:$I$1,0)),"")</f>
        <v/>
      </c>
      <c r="F37" s="18">
        <f>IFERROR(INDEX(balance_sheet!$B:$I,MATCH("Nợ dài hạn",balance_sheet!$A:$A,0),MATCH(F$23,balance_sheet!$B$1:$I$1,0)),"")</f>
        <v/>
      </c>
      <c r="G37" s="18">
        <f>IFERROR(INDEX(balance_sheet!$B:$I,MATCH("Nợ dài hạn",balance_sheet!$A:$A,0),MATCH(G$23,balance_sheet!$B$1:$I$1,0)),"")</f>
        <v/>
      </c>
      <c r="H37" s="18">
        <f>IFERROR(INDEX(balance_sheet!$B:$I,MATCH("Nợ dài hạn",balance_sheet!$A:$A,0),MATCH(H$23,balance_sheet!$B$1:$I$1,0)),"")</f>
        <v/>
      </c>
      <c r="I37" s="18">
        <f>IFERROR(INDEX(balance_sheet!$B:$I,MATCH("Nợ dài hạn",balance_sheet!$A:$A,0),MATCH(I$23,balance_sheet!$B$1:$I$1,0)),"")</f>
        <v/>
      </c>
    </row>
    <row r="38">
      <c r="A38" s="17" t="inlineStr">
        <is>
          <t>NỢ PHẢI TRẢ</t>
        </is>
      </c>
      <c r="B38" s="18">
        <f>IFERROR(INDEX(balance_sheet!$B:$I,MATCH("NỢ PHẢI TRẢ",balance_sheet!$A:$A,0),MATCH(B$23,balance_sheet!$B$1:$I$1,0)),"")</f>
        <v/>
      </c>
      <c r="C38" s="18">
        <f>IFERROR(INDEX(balance_sheet!$B:$I,MATCH("NỢ PHẢI TRẢ",balance_sheet!$A:$A,0),MATCH(C$23,balance_sheet!$B$1:$I$1,0)),"")</f>
        <v/>
      </c>
      <c r="D38" s="18">
        <f>IFERROR(INDEX(balance_sheet!$B:$I,MATCH("NỢ PHẢI TRẢ",balance_sheet!$A:$A,0),MATCH(D$23,balance_sheet!$B$1:$I$1,0)),"")</f>
        <v/>
      </c>
      <c r="E38" s="18">
        <f>IFERROR(INDEX(balance_sheet!$B:$I,MATCH("NỢ PHẢI TRẢ",balance_sheet!$A:$A,0),MATCH(E$23,balance_sheet!$B$1:$I$1,0)),"")</f>
        <v/>
      </c>
      <c r="F38" s="18">
        <f>IFERROR(INDEX(balance_sheet!$B:$I,MATCH("NỢ PHẢI TRẢ",balance_sheet!$A:$A,0),MATCH(F$23,balance_sheet!$B$1:$I$1,0)),"")</f>
        <v/>
      </c>
      <c r="G38" s="18">
        <f>IFERROR(INDEX(balance_sheet!$B:$I,MATCH("NỢ PHẢI TRẢ",balance_sheet!$A:$A,0),MATCH(G$23,balance_sheet!$B$1:$I$1,0)),"")</f>
        <v/>
      </c>
      <c r="H38" s="18">
        <f>IFERROR(INDEX(balance_sheet!$B:$I,MATCH("NỢ PHẢI TRẢ",balance_sheet!$A:$A,0),MATCH(H$23,balance_sheet!$B$1:$I$1,0)),"")</f>
        <v/>
      </c>
      <c r="I38" s="18">
        <f>IFERROR(INDEX(balance_sheet!$B:$I,MATCH("NỢ PHẢI TRẢ",balance_sheet!$A:$A,0),MATCH(I$23,balance_sheet!$B$1:$I$1,0)),"")</f>
        <v/>
      </c>
    </row>
    <row r="39" ht="15" customHeight="1">
      <c r="A39" s="15" t="inlineStr">
        <is>
          <t>Vốn chủ sở hữu</t>
        </is>
      </c>
      <c r="B39" s="19">
        <f>IFERROR(INDEX(balance_sheet!$B:$I,MATCH("Vốn chủ sở hữu",balance_sheet!$A:$A,0),MATCH(B$23,balance_sheet!$B$1:$I$1,0)),"")</f>
        <v/>
      </c>
      <c r="C39" s="19">
        <f>IFERROR(INDEX(balance_sheet!$B:$I,MATCH("Vốn chủ sở hữu",balance_sheet!$A:$A,0),MATCH(C$23,balance_sheet!$B$1:$I$1,0)),"")</f>
        <v/>
      </c>
      <c r="D39" s="19">
        <f>IFERROR(INDEX(balance_sheet!$B:$I,MATCH("Vốn chủ sở hữu",balance_sheet!$A:$A,0),MATCH(D$23,balance_sheet!$B$1:$I$1,0)),"")</f>
        <v/>
      </c>
      <c r="E39" s="19">
        <f>IFERROR(INDEX(balance_sheet!$B:$I,MATCH("Vốn chủ sở hữu",balance_sheet!$A:$A,0),MATCH(E$23,balance_sheet!$B$1:$I$1,0)),"")</f>
        <v/>
      </c>
      <c r="F39" s="19">
        <f>IFERROR(INDEX(balance_sheet!$B:$I,MATCH("Vốn chủ sở hữu",balance_sheet!$A:$A,0),MATCH(F$23,balance_sheet!$B$1:$I$1,0)),"")</f>
        <v/>
      </c>
      <c r="G39" s="19">
        <f>IFERROR(INDEX(balance_sheet!$B:$I,MATCH("Vốn chủ sở hữu",balance_sheet!$A:$A,0),MATCH(G$23,balance_sheet!$B$1:$I$1,0)),"")</f>
        <v/>
      </c>
      <c r="H39" s="19">
        <f>IFERROR(INDEX(balance_sheet!$B:$I,MATCH("Vốn chủ sở hữu",balance_sheet!$A:$A,0),MATCH(H$23,balance_sheet!$B$1:$I$1,0)),"")</f>
        <v/>
      </c>
      <c r="I39" s="19">
        <f>IFERROR(INDEX(balance_sheet!$B:$I,MATCH("Vốn chủ sở hữu",balance_sheet!$A:$A,0),MATCH(I$23,balance_sheet!$B$1:$I$1,0)),"")</f>
        <v/>
      </c>
      <c r="J39" s="19">
        <f>I39+0.95*J51</f>
        <v/>
      </c>
    </row>
    <row r="40" ht="15" customHeight="1">
      <c r="A40" s="20" t="inlineStr">
        <is>
          <t>Tăng VCSH/LN cổ đông cty mẹ</t>
        </is>
      </c>
      <c r="B40" s="21" t="n"/>
      <c r="C40" s="22">
        <f>(C39-B39)/C51</f>
        <v/>
      </c>
      <c r="D40" s="22">
        <f>(D39-C39)/D51</f>
        <v/>
      </c>
      <c r="E40" s="22">
        <f>(E39-D39)/E51</f>
        <v/>
      </c>
      <c r="F40" s="22">
        <f>(F39-E39)/F51</f>
        <v/>
      </c>
      <c r="G40" s="22">
        <f>(G39-F39)/G51</f>
        <v/>
      </c>
      <c r="H40" s="22">
        <f>(H39-G39)/H51</f>
        <v/>
      </c>
      <c r="I40" s="22">
        <f>(I39-H39)/I51</f>
        <v/>
      </c>
      <c r="J40" s="23" t="n"/>
    </row>
    <row r="41" ht="15" customHeight="1">
      <c r="A41" s="15" t="inlineStr">
        <is>
          <t>Lợi ích cổ đông không kiểm soát</t>
        </is>
      </c>
      <c r="B41" s="19">
        <f>IFERROR(INDEX(balance_sheet!$B:$I,MATCH("Lợi ích cổ đông không kiểm soát",balance_sheet!$A:$A,0),MATCH(B$23,balance_sheet!$B$1:$I$1,0)),"")</f>
        <v/>
      </c>
      <c r="C41" s="19">
        <f>IFERROR(INDEX(balance_sheet!$B:$I,MATCH("Lợi ích cổ đông không kiểm soát",balance_sheet!$A:$A,0),MATCH(C$23,balance_sheet!$B$1:$I$1,0)),"")</f>
        <v/>
      </c>
      <c r="D41" s="19">
        <f>IFERROR(INDEX(balance_sheet!$B:$I,MATCH("Lợi ích cổ đông không kiểm soát",balance_sheet!$A:$A,0),MATCH(D$23,balance_sheet!$B$1:$I$1,0)),"")</f>
        <v/>
      </c>
      <c r="E41" s="19">
        <f>IFERROR(INDEX(balance_sheet!$B:$I,MATCH("Lợi ích cổ đông không kiểm soát",balance_sheet!$A:$A,0),MATCH(E$23,balance_sheet!$B$1:$I$1,0)),"")</f>
        <v/>
      </c>
      <c r="F41" s="19">
        <f>IFERROR(INDEX(balance_sheet!$B:$I,MATCH("Lợi ích cổ đông không kiểm soát",balance_sheet!$A:$A,0),MATCH(F$23,balance_sheet!$B$1:$I$1,0)),"")</f>
        <v/>
      </c>
      <c r="G41" s="19">
        <f>IFERROR(INDEX(balance_sheet!$B:$I,MATCH("Lợi ích cổ đông không kiểm soát",balance_sheet!$A:$A,0),MATCH(G$23,balance_sheet!$B$1:$I$1,0)),"")</f>
        <v/>
      </c>
      <c r="H41" s="19">
        <f>IFERROR(INDEX(balance_sheet!$B:$I,MATCH("Lợi ích cổ đông không kiểm soát",balance_sheet!$A:$A,0),MATCH(H$23,balance_sheet!$B$1:$I$1,0)),"")</f>
        <v/>
      </c>
      <c r="I41" s="19">
        <f>IFERROR(INDEX(balance_sheet!$B:$I,MATCH("Lợi ích cổ đông không kiểm soát",balance_sheet!$A:$A,0),MATCH(I$23,balance_sheet!$B$1:$I$1,0)),"")</f>
        <v/>
      </c>
      <c r="J41" s="24" t="n"/>
    </row>
    <row r="42">
      <c r="A42" s="25" t="inlineStr">
        <is>
          <t>Kết quả hoạt động kinh doanh</t>
        </is>
      </c>
    </row>
    <row r="43" ht="15" customHeight="1">
      <c r="A43" s="15" t="inlineStr">
        <is>
          <t>Doanh thu thuần</t>
        </is>
      </c>
      <c r="B43" s="19">
        <f>IFERROR(INDEX(income_statement!$B:$I,MATCH("Doanh thu thuần",income_statement!$A:$A,0),MATCH(B$23,income_statement!$B$1:$I$1,0)),"")</f>
        <v/>
      </c>
      <c r="C43" s="19">
        <f>IFERROR(INDEX(income_statement!$B:$I,MATCH("Doanh thu thuần",income_statement!$A:$A,0),MATCH(C$23,income_statement!$B$1:$I$1,0)),"")</f>
        <v/>
      </c>
      <c r="D43" s="19">
        <f>IFERROR(INDEX(income_statement!$B:$I,MATCH("Doanh thu thuần",income_statement!$A:$A,0),MATCH(D$23,income_statement!$B$1:$I$1,0)),"")</f>
        <v/>
      </c>
      <c r="E43" s="19">
        <f>IFERROR(INDEX(income_statement!$B:$I,MATCH("Doanh thu thuần",income_statement!$A:$A,0),MATCH(E$23,income_statement!$B$1:$I$1,0)),"")</f>
        <v/>
      </c>
      <c r="F43" s="19">
        <f>IFERROR(INDEX(income_statement!$B:$I,MATCH("Doanh thu thuần",income_statement!$A:$A,0),MATCH(F$23,income_statement!$B$1:$I$1,0)),"")</f>
        <v/>
      </c>
      <c r="G43" s="19">
        <f>IFERROR(INDEX(income_statement!$B:$I,MATCH("Doanh thu thuần",income_statement!$A:$A,0),MATCH(G$23,income_statement!$B$1:$I$1,0)),"")</f>
        <v/>
      </c>
      <c r="H43" s="19">
        <f>IFERROR(INDEX(income_statement!$B:$I,MATCH("Doanh thu thuần",income_statement!$A:$A,0),MATCH(H$23,income_statement!$B$1:$I$1,0)),"")</f>
        <v/>
      </c>
      <c r="I43" s="19">
        <f>IFERROR(INDEX(income_statement!$B:$I,MATCH("Doanh thu thuần",income_statement!$A:$A,0),MATCH(I$23,income_statement!$B$1:$I$1,0)),"")</f>
        <v/>
      </c>
      <c r="J43" s="19" t="n">
        <v>210000000000000</v>
      </c>
    </row>
    <row r="44">
      <c r="A44" s="17" t="inlineStr">
        <is>
          <t>Giá vốn hàng bán</t>
        </is>
      </c>
      <c r="B44" s="18">
        <f>IFERROR(INDEX(income_statement!$B:$I,MATCH("Giá vốn hàng bán",income_statement!$A:$A,0),MATCH(B$23,income_statement!$B$1:$I$1,0)),"")</f>
        <v/>
      </c>
      <c r="C44" s="18">
        <f>IFERROR(INDEX(income_statement!$B:$I,MATCH("Giá vốn hàng bán",income_statement!$A:$A,0),MATCH(C$23,income_statement!$B$1:$I$1,0)),"")</f>
        <v/>
      </c>
      <c r="D44" s="18">
        <f>IFERROR(INDEX(income_statement!$B:$I,MATCH("Giá vốn hàng bán",income_statement!$A:$A,0),MATCH(D$23,income_statement!$B$1:$I$1,0)),"")</f>
        <v/>
      </c>
      <c r="E44" s="18">
        <f>IFERROR(INDEX(income_statement!$B:$I,MATCH("Giá vốn hàng bán",income_statement!$A:$A,0),MATCH(E$23,income_statement!$B$1:$I$1,0)),"")</f>
        <v/>
      </c>
      <c r="F44" s="18">
        <f>IFERROR(INDEX(income_statement!$B:$I,MATCH("Giá vốn hàng bán",income_statement!$A:$A,0),MATCH(F$23,income_statement!$B$1:$I$1,0)),"")</f>
        <v/>
      </c>
      <c r="G44" s="18">
        <f>IFERROR(INDEX(income_statement!$B:$I,MATCH("Giá vốn hàng bán",income_statement!$A:$A,0),MATCH(G$23,income_statement!$B$1:$I$1,0)),"")</f>
        <v/>
      </c>
      <c r="H44" s="18">
        <f>IFERROR(INDEX(income_statement!$B:$I,MATCH("Giá vốn hàng bán",income_statement!$A:$A,0),MATCH(H$23,income_statement!$B$1:$I$1,0)),"")</f>
        <v/>
      </c>
      <c r="I44" s="18">
        <f>IFERROR(INDEX(income_statement!$B:$I,MATCH("Giá vốn hàng bán",income_statement!$A:$A,0),MATCH(I$23,income_statement!$B$1:$I$1,0)),"")</f>
        <v/>
      </c>
    </row>
    <row r="45" ht="15" customHeight="1">
      <c r="A45" s="15" t="inlineStr">
        <is>
          <t>Lợi nhuận gộp</t>
        </is>
      </c>
      <c r="B45" s="19">
        <f>IFERROR(INDEX(income_statement!$B:$I,MATCH("Lợi nhuận gộp",income_statement!$A:$A,0),MATCH(B$23,income_statement!$B$1:$I$1,0)),"")</f>
        <v/>
      </c>
      <c r="C45" s="19">
        <f>IFERROR(INDEX(income_statement!$B:$I,MATCH("Lợi nhuận gộp",income_statement!$A:$A,0),MATCH(C$23,income_statement!$B$1:$I$1,0)),"")</f>
        <v/>
      </c>
      <c r="D45" s="19">
        <f>IFERROR(INDEX(income_statement!$B:$I,MATCH("Lợi nhuận gộp",income_statement!$A:$A,0),MATCH(D$23,income_statement!$B$1:$I$1,0)),"")</f>
        <v/>
      </c>
      <c r="E45" s="19">
        <f>IFERROR(INDEX(income_statement!$B:$I,MATCH("Lợi nhuận gộp",income_statement!$A:$A,0),MATCH(E$23,income_statement!$B$1:$I$1,0)),"")</f>
        <v/>
      </c>
      <c r="F45" s="19">
        <f>IFERROR(INDEX(income_statement!$B:$I,MATCH("Lợi nhuận gộp",income_statement!$A:$A,0),MATCH(F$23,income_statement!$B$1:$I$1,0)),"")</f>
        <v/>
      </c>
      <c r="G45" s="19">
        <f>IFERROR(INDEX(income_statement!$B:$I,MATCH("Lợi nhuận gộp",income_statement!$A:$A,0),MATCH(G$23,income_statement!$B$1:$I$1,0)),"")</f>
        <v/>
      </c>
      <c r="H45" s="19">
        <f>IFERROR(INDEX(income_statement!$B:$I,MATCH("Lợi nhuận gộp",income_statement!$A:$A,0),MATCH(H$23,income_statement!$B$1:$I$1,0)),"")</f>
        <v/>
      </c>
      <c r="I45" s="19">
        <f>IFERROR(INDEX(income_statement!$B:$I,MATCH("Lợi nhuận gộp",income_statement!$A:$A,0),MATCH(I$23,income_statement!$B$1:$I$1,0)),"")</f>
        <v/>
      </c>
    </row>
    <row r="46">
      <c r="A46" s="17" t="inlineStr">
        <is>
          <t>Chi phí bán hàng</t>
        </is>
      </c>
      <c r="B46" s="18">
        <f>IFERROR(INDEX(income_statement!$B:$I,MATCH("Chi phí bán hàng",income_statement!$A:$A,0),MATCH(B$23,income_statement!$B$1:$I$1,0)),"")</f>
        <v/>
      </c>
      <c r="C46" s="18">
        <f>IFERROR(INDEX(income_statement!$B:$I,MATCH("Chi phí bán hàng",income_statement!$A:$A,0),MATCH(C$23,income_statement!$B$1:$I$1,0)),"")</f>
        <v/>
      </c>
      <c r="D46" s="18">
        <f>IFERROR(INDEX(income_statement!$B:$I,MATCH("Chi phí bán hàng",income_statement!$A:$A,0),MATCH(D$23,income_statement!$B$1:$I$1,0)),"")</f>
        <v/>
      </c>
      <c r="E46" s="18">
        <f>IFERROR(INDEX(income_statement!$B:$I,MATCH("Chi phí bán hàng",income_statement!$A:$A,0),MATCH(E$23,income_statement!$B$1:$I$1,0)),"")</f>
        <v/>
      </c>
      <c r="F46" s="18">
        <f>IFERROR(INDEX(income_statement!$B:$I,MATCH("Chi phí bán hàng",income_statement!$A:$A,0),MATCH(F$23,income_statement!$B$1:$I$1,0)),"")</f>
        <v/>
      </c>
      <c r="G46" s="18">
        <f>IFERROR(INDEX(income_statement!$B:$I,MATCH("Chi phí bán hàng",income_statement!$A:$A,0),MATCH(G$23,income_statement!$B$1:$I$1,0)),"")</f>
        <v/>
      </c>
      <c r="H46" s="18">
        <f>IFERROR(INDEX(income_statement!$B:$I,MATCH("Chi phí bán hàng",income_statement!$A:$A,0),MATCH(H$23,income_statement!$B$1:$I$1,0)),"")</f>
        <v/>
      </c>
      <c r="I46" s="18">
        <f>IFERROR(INDEX(income_statement!$B:$I,MATCH("Chi phí bán hàng",income_statement!$A:$A,0),MATCH(I$23,income_statement!$B$1:$I$1,0)),"")</f>
        <v/>
      </c>
    </row>
    <row r="47">
      <c r="A47" s="17" t="inlineStr">
        <is>
          <t>Chi phí quản lý doanh nghiệp</t>
        </is>
      </c>
      <c r="B47" s="18">
        <f>IFERROR(INDEX(income_statement!$B:$I,MATCH("Chi phí quản lý doanh nghiệp",income_statement!$A:$A,0),MATCH(B$23,income_statement!$B$1:$I$1,0)),"")</f>
        <v/>
      </c>
      <c r="C47" s="18">
        <f>IFERROR(INDEX(income_statement!$B:$I,MATCH("Chi phí quản lý doanh nghiệp",income_statement!$A:$A,0),MATCH(C$23,income_statement!$B$1:$I$1,0)),"")</f>
        <v/>
      </c>
      <c r="D47" s="18">
        <f>IFERROR(INDEX(income_statement!$B:$I,MATCH("Chi phí quản lý doanh nghiệp",income_statement!$A:$A,0),MATCH(D$23,income_statement!$B$1:$I$1,0)),"")</f>
        <v/>
      </c>
      <c r="E47" s="18">
        <f>IFERROR(INDEX(income_statement!$B:$I,MATCH("Chi phí quản lý doanh nghiệp",income_statement!$A:$A,0),MATCH(E$23,income_statement!$B$1:$I$1,0)),"")</f>
        <v/>
      </c>
      <c r="F47" s="18">
        <f>IFERROR(INDEX(income_statement!$B:$I,MATCH("Chi phí quản lý doanh nghiệp",income_statement!$A:$A,0),MATCH(F$23,income_statement!$B$1:$I$1,0)),"")</f>
        <v/>
      </c>
      <c r="G47" s="18">
        <f>IFERROR(INDEX(income_statement!$B:$I,MATCH("Chi phí quản lý doanh nghiệp",income_statement!$A:$A,0),MATCH(G$23,income_statement!$B$1:$I$1,0)),"")</f>
        <v/>
      </c>
      <c r="H47" s="18">
        <f>IFERROR(INDEX(income_statement!$B:$I,MATCH("Chi phí quản lý doanh nghiệp",income_statement!$A:$A,0),MATCH(H$23,income_statement!$B$1:$I$1,0)),"")</f>
        <v/>
      </c>
      <c r="I47" s="18">
        <f>IFERROR(INDEX(income_statement!$B:$I,MATCH("Chi phí quản lý doanh nghiệp",income_statement!$A:$A,0),MATCH(I$23,income_statement!$B$1:$I$1,0)),"")</f>
        <v/>
      </c>
    </row>
    <row r="48">
      <c r="A48" s="17" t="inlineStr">
        <is>
          <t>Lãi/(lỗ) từ hoạt động kinh doanh</t>
        </is>
      </c>
      <c r="B48" s="18">
        <f>IFERROR(INDEX(income_statement!$B:$I,MATCH("Lãi/(lỗ) từ hoạt động kinh doanh",income_statement!$A:$A,0),MATCH(B$23,income_statement!$B$1:$I$1,0)),"")</f>
        <v/>
      </c>
      <c r="C48" s="18">
        <f>IFERROR(INDEX(income_statement!$B:$I,MATCH("Lãi/(lỗ) từ hoạt động kinh doanh",income_statement!$A:$A,0),MATCH(C$23,income_statement!$B$1:$I$1,0)),"")</f>
        <v/>
      </c>
      <c r="D48" s="18">
        <f>IFERROR(INDEX(income_statement!$B:$I,MATCH("Lãi/(lỗ) từ hoạt động kinh doanh",income_statement!$A:$A,0),MATCH(D$23,income_statement!$B$1:$I$1,0)),"")</f>
        <v/>
      </c>
      <c r="E48" s="18">
        <f>IFERROR(INDEX(income_statement!$B:$I,MATCH("Lãi/(lỗ) từ hoạt động kinh doanh",income_statement!$A:$A,0),MATCH(E$23,income_statement!$B$1:$I$1,0)),"")</f>
        <v/>
      </c>
      <c r="F48" s="18">
        <f>IFERROR(INDEX(income_statement!$B:$I,MATCH("Lãi/(lỗ) từ hoạt động kinh doanh",income_statement!$A:$A,0),MATCH(F$23,income_statement!$B$1:$I$1,0)),"")</f>
        <v/>
      </c>
      <c r="G48" s="18">
        <f>IFERROR(INDEX(income_statement!$B:$I,MATCH("Lãi/(lỗ) từ hoạt động kinh doanh",income_statement!$A:$A,0),MATCH(G$23,income_statement!$B$1:$I$1,0)),"")</f>
        <v/>
      </c>
      <c r="H48" s="18">
        <f>IFERROR(INDEX(income_statement!$B:$I,MATCH("Lãi/(lỗ) từ hoạt động kinh doanh",income_statement!$A:$A,0),MATCH(H$23,income_statement!$B$1:$I$1,0)),"")</f>
        <v/>
      </c>
      <c r="I48" s="18">
        <f>IFERROR(INDEX(income_statement!$B:$I,MATCH("Lãi/(lỗ) từ hoạt động kinh doanh",income_statement!$A:$A,0),MATCH(I$23,income_statement!$B$1:$I$1,0)),"")</f>
        <v/>
      </c>
    </row>
    <row r="49">
      <c r="A49" s="17" t="inlineStr">
        <is>
          <t>Chi phí lãi vay</t>
        </is>
      </c>
      <c r="B49" s="18">
        <f>IFERROR(INDEX(income_statement!$B:$I,MATCH("Chi phí lãi vay",income_statement!$A:$A,0),MATCH(B$23,income_statement!$B$1:$I$1,0)),"")</f>
        <v/>
      </c>
      <c r="C49" s="18">
        <f>IFERROR(INDEX(income_statement!$B:$I,MATCH("Chi phí lãi vay",income_statement!$A:$A,0),MATCH(C$23,income_statement!$B$1:$I$1,0)),"")</f>
        <v/>
      </c>
      <c r="D49" s="18">
        <f>IFERROR(INDEX(income_statement!$B:$I,MATCH("Chi phí lãi vay",income_statement!$A:$A,0),MATCH(D$23,income_statement!$B$1:$I$1,0)),"")</f>
        <v/>
      </c>
      <c r="E49" s="18">
        <f>IFERROR(INDEX(income_statement!$B:$I,MATCH("Chi phí lãi vay",income_statement!$A:$A,0),MATCH(E$23,income_statement!$B$1:$I$1,0)),"")</f>
        <v/>
      </c>
      <c r="F49" s="18">
        <f>IFERROR(INDEX(income_statement!$B:$I,MATCH("Chi phí lãi vay",income_statement!$A:$A,0),MATCH(F$23,income_statement!$B$1:$I$1,0)),"")</f>
        <v/>
      </c>
      <c r="G49" s="18">
        <f>IFERROR(INDEX(income_statement!$B:$I,MATCH("Chi phí lãi vay",income_statement!$A:$A,0),MATCH(G$23,income_statement!$B$1:$I$1,0)),"")</f>
        <v/>
      </c>
      <c r="H49" s="18">
        <f>IFERROR(INDEX(income_statement!$B:$I,MATCH("Chi phí lãi vay",income_statement!$A:$A,0),MATCH(H$23,income_statement!$B$1:$I$1,0)),"")</f>
        <v/>
      </c>
      <c r="I49" s="18">
        <f>IFERROR(INDEX(income_statement!$B:$I,MATCH("Chi phí lãi vay",income_statement!$A:$A,0),MATCH(I$23,income_statement!$B$1:$I$1,0)),"")</f>
        <v/>
      </c>
    </row>
    <row r="50">
      <c r="A50" s="17" t="inlineStr">
        <is>
          <t>Lãi/(lỗ) thuần sau thuế</t>
        </is>
      </c>
      <c r="B50" s="18">
        <f>IFERROR(INDEX(income_statement!$B:$I,MATCH("Lãi/(lỗ) thuần sau thuế",income_statement!$A:$A,0),MATCH(B$23,income_statement!$B$1:$I$1,0)),"")</f>
        <v/>
      </c>
      <c r="C50" s="18">
        <f>IFERROR(INDEX(income_statement!$B:$I,MATCH("Lãi/(lỗ) thuần sau thuế",income_statement!$A:$A,0),MATCH(C$23,income_statement!$B$1:$I$1,0)),"")</f>
        <v/>
      </c>
      <c r="D50" s="18">
        <f>IFERROR(INDEX(income_statement!$B:$I,MATCH("Lãi/(lỗ) thuần sau thuế",income_statement!$A:$A,0),MATCH(D$23,income_statement!$B$1:$I$1,0)),"")</f>
        <v/>
      </c>
      <c r="E50" s="18">
        <f>IFERROR(INDEX(income_statement!$B:$I,MATCH("Lãi/(lỗ) thuần sau thuế",income_statement!$A:$A,0),MATCH(E$23,income_statement!$B$1:$I$1,0)),"")</f>
        <v/>
      </c>
      <c r="F50" s="18">
        <f>IFERROR(INDEX(income_statement!$B:$I,MATCH("Lãi/(lỗ) thuần sau thuế",income_statement!$A:$A,0),MATCH(F$23,income_statement!$B$1:$I$1,0)),"")</f>
        <v/>
      </c>
      <c r="G50" s="18">
        <f>IFERROR(INDEX(income_statement!$B:$I,MATCH("Lãi/(lỗ) thuần sau thuế",income_statement!$A:$A,0),MATCH(G$23,income_statement!$B$1:$I$1,0)),"")</f>
        <v/>
      </c>
      <c r="H50" s="18">
        <f>IFERROR(INDEX(income_statement!$B:$I,MATCH("Lãi/(lỗ) thuần sau thuế",income_statement!$A:$A,0),MATCH(H$23,income_statement!$B$1:$I$1,0)),"")</f>
        <v/>
      </c>
      <c r="I50" s="18">
        <f>IFERROR(INDEX(income_statement!$B:$I,MATCH("Lãi/(lỗ) thuần sau thuế",income_statement!$A:$A,0),MATCH(I$23,income_statement!$B$1:$I$1,0)),"")</f>
        <v/>
      </c>
      <c r="J50" s="19" t="n">
        <v>22000000000000</v>
      </c>
    </row>
    <row r="51" ht="15" customHeight="1">
      <c r="A51" s="15" t="inlineStr">
        <is>
          <t>Lợi nhuận của Cổ đông của Công ty mẹ</t>
        </is>
      </c>
      <c r="B51" s="19">
        <f>IFERROR(INDEX(income_statement!$B:$I,MATCH("Lợi nhuận của Cổ đông của Công ty mẹ",income_statement!$A:$A,0),MATCH(B$23,income_statement!$B$1:$I$1,0)),"")</f>
        <v/>
      </c>
      <c r="C51" s="19">
        <f>IFERROR(INDEX(income_statement!$B:$I,MATCH("Lợi nhuận của Cổ đông của Công ty mẹ",income_statement!$A:$A,0),MATCH(C$23,income_statement!$B$1:$I$1,0)),"")</f>
        <v/>
      </c>
      <c r="D51" s="19">
        <f>IFERROR(INDEX(income_statement!$B:$I,MATCH("Lợi nhuận của Cổ đông của Công ty mẹ",income_statement!$A:$A,0),MATCH(D$23,income_statement!$B$1:$I$1,0)),"")</f>
        <v/>
      </c>
      <c r="E51" s="19">
        <f>IFERROR(INDEX(income_statement!$B:$I,MATCH("Lợi nhuận của Cổ đông của Công ty mẹ",income_statement!$A:$A,0),MATCH(E$23,income_statement!$B$1:$I$1,0)),"")</f>
        <v/>
      </c>
      <c r="F51" s="19">
        <f>IFERROR(INDEX(income_statement!$B:$I,MATCH("Lợi nhuận của Cổ đông của Công ty mẹ",income_statement!$A:$A,0),MATCH(F$23,income_statement!$B$1:$I$1,0)),"")</f>
        <v/>
      </c>
      <c r="G51" s="19">
        <f>IFERROR(INDEX(income_statement!$B:$I,MATCH("Lợi nhuận của Cổ đông của Công ty mẹ",income_statement!$A:$A,0),MATCH(G$23,income_statement!$B$1:$I$1,0)),"")</f>
        <v/>
      </c>
      <c r="H51" s="19">
        <f>IFERROR(INDEX(income_statement!$B:$I,MATCH("Lợi nhuận của Cổ đông của Công ty mẹ",income_statement!$A:$A,0),MATCH(H$23,income_statement!$B$1:$I$1,0)),"")</f>
        <v/>
      </c>
      <c r="I51" s="19">
        <f>IFERROR(INDEX(income_statement!$B:$I,MATCH("Lợi nhuận của Cổ đông của Công ty mẹ",income_statement!$A:$A,0),MATCH(I$23,income_statement!$B$1:$I$1,0)),"")</f>
        <v/>
      </c>
      <c r="J51" s="19" t="n">
        <v>22000000000000</v>
      </c>
    </row>
    <row r="52">
      <c r="A52" s="26" t="inlineStr">
        <is>
          <t>Lưu chuyển tiền tệ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7" t="inlineStr">
        <is>
          <t>Khấu hao TSCĐ và BĐSĐT</t>
        </is>
      </c>
      <c r="B53" s="18">
        <f>IFERROR(INDEX(cash_flow!$B:$I,MATCH("Khấu hao TSCĐ và BĐSĐT",cash_flow!$A:$A,0),MATCH(B$23,cash_flow!$B$1:$I$1,0)),"")</f>
        <v/>
      </c>
      <c r="C53" s="18">
        <f>IFERROR(INDEX(cash_flow!$B:$I,MATCH("Khấu hao TSCĐ và BĐSĐT",cash_flow!$A:$A,0),MATCH(C$23,cash_flow!$B$1:$I$1,0)),"")</f>
        <v/>
      </c>
      <c r="D53" s="18">
        <f>IFERROR(INDEX(cash_flow!$B:$I,MATCH("Khấu hao TSCĐ và BĐSĐT",cash_flow!$A:$A,0),MATCH(D$23,cash_flow!$B$1:$I$1,0)),"")</f>
        <v/>
      </c>
      <c r="E53" s="18">
        <f>IFERROR(INDEX(cash_flow!$B:$I,MATCH("Khấu hao TSCĐ và BĐSĐT",cash_flow!$A:$A,0),MATCH(E$23,cash_flow!$B$1:$I$1,0)),"")</f>
        <v/>
      </c>
      <c r="F53" s="18">
        <f>IFERROR(INDEX(cash_flow!$B:$I,MATCH("Khấu hao TSCĐ và BĐSĐT",cash_flow!$A:$A,0),MATCH(F$23,cash_flow!$B$1:$I$1,0)),"")</f>
        <v/>
      </c>
      <c r="G53" s="18">
        <f>IFERROR(INDEX(cash_flow!$B:$I,MATCH("Khấu hao TSCĐ và BĐSĐT",cash_flow!$A:$A,0),MATCH(G$23,cash_flow!$B$1:$I$1,0)),"")</f>
        <v/>
      </c>
      <c r="H53" s="18">
        <f>IFERROR(INDEX(cash_flow!$B:$I,MATCH("Khấu hao TSCĐ và BĐSĐT",cash_flow!$A:$A,0),MATCH(H$23,cash_flow!$B$1:$I$1,0)),"")</f>
        <v/>
      </c>
      <c r="I53" s="18">
        <f>IFERROR(INDEX(cash_flow!$B:$I,MATCH("Khấu hao TSCĐ và BĐSĐT",cash_flow!$A:$A,0),MATCH(I$23,cash_flow!$B$1:$I$1,0)),"")</f>
        <v/>
      </c>
    </row>
    <row r="54">
      <c r="A54" s="17" t="inlineStr">
        <is>
          <t>Tiền chi để mua sắm, xây dựng TSCĐ và các tài sản dài hạn khác</t>
        </is>
      </c>
      <c r="B54" s="18">
        <f>IFERROR(INDEX(cash_flow!$B:$I,MATCH("Tiền chi để mua sắm, xây dựng TSCĐ và các tài sản dài hạn khác",cash_flow!$A:$A,0),MATCH(B$23,cash_flow!$B$1:$I$1,0)),"")</f>
        <v/>
      </c>
      <c r="C54" s="18">
        <f>IFERROR(INDEX(cash_flow!$B:$I,MATCH("Tiền chi để mua sắm, xây dựng TSCĐ và các tài sản dài hạn khác",cash_flow!$A:$A,0),MATCH(C$23,cash_flow!$B$1:$I$1,0)),"")</f>
        <v/>
      </c>
      <c r="D54" s="18">
        <f>IFERROR(INDEX(cash_flow!$B:$I,MATCH("Tiền chi để mua sắm, xây dựng TSCĐ và các tài sản dài hạn khác",cash_flow!$A:$A,0),MATCH(D$23,cash_flow!$B$1:$I$1,0)),"")</f>
        <v/>
      </c>
      <c r="E54" s="18">
        <f>IFERROR(INDEX(cash_flow!$B:$I,MATCH("Tiền chi để mua sắm, xây dựng TSCĐ và các tài sản dài hạn khác",cash_flow!$A:$A,0),MATCH(E$23,cash_flow!$B$1:$I$1,0)),"")</f>
        <v/>
      </c>
      <c r="F54" s="18">
        <f>IFERROR(INDEX(cash_flow!$B:$I,MATCH("Tiền chi để mua sắm, xây dựng TSCĐ và các tài sản dài hạn khác",cash_flow!$A:$A,0),MATCH(F$23,cash_flow!$B$1:$I$1,0)),"")</f>
        <v/>
      </c>
      <c r="G54" s="18">
        <f>IFERROR(INDEX(cash_flow!$B:$I,MATCH("Tiền chi để mua sắm, xây dựng TSCĐ và các tài sản dài hạn khác",cash_flow!$A:$A,0),MATCH(G$23,cash_flow!$B$1:$I$1,0)),"")</f>
        <v/>
      </c>
      <c r="H54" s="18">
        <f>IFERROR(INDEX(cash_flow!$B:$I,MATCH("Tiền chi để mua sắm, xây dựng TSCĐ và các tài sản dài hạn khác",cash_flow!$A:$A,0),MATCH(H$23,cash_flow!$B$1:$I$1,0)),"")</f>
        <v/>
      </c>
      <c r="I54" s="18">
        <f>IFERROR(INDEX(cash_flow!$B:$I,MATCH("Tiền chi để mua sắm, xây dựng TSCĐ và các tài sản dài hạn khác",cash_flow!$A:$A,0),MATCH(I$23,cash_flow!$B$1:$I$1,0)),"")</f>
        <v/>
      </c>
    </row>
    <row r="55">
      <c r="A55" s="17" t="inlineStr">
        <is>
          <t>Lưu chuyển tiền tệ ròng từ các hoạt động sản xuất kinh doanh</t>
        </is>
      </c>
      <c r="B55" s="18">
        <f>IFERROR(INDEX(cash_flow!$B:$I,MATCH("Lưu chuyển tiền tệ ròng từ các hoạt động sản xuất kinh doanh",cash_flow!$A:$A,0),MATCH(B$23,cash_flow!$B$1:$I$1,0)),"")</f>
        <v/>
      </c>
      <c r="C55" s="18">
        <f>IFERROR(INDEX(cash_flow!$B:$I,MATCH("Lưu chuyển tiền tệ ròng từ các hoạt động sản xuất kinh doanh",cash_flow!$A:$A,0),MATCH(C$23,cash_flow!$B$1:$I$1,0)),"")</f>
        <v/>
      </c>
      <c r="D55" s="18">
        <f>IFERROR(INDEX(cash_flow!$B:$I,MATCH("Lưu chuyển tiền tệ ròng từ các hoạt động sản xuất kinh doanh",cash_flow!$A:$A,0),MATCH(D$23,cash_flow!$B$1:$I$1,0)),"")</f>
        <v/>
      </c>
      <c r="E55" s="18">
        <f>IFERROR(INDEX(cash_flow!$B:$I,MATCH("Lưu chuyển tiền tệ ròng từ các hoạt động sản xuất kinh doanh",cash_flow!$A:$A,0),MATCH(E$23,cash_flow!$B$1:$I$1,0)),"")</f>
        <v/>
      </c>
      <c r="F55" s="18">
        <f>IFERROR(INDEX(cash_flow!$B:$I,MATCH("Lưu chuyển tiền tệ ròng từ các hoạt động sản xuất kinh doanh",cash_flow!$A:$A,0),MATCH(F$23,cash_flow!$B$1:$I$1,0)),"")</f>
        <v/>
      </c>
      <c r="G55" s="18">
        <f>IFERROR(INDEX(cash_flow!$B:$I,MATCH("Lưu chuyển tiền tệ ròng từ các hoạt động sản xuất kinh doanh",cash_flow!$A:$A,0),MATCH(G$23,cash_flow!$B$1:$I$1,0)),"")</f>
        <v/>
      </c>
      <c r="H55" s="18">
        <f>IFERROR(INDEX(cash_flow!$B:$I,MATCH("Lưu chuyển tiền tệ ròng từ các hoạt động sản xuất kinh doanh",cash_flow!$A:$A,0),MATCH(H$23,cash_flow!$B$1:$I$1,0)),"")</f>
        <v/>
      </c>
      <c r="I55" s="18">
        <f>IFERROR(INDEX(cash_flow!$B:$I,MATCH("Lưu chuyển tiền tệ ròng từ các hoạt động sản xuất kinh doanh",cash_flow!$A:$A,0),MATCH(I$23,cash_flow!$B$1:$I$1,0)),"")</f>
        <v/>
      </c>
    </row>
    <row r="56"/>
    <row r="57"/>
    <row r="58"/>
    <row r="59">
      <c r="A59" s="27" t="inlineStr">
        <is>
          <t>CHỈ SỐ THÊM</t>
        </is>
      </c>
      <c r="B59" s="28" t="n">
        <v>2018</v>
      </c>
      <c r="C59" s="28" t="n">
        <v>2019</v>
      </c>
      <c r="D59" s="28" t="n">
        <v>2020</v>
      </c>
      <c r="E59" s="28" t="n">
        <v>2021</v>
      </c>
      <c r="F59" s="28" t="n">
        <v>2022</v>
      </c>
      <c r="G59" s="28" t="n">
        <v>2023</v>
      </c>
      <c r="H59" s="28" t="n">
        <v>2024</v>
      </c>
      <c r="I59" s="28" t="n">
        <v>2025</v>
      </c>
    </row>
    <row r="60">
      <c r="A60" s="27" t="inlineStr">
        <is>
          <t>Khả năng sinh lời &amp; hiệu quả sử dụng vốn</t>
        </is>
      </c>
      <c r="B60" s="29" t="n"/>
      <c r="C60" s="29" t="n"/>
      <c r="D60" s="29" t="n"/>
      <c r="E60" s="29" t="n"/>
      <c r="F60" s="29" t="n"/>
      <c r="G60" s="29" t="n"/>
      <c r="H60" s="29" t="n"/>
      <c r="I60" s="29" t="n"/>
    </row>
    <row r="61">
      <c r="A61" s="29" t="inlineStr">
        <is>
          <t>ROCE</t>
        </is>
      </c>
      <c r="B61" s="30">
        <f>IFERROR(B$63/(B$31-B$35),"n/a")</f>
        <v/>
      </c>
      <c r="C61" s="30">
        <f>IFERROR(C$63/(C$31-C$35),"n/a")</f>
        <v/>
      </c>
      <c r="D61" s="30">
        <f>IFERROR(D$63/(D$31-D$35),"n/a")</f>
        <v/>
      </c>
      <c r="E61" s="30">
        <f>IFERROR(E$63/(E$31-E$35),"n/a")</f>
        <v/>
      </c>
      <c r="F61" s="30">
        <f>IFERROR(F$63/(F$31-F$35),"n/a")</f>
        <v/>
      </c>
      <c r="G61" s="30">
        <f>IFERROR(G$63/(G$31-G$35),"n/a")</f>
        <v/>
      </c>
      <c r="H61" s="30">
        <f>IFERROR(H$63/(H$31-H$35),"n/a")</f>
        <v/>
      </c>
      <c r="I61" s="30">
        <f>IFERROR(I$63/(I$31-I$35),"n/a")</f>
        <v/>
      </c>
    </row>
    <row r="62">
      <c r="A62" s="29" t="inlineStr">
        <is>
          <t>CROIC</t>
        </is>
      </c>
      <c r="B62" s="30">
        <f>IFERROR(B$67/(B$31-B$35),"n/a")</f>
        <v/>
      </c>
      <c r="C62" s="30">
        <f>IFERROR(C$67/(C$31-C$35),"n/a")</f>
        <v/>
      </c>
      <c r="D62" s="30">
        <f>IFERROR(D$67/(D$31-D$35),"n/a")</f>
        <v/>
      </c>
      <c r="E62" s="30">
        <f>IFERROR(E$67/(E$31-E$35),"n/a")</f>
        <v/>
      </c>
      <c r="F62" s="30">
        <f>IFERROR(F$67/(F$31-F$35),"n/a")</f>
        <v/>
      </c>
      <c r="G62" s="30">
        <f>IFERROR(G$67/(G$31-G$35),"n/a")</f>
        <v/>
      </c>
      <c r="H62" s="30">
        <f>IFERROR(H$67/(H$31-H$35),"n/a")</f>
        <v/>
      </c>
      <c r="I62" s="30">
        <f>IFERROR(I$67/(I$31-I$35),"n/a")</f>
        <v/>
      </c>
    </row>
    <row r="63">
      <c r="A63" s="29" t="inlineStr">
        <is>
          <t>EBIT</t>
        </is>
      </c>
      <c r="B63" s="31">
        <f>IFERROR(B$48+ABS(B$49),"n/a")</f>
        <v/>
      </c>
      <c r="C63" s="31">
        <f>IFERROR(C$48+ABS(C$49),"n/a")</f>
        <v/>
      </c>
      <c r="D63" s="31">
        <f>IFERROR(D$48+ABS(D$49),"n/a")</f>
        <v/>
      </c>
      <c r="E63" s="31">
        <f>IFERROR(E$48+ABS(E$49),"n/a")</f>
        <v/>
      </c>
      <c r="F63" s="31">
        <f>IFERROR(F$48+ABS(F$49),"n/a")</f>
        <v/>
      </c>
      <c r="G63" s="31">
        <f>IFERROR(G$48+ABS(G$49),"n/a")</f>
        <v/>
      </c>
      <c r="H63" s="31">
        <f>IFERROR(H$48+ABS(H$49),"n/a")</f>
        <v/>
      </c>
      <c r="I63" s="31">
        <f>IFERROR(I$48+ABS(I$49),"n/a")</f>
        <v/>
      </c>
    </row>
    <row r="64">
      <c r="A64" s="29" t="inlineStr">
        <is>
          <t>EBIT/DT</t>
        </is>
      </c>
      <c r="B64" s="30">
        <f>IFERROR(B$63/B$43,"n/a")</f>
        <v/>
      </c>
      <c r="C64" s="30">
        <f>IFERROR(C$63/C$43,"n/a")</f>
        <v/>
      </c>
      <c r="D64" s="30">
        <f>IFERROR(D$63/D$43,"n/a")</f>
        <v/>
      </c>
      <c r="E64" s="30">
        <f>IFERROR(E$63/E$43,"n/a")</f>
        <v/>
      </c>
      <c r="F64" s="30">
        <f>IFERROR(F$63/F$43,"n/a")</f>
        <v/>
      </c>
      <c r="G64" s="30">
        <f>IFERROR(G$63/G$43,"n/a")</f>
        <v/>
      </c>
      <c r="H64" s="30">
        <f>IFERROR(H$63/H$43,"n/a")</f>
        <v/>
      </c>
      <c r="I64" s="30">
        <f>IFERROR(I$63/I$43,"n/a")</f>
        <v/>
      </c>
    </row>
    <row r="65">
      <c r="A65" s="29" t="inlineStr">
        <is>
          <t>DT/TS</t>
        </is>
      </c>
      <c r="B65" s="30">
        <f>IFERROR(B$43/B$31,"n/a")</f>
        <v/>
      </c>
      <c r="C65" s="30">
        <f>IFERROR(C$43/C$31,"n/a")</f>
        <v/>
      </c>
      <c r="D65" s="30">
        <f>IFERROR(D$43/D$31,"n/a")</f>
        <v/>
      </c>
      <c r="E65" s="30">
        <f>IFERROR(E$43/E$31,"n/a")</f>
        <v/>
      </c>
      <c r="F65" s="30">
        <f>IFERROR(F$43/F$31,"n/a")</f>
        <v/>
      </c>
      <c r="G65" s="30">
        <f>IFERROR(G$43/G$31,"n/a")</f>
        <v/>
      </c>
      <c r="H65" s="30">
        <f>IFERROR(H$43/H$31,"n/a")</f>
        <v/>
      </c>
      <c r="I65" s="30">
        <f>IFERROR(I$43/I$31,"n/a")</f>
        <v/>
      </c>
    </row>
    <row r="66">
      <c r="A66" s="27" t="inlineStr">
        <is>
          <t>Dòng tiền &amp; tái đầu tư</t>
        </is>
      </c>
      <c r="B66" s="29" t="n"/>
      <c r="C66" s="29" t="n"/>
      <c r="D66" s="29" t="n"/>
      <c r="E66" s="29" t="n"/>
      <c r="F66" s="29" t="n"/>
      <c r="G66" s="29" t="n"/>
      <c r="H66" s="29" t="n"/>
      <c r="I66" s="29" t="n"/>
    </row>
    <row r="67">
      <c r="A67" s="29" t="inlineStr">
        <is>
          <t>FCF</t>
        </is>
      </c>
      <c r="B67" s="31">
        <f>IFERROR(B$55-ABS(B$54),"n/a")</f>
        <v/>
      </c>
      <c r="C67" s="31">
        <f>IFERROR(C$55-ABS(C$54),"n/a")</f>
        <v/>
      </c>
      <c r="D67" s="31">
        <f>IFERROR(D$55-ABS(D$54),"n/a")</f>
        <v/>
      </c>
      <c r="E67" s="31">
        <f>IFERROR(E$55-ABS(E$54),"n/a")</f>
        <v/>
      </c>
      <c r="F67" s="31">
        <f>IFERROR(F$55-ABS(F$54),"n/a")</f>
        <v/>
      </c>
      <c r="G67" s="31">
        <f>IFERROR(G$55-ABS(G$54),"n/a")</f>
        <v/>
      </c>
      <c r="H67" s="31">
        <f>IFERROR(H$55-ABS(H$54),"n/a")</f>
        <v/>
      </c>
      <c r="I67" s="31">
        <f>IFERROR(I$55-ABS(I$54),"n/a")</f>
        <v/>
      </c>
    </row>
    <row r="68">
      <c r="A68" s="29" t="inlineStr">
        <is>
          <t>FCF/DT</t>
        </is>
      </c>
      <c r="B68" s="30">
        <f>IFERROR(B$67/B$43,"n/a")</f>
        <v/>
      </c>
      <c r="C68" s="30">
        <f>IFERROR(C$67/C$43,"n/a")</f>
        <v/>
      </c>
      <c r="D68" s="30">
        <f>IFERROR(D$67/D$43,"n/a")</f>
        <v/>
      </c>
      <c r="E68" s="30">
        <f>IFERROR(E$67/E$43,"n/a")</f>
        <v/>
      </c>
      <c r="F68" s="30">
        <f>IFERROR(F$67/F$43,"n/a")</f>
        <v/>
      </c>
      <c r="G68" s="30">
        <f>IFERROR(G$67/G$43,"n/a")</f>
        <v/>
      </c>
      <c r="H68" s="30">
        <f>IFERROR(H$67/H$43,"n/a")</f>
        <v/>
      </c>
      <c r="I68" s="30">
        <f>IFERROR(I$67/I$43,"n/a")</f>
        <v/>
      </c>
    </row>
    <row r="69">
      <c r="A69" s="29" t="inlineStr">
        <is>
          <t>FCF/Nợ ngắn hạn</t>
        </is>
      </c>
      <c r="B69" s="30">
        <f>IFERROR(B$67/B$35,"n/a")</f>
        <v/>
      </c>
      <c r="C69" s="30">
        <f>IFERROR(C$67/C$35,"n/a")</f>
        <v/>
      </c>
      <c r="D69" s="30">
        <f>IFERROR(D$67/D$35,"n/a")</f>
        <v/>
      </c>
      <c r="E69" s="30">
        <f>IFERROR(E$67/E$35,"n/a")</f>
        <v/>
      </c>
      <c r="F69" s="30">
        <f>IFERROR(F$67/F$35,"n/a")</f>
        <v/>
      </c>
      <c r="G69" s="30">
        <f>IFERROR(G$67/G$35,"n/a")</f>
        <v/>
      </c>
      <c r="H69" s="30">
        <f>IFERROR(H$67/H$35,"n/a")</f>
        <v/>
      </c>
      <c r="I69" s="30">
        <f>IFERROR(I$67/I$35,"n/a")</f>
        <v/>
      </c>
    </row>
    <row r="70">
      <c r="A70" s="29" t="inlineStr">
        <is>
          <t>Capex</t>
        </is>
      </c>
      <c r="B70" s="31">
        <f>IFERROR(ABS(B$54),"n/a")</f>
        <v/>
      </c>
      <c r="C70" s="31">
        <f>IFERROR(ABS(C$54),"n/a")</f>
        <v/>
      </c>
      <c r="D70" s="31">
        <f>IFERROR(ABS(D$54),"n/a")</f>
        <v/>
      </c>
      <c r="E70" s="31">
        <f>IFERROR(ABS(E$54),"n/a")</f>
        <v/>
      </c>
      <c r="F70" s="31">
        <f>IFERROR(ABS(F$54),"n/a")</f>
        <v/>
      </c>
      <c r="G70" s="31">
        <f>IFERROR(ABS(G$54),"n/a")</f>
        <v/>
      </c>
      <c r="H70" s="31">
        <f>IFERROR(ABS(H$54),"n/a")</f>
        <v/>
      </c>
      <c r="I70" s="31">
        <f>IFERROR(ABS(I$54),"n/a")</f>
        <v/>
      </c>
    </row>
    <row r="71">
      <c r="A71" s="29" t="inlineStr">
        <is>
          <t>Capex/TS</t>
        </is>
      </c>
      <c r="B71" s="30">
        <f>IFERROR(B$70/B$31,"n/a")</f>
        <v/>
      </c>
      <c r="C71" s="30">
        <f>IFERROR(C$70/C$31,"n/a")</f>
        <v/>
      </c>
      <c r="D71" s="30">
        <f>IFERROR(D$70/D$31,"n/a")</f>
        <v/>
      </c>
      <c r="E71" s="30">
        <f>IFERROR(E$70/E$31,"n/a")</f>
        <v/>
      </c>
      <c r="F71" s="30">
        <f>IFERROR(F$70/F$31,"n/a")</f>
        <v/>
      </c>
      <c r="G71" s="30">
        <f>IFERROR(G$70/G$31,"n/a")</f>
        <v/>
      </c>
      <c r="H71" s="30">
        <f>IFERROR(H$70/H$31,"n/a")</f>
        <v/>
      </c>
      <c r="I71" s="30">
        <f>IFERROR(I$70/I$31,"n/a")</f>
        <v/>
      </c>
    </row>
    <row r="72">
      <c r="A72" s="29" t="inlineStr">
        <is>
          <t>Capex/LNST</t>
        </is>
      </c>
      <c r="B72" s="30">
        <f>IFERROR(B$70/ABS(B$50),"n/a")</f>
        <v/>
      </c>
      <c r="C72" s="30">
        <f>IFERROR(C$70/ABS(C$50),"n/a")</f>
        <v/>
      </c>
      <c r="D72" s="30">
        <f>IFERROR(D$70/ABS(D$50),"n/a")</f>
        <v/>
      </c>
      <c r="E72" s="30">
        <f>IFERROR(E$70/ABS(E$50),"n/a")</f>
        <v/>
      </c>
      <c r="F72" s="30">
        <f>IFERROR(F$70/ABS(F$50),"n/a")</f>
        <v/>
      </c>
      <c r="G72" s="30">
        <f>IFERROR(G$70/ABS(G$50),"n/a")</f>
        <v/>
      </c>
      <c r="H72" s="30">
        <f>IFERROR(H$70/ABS(H$50),"n/a")</f>
        <v/>
      </c>
      <c r="I72" s="30">
        <f>IFERROR(I$70/ABS(I$50),"n/a")</f>
        <v/>
      </c>
    </row>
    <row r="73">
      <c r="A73" s="29" t="inlineStr">
        <is>
          <t>Chi phí khấu hao/Lợi nhuận gộp</t>
        </is>
      </c>
      <c r="B73" s="30">
        <f>IFERROR(ABS(B$53)/B$45,"n/a")</f>
        <v/>
      </c>
      <c r="C73" s="30">
        <f>IFERROR(ABS(C$53)/C$45,"n/a")</f>
        <v/>
      </c>
      <c r="D73" s="30">
        <f>IFERROR(ABS(D$53)/D$45,"n/a")</f>
        <v/>
      </c>
      <c r="E73" s="30">
        <f>IFERROR(ABS(E$53)/E$45,"n/a")</f>
        <v/>
      </c>
      <c r="F73" s="30">
        <f>IFERROR(ABS(F$53)/F$45,"n/a")</f>
        <v/>
      </c>
      <c r="G73" s="30">
        <f>IFERROR(ABS(G$53)/G$45,"n/a")</f>
        <v/>
      </c>
      <c r="H73" s="30">
        <f>IFERROR(ABS(H$53)/H$45,"n/a")</f>
        <v/>
      </c>
      <c r="I73" s="30">
        <f>IFERROR(ABS(I$53)/I$45,"n/a")</f>
        <v/>
      </c>
    </row>
    <row r="74">
      <c r="A74" s="29" t="inlineStr">
        <is>
          <t>EBIT/Chi phí lãi vay</t>
        </is>
      </c>
      <c r="B74" s="32">
        <f>IFERROR(B$63/ABS(B$49),"n/a")</f>
        <v/>
      </c>
      <c r="C74" s="32">
        <f>IFERROR(C$63/ABS(C$49),"n/a")</f>
        <v/>
      </c>
      <c r="D74" s="32">
        <f>IFERROR(D$63/ABS(D$49),"n/a")</f>
        <v/>
      </c>
      <c r="E74" s="32">
        <f>IFERROR(E$63/ABS(E$49),"n/a")</f>
        <v/>
      </c>
      <c r="F74" s="32">
        <f>IFERROR(F$63/ABS(F$49),"n/a")</f>
        <v/>
      </c>
      <c r="G74" s="32">
        <f>IFERROR(G$63/ABS(G$49),"n/a")</f>
        <v/>
      </c>
      <c r="H74" s="32">
        <f>IFERROR(H$63/ABS(H$49),"n/a")</f>
        <v/>
      </c>
      <c r="I74" s="32">
        <f>IFERROR(I$63/ABS(I$49),"n/a")</f>
        <v/>
      </c>
    </row>
    <row r="75">
      <c r="A75" s="27" t="inlineStr">
        <is>
          <t>Vốn lưu động &amp; hiệu quả hoạt động</t>
        </is>
      </c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>
      <c r="A76" s="29" t="inlineStr">
        <is>
          <t>Vòng quay tiền mặt</t>
        </is>
      </c>
      <c r="B76" s="33">
        <f>IFERROR(B$17+B$18-B$16,"n/a")</f>
        <v/>
      </c>
      <c r="C76" s="33">
        <f>IFERROR(C$17+C$18-C$16,"n/a")</f>
        <v/>
      </c>
      <c r="D76" s="33">
        <f>IFERROR(D$17+D$18-D$16,"n/a")</f>
        <v/>
      </c>
      <c r="E76" s="33">
        <f>IFERROR(E$17+E$18-E$16,"n/a")</f>
        <v/>
      </c>
      <c r="F76" s="33">
        <f>IFERROR(F$17+F$18-F$16,"n/a")</f>
        <v/>
      </c>
      <c r="G76" s="33">
        <f>IFERROR(G$17+G$18-G$16,"n/a")</f>
        <v/>
      </c>
      <c r="H76" s="33">
        <f>IFERROR(H$17+H$18-H$16,"n/a")</f>
        <v/>
      </c>
      <c r="I76" s="33">
        <f>IFERROR(I$17+I$18-I$16,"n/a")</f>
        <v/>
      </c>
    </row>
    <row r="77">
      <c r="A77" s="29" t="inlineStr">
        <is>
          <t>HTK/DT</t>
        </is>
      </c>
      <c r="B77" s="30">
        <f>IFERROR(B$28/B$43,"n/a")</f>
        <v/>
      </c>
      <c r="C77" s="30">
        <f>IFERROR(C$28/C$43,"n/a")</f>
        <v/>
      </c>
      <c r="D77" s="30">
        <f>IFERROR(D$28/D$43,"n/a")</f>
        <v/>
      </c>
      <c r="E77" s="30">
        <f>IFERROR(E$28/E$43,"n/a")</f>
        <v/>
      </c>
      <c r="F77" s="30">
        <f>IFERROR(F$28/F$43,"n/a")</f>
        <v/>
      </c>
      <c r="G77" s="30">
        <f>IFERROR(G$28/G$43,"n/a")</f>
        <v/>
      </c>
      <c r="H77" s="30">
        <f>IFERROR(H$28/H$43,"n/a")</f>
        <v/>
      </c>
      <c r="I77" s="30">
        <f>IFERROR(I$28/I$43,"n/a")</f>
        <v/>
      </c>
    </row>
    <row r="78">
      <c r="A78" s="29" t="inlineStr">
        <is>
          <t>HTK/TS</t>
        </is>
      </c>
      <c r="B78" s="30">
        <f>IFERROR(B$28/B$31,"n/a")</f>
        <v/>
      </c>
      <c r="C78" s="30">
        <f>IFERROR(C$28/C$31,"n/a")</f>
        <v/>
      </c>
      <c r="D78" s="30">
        <f>IFERROR(D$28/D$31,"n/a")</f>
        <v/>
      </c>
      <c r="E78" s="30">
        <f>IFERROR(E$28/E$31,"n/a")</f>
        <v/>
      </c>
      <c r="F78" s="30">
        <f>IFERROR(F$28/F$31,"n/a")</f>
        <v/>
      </c>
      <c r="G78" s="30">
        <f>IFERROR(G$28/G$31,"n/a")</f>
        <v/>
      </c>
      <c r="H78" s="30">
        <f>IFERROR(H$28/H$31,"n/a")</f>
        <v/>
      </c>
      <c r="I78" s="30">
        <f>IFERROR(I$28/I$31,"n/a")</f>
        <v/>
      </c>
    </row>
    <row r="79">
      <c r="A79" s="29" t="inlineStr">
        <is>
          <t>DT/TS</t>
        </is>
      </c>
      <c r="B79" s="30">
        <f>IFERROR(B$43/B$31,"n/a")</f>
        <v/>
      </c>
      <c r="C79" s="30">
        <f>IFERROR(C$43/C$31,"n/a")</f>
        <v/>
      </c>
      <c r="D79" s="30">
        <f>IFERROR(D$43/D$31,"n/a")</f>
        <v/>
      </c>
      <c r="E79" s="30">
        <f>IFERROR(E$43/E$31,"n/a")</f>
        <v/>
      </c>
      <c r="F79" s="30">
        <f>IFERROR(F$43/F$31,"n/a")</f>
        <v/>
      </c>
      <c r="G79" s="30">
        <f>IFERROR(G$43/G$31,"n/a")</f>
        <v/>
      </c>
      <c r="H79" s="30">
        <f>IFERROR(H$43/H$31,"n/a")</f>
        <v/>
      </c>
      <c r="I79" s="30">
        <f>IFERROR(I$43/I$31,"n/a")</f>
        <v/>
      </c>
    </row>
    <row r="80">
      <c r="A80" s="27" t="inlineStr">
        <is>
          <t>Khả năng thanh toán</t>
        </is>
      </c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29" t="inlineStr">
        <is>
          <t>(TS ngắn hạn − HTK)/Nợ ngắn hạn</t>
        </is>
      </c>
      <c r="B81" s="32">
        <f>IFERROR((B$29-B$28)/B$35,"n/a")</f>
        <v/>
      </c>
      <c r="C81" s="32">
        <f>IFERROR((C$29-C$28)/C$35,"n/a")</f>
        <v/>
      </c>
      <c r="D81" s="32">
        <f>IFERROR((D$29-D$28)/D$35,"n/a")</f>
        <v/>
      </c>
      <c r="E81" s="32">
        <f>IFERROR((E$29-E$28)/E$35,"n/a")</f>
        <v/>
      </c>
      <c r="F81" s="32">
        <f>IFERROR((F$29-F$28)/F$35,"n/a")</f>
        <v/>
      </c>
      <c r="G81" s="32">
        <f>IFERROR((G$29-G$28)/G$35,"n/a")</f>
        <v/>
      </c>
      <c r="H81" s="32">
        <f>IFERROR((H$29-H$28)/H$35,"n/a")</f>
        <v/>
      </c>
      <c r="I81" s="32">
        <f>IFERROR((I$29-I$28)/I$35,"n/a")</f>
        <v/>
      </c>
    </row>
    <row r="82">
      <c r="A82" s="29" t="inlineStr">
        <is>
          <t>TS ngắn hạn/Nợ ngắn hạn</t>
        </is>
      </c>
      <c r="B82" s="32">
        <f>IFERROR(B$29/B$35,"n/a")</f>
        <v/>
      </c>
      <c r="C82" s="32">
        <f>IFERROR(C$29/C$35,"n/a")</f>
        <v/>
      </c>
      <c r="D82" s="32">
        <f>IFERROR(D$29/D$35,"n/a")</f>
        <v/>
      </c>
      <c r="E82" s="32">
        <f>IFERROR(E$29/E$35,"n/a")</f>
        <v/>
      </c>
      <c r="F82" s="32">
        <f>IFERROR(F$29/F$35,"n/a")</f>
        <v/>
      </c>
      <c r="G82" s="32">
        <f>IFERROR(G$29/G$35,"n/a")</f>
        <v/>
      </c>
      <c r="H82" s="32">
        <f>IFERROR(H$29/H$35,"n/a")</f>
        <v/>
      </c>
      <c r="I82" s="32">
        <f>IFERROR(I$29/I$35,"n/a")</f>
        <v/>
      </c>
    </row>
    <row r="83">
      <c r="A83" s="27" t="inlineStr">
        <is>
          <t>Tài sản &amp; cơ cấu tài sản</t>
        </is>
      </c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>
      <c r="A84" s="29" t="inlineStr">
        <is>
          <t>TSCĐ vô hình</t>
        </is>
      </c>
      <c r="B84" s="31">
        <f>IFERROR(B$30,"n/a")</f>
        <v/>
      </c>
      <c r="C84" s="31">
        <f>IFERROR(C$30,"n/a")</f>
        <v/>
      </c>
      <c r="D84" s="31">
        <f>IFERROR(D$30,"n/a")</f>
        <v/>
      </c>
      <c r="E84" s="31">
        <f>IFERROR(E$30,"n/a")</f>
        <v/>
      </c>
      <c r="F84" s="31">
        <f>IFERROR(F$30,"n/a")</f>
        <v/>
      </c>
      <c r="G84" s="31">
        <f>IFERROR(G$30,"n/a")</f>
        <v/>
      </c>
      <c r="H84" s="31">
        <f>IFERROR(H$30,"n/a")</f>
        <v/>
      </c>
      <c r="I84" s="31">
        <f>IFERROR(I$30,"n/a")</f>
        <v/>
      </c>
    </row>
    <row r="85">
      <c r="A85" s="29" t="inlineStr">
        <is>
          <t>Tài sản vô hình/Giá trị sổ sách</t>
        </is>
      </c>
      <c r="B85" s="30">
        <f>IFERROR(B$30/B$39,"n/a")</f>
        <v/>
      </c>
      <c r="C85" s="30">
        <f>IFERROR(C$30/C$39,"n/a")</f>
        <v/>
      </c>
      <c r="D85" s="30">
        <f>IFERROR(D$30/D$39,"n/a")</f>
        <v/>
      </c>
      <c r="E85" s="30">
        <f>IFERROR(E$30/E$39,"n/a")</f>
        <v/>
      </c>
      <c r="F85" s="30">
        <f>IFERROR(F$30/F$39,"n/a")</f>
        <v/>
      </c>
      <c r="G85" s="30">
        <f>IFERROR(G$30/G$39,"n/a")</f>
        <v/>
      </c>
      <c r="H85" s="30">
        <f>IFERROR(H$30/H$39,"n/a")</f>
        <v/>
      </c>
      <c r="I85" s="30">
        <f>IFERROR(I$30/I$39,"n/a")</f>
        <v/>
      </c>
    </row>
  </sheetData>
  <conditionalFormatting sqref="B6:I6">
    <cfRule type="cellIs" priority="8" operator="greaterThanOrEqual" dxfId="0">
      <formula>0.3</formula>
    </cfRule>
    <cfRule type="cellIs" priority="9" operator="lessThanOrEqual" dxfId="1">
      <formula>0.1</formula>
    </cfRule>
    <cfRule type="cellIs" priority="10" operator="between" dxfId="2">
      <formula>0.1</formula>
      <formula>0.3</formula>
    </cfRule>
  </conditionalFormatting>
  <conditionalFormatting sqref="B8:I8 B11:I11">
    <cfRule type="cellIs" priority="6" operator="lessThanOrEqual" dxfId="0">
      <formula>0.5</formula>
    </cfRule>
  </conditionalFormatting>
  <conditionalFormatting sqref="B14:I14">
    <cfRule type="cellIs" priority="4" operator="lessThanOrEqual" dxfId="0">
      <formula>0.3</formula>
    </cfRule>
    <cfRule type="cellIs" priority="5" operator="greaterThanOrEqual" dxfId="1">
      <formula>0.7</formula>
    </cfRule>
  </conditionalFormatting>
  <conditionalFormatting sqref="B19:I19">
    <cfRule type="cellIs" priority="2" operator="notBetween" dxfId="1">
      <formula>0.02</formula>
      <formula>0.3</formula>
    </cfRule>
    <cfRule type="cellIs" priority="3" operator="between" dxfId="0">
      <formula>0.02</formula>
      <formula>0.3</formula>
    </cfRule>
  </conditionalFormatting>
  <conditionalFormatting sqref="B2:J2">
    <cfRule type="cellIs" priority="14" operator="greaterThanOrEqual" dxfId="0">
      <formula>0.15</formula>
    </cfRule>
    <cfRule type="cellIs" priority="15" operator="lessThan" dxfId="1">
      <formula>0.15</formula>
    </cfRule>
  </conditionalFormatting>
  <conditionalFormatting sqref="B4:J5">
    <cfRule type="cellIs" priority="11" operator="lessThan" dxfId="1">
      <formula>0.1</formula>
    </cfRule>
    <cfRule type="cellIs" priority="12" operator="greaterThanOrEqual" dxfId="0">
      <formula>0.15</formula>
    </cfRule>
    <cfRule type="cellIs" priority="13" operator="between" dxfId="2">
      <formula>0.1</formula>
      <formula>0.15</formula>
    </cfRule>
  </conditionalFormatting>
  <conditionalFormatting sqref="B7:J7">
    <cfRule type="cellIs" priority="7" operator="greaterThanOrEqual" dxfId="0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8.25" customWidth="1" min="1" max="1"/>
    <col width="20" customWidth="1" min="2" max="2"/>
    <col width="19.5" customWidth="1" min="6" max="6"/>
    <col width="9.25" customWidth="1" min="9" max="9"/>
    <col width="8.625" customWidth="1" min="11" max="11"/>
    <col width="11.25" customWidth="1" min="18" max="18"/>
  </cols>
  <sheetData>
    <row r="1" ht="15" customHeight="1">
      <c r="A1" s="34" t="n"/>
      <c r="B1" s="34" t="inlineStr">
        <is>
          <t>Q1/2026</t>
        </is>
      </c>
      <c r="C1" s="34" t="inlineStr">
        <is>
          <t>Q2/2026</t>
        </is>
      </c>
      <c r="D1" s="34" t="inlineStr">
        <is>
          <t>Q3/2026</t>
        </is>
      </c>
      <c r="E1" s="34" t="inlineStr">
        <is>
          <t>Q4/2026</t>
        </is>
      </c>
    </row>
    <row r="2" ht="15" customHeight="1">
      <c r="A2" s="34" t="inlineStr">
        <is>
          <t>Số CP</t>
        </is>
      </c>
      <c r="B2" s="35" t="n">
        <v>8442964520</v>
      </c>
      <c r="C2" s="35" t="n">
        <v>8442964520</v>
      </c>
      <c r="D2" s="35" t="n">
        <v>8442964520</v>
      </c>
      <c r="E2" s="35" t="n">
        <v>8442964520</v>
      </c>
      <c r="F2" s="36" t="n"/>
    </row>
    <row r="3" ht="15" customHeight="1">
      <c r="A3" s="34" t="inlineStr">
        <is>
          <t>Thị giá</t>
        </is>
      </c>
      <c r="B3" s="35" t="n">
        <v>22250</v>
      </c>
      <c r="C3" s="35" t="n">
        <v>22250</v>
      </c>
      <c r="D3" s="35" t="n">
        <v>22250</v>
      </c>
      <c r="E3" s="35" t="n">
        <v>22250</v>
      </c>
      <c r="F3" s="36" t="n"/>
    </row>
    <row r="4" ht="15" customHeight="1">
      <c r="A4" s="34" t="inlineStr">
        <is>
          <t>Vốn hoá</t>
        </is>
      </c>
      <c r="B4" s="35">
        <f>B2*B3</f>
        <v/>
      </c>
      <c r="C4" s="35">
        <f>C2*C3</f>
        <v/>
      </c>
      <c r="D4" s="35">
        <f>D2*D3</f>
        <v/>
      </c>
      <c r="E4" s="35">
        <f>E2*E3</f>
        <v/>
      </c>
      <c r="F4" s="36" t="n"/>
    </row>
    <row r="5" ht="15" customHeight="1"/>
    <row r="6" ht="15" customHeight="1">
      <c r="A6" s="34" t="inlineStr">
        <is>
          <t>VCSH</t>
        </is>
      </c>
      <c r="B6" s="37" t="n">
        <v>139782000000000</v>
      </c>
      <c r="C6" s="37" t="n">
        <v>141516000000000</v>
      </c>
      <c r="D6" s="37">
        <f>B6*(($E$6/$B$6)^(2/3))</f>
        <v/>
      </c>
      <c r="E6" s="37">
        <f>chi_so_tai_chinh!J39</f>
        <v/>
      </c>
      <c r="F6" s="38" t="n"/>
      <c r="G6" s="39" t="n"/>
    </row>
    <row r="7" ht="15" customHeight="1">
      <c r="A7" s="34" t="inlineStr">
        <is>
          <t>LICĐKKS</t>
        </is>
      </c>
      <c r="B7" s="35">
        <f>B6*0.35/100</f>
        <v/>
      </c>
      <c r="C7" s="35">
        <f>C6*0.35/100</f>
        <v/>
      </c>
      <c r="D7" s="35">
        <f>D6*0.35/100</f>
        <v/>
      </c>
      <c r="E7" s="35">
        <f>E6*0.35/100</f>
        <v/>
      </c>
      <c r="F7" s="40" t="n"/>
      <c r="G7" s="40" t="n"/>
    </row>
    <row r="8" ht="15" customHeight="1">
      <c r="A8" s="34" t="inlineStr">
        <is>
          <t>BV</t>
        </is>
      </c>
      <c r="B8" s="37">
        <f>B6-B7</f>
        <v/>
      </c>
      <c r="C8" s="37">
        <f>C6-C7</f>
        <v/>
      </c>
      <c r="D8" s="37">
        <f>D6-D7</f>
        <v/>
      </c>
      <c r="E8" s="37">
        <f>E6-E7</f>
        <v/>
      </c>
      <c r="H8" s="41" t="n"/>
      <c r="I8" s="41" t="n"/>
      <c r="J8" s="41" t="n"/>
    </row>
    <row r="9" ht="15" customHeight="1">
      <c r="A9" s="42" t="inlineStr">
        <is>
          <t>BVPS</t>
        </is>
      </c>
      <c r="B9" s="43">
        <f>B8/B2</f>
        <v/>
      </c>
      <c r="C9" s="43">
        <f>C8/C2</f>
        <v/>
      </c>
      <c r="D9" s="43">
        <f>D8/D2</f>
        <v/>
      </c>
      <c r="E9" s="43">
        <f>E8/E2</f>
        <v/>
      </c>
    </row>
    <row r="10" ht="15" customHeight="1">
      <c r="A10" s="42" t="inlineStr">
        <is>
          <t>PB</t>
        </is>
      </c>
      <c r="B10" s="44">
        <f>$E$3/B9</f>
        <v/>
      </c>
      <c r="C10" s="44">
        <f>$E$3/C9</f>
        <v/>
      </c>
      <c r="D10" s="44">
        <f>$E$3/D9</f>
        <v/>
      </c>
      <c r="E10" s="44">
        <f>$E$3/E9</f>
        <v/>
      </c>
    </row>
    <row r="11" ht="15" customHeight="1">
      <c r="M11" s="41" t="n"/>
      <c r="N11" s="41" t="n"/>
      <c r="O11" s="41" t="n"/>
      <c r="P11" s="41" t="n"/>
      <c r="Q11" s="41" t="n"/>
      <c r="R11" s="41" t="n"/>
    </row>
    <row r="12"/>
    <row r="13"/>
    <row r="14">
      <c r="I14" s="45" t="n"/>
      <c r="J14" s="45" t="n"/>
      <c r="K14" s="45" t="n"/>
      <c r="L14" s="45" t="n"/>
    </row>
    <row r="15"/>
    <row r="16">
      <c r="I16" s="45" t="n"/>
      <c r="J16" s="45" t="n"/>
      <c r="K16" s="45" t="n"/>
      <c r="L16" s="45" t="n"/>
    </row>
    <row r="17"/>
    <row r="18"/>
    <row r="19">
      <c r="M19" s="45" t="n"/>
      <c r="N19" s="45" t="n"/>
      <c r="O19" s="45" t="n"/>
      <c r="P19" s="45" t="n"/>
      <c r="Q19" s="45" t="n"/>
    </row>
    <row r="20"/>
    <row r="21">
      <c r="M21" s="45" t="n"/>
      <c r="N21" s="45" t="n"/>
      <c r="O21" s="45" t="n"/>
      <c r="P21" s="45" t="n"/>
      <c r="Q21" s="4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.375" customWidth="1" min="1" max="1"/>
    <col width="10.125" customWidth="1" min="2" max="2"/>
    <col width="11.125" customWidth="1" min="3" max="3"/>
    <col width="8.625" customWidth="1" min="8" max="8"/>
    <col width="11.25" customWidth="1" min="22" max="22"/>
  </cols>
  <sheetData>
    <row r="1">
      <c r="A1" s="34" t="inlineStr">
        <is>
          <t>Chỉ tiêu</t>
        </is>
      </c>
      <c r="B1" s="34" t="n">
        <v>2020</v>
      </c>
      <c r="C1" s="34" t="n">
        <v>2021</v>
      </c>
      <c r="D1" s="34" t="n">
        <v>2022</v>
      </c>
      <c r="E1" s="34" t="n">
        <v>2023</v>
      </c>
      <c r="F1" s="34" t="n">
        <v>2024</v>
      </c>
      <c r="G1" s="34" t="n">
        <v>2025</v>
      </c>
    </row>
    <row r="2">
      <c r="A2" s="34" t="inlineStr">
        <is>
          <t>Doanh thu kế hoạch</t>
        </is>
      </c>
      <c r="B2" s="35" t="n">
        <v>86000000</v>
      </c>
      <c r="C2" s="35" t="n">
        <v>120000000</v>
      </c>
      <c r="D2" s="35" t="n">
        <v>160000000</v>
      </c>
      <c r="E2" s="35" t="n">
        <v>150000000</v>
      </c>
      <c r="F2" s="35" t="n">
        <v>140000000</v>
      </c>
      <c r="G2" s="35" t="n">
        <v>170000000</v>
      </c>
    </row>
    <row r="3">
      <c r="A3" s="34" t="inlineStr">
        <is>
          <t>Doanh thu thuần về bán hàng và cung cấp dịch vụ</t>
        </is>
      </c>
      <c r="B3" s="35">
        <f>chi_so_tai_chinh!D43/1000000</f>
        <v/>
      </c>
      <c r="C3" s="35">
        <f>chi_so_tai_chinh!E43/1000000</f>
        <v/>
      </c>
      <c r="D3" s="35">
        <f>chi_so_tai_chinh!F43/1000000</f>
        <v/>
      </c>
      <c r="E3" s="35">
        <f>chi_so_tai_chinh!G43/1000000</f>
        <v/>
      </c>
      <c r="F3" s="35">
        <f>chi_so_tai_chinh!H43/1000000</f>
        <v/>
      </c>
      <c r="G3" s="35" t="n"/>
    </row>
    <row r="4">
      <c r="A4" s="34" t="inlineStr">
        <is>
          <t>%thực hiện</t>
        </is>
      </c>
      <c r="B4" s="46">
        <f>B3/B2</f>
        <v/>
      </c>
      <c r="C4" s="46">
        <f>C3/C2</f>
        <v/>
      </c>
      <c r="D4" s="46">
        <f>D3/D2</f>
        <v/>
      </c>
      <c r="E4" s="46">
        <f>E3/E2</f>
        <v/>
      </c>
      <c r="F4" s="46">
        <f>F3/F2</f>
        <v/>
      </c>
      <c r="G4" s="46" t="n"/>
    </row>
    <row r="5">
      <c r="A5" s="34" t="inlineStr">
        <is>
          <t>Lợi nhuận sau thuế kế hoạch</t>
        </is>
      </c>
      <c r="B5" s="35" t="n">
        <v>9000000</v>
      </c>
      <c r="C5" s="35" t="n">
        <v>18000000</v>
      </c>
      <c r="D5" s="35" t="n">
        <v>30000000</v>
      </c>
      <c r="E5" s="35" t="n">
        <v>8000000</v>
      </c>
      <c r="F5" s="35" t="n">
        <v>10000000</v>
      </c>
      <c r="G5" s="35" t="n">
        <v>15000000</v>
      </c>
    </row>
    <row r="6">
      <c r="A6" s="34" t="inlineStr">
        <is>
          <t>Lợi nhuận sau thuế thu nhập doanh nghiệp</t>
        </is>
      </c>
      <c r="B6" s="35">
        <f>chi_so_tai_chinh!D50/1000000</f>
        <v/>
      </c>
      <c r="C6" s="35">
        <f>chi_so_tai_chinh!E50/1000000</f>
        <v/>
      </c>
      <c r="D6" s="35">
        <f>chi_so_tai_chinh!F50/1000000</f>
        <v/>
      </c>
      <c r="E6" s="35">
        <f>chi_so_tai_chinh!G50/1000000</f>
        <v/>
      </c>
      <c r="F6" s="35">
        <f>chi_so_tai_chinh!H50/1000000</f>
        <v/>
      </c>
      <c r="G6" s="35" t="n"/>
    </row>
    <row r="7">
      <c r="A7" s="34" t="inlineStr">
        <is>
          <t>%thực hiện</t>
        </is>
      </c>
      <c r="B7" s="46">
        <f>B6/B5</f>
        <v/>
      </c>
      <c r="C7" s="46">
        <f>C6/C5</f>
        <v/>
      </c>
      <c r="D7" s="46">
        <f>D6/D5</f>
        <v/>
      </c>
      <c r="E7" s="46">
        <f>E6/E5</f>
        <v/>
      </c>
      <c r="F7" s="46">
        <f>F6/F5</f>
        <v/>
      </c>
      <c r="G7" s="46" t="n"/>
    </row>
    <row r="8"/>
    <row r="9">
      <c r="A9" s="34" t="inlineStr">
        <is>
          <t>Trung vị %thực hiện DT</t>
        </is>
      </c>
      <c r="B9" s="46">
        <f>MEDIAN(B4:F4)</f>
        <v/>
      </c>
    </row>
    <row r="10">
      <c r="A10" s="34" t="inlineStr">
        <is>
          <t>Trung vị %thực hiện LNST</t>
        </is>
      </c>
      <c r="B10" s="46">
        <f>MEDIAN(B7:F7)</f>
        <v/>
      </c>
    </row>
    <row r="11"/>
    <row r="12">
      <c r="A12" s="34" t="inlineStr">
        <is>
          <t>Tỷ lệ hoàn thành DT trên 95%</t>
        </is>
      </c>
      <c r="B12" s="46">
        <f>COUNTIF(B4:F4,"&gt;=95%")/COUNT(B4:F4)</f>
        <v/>
      </c>
    </row>
    <row r="13">
      <c r="A13" s="34" t="inlineStr">
        <is>
          <t>Tỷ lệ hoàn thành LNST trên 95%</t>
        </is>
      </c>
      <c r="B13" s="46">
        <f>COUNTIF(B7:F7,"&gt;=95%")/COUNT(B7:F7)</f>
        <v/>
      </c>
    </row>
  </sheetData>
  <conditionalFormatting sqref="B9:B10">
    <cfRule type="cellIs" priority="3" operator="lessThanOrEqual" dxfId="1" stopIfTrue="1">
      <formula>0.9</formula>
    </cfRule>
    <cfRule type="cellIs" priority="4" operator="greaterThanOrEqual" dxfId="0" stopIfTrue="1">
      <formula>0.95</formula>
    </cfRule>
    <cfRule type="cellIs" priority="5" operator="between" dxfId="2">
      <formula>0.9</formula>
      <formula>0.95</formula>
    </cfRule>
  </conditionalFormatting>
  <conditionalFormatting sqref="B12:B13">
    <cfRule type="cellIs" priority="1" operator="lessThan" dxfId="1">
      <formula>0.8</formula>
    </cfRule>
    <cfRule type="cellIs" priority="2" operator="greaterThanOrEqual" dxfId="0">
      <formula>0.8</formula>
    </cfRule>
  </conditionalFormatting>
  <conditionalFormatting sqref="B4:G4 B7:G7">
    <cfRule type="cellIs" priority="6" operator="greaterThanOrEqual" dxfId="3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2026-10-28T04:23:24Z</dcterms:created>
  <dcterms:modified xsi:type="dcterms:W3CDTF">2026-10-28T04:23:24Z</dcterms:modified>
</cp:coreProperties>
</file>
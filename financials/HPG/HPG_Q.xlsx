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0.0%"/>
    <numFmt numFmtId="166" formatCode="#,##0;\(#,##0\);\-"/>
    <numFmt numFmtId="167" formatCode="0.00\x"/>
    <numFmt numFmtId="168" formatCode="_(* #,##0_);_(* \(#,##0\);_(* &quot;-&quot;??_);_(@_)"/>
  </numFmts>
  <fonts count="16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rgb="FF008000"/>
      <sz val="10"/>
    </font>
    <font>
      <name val="Tahoma"/>
      <charset val="1"/>
      <family val="2"/>
      <b val="1"/>
      <color rgb="FF7030A0"/>
      <sz val="10"/>
    </font>
    <font>
      <name val="Tahoma"/>
      <family val="2"/>
      <b val="1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E1F2"/>
        <bgColor rgb="FFCCFF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65" fontId="6" fillId="3" borderId="3" pivotButton="0" quotePrefix="0" xfId="0"/>
    <xf numFmtId="9" fontId="6" fillId="3" borderId="3" pivotButton="0" quotePrefix="0" xfId="0"/>
    <xf numFmtId="0" fontId="7" fillId="3" borderId="3" pivotButton="0" quotePrefix="0" xfId="0"/>
    <xf numFmtId="1" fontId="5" fillId="3" borderId="3" pivotButton="0" quotePrefix="0" xfId="0"/>
    <xf numFmtId="1" fontId="6" fillId="3" borderId="3" pivotButton="0" quotePrefix="0" xfId="0"/>
    <xf numFmtId="0" fontId="4" fillId="4" borderId="0" pivotButton="0" quotePrefix="0" xfId="0"/>
    <xf numFmtId="0" fontId="8" fillId="4" borderId="0" pivotButton="0" quotePrefix="0" xfId="0"/>
    <xf numFmtId="0" fontId="4" fillId="0" borderId="4" pivotButton="0" quotePrefix="0" xfId="0"/>
    <xf numFmtId="1" fontId="4" fillId="0" borderId="4" applyAlignment="1" pivotButton="0" quotePrefix="0" xfId="0">
      <alignment horizontal="center"/>
    </xf>
    <xf numFmtId="0" fontId="7" fillId="0" borderId="4" pivotButton="0" quotePrefix="0" xfId="0"/>
    <xf numFmtId="166" fontId="9" fillId="0" borderId="4" pivotButton="0" quotePrefix="0" xfId="0"/>
    <xf numFmtId="166" fontId="10" fillId="0" borderId="4" pivotButton="0" quotePrefix="0" xfId="0"/>
    <xf numFmtId="0" fontId="11" fillId="0" borderId="4" pivotButton="0" quotePrefix="0" xfId="0"/>
    <xf numFmtId="166" fontId="11" fillId="0" borderId="4" pivotButton="0" quotePrefix="0" xfId="0"/>
    <xf numFmtId="9" fontId="11" fillId="0" borderId="4" pivotButton="0" quotePrefix="0" xfId="0"/>
    <xf numFmtId="166" fontId="11" fillId="0" borderId="0" pivotButton="0" quotePrefix="0" xfId="0"/>
    <xf numFmtId="166" fontId="10" fillId="0" borderId="0" pivotButton="0" quotePrefix="0" xfId="0"/>
    <xf numFmtId="0" fontId="12" fillId="0" borderId="5" pivotButton="0" quotePrefix="0" xfId="0"/>
    <xf numFmtId="0" fontId="12" fillId="0" borderId="4" pivotButton="0" quotePrefix="0" xfId="0"/>
    <xf numFmtId="0" fontId="13" fillId="0" borderId="3" pivotButton="0" quotePrefix="0" xfId="0"/>
    <xf numFmtId="1" fontId="4" fillId="0" borderId="3" applyAlignment="1" pivotButton="0" quotePrefix="0" xfId="0">
      <alignment horizontal="center"/>
    </xf>
    <xf numFmtId="0" fontId="8" fillId="0" borderId="3" pivotButton="0" quotePrefix="0" xfId="0"/>
    <xf numFmtId="165" fontId="8" fillId="0" borderId="3" pivotButton="0" quotePrefix="0" xfId="0"/>
    <xf numFmtId="166" fontId="8" fillId="0" borderId="3" pivotButton="0" quotePrefix="0" xfId="0"/>
    <xf numFmtId="167" fontId="8" fillId="0" borderId="3" pivotButton="0" quotePrefix="0" xfId="0"/>
    <xf numFmtId="1" fontId="8" fillId="0" borderId="3" pivotButton="0" quotePrefix="0" xfId="0"/>
    <xf numFmtId="0" fontId="14" fillId="0" borderId="3" pivotButton="0" quotePrefix="0" xfId="0"/>
    <xf numFmtId="3" fontId="14" fillId="0" borderId="3" pivotButton="0" quotePrefix="0" xfId="0"/>
    <xf numFmtId="3" fontId="14" fillId="0" borderId="0" pivotButton="0" quotePrefix="0" xfId="0"/>
    <xf numFmtId="41" fontId="14" fillId="0" borderId="3" pivotButton="0" quotePrefix="0" xfId="0"/>
    <xf numFmtId="41" fontId="14" fillId="0" borderId="0" pivotButton="0" quotePrefix="0" xfId="0"/>
    <xf numFmtId="43" fontId="14" fillId="0" borderId="0" pivotButton="0" quotePrefix="0" xfId="0"/>
    <xf numFmtId="9" fontId="14" fillId="0" borderId="0" pivotButton="0" quotePrefix="0" xfId="0"/>
    <xf numFmtId="1" fontId="14" fillId="0" borderId="0" pivotButton="0" quotePrefix="0" xfId="0"/>
    <xf numFmtId="0" fontId="15" fillId="0" borderId="3" pivotButton="0" quotePrefix="0" xfId="0"/>
    <xf numFmtId="168" fontId="15" fillId="0" borderId="3" pivotButton="0" quotePrefix="0" xfId="0"/>
    <xf numFmtId="43" fontId="15" fillId="0" borderId="3" pivotButton="0" quotePrefix="0" xfId="0"/>
    <xf numFmtId="0" fontId="15" fillId="0" borderId="0" pivotButton="0" quotePrefix="0" xfId="0"/>
    <xf numFmtId="9" fontId="14" fillId="0" borderId="3" pivotButton="0" quotePrefix="0" xfId="0"/>
  </cellXfs>
  <cellStyles count="1">
    <cellStyle name="Normal" xfId="0" builtinId="0" hidden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  <c r="J2" s="4" t="n">
        <v>80841803394106</v>
      </c>
      <c r="K2" s="4" t="n">
        <v>86674276272995</v>
      </c>
      <c r="L2" s="4" t="n">
        <v>88914195573724</v>
      </c>
      <c r="M2" s="4" t="n">
        <v>97613904938535</v>
      </c>
      <c r="N2" s="4" t="n">
        <v>95425988115582</v>
      </c>
      <c r="O2" s="4" t="n">
        <v>103659402759724</v>
      </c>
      <c r="P2" s="4" t="n">
        <v>104365180994071</v>
      </c>
      <c r="Q2" s="4" t="n">
        <v>119968988853207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  <c r="J3" s="4" t="n">
        <v>8500998079280</v>
      </c>
      <c r="K3" s="4" t="n">
        <v>6887646139852</v>
      </c>
      <c r="L3" s="4" t="n">
        <v>7459035818129</v>
      </c>
      <c r="M3" s="4" t="n">
        <v>10688024277258</v>
      </c>
      <c r="N3" s="4" t="n">
        <v>9092562739415</v>
      </c>
      <c r="O3" s="4" t="n">
        <v>8300890304205</v>
      </c>
      <c r="P3" s="4" t="n">
        <v>11455231038505</v>
      </c>
      <c r="Q3" s="4" t="n">
        <v>9782057360909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  <c r="J4" s="4" t="n">
        <v>2781657706285</v>
      </c>
      <c r="K4" s="4" t="n">
        <v>2919531945908</v>
      </c>
      <c r="L4" s="4" t="n">
        <v>3098950890534</v>
      </c>
      <c r="M4" s="4" t="n">
        <v>3313840111274</v>
      </c>
      <c r="N4" s="4" t="n">
        <v>2690506955882</v>
      </c>
      <c r="O4" s="4" t="n">
        <v>4602047650138</v>
      </c>
      <c r="P4" s="4" t="n">
        <v>3614809922085</v>
      </c>
      <c r="Q4" s="4" t="n">
        <v>2221354791923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  <c r="J5" s="4" t="n">
        <v>5719340372995</v>
      </c>
      <c r="K5" s="4" t="n">
        <v>3968114193944</v>
      </c>
      <c r="L5" s="4" t="n">
        <v>4360084927595</v>
      </c>
      <c r="M5" s="4" t="n">
        <v>7374184165984</v>
      </c>
      <c r="N5" s="4" t="n">
        <v>6402055783533</v>
      </c>
      <c r="O5" s="4" t="n">
        <v>3698842654067</v>
      </c>
      <c r="P5" s="4" t="n">
        <v>7840421116420</v>
      </c>
      <c r="Q5" s="4" t="n">
        <v>7560702568986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  <c r="J7" s="4" t="inlineStr"/>
      <c r="K7" s="4" t="inlineStr"/>
      <c r="L7" s="4" t="inlineStr"/>
      <c r="M7" s="4" t="inlineStr"/>
      <c r="N7" s="4" t="inlineStr"/>
      <c r="O7" s="4" t="inlineStr"/>
      <c r="P7" s="4" t="inlineStr"/>
      <c r="Q7" s="4" t="inlineStr"/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  <c r="J9" s="4" t="n">
        <v>9140948029240</v>
      </c>
      <c r="K9" s="4" t="n">
        <v>7647800286988</v>
      </c>
      <c r="L9" s="4" t="n">
        <v>10856053423195</v>
      </c>
      <c r="M9" s="4" t="n">
        <v>12334925649801</v>
      </c>
      <c r="N9" s="4" t="n">
        <v>13727194725111</v>
      </c>
      <c r="O9" s="4" t="n">
        <v>15042323117690</v>
      </c>
      <c r="P9" s="4" t="n">
        <v>16692782771439</v>
      </c>
      <c r="Q9" s="4" t="n">
        <v>18040238952446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  <c r="J10" s="4" t="n">
        <v>4980712149392</v>
      </c>
      <c r="K10" s="4" t="n">
        <v>4352135419872</v>
      </c>
      <c r="L10" s="4" t="n">
        <v>7405241282190</v>
      </c>
      <c r="M10" s="4" t="n">
        <v>8196017496272</v>
      </c>
      <c r="N10" s="4" t="n">
        <v>7979265010316</v>
      </c>
      <c r="O10" s="4" t="n">
        <v>10971774018235</v>
      </c>
      <c r="P10" s="4" t="n">
        <v>10919196457706</v>
      </c>
      <c r="Q10" s="4" t="n">
        <v>12869807539960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  <c r="J11" s="4" t="n">
        <v>2948440731905</v>
      </c>
      <c r="K11" s="4" t="n">
        <v>2118824427004</v>
      </c>
      <c r="L11" s="4" t="n">
        <v>2349213570061</v>
      </c>
      <c r="M11" s="4" t="n">
        <v>2755989948090</v>
      </c>
      <c r="N11" s="4" t="n">
        <v>4219935549920</v>
      </c>
      <c r="O11" s="4" t="n">
        <v>1878084035938</v>
      </c>
      <c r="P11" s="4" t="n">
        <v>3188267235957</v>
      </c>
      <c r="Q11" s="4" t="n">
        <v>3362889032465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  <c r="J14" s="4" t="n">
        <v>938808369599</v>
      </c>
      <c r="K14" s="4" t="n">
        <v>1248992845378</v>
      </c>
      <c r="L14" s="4" t="n">
        <v>1170323249843</v>
      </c>
      <c r="M14" s="4" t="n">
        <v>1443182617677</v>
      </c>
      <c r="N14" s="4" t="n">
        <v>1614044195296</v>
      </c>
      <c r="O14" s="4" t="n">
        <v>2318283126429</v>
      </c>
      <c r="P14" s="4" t="n">
        <v>2710787542005</v>
      </c>
      <c r="Q14" s="4" t="n">
        <v>1933150942736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  <c r="J15" s="4" t="n">
        <v>-46670304885</v>
      </c>
      <c r="K15" s="4" t="n">
        <v>-159993736285</v>
      </c>
      <c r="L15" s="4" t="n">
        <v>-158638815710</v>
      </c>
      <c r="M15" s="4" t="n">
        <v>-157971873885</v>
      </c>
      <c r="N15" s="4" t="n">
        <v>-158272660342</v>
      </c>
      <c r="O15" s="4" t="n">
        <v>-132548698812</v>
      </c>
      <c r="P15" s="4" t="n">
        <v>-132284501806</v>
      </c>
      <c r="Q15" s="4" t="n">
        <v>-132596386675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  <c r="J16" s="4" t="n">
        <v>40197821463879</v>
      </c>
      <c r="K16" s="4" t="n">
        <v>46091222189472</v>
      </c>
      <c r="L16" s="4" t="n">
        <v>46603844415849</v>
      </c>
      <c r="M16" s="4" t="n">
        <v>48853408114115</v>
      </c>
      <c r="N16" s="4" t="n">
        <v>45623656431728</v>
      </c>
      <c r="O16" s="4" t="n">
        <v>52828227344442</v>
      </c>
      <c r="P16" s="4" t="n">
        <v>43515585272210</v>
      </c>
      <c r="Q16" s="4" t="n">
        <v>55607877088316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  <c r="J17" s="4" t="n">
        <v>40480715224028</v>
      </c>
      <c r="K17" s="4" t="n">
        <v>46192292081813</v>
      </c>
      <c r="L17" s="4" t="n">
        <v>46713899534932</v>
      </c>
      <c r="M17" s="4" t="n">
        <v>48900263257832</v>
      </c>
      <c r="N17" s="4" t="n">
        <v>45675711221795</v>
      </c>
      <c r="O17" s="4" t="n">
        <v>52892273238885</v>
      </c>
      <c r="P17" s="4" t="n">
        <v>43571823623004</v>
      </c>
      <c r="Q17" s="4" t="n">
        <v>55683418417281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  <c r="J18" s="4" t="n">
        <v>-282893760149</v>
      </c>
      <c r="K18" s="4" t="n">
        <v>-101069892341</v>
      </c>
      <c r="L18" s="4" t="n">
        <v>-110055119083</v>
      </c>
      <c r="M18" s="4" t="n">
        <v>-46855143717</v>
      </c>
      <c r="N18" s="4" t="n">
        <v>-52054790067</v>
      </c>
      <c r="O18" s="4" t="n">
        <v>-64045894443</v>
      </c>
      <c r="P18" s="4" t="n">
        <v>-56238350794</v>
      </c>
      <c r="Q18" s="4" t="n">
        <v>-75541328965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  <c r="J20" s="4" t="n">
        <v>485174823842</v>
      </c>
      <c r="K20" s="4" t="n">
        <v>426149499088</v>
      </c>
      <c r="L20" s="4" t="n">
        <v>367887843650</v>
      </c>
      <c r="M20" s="4" t="n">
        <v>504036542519</v>
      </c>
      <c r="N20" s="4" t="n">
        <v>688785036932</v>
      </c>
      <c r="O20" s="4" t="n">
        <v>567293994902</v>
      </c>
      <c r="P20" s="4" t="n">
        <v>458681515183</v>
      </c>
      <c r="Q20" s="4" t="n">
        <v>747303014945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  <c r="J21" s="4" t="n">
        <v>6119907210099</v>
      </c>
      <c r="K21" s="4" t="n">
        <v>6636666459154</v>
      </c>
      <c r="L21" s="4" t="n">
        <v>7402341146235</v>
      </c>
      <c r="M21" s="4" t="n">
        <v>7643786214753</v>
      </c>
      <c r="N21" s="4" t="n">
        <v>7385421034849</v>
      </c>
      <c r="O21" s="4" t="n">
        <v>7429884133408</v>
      </c>
      <c r="P21" s="4" t="n">
        <v>7523425573937</v>
      </c>
      <c r="Q21" s="4" t="n">
        <v>7834764352766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  <c r="J22" s="4" t="n">
        <v>10150638821</v>
      </c>
      <c r="K22" s="4" t="n">
        <v>10074967536</v>
      </c>
      <c r="L22" s="4" t="n">
        <v>12522814414</v>
      </c>
      <c r="M22" s="4" t="n">
        <v>5696703666</v>
      </c>
      <c r="N22" s="4" t="n">
        <v>4419092905</v>
      </c>
      <c r="O22" s="4" t="n">
        <v>6371103672</v>
      </c>
      <c r="P22" s="4" t="n">
        <v>11832647902</v>
      </c>
      <c r="Q22" s="4" t="n">
        <v>9542625532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  <c r="J23" s="4" t="inlineStr"/>
      <c r="K23" s="4" t="inlineStr"/>
      <c r="L23" s="4" t="inlineStr"/>
      <c r="M23" s="4" t="inlineStr"/>
      <c r="N23" s="4" t="inlineStr"/>
      <c r="O23" s="4" t="inlineStr"/>
      <c r="P23" s="4" t="inlineStr"/>
      <c r="Q23" s="4" t="inlineStr"/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  <c r="J24" s="4" t="n">
        <v>130544540534012</v>
      </c>
      <c r="K24" s="4" t="n">
        <v>137815431280986</v>
      </c>
      <c r="L24" s="4" t="n">
        <v>139947392214583</v>
      </c>
      <c r="M24" s="4" t="n">
        <v>144610625980515</v>
      </c>
      <c r="N24" s="4" t="n">
        <v>150745350172070</v>
      </c>
      <c r="O24" s="4" t="n">
        <v>154239798057823</v>
      </c>
      <c r="P24" s="4" t="n">
        <v>154962319211157</v>
      </c>
      <c r="Q24" s="4" t="n">
        <v>158960797394565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  <c r="J25" s="4" t="n">
        <v>1031145036427</v>
      </c>
      <c r="K25" s="4" t="n">
        <v>923400123614</v>
      </c>
      <c r="L25" s="4" t="n">
        <v>920743791614</v>
      </c>
      <c r="M25" s="4" t="n">
        <v>900453913211</v>
      </c>
      <c r="N25" s="4" t="n">
        <v>849788287676</v>
      </c>
      <c r="O25" s="4" t="n">
        <v>290327516308</v>
      </c>
      <c r="P25" s="4" t="n">
        <v>548069920526</v>
      </c>
      <c r="Q25" s="4" t="n">
        <v>2142595494949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  <c r="J28" s="4" t="n">
        <v>841682562478</v>
      </c>
      <c r="K28" s="4" t="n">
        <v>840594835822</v>
      </c>
      <c r="L28" s="4" t="n">
        <v>848015622228</v>
      </c>
      <c r="M28" s="4" t="n">
        <v>827053815447</v>
      </c>
      <c r="N28" s="4" t="n">
        <v>825562606009</v>
      </c>
      <c r="O28" s="4" t="n">
        <v>248919079879</v>
      </c>
      <c r="P28" s="4" t="n">
        <v>508303099491</v>
      </c>
      <c r="Q28" s="4" t="n">
        <v>2107205522415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  <c r="O29" s="4" t="n">
        <v>0</v>
      </c>
      <c r="P29" s="4" t="n">
        <v>0</v>
      </c>
      <c r="Q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  <c r="J30" s="4" t="n">
        <v>68475648874477</v>
      </c>
      <c r="K30" s="4" t="n">
        <v>67428366953514</v>
      </c>
      <c r="L30" s="4" t="n">
        <v>85838135705767</v>
      </c>
      <c r="M30" s="4" t="n">
        <v>65302976358571</v>
      </c>
      <c r="N30" s="4" t="n">
        <v>104711263391250</v>
      </c>
      <c r="O30" s="4" t="n">
        <v>133608057859977</v>
      </c>
      <c r="P30" s="4" t="n">
        <v>134574365284040</v>
      </c>
      <c r="Q30" s="4" t="n">
        <v>132716228895558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  <c r="J31" s="4" t="n">
        <v>68286049668351</v>
      </c>
      <c r="K31" s="4" t="n">
        <v>67244150975048</v>
      </c>
      <c r="L31" s="4" t="n">
        <v>85662860787586</v>
      </c>
      <c r="M31" s="4" t="n">
        <v>65120521330076</v>
      </c>
      <c r="N31" s="4" t="n">
        <v>104533248655101</v>
      </c>
      <c r="O31" s="4" t="n">
        <v>133420846696083</v>
      </c>
      <c r="P31" s="4" t="n">
        <v>134372566192062</v>
      </c>
      <c r="Q31" s="4" t="n">
        <v>132512652285273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  <c r="J32" s="4" t="n">
        <v>108153947400446</v>
      </c>
      <c r="K32" s="4" t="n">
        <v>108146566348954</v>
      </c>
      <c r="L32" s="4" t="n">
        <v>128260224636169</v>
      </c>
      <c r="M32" s="4" t="n">
        <v>109249187040644</v>
      </c>
      <c r="N32" s="4" t="n">
        <v>150704510599924</v>
      </c>
      <c r="O32" s="4" t="n">
        <v>182308655292963</v>
      </c>
      <c r="P32" s="4" t="n">
        <v>185925994763538</v>
      </c>
      <c r="Q32" s="4" t="n">
        <v>186818108004847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  <c r="J33" s="4" t="n">
        <v>-39867897732095</v>
      </c>
      <c r="K33" s="4" t="n">
        <v>-40902415373906</v>
      </c>
      <c r="L33" s="4" t="n">
        <v>-42597363848583</v>
      </c>
      <c r="M33" s="4" t="n">
        <v>-44128665710568</v>
      </c>
      <c r="N33" s="4" t="n">
        <v>-46171261944823</v>
      </c>
      <c r="O33" s="4" t="n">
        <v>-48887808596880</v>
      </c>
      <c r="P33" s="4" t="n">
        <v>-51553428571476</v>
      </c>
      <c r="Q33" s="4" t="n">
        <v>-54305455719574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  <c r="N36" s="4" t="n">
        <v>0</v>
      </c>
      <c r="O36" s="4" t="n">
        <v>0</v>
      </c>
      <c r="P36" s="4" t="n">
        <v>0</v>
      </c>
      <c r="Q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  <c r="J37" s="4" t="n">
        <v>189599206126</v>
      </c>
      <c r="K37" s="4" t="n">
        <v>184215978466</v>
      </c>
      <c r="L37" s="4" t="n">
        <v>175274918181</v>
      </c>
      <c r="M37" s="4" t="n">
        <v>182455028495</v>
      </c>
      <c r="N37" s="4" t="n">
        <v>178014736149</v>
      </c>
      <c r="O37" s="4" t="n">
        <v>187211163894</v>
      </c>
      <c r="P37" s="4" t="n">
        <v>201799091978</v>
      </c>
      <c r="Q37" s="4" t="n">
        <v>203576610285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  <c r="J38" s="4" t="n">
        <v>363040543847</v>
      </c>
      <c r="K38" s="4" t="n">
        <v>367057604707</v>
      </c>
      <c r="L38" s="4" t="n">
        <v>366800991165</v>
      </c>
      <c r="M38" s="4" t="n">
        <v>380435441707</v>
      </c>
      <c r="N38" s="4" t="n">
        <v>380729191707</v>
      </c>
      <c r="O38" s="4" t="n">
        <v>394755577407</v>
      </c>
      <c r="P38" s="4" t="n">
        <v>413498333677</v>
      </c>
      <c r="Q38" s="4" t="n">
        <v>421524406409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  <c r="J39" s="4" t="n">
        <v>-173441337721</v>
      </c>
      <c r="K39" s="4" t="n">
        <v>-182841626241</v>
      </c>
      <c r="L39" s="4" t="n">
        <v>-191526072984</v>
      </c>
      <c r="M39" s="4" t="n">
        <v>-197980413212</v>
      </c>
      <c r="N39" s="4" t="n">
        <v>-202714455558</v>
      </c>
      <c r="O39" s="4" t="n">
        <v>-207544413513</v>
      </c>
      <c r="P39" s="4" t="n">
        <v>-211699241699</v>
      </c>
      <c r="Q39" s="4" t="n">
        <v>-217947796124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  <c r="J41" s="4" t="n">
        <v>568026681070</v>
      </c>
      <c r="K41" s="4" t="n">
        <v>559598463093</v>
      </c>
      <c r="L41" s="4" t="n">
        <v>552837241998</v>
      </c>
      <c r="M41" s="4" t="n">
        <v>544375244149</v>
      </c>
      <c r="N41" s="4" t="n">
        <v>536668864862</v>
      </c>
      <c r="O41" s="4" t="n">
        <v>528191122247</v>
      </c>
      <c r="P41" s="4" t="n">
        <v>519713379632</v>
      </c>
      <c r="Q41" s="4" t="n">
        <v>511235637028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  <c r="J42" s="4" t="n">
        <v>860171015615</v>
      </c>
      <c r="K42" s="4" t="n">
        <v>860549015615</v>
      </c>
      <c r="L42" s="4" t="n">
        <v>862627015615</v>
      </c>
      <c r="M42" s="4" t="n">
        <v>862878515615</v>
      </c>
      <c r="N42" s="4" t="n">
        <v>863635594434</v>
      </c>
      <c r="O42" s="4" t="n">
        <v>863635594434</v>
      </c>
      <c r="P42" s="4" t="n">
        <v>850896124504</v>
      </c>
      <c r="Q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  <c r="J43" s="4" t="n">
        <v>-292144334545</v>
      </c>
      <c r="K43" s="4" t="n">
        <v>-300950552522</v>
      </c>
      <c r="L43" s="4" t="n">
        <v>-309789773617</v>
      </c>
      <c r="M43" s="4" t="n">
        <v>-318503271466</v>
      </c>
      <c r="N43" s="4" t="n">
        <v>-326966729572</v>
      </c>
      <c r="O43" s="4" t="n">
        <v>-335444472187</v>
      </c>
      <c r="P43" s="4" t="n">
        <v>-331182744872</v>
      </c>
      <c r="Q43" s="4" t="n">
        <v>-352399957406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  <c r="J44" s="4" t="n">
        <v>136500000000</v>
      </c>
      <c r="K44" s="4" t="n">
        <v>136500000000</v>
      </c>
      <c r="L44" s="4" t="n">
        <v>0</v>
      </c>
      <c r="M44" s="4" t="n">
        <v>0</v>
      </c>
      <c r="N44" s="4" t="n">
        <v>300000000</v>
      </c>
      <c r="O44" s="4" t="n">
        <v>2248000000000</v>
      </c>
      <c r="P44" s="4" t="n">
        <v>1860315612782</v>
      </c>
      <c r="Q44" s="4" t="n">
        <v>1920000000000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0</v>
      </c>
      <c r="M46" s="4" t="n">
        <v>0</v>
      </c>
      <c r="N46" s="4" t="n">
        <v>0</v>
      </c>
      <c r="O46" s="4" t="n">
        <v>0</v>
      </c>
      <c r="P46" s="4" t="n">
        <v>1860315612782</v>
      </c>
      <c r="Q46" s="4" t="n">
        <v>1920000000000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0</v>
      </c>
      <c r="P47" s="4" t="n">
        <v>0</v>
      </c>
      <c r="Q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  <c r="J50" s="4" t="n">
        <v>4642778670407</v>
      </c>
      <c r="K50" s="4" t="n">
        <v>5016848415359</v>
      </c>
      <c r="L50" s="4" t="n">
        <v>5015366006415</v>
      </c>
      <c r="M50" s="4" t="n">
        <v>5041262109917</v>
      </c>
      <c r="N50" s="4" t="n">
        <v>5079772440151</v>
      </c>
      <c r="O50" s="4" t="n">
        <v>6695330188319</v>
      </c>
      <c r="P50" s="4" t="n">
        <v>6552910435885</v>
      </c>
      <c r="Q50" s="4" t="n">
        <v>6857002487069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  <c r="J51" s="4" t="n">
        <v>4347213561931</v>
      </c>
      <c r="K51" s="4" t="n">
        <v>4269141694868</v>
      </c>
      <c r="L51" s="4" t="n">
        <v>4261916994097</v>
      </c>
      <c r="M51" s="4" t="n">
        <v>4338725174159</v>
      </c>
      <c r="N51" s="4" t="n">
        <v>4390536576181</v>
      </c>
      <c r="O51" s="4" t="n">
        <v>6003628755787</v>
      </c>
      <c r="P51" s="4" t="n">
        <v>5906104404742</v>
      </c>
      <c r="Q51" s="4" t="n">
        <v>6081562755328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  <c r="J52" s="4" t="n">
        <v>29464276717</v>
      </c>
      <c r="K52" s="4" t="n">
        <v>29268483140</v>
      </c>
      <c r="L52" s="4" t="n">
        <v>29076465309</v>
      </c>
      <c r="M52" s="4" t="n">
        <v>29665463669</v>
      </c>
      <c r="N52" s="4" t="n">
        <v>30296581076</v>
      </c>
      <c r="O52" s="4" t="n">
        <v>31013808361</v>
      </c>
      <c r="P52" s="4" t="n">
        <v>31223696682</v>
      </c>
      <c r="Q52" s="4" t="n">
        <v>27938594552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48488200093</v>
      </c>
      <c r="Q53" s="4" t="n">
        <v>45463214767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  <c r="J54" s="4" t="n">
        <v>211386343928118</v>
      </c>
      <c r="K54" s="4" t="n">
        <v>224489707553981</v>
      </c>
      <c r="L54" s="4" t="n">
        <v>228861587788307</v>
      </c>
      <c r="M54" s="4" t="n">
        <v>242224530919050</v>
      </c>
      <c r="N54" s="4" t="n">
        <v>246171338287652</v>
      </c>
      <c r="O54" s="4" t="n">
        <v>257899200817547</v>
      </c>
      <c r="P54" s="4" t="n">
        <v>259327500205228</v>
      </c>
      <c r="Q54" s="4" t="n">
        <v>278929786247772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  <c r="J55" s="4" t="n">
        <v>99607246691658</v>
      </c>
      <c r="K55" s="4" t="n">
        <v>109842249570282</v>
      </c>
      <c r="L55" s="4" t="n">
        <v>110864708699178</v>
      </c>
      <c r="M55" s="4" t="n">
        <v>119865026005768</v>
      </c>
      <c r="N55" s="4" t="n">
        <v>118655326188383</v>
      </c>
      <c r="O55" s="4" t="n">
        <v>126679189940972</v>
      </c>
      <c r="P55" s="4" t="n">
        <v>119545707998756</v>
      </c>
      <c r="Q55" s="4" t="n">
        <v>137413759457075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  <c r="J56" s="4" t="n">
        <v>68995125104046</v>
      </c>
      <c r="K56" s="4" t="n">
        <v>75225243262689</v>
      </c>
      <c r="L56" s="4" t="n">
        <v>77298523955478</v>
      </c>
      <c r="M56" s="4" t="n">
        <v>86427453449629</v>
      </c>
      <c r="N56" s="4" t="n">
        <v>83163272833172</v>
      </c>
      <c r="O56" s="4" t="n">
        <v>94186268324508</v>
      </c>
      <c r="P56" s="4" t="n">
        <v>86369839061570</v>
      </c>
      <c r="Q56" s="4" t="n">
        <v>105037075079739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  <c r="J57" s="4" t="n">
        <v>54180722680952</v>
      </c>
      <c r="K57" s="4" t="n">
        <v>55882686213459</v>
      </c>
      <c r="L57" s="4" t="n">
        <v>61784512821075</v>
      </c>
      <c r="M57" s="4" t="n">
        <v>66692028477152</v>
      </c>
      <c r="N57" s="4" t="n">
        <v>68482383626253</v>
      </c>
      <c r="O57" s="4" t="n">
        <v>64694957245143</v>
      </c>
      <c r="P57" s="4" t="n">
        <v>62799568273773</v>
      </c>
      <c r="Q57" s="4" t="n">
        <v>71433383400905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  <c r="J58" s="4" t="n">
        <v>9950657828696</v>
      </c>
      <c r="K58" s="4" t="n">
        <v>14046841160127</v>
      </c>
      <c r="L58" s="4" t="n">
        <v>11710046001326</v>
      </c>
      <c r="M58" s="4" t="n">
        <v>15136410953706</v>
      </c>
      <c r="N58" s="4" t="n">
        <v>8529818586842</v>
      </c>
      <c r="O58" s="4" t="n">
        <v>21183376049432</v>
      </c>
      <c r="P58" s="4" t="n">
        <v>17164200903296</v>
      </c>
      <c r="Q58" s="4" t="n">
        <v>26690134352803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  <c r="J59" s="4" t="n">
        <v>440576623880</v>
      </c>
      <c r="K59" s="4" t="n">
        <v>739178306553</v>
      </c>
      <c r="L59" s="4" t="n">
        <v>570631436241</v>
      </c>
      <c r="M59" s="4" t="n">
        <v>306667783670</v>
      </c>
      <c r="N59" s="4" t="n">
        <v>619205121131</v>
      </c>
      <c r="O59" s="4" t="n">
        <v>839645735088</v>
      </c>
      <c r="P59" s="4" t="n">
        <v>1667092509362</v>
      </c>
      <c r="Q59" s="4" t="n">
        <v>914378130783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  <c r="J60" s="4" t="n">
        <v>1438519795665</v>
      </c>
      <c r="K60" s="4" t="n">
        <v>1743411429415</v>
      </c>
      <c r="L60" s="4" t="n">
        <v>598699176814</v>
      </c>
      <c r="M60" s="4" t="n">
        <v>1381630142757</v>
      </c>
      <c r="N60" s="4" t="n">
        <v>2106828051547</v>
      </c>
      <c r="O60" s="4" t="n">
        <v>2377396188571</v>
      </c>
      <c r="P60" s="4" t="n">
        <v>1909521507440</v>
      </c>
      <c r="Q60" s="4" t="n">
        <v>2644753151956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  <c r="J61" s="4" t="n">
        <v>277438336855</v>
      </c>
      <c r="K61" s="4" t="n">
        <v>890893543298</v>
      </c>
      <c r="L61" s="4" t="n">
        <v>284189911532</v>
      </c>
      <c r="M61" s="4" t="n">
        <v>272364201644</v>
      </c>
      <c r="N61" s="4" t="n">
        <v>317735935434</v>
      </c>
      <c r="O61" s="4" t="n">
        <v>995918246781</v>
      </c>
      <c r="P61" s="4" t="n">
        <v>343809506691</v>
      </c>
      <c r="Q61" s="4" t="n">
        <v>344544994396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  <c r="J62" s="4" t="n">
        <v>1078411787488</v>
      </c>
      <c r="K62" s="4" t="n">
        <v>682112072502</v>
      </c>
      <c r="L62" s="4" t="n">
        <v>947037881276</v>
      </c>
      <c r="M62" s="4" t="n">
        <v>1119741083109</v>
      </c>
      <c r="N62" s="4" t="n">
        <v>1399310566535</v>
      </c>
      <c r="O62" s="4" t="n">
        <v>939347023380</v>
      </c>
      <c r="P62" s="4" t="n">
        <v>1300632191974</v>
      </c>
      <c r="Q62" s="4" t="n">
        <v>1741405043384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4" t="n">
        <v>0</v>
      </c>
      <c r="N63" s="4" t="n">
        <v>0</v>
      </c>
      <c r="O63" s="4" t="n">
        <v>0</v>
      </c>
      <c r="P63" s="4" t="n">
        <v>0</v>
      </c>
      <c r="Q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  <c r="K64" s="4" t="n">
        <v>0</v>
      </c>
      <c r="L64" s="4" t="n">
        <v>0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  <c r="J65" s="4" t="n">
        <v>245557195543</v>
      </c>
      <c r="K65" s="4" t="n">
        <v>188076845190</v>
      </c>
      <c r="L65" s="4" t="n">
        <v>525839075832</v>
      </c>
      <c r="M65" s="4" t="n">
        <v>305807445331</v>
      </c>
      <c r="N65" s="4" t="n">
        <v>544878875265</v>
      </c>
      <c r="O65" s="4" t="n">
        <v>2011792352575</v>
      </c>
      <c r="P65" s="4" t="n">
        <v>348247387218</v>
      </c>
      <c r="Q65" s="4" t="n">
        <v>414382997288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  <c r="J66" s="4" t="n">
        <v>11253194472</v>
      </c>
      <c r="K66" s="4" t="n">
        <v>13672830889</v>
      </c>
      <c r="L66" s="4" t="n">
        <v>15092031400</v>
      </c>
      <c r="M66" s="4" t="n">
        <v>15105856400</v>
      </c>
      <c r="N66" s="4" t="n">
        <v>11901191883</v>
      </c>
      <c r="O66" s="4" t="n">
        <v>15437227372</v>
      </c>
      <c r="P66" s="4" t="n">
        <v>14183287772</v>
      </c>
      <c r="Q66" s="4" t="n">
        <v>15501183193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  <c r="J67" s="4" t="n">
        <v>1179261489728</v>
      </c>
      <c r="K67" s="4" t="n">
        <v>1027310381825</v>
      </c>
      <c r="L67" s="4" t="n">
        <v>806996402371</v>
      </c>
      <c r="M67" s="4" t="n">
        <v>1162748596302</v>
      </c>
      <c r="N67" s="4" t="n">
        <v>1105148450487</v>
      </c>
      <c r="O67" s="4" t="n">
        <v>975878976922</v>
      </c>
      <c r="P67" s="4" t="n">
        <v>756461165051</v>
      </c>
      <c r="Q67" s="4" t="n">
        <v>773058323325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  <c r="J68" s="4" t="n">
        <v>30612121587612</v>
      </c>
      <c r="K68" s="4" t="n">
        <v>34617006307593</v>
      </c>
      <c r="L68" s="4" t="n">
        <v>33566184743700</v>
      </c>
      <c r="M68" s="4" t="n">
        <v>33437572556139</v>
      </c>
      <c r="N68" s="4" t="n">
        <v>35492053355211</v>
      </c>
      <c r="O68" s="4" t="n">
        <v>32492921616464</v>
      </c>
      <c r="P68" s="4" t="n">
        <v>33175868937186</v>
      </c>
      <c r="Q68" s="4" t="n">
        <v>32376684377336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  <c r="J69" s="4" t="n">
        <v>4947006155870</v>
      </c>
      <c r="K69" s="4" t="n">
        <v>6283630279040</v>
      </c>
      <c r="L69" s="4" t="n">
        <v>5024630453715</v>
      </c>
      <c r="M69" s="4" t="n">
        <v>5283480679370</v>
      </c>
      <c r="N69" s="4" t="n">
        <v>6536812369874</v>
      </c>
      <c r="O69" s="4" t="n">
        <v>4237943510056</v>
      </c>
      <c r="P69" s="4" t="n">
        <v>4560807796384</v>
      </c>
      <c r="Q69" s="4" t="n">
        <v>4501957266856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  <c r="J70" s="4" t="n">
        <v>0</v>
      </c>
      <c r="K70" s="4" t="n">
        <v>0</v>
      </c>
      <c r="L70" s="4" t="n">
        <v>0</v>
      </c>
      <c r="M70" s="4" t="n">
        <v>0</v>
      </c>
      <c r="N70" s="4" t="n">
        <v>0</v>
      </c>
      <c r="O70" s="4" t="n">
        <v>0</v>
      </c>
      <c r="P70" s="4" t="n">
        <v>0</v>
      </c>
      <c r="Q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  <c r="J71" s="4" t="n">
        <v>13402259250</v>
      </c>
      <c r="K71" s="4" t="n">
        <v>12476505170</v>
      </c>
      <c r="L71" s="4" t="n">
        <v>12556505170</v>
      </c>
      <c r="M71" s="4" t="n">
        <v>13956239004</v>
      </c>
      <c r="N71" s="4" t="n">
        <v>15398264650</v>
      </c>
      <c r="O71" s="4" t="n">
        <v>18032488855</v>
      </c>
      <c r="P71" s="4" t="n">
        <v>18115247699</v>
      </c>
      <c r="Q71" s="4" t="n">
        <v>19546428655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  <c r="J72" s="4" t="n">
        <v>24517626484538</v>
      </c>
      <c r="K72" s="4" t="n">
        <v>27080443256096</v>
      </c>
      <c r="L72" s="4" t="n">
        <v>27256965869238</v>
      </c>
      <c r="M72" s="4" t="n">
        <v>27312288660990</v>
      </c>
      <c r="N72" s="4" t="n">
        <v>28356095137594</v>
      </c>
      <c r="O72" s="4" t="n">
        <v>27479194057074</v>
      </c>
      <c r="P72" s="4" t="n">
        <v>27817253418546</v>
      </c>
      <c r="Q72" s="4" t="n">
        <v>27096593831648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  <c r="J73" s="4" t="inlineStr"/>
      <c r="K73" s="4" t="inlineStr"/>
      <c r="L73" s="4" t="inlineStr"/>
      <c r="M73" s="4" t="inlineStr"/>
      <c r="N73" s="4" t="inlineStr"/>
      <c r="O73" s="4" t="inlineStr"/>
      <c r="P73" s="4" t="inlineStr"/>
      <c r="Q73" s="4" t="inlineStr"/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  <c r="J74" s="4" t="n">
        <v>0</v>
      </c>
      <c r="K74" s="4" t="n">
        <v>0</v>
      </c>
      <c r="L74" s="4" t="n">
        <v>0</v>
      </c>
      <c r="M74" s="4" t="n">
        <v>0</v>
      </c>
      <c r="N74" s="4" t="n">
        <v>0</v>
      </c>
      <c r="O74" s="4" t="n">
        <v>0</v>
      </c>
      <c r="P74" s="4" t="n">
        <v>0</v>
      </c>
      <c r="Q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  <c r="J75" s="4" t="n">
        <v>62449868760</v>
      </c>
      <c r="K75" s="4" t="n">
        <v>67495546940</v>
      </c>
      <c r="L75" s="4" t="n">
        <v>68073293346</v>
      </c>
      <c r="M75" s="4" t="n">
        <v>125073293346</v>
      </c>
      <c r="N75" s="4" t="n">
        <v>79659762484</v>
      </c>
      <c r="O75" s="4" t="n">
        <v>119373951692</v>
      </c>
      <c r="P75" s="4" t="n">
        <v>122633161280</v>
      </c>
      <c r="Q75" s="4" t="n">
        <v>128615967000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  <c r="J76" s="4" t="n">
        <v>174647128</v>
      </c>
      <c r="K76" s="4" t="n">
        <v>0</v>
      </c>
      <c r="L76" s="4" t="n">
        <v>0</v>
      </c>
      <c r="M76" s="4" t="n">
        <v>0</v>
      </c>
      <c r="N76" s="4" t="n">
        <v>0</v>
      </c>
      <c r="O76" s="4" t="n">
        <v>0</v>
      </c>
      <c r="P76" s="4" t="n">
        <v>0</v>
      </c>
      <c r="Q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0</v>
      </c>
      <c r="M77" s="4" t="n">
        <v>0</v>
      </c>
      <c r="N77" s="4" t="n">
        <v>0</v>
      </c>
      <c r="O77" s="4" t="n">
        <v>0</v>
      </c>
      <c r="P77" s="4" t="n">
        <v>0</v>
      </c>
      <c r="Q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  <c r="J78" s="4" t="n">
        <v>111779097236460</v>
      </c>
      <c r="K78" s="4" t="n">
        <v>114647457983699</v>
      </c>
      <c r="L78" s="4" t="n">
        <v>117996879089129</v>
      </c>
      <c r="M78" s="4" t="n">
        <v>122359504913282</v>
      </c>
      <c r="N78" s="4" t="n">
        <v>127516012099269</v>
      </c>
      <c r="O78" s="4" t="n">
        <v>131220010876575</v>
      </c>
      <c r="P78" s="4" t="n">
        <v>139781792206472</v>
      </c>
      <c r="Q78" s="4" t="n">
        <v>141516026790697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  <c r="J79" s="4" t="n">
        <v>111779097236460</v>
      </c>
      <c r="K79" s="4" t="n">
        <v>114647457983699</v>
      </c>
      <c r="L79" s="4" t="n">
        <v>117996879089129</v>
      </c>
      <c r="M79" s="4" t="n">
        <v>122359504913282</v>
      </c>
      <c r="N79" s="4" t="n">
        <v>127516012099269</v>
      </c>
      <c r="O79" s="4" t="n">
        <v>131220010876575</v>
      </c>
      <c r="P79" s="4" t="n">
        <v>139781792206472</v>
      </c>
      <c r="Q79" s="4" t="n">
        <v>141516026790697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  <c r="J80" s="4" t="n">
        <v>63962502000000</v>
      </c>
      <c r="K80" s="4" t="n">
        <v>63962502000000</v>
      </c>
      <c r="L80" s="4" t="n">
        <v>63962502000000</v>
      </c>
      <c r="M80" s="4" t="n">
        <v>63962502000000</v>
      </c>
      <c r="N80" s="4" t="n">
        <v>76754658550000</v>
      </c>
      <c r="O80" s="4" t="n">
        <v>76754658550000</v>
      </c>
      <c r="P80" s="4" t="n">
        <v>76754658550000</v>
      </c>
      <c r="Q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0</v>
      </c>
      <c r="M81" s="4" t="n">
        <v>0</v>
      </c>
      <c r="N81" s="4" t="n">
        <v>0</v>
      </c>
      <c r="O81" s="4" t="n">
        <v>0</v>
      </c>
      <c r="P81" s="4" t="n">
        <v>911866210000</v>
      </c>
      <c r="Q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  <c r="L82" s="4" t="n">
        <v>0</v>
      </c>
      <c r="M82" s="4" t="n">
        <v>0</v>
      </c>
      <c r="N82" s="4" t="n">
        <v>0</v>
      </c>
      <c r="O82" s="4" t="n">
        <v>0</v>
      </c>
      <c r="P82" s="4" t="n">
        <v>0</v>
      </c>
      <c r="Q82" s="4" t="n">
        <v>7674986650000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  <c r="K83" s="4" t="n">
        <v>0</v>
      </c>
      <c r="L83" s="4" t="n">
        <v>0</v>
      </c>
      <c r="M83" s="4" t="n">
        <v>0</v>
      </c>
      <c r="N83" s="4" t="n">
        <v>0</v>
      </c>
      <c r="O83" s="4" t="n">
        <v>0</v>
      </c>
      <c r="P83" s="4" t="n">
        <v>0</v>
      </c>
      <c r="Q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  <c r="J84" s="4" t="n">
        <v>0</v>
      </c>
      <c r="K84" s="4" t="n">
        <v>0</v>
      </c>
      <c r="L84" s="4" t="n">
        <v>0</v>
      </c>
      <c r="M84" s="4" t="n">
        <v>0</v>
      </c>
      <c r="N84" s="4" t="n">
        <v>0</v>
      </c>
      <c r="O84" s="4" t="n">
        <v>0</v>
      </c>
      <c r="P84" s="4" t="n">
        <v>0</v>
      </c>
      <c r="Q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0</v>
      </c>
      <c r="N85" s="4" t="n">
        <v>0</v>
      </c>
      <c r="O85" s="4" t="n">
        <v>0</v>
      </c>
      <c r="P85" s="4" t="n">
        <v>0</v>
      </c>
      <c r="Q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  <c r="J86" s="4" t="n">
        <v>818200313964</v>
      </c>
      <c r="K86" s="4" t="n">
        <v>794841242128</v>
      </c>
      <c r="L86" s="4" t="n">
        <v>794841242128</v>
      </c>
      <c r="M86" s="4" t="n">
        <v>1394841242128</v>
      </c>
      <c r="N86" s="4" t="n">
        <v>1394841242128</v>
      </c>
      <c r="O86" s="4" t="n">
        <v>1388437800829</v>
      </c>
      <c r="P86" s="4" t="n">
        <v>1388437800829</v>
      </c>
      <c r="Q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  <c r="J87" s="4" t="n">
        <v>0</v>
      </c>
      <c r="K87" s="4" t="n">
        <v>0</v>
      </c>
      <c r="L87" s="4" t="n">
        <v>0</v>
      </c>
      <c r="M87" s="4" t="n">
        <v>0</v>
      </c>
      <c r="N87" s="4" t="n">
        <v>0</v>
      </c>
      <c r="O87" s="4" t="n">
        <v>0</v>
      </c>
      <c r="P87" s="4" t="n">
        <v>0</v>
      </c>
      <c r="Q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  <c r="J88" s="4" t="n">
        <v>0</v>
      </c>
      <c r="K88" s="4" t="n">
        <v>0</v>
      </c>
      <c r="L88" s="4" t="n">
        <v>0</v>
      </c>
      <c r="M88" s="4" t="n">
        <v>0</v>
      </c>
      <c r="N88" s="4" t="n">
        <v>0</v>
      </c>
      <c r="O88" s="4" t="n">
        <v>0</v>
      </c>
      <c r="P88" s="4" t="n">
        <v>0</v>
      </c>
      <c r="Q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  <c r="J89" s="4" t="n">
        <v>46809218886586</v>
      </c>
      <c r="K89" s="4" t="n">
        <v>49599124109203</v>
      </c>
      <c r="L89" s="4" t="n">
        <v>52943588928234</v>
      </c>
      <c r="M89" s="4" t="n">
        <v>56176646414996</v>
      </c>
      <c r="N89" s="4" t="n">
        <v>47288178774368</v>
      </c>
      <c r="O89" s="4" t="n">
        <v>51037901749343</v>
      </c>
      <c r="P89" s="4" t="n">
        <v>59889614145579</v>
      </c>
      <c r="Q89" s="4" t="n">
        <v>54838263513400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  <c r="J90" s="4" t="n">
        <v>0</v>
      </c>
      <c r="K90" s="4" t="n">
        <v>0</v>
      </c>
      <c r="L90" s="4" t="n">
        <v>0</v>
      </c>
      <c r="M90" s="4" t="n">
        <v>0</v>
      </c>
      <c r="N90" s="4" t="n">
        <v>0</v>
      </c>
      <c r="O90" s="4" t="n">
        <v>0</v>
      </c>
      <c r="P90" s="4" t="n">
        <v>0</v>
      </c>
      <c r="Q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</v>
      </c>
      <c r="K91" s="4" t="n">
        <v>0</v>
      </c>
      <c r="L91" s="4" t="n">
        <v>0</v>
      </c>
      <c r="M91" s="4" t="n">
        <v>0</v>
      </c>
      <c r="N91" s="4" t="n">
        <v>0</v>
      </c>
      <c r="O91" s="4" t="n">
        <v>0</v>
      </c>
      <c r="P91" s="4" t="n">
        <v>0</v>
      </c>
      <c r="Q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  <c r="L92" s="4" t="n">
        <v>0</v>
      </c>
      <c r="M92" s="4" t="n">
        <v>0</v>
      </c>
      <c r="N92" s="4" t="n">
        <v>0</v>
      </c>
      <c r="O92" s="4" t="n">
        <v>0</v>
      </c>
      <c r="P92" s="4" t="n">
        <v>0</v>
      </c>
      <c r="Q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  <c r="J93" s="4" t="n">
        <v>0</v>
      </c>
      <c r="K93" s="4" t="n">
        <v>0</v>
      </c>
      <c r="L93" s="4" t="n">
        <v>0</v>
      </c>
      <c r="M93" s="4" t="n">
        <v>0</v>
      </c>
      <c r="N93" s="4" t="n">
        <v>0</v>
      </c>
      <c r="O93" s="4" t="n">
        <v>0</v>
      </c>
      <c r="P93" s="4" t="n">
        <v>0</v>
      </c>
      <c r="Q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  <c r="J94" s="4" t="n">
        <v>0</v>
      </c>
      <c r="K94" s="4" t="n">
        <v>0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  <c r="J95" s="4" t="n">
        <v>211386343928118</v>
      </c>
      <c r="K95" s="4" t="n">
        <v>224489707553981</v>
      </c>
      <c r="L95" s="4" t="n">
        <v>228861587788307</v>
      </c>
      <c r="M95" s="4" t="n">
        <v>242224530919050</v>
      </c>
      <c r="N95" s="4" t="n">
        <v>246171338287652</v>
      </c>
      <c r="O95" s="4" t="n">
        <v>257899200817547</v>
      </c>
      <c r="P95" s="4" t="n">
        <v>259327500205228</v>
      </c>
      <c r="Q95" s="4" t="n">
        <v>278929786247772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0</v>
      </c>
      <c r="O96" s="4" t="n">
        <v>0</v>
      </c>
      <c r="P96" s="4" t="n">
        <v>0</v>
      </c>
      <c r="Q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  <c r="J97" s="4" t="n">
        <v>136500000000</v>
      </c>
      <c r="K97" s="4" t="n">
        <v>136500000000</v>
      </c>
      <c r="L97" s="4" t="n">
        <v>0</v>
      </c>
      <c r="M97" s="4" t="n">
        <v>0</v>
      </c>
      <c r="N97" s="4" t="n">
        <v>300000000</v>
      </c>
      <c r="O97" s="4" t="n">
        <v>2248000000000</v>
      </c>
      <c r="P97" s="4" t="n">
        <v>0</v>
      </c>
      <c r="Q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0</v>
      </c>
      <c r="P98" s="4" t="n">
        <v>0</v>
      </c>
      <c r="Q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  <c r="J99" s="4" t="n">
        <v>1195466790</v>
      </c>
      <c r="K99" s="4" t="n">
        <v>379714580</v>
      </c>
      <c r="L99" s="4" t="n">
        <v>352520372</v>
      </c>
      <c r="M99" s="4" t="n">
        <v>645845208</v>
      </c>
      <c r="N99" s="4" t="n">
        <v>7161013482</v>
      </c>
      <c r="O99" s="4" t="n">
        <v>6730635900</v>
      </c>
      <c r="P99" s="4" t="n">
        <v>6816037577</v>
      </c>
      <c r="Q99" s="4" t="n">
        <v>6987823960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  <c r="J100" s="4" t="n">
        <v>318461616439</v>
      </c>
      <c r="K100" s="4" t="n">
        <v>87461616439</v>
      </c>
      <c r="L100" s="4" t="n">
        <v>89561616439</v>
      </c>
      <c r="M100" s="4" t="n">
        <v>97061616439</v>
      </c>
      <c r="N100" s="4" t="n">
        <v>65061616439</v>
      </c>
      <c r="O100" s="4" t="n">
        <v>0</v>
      </c>
      <c r="P100" s="4" t="n">
        <v>0</v>
      </c>
      <c r="Q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  <c r="L101" s="4" t="n">
        <v>0</v>
      </c>
      <c r="M101" s="4" t="n">
        <v>0</v>
      </c>
      <c r="N101" s="4" t="n">
        <v>0</v>
      </c>
      <c r="O101" s="4" t="n">
        <v>0</v>
      </c>
      <c r="P101" s="4" t="n">
        <v>0</v>
      </c>
      <c r="Q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  <c r="J102" s="4" t="n">
        <v>189462473949</v>
      </c>
      <c r="K102" s="4" t="n">
        <v>82805287792</v>
      </c>
      <c r="L102" s="4" t="n">
        <v>72728169386</v>
      </c>
      <c r="M102" s="4" t="n">
        <v>73400097764</v>
      </c>
      <c r="N102" s="4" t="n">
        <v>24225681667</v>
      </c>
      <c r="O102" s="4" t="n">
        <v>41408436429</v>
      </c>
      <c r="P102" s="4" t="n">
        <v>39766821035</v>
      </c>
      <c r="Q102" s="4" t="n">
        <v>35389972534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  <c r="J103" s="4" t="n">
        <v>0</v>
      </c>
      <c r="K103" s="4" t="n">
        <v>0</v>
      </c>
      <c r="L103" s="4" t="n">
        <v>0</v>
      </c>
      <c r="M103" s="4" t="n">
        <v>0</v>
      </c>
      <c r="N103" s="4" t="n">
        <v>0</v>
      </c>
      <c r="O103" s="4" t="n">
        <v>0</v>
      </c>
      <c r="P103" s="4" t="n">
        <v>0</v>
      </c>
      <c r="Q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  <c r="J104" s="4" t="n">
        <v>55690441271631</v>
      </c>
      <c r="K104" s="4" t="n">
        <v>63750717325406</v>
      </c>
      <c r="L104" s="4" t="n">
        <v>47620309468789</v>
      </c>
      <c r="M104" s="4" t="n">
        <v>72821558354667</v>
      </c>
      <c r="N104" s="4" t="n">
        <v>39567557188131</v>
      </c>
      <c r="O104" s="4" t="n">
        <v>10869891370972</v>
      </c>
      <c r="P104" s="4" t="n">
        <v>10723997667216</v>
      </c>
      <c r="Q104" s="4" t="n">
        <v>14620760805469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  <c r="J105" s="4" t="n">
        <v>94525874980</v>
      </c>
      <c r="K105" s="4" t="n">
        <v>94859885024</v>
      </c>
      <c r="L105" s="4" t="n">
        <v>113250593821</v>
      </c>
      <c r="M105" s="4" t="n">
        <v>117828507706</v>
      </c>
      <c r="N105" s="4" t="n">
        <v>82652761496</v>
      </c>
      <c r="O105" s="4" t="n">
        <v>148814839011</v>
      </c>
      <c r="P105" s="4" t="n">
        <v>395261847976</v>
      </c>
      <c r="Q105" s="4" t="n">
        <v>633946116238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  <c r="J106" s="4" t="inlineStr"/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  <c r="J107" s="4" t="n">
        <v>0</v>
      </c>
      <c r="K107" s="4" t="n">
        <v>429422385383</v>
      </c>
      <c r="L107" s="4" t="n">
        <v>416060319178</v>
      </c>
      <c r="M107" s="4" t="n">
        <v>391044882231</v>
      </c>
      <c r="N107" s="4" t="n">
        <v>365844862496</v>
      </c>
      <c r="O107" s="4" t="n">
        <v>335208284895</v>
      </c>
      <c r="P107" s="4" t="n">
        <v>317522413091</v>
      </c>
      <c r="Q107" s="4" t="n">
        <v>308165854922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  <c r="J108" s="4" t="n">
        <v>192726170767</v>
      </c>
      <c r="K108" s="4" t="n">
        <v>11060479431</v>
      </c>
      <c r="L108" s="4" t="n">
        <v>55479217611</v>
      </c>
      <c r="M108" s="4" t="n">
        <v>34948909558</v>
      </c>
      <c r="N108" s="4" t="n">
        <v>46062427795</v>
      </c>
      <c r="O108" s="4" t="n">
        <v>152519279244</v>
      </c>
      <c r="P108" s="4" t="n">
        <v>60310161581</v>
      </c>
      <c r="Q108" s="4" t="n">
        <v>56565429771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  <c r="J109" s="4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0</v>
      </c>
      <c r="M110" s="4" t="n">
        <v>0</v>
      </c>
      <c r="N110" s="4" t="n">
        <v>0</v>
      </c>
      <c r="O110" s="4" t="n">
        <v>0</v>
      </c>
      <c r="P110" s="4" t="n">
        <v>0</v>
      </c>
      <c r="Q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  <c r="J111" s="4" t="n">
        <v>0</v>
      </c>
      <c r="K111" s="4" t="n">
        <v>0</v>
      </c>
      <c r="L111" s="4" t="n">
        <v>0</v>
      </c>
      <c r="M111" s="4" t="n">
        <v>0</v>
      </c>
      <c r="N111" s="4" t="n">
        <v>0</v>
      </c>
      <c r="O111" s="4" t="n">
        <v>0</v>
      </c>
      <c r="P111" s="4" t="n">
        <v>0</v>
      </c>
      <c r="Q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  <c r="J112" s="4" t="n">
        <v>1041997895349</v>
      </c>
      <c r="K112" s="4" t="n">
        <v>1143692237207</v>
      </c>
      <c r="L112" s="4" t="n">
        <v>1174882156922</v>
      </c>
      <c r="M112" s="4" t="n">
        <v>673108219760</v>
      </c>
      <c r="N112" s="4" t="n">
        <v>473791239533</v>
      </c>
      <c r="O112" s="4" t="n">
        <v>607363800426</v>
      </c>
      <c r="P112" s="4" t="n">
        <v>625835616595</v>
      </c>
      <c r="Q112" s="4" t="n">
        <v>602032288625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  <c r="J113" s="4" t="n">
        <v>0</v>
      </c>
      <c r="K113" s="4" t="n">
        <v>0</v>
      </c>
      <c r="L113" s="4" t="n">
        <v>0</v>
      </c>
      <c r="M113" s="4" t="n">
        <v>0</v>
      </c>
      <c r="N113" s="4" t="n">
        <v>0</v>
      </c>
      <c r="O113" s="4" t="n">
        <v>0</v>
      </c>
      <c r="P113" s="4" t="n">
        <v>0</v>
      </c>
      <c r="Q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  <c r="J114" s="4" t="n">
        <v>0</v>
      </c>
      <c r="K114" s="4" t="n">
        <v>0</v>
      </c>
      <c r="L114" s="4" t="n">
        <v>0</v>
      </c>
      <c r="M114" s="4" t="n">
        <v>0</v>
      </c>
      <c r="N114" s="4" t="n">
        <v>0</v>
      </c>
      <c r="O114" s="4" t="n">
        <v>0</v>
      </c>
      <c r="P114" s="4" t="n">
        <v>0</v>
      </c>
      <c r="Q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  <c r="J116" s="4" t="n">
        <v>63962502000000</v>
      </c>
      <c r="K116" s="4" t="n">
        <v>63962502000000</v>
      </c>
      <c r="L116" s="4" t="n">
        <v>63962502000000</v>
      </c>
      <c r="M116" s="4" t="n">
        <v>63962502000000</v>
      </c>
      <c r="N116" s="4" t="n">
        <v>76754658550000</v>
      </c>
      <c r="O116" s="4" t="n">
        <v>76754658550000</v>
      </c>
      <c r="P116" s="4" t="n">
        <v>76754658550000</v>
      </c>
      <c r="Q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</v>
      </c>
      <c r="K117" s="4" t="n">
        <v>0</v>
      </c>
      <c r="L117" s="4" t="n">
        <v>0</v>
      </c>
      <c r="M117" s="4" t="n">
        <v>0</v>
      </c>
      <c r="N117" s="4" t="n">
        <v>0</v>
      </c>
      <c r="O117" s="4" t="n">
        <v>0</v>
      </c>
      <c r="P117" s="4" t="n">
        <v>0</v>
      </c>
      <c r="Q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  <c r="J118" s="4" t="n">
        <v>43786272254536</v>
      </c>
      <c r="K118" s="4" t="n">
        <v>37624250548129</v>
      </c>
      <c r="L118" s="4" t="n">
        <v>49599304233846</v>
      </c>
      <c r="M118" s="4" t="n">
        <v>48575874508844</v>
      </c>
      <c r="N118" s="4" t="n">
        <v>43299860299829</v>
      </c>
      <c r="O118" s="4" t="n">
        <v>35657348003468</v>
      </c>
      <c r="P118" s="4" t="n">
        <v>50895610901437</v>
      </c>
      <c r="Q118" s="4" t="n">
        <v>39473241264695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  <c r="J119" s="4" t="n">
        <v>3022946632050</v>
      </c>
      <c r="K119" s="4" t="n">
        <v>11974873561074</v>
      </c>
      <c r="L119" s="4" t="n">
        <v>3344284694388</v>
      </c>
      <c r="M119" s="4" t="n">
        <v>7600771906152</v>
      </c>
      <c r="N119" s="4" t="n">
        <v>3988318474539</v>
      </c>
      <c r="O119" s="4" t="n">
        <v>15380553745875</v>
      </c>
      <c r="P119" s="4" t="n">
        <v>8994003244142</v>
      </c>
      <c r="Q119" s="4" t="n">
        <v>15365022248705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  <c r="J120" s="4" t="n">
        <v>55595915396651</v>
      </c>
      <c r="K120" s="4" t="n">
        <v>63655857440382</v>
      </c>
      <c r="L120" s="4" t="n">
        <v>47507058874968</v>
      </c>
      <c r="M120" s="4" t="n">
        <v>72703729846961</v>
      </c>
      <c r="N120" s="4" t="n">
        <v>39484904426635</v>
      </c>
      <c r="O120" s="4" t="n">
        <v>10721076531961</v>
      </c>
      <c r="P120" s="4" t="n">
        <v>10328735819240</v>
      </c>
      <c r="Q120" s="4" t="n">
        <v>13986814689231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  <c r="J121" s="4" t="n">
        <v>66834062714</v>
      </c>
      <c r="K121" s="4" t="n">
        <v>63613126723</v>
      </c>
      <c r="L121" s="4" t="n">
        <v>60588141397</v>
      </c>
      <c r="M121" s="4" t="n">
        <v>57563156071</v>
      </c>
      <c r="N121" s="4" t="n">
        <v>52097751283</v>
      </c>
      <c r="O121" s="4" t="n">
        <v>51513185419</v>
      </c>
      <c r="P121" s="4" t="n">
        <v>0</v>
      </c>
      <c r="Q121" s="4" t="n">
        <v>0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  <c r="J122" s="4" t="n">
        <v>189176035910</v>
      </c>
      <c r="K122" s="4" t="n">
        <v>290990632368</v>
      </c>
      <c r="L122" s="4" t="n">
        <v>295946918767</v>
      </c>
      <c r="M122" s="4" t="n">
        <v>825515256158</v>
      </c>
      <c r="N122" s="4" t="n">
        <v>2078333532773</v>
      </c>
      <c r="O122" s="4" t="n">
        <v>2039012776403</v>
      </c>
      <c r="P122" s="4" t="n">
        <v>837215500064</v>
      </c>
      <c r="Q122" s="4" t="n">
        <v>859680276468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  <c r="J123" s="4" t="n">
        <v>0</v>
      </c>
      <c r="K123" s="4" t="n">
        <v>0</v>
      </c>
      <c r="L123" s="4" t="n">
        <v>0</v>
      </c>
      <c r="M123" s="4" t="n">
        <v>0</v>
      </c>
      <c r="N123" s="4" t="n">
        <v>0</v>
      </c>
      <c r="O123" s="4" t="n">
        <v>0</v>
      </c>
      <c r="P123" s="4" t="n">
        <v>0</v>
      </c>
      <c r="Q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  <c r="J2" s="4" t="n">
        <v>34300352057045</v>
      </c>
      <c r="K2" s="4" t="n">
        <v>35232197602514</v>
      </c>
      <c r="L2" s="4" t="n">
        <v>37950635502050</v>
      </c>
      <c r="M2" s="4" t="n">
        <v>36286185846409</v>
      </c>
      <c r="N2" s="4" t="n">
        <v>36793873449413</v>
      </c>
      <c r="O2" s="4" t="n">
        <v>47301623136340</v>
      </c>
      <c r="P2" s="4" t="n">
        <v>53312910120686</v>
      </c>
      <c r="Q2" s="4" t="n">
        <v>55557246173846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  <c r="J3" s="4" t="n">
        <v>-344091771518</v>
      </c>
      <c r="K3" s="4" t="n">
        <v>-741215175825</v>
      </c>
      <c r="L3" s="4" t="n">
        <v>-328960948472</v>
      </c>
      <c r="M3" s="4" t="n">
        <v>-375666735200</v>
      </c>
      <c r="N3" s="4" t="n">
        <v>-386457045489</v>
      </c>
      <c r="O3" s="4" t="n">
        <v>-1125138586569</v>
      </c>
      <c r="P3" s="4" t="n">
        <v>-412062818033</v>
      </c>
      <c r="Q3" s="4" t="n">
        <v>-398343874945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  <c r="J4" s="4" t="n">
        <v>33956260285527</v>
      </c>
      <c r="K4" s="4" t="n">
        <v>34490982426689</v>
      </c>
      <c r="L4" s="4" t="n">
        <v>37621674553578</v>
      </c>
      <c r="M4" s="4" t="n">
        <v>35910519111209</v>
      </c>
      <c r="N4" s="4" t="n">
        <v>36407416403924</v>
      </c>
      <c r="O4" s="4" t="n">
        <v>46176484549771</v>
      </c>
      <c r="P4" s="4" t="n">
        <v>52900847302653</v>
      </c>
      <c r="Q4" s="4" t="n">
        <v>55158902298901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  <c r="J5" s="4" t="n">
        <v>-29225083561286</v>
      </c>
      <c r="K5" s="4" t="n">
        <v>-30126073473488</v>
      </c>
      <c r="L5" s="4" t="n">
        <v>-32197520628446</v>
      </c>
      <c r="M5" s="4" t="n">
        <v>-29320796625500</v>
      </c>
      <c r="N5" s="4" t="n">
        <v>-30320155128758</v>
      </c>
      <c r="O5" s="4" t="n">
        <v>-39779834052596</v>
      </c>
      <c r="P5" s="4" t="n">
        <v>-44535778694658</v>
      </c>
      <c r="Q5" s="4" t="n">
        <v>-44671115105470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  <c r="J6" s="4" t="n">
        <v>4731176724241</v>
      </c>
      <c r="K6" s="4" t="n">
        <v>4364908953201</v>
      </c>
      <c r="L6" s="4" t="n">
        <v>5424153925132</v>
      </c>
      <c r="M6" s="4" t="n">
        <v>6589722485709</v>
      </c>
      <c r="N6" s="4" t="n">
        <v>6087261275166</v>
      </c>
      <c r="O6" s="4" t="n">
        <v>6396650497175</v>
      </c>
      <c r="P6" s="4" t="n">
        <v>8365068607995</v>
      </c>
      <c r="Q6" s="4" t="n">
        <v>10487787193431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  <c r="J7" s="4" t="n">
        <v>528453174917</v>
      </c>
      <c r="K7" s="4" t="n">
        <v>700560102056</v>
      </c>
      <c r="L7" s="4" t="n">
        <v>438057240540</v>
      </c>
      <c r="M7" s="4" t="n">
        <v>498183728007</v>
      </c>
      <c r="N7" s="4" t="n">
        <v>711903358963</v>
      </c>
      <c r="O7" s="4" t="n">
        <v>437280867832</v>
      </c>
      <c r="P7" s="4" t="n">
        <v>5938347436208</v>
      </c>
      <c r="Q7" s="4" t="n">
        <v>616702440089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  <c r="J8" s="4" t="n">
        <v>-832902574260</v>
      </c>
      <c r="K8" s="4" t="n">
        <v>-1015139809937</v>
      </c>
      <c r="L8" s="4" t="n">
        <v>-970569640998</v>
      </c>
      <c r="M8" s="4" t="n">
        <v>-979462100729</v>
      </c>
      <c r="N8" s="4" t="n">
        <v>-1073210620638</v>
      </c>
      <c r="O8" s="4" t="n">
        <v>-1583968999127</v>
      </c>
      <c r="P8" s="4" t="n">
        <v>-1868827249709</v>
      </c>
      <c r="Q8" s="4" t="n">
        <v>-1925757565918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  <c r="J9" s="4" t="n">
        <v>-525114798901</v>
      </c>
      <c r="K9" s="4" t="n">
        <v>-562492663846</v>
      </c>
      <c r="L9" s="4" t="n">
        <v>-627024360692</v>
      </c>
      <c r="M9" s="4" t="n">
        <v>-439112631420</v>
      </c>
      <c r="N9" s="4" t="n">
        <v>-812194101705</v>
      </c>
      <c r="O9" s="4" t="n">
        <v>-1236524775157</v>
      </c>
      <c r="P9" s="4" t="n">
        <v>-1333414699291</v>
      </c>
      <c r="Q9" s="4" t="n">
        <v>-1519613868123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  <c r="J10" s="4" t="n">
        <v>-720208188679</v>
      </c>
      <c r="K10" s="4" t="n">
        <v>-230212058532</v>
      </c>
      <c r="L10" s="4" t="n">
        <v>-737815718816</v>
      </c>
      <c r="M10" s="4" t="n">
        <v>-825371907199</v>
      </c>
      <c r="N10" s="4" t="n">
        <v>-798965987739</v>
      </c>
      <c r="O10" s="4" t="n">
        <v>-271477098154</v>
      </c>
      <c r="P10" s="4" t="n">
        <v>-1344969024100</v>
      </c>
      <c r="Q10" s="4" t="n">
        <v>-1717603199584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  <c r="J11" s="4" t="n">
        <v>-321501544741</v>
      </c>
      <c r="K11" s="4" t="n">
        <v>-517318083678</v>
      </c>
      <c r="L11" s="4" t="n">
        <v>-347243794856</v>
      </c>
      <c r="M11" s="4" t="n">
        <v>-322285873598</v>
      </c>
      <c r="N11" s="4" t="n">
        <v>-355963309576</v>
      </c>
      <c r="O11" s="4" t="n">
        <v>-411044379459</v>
      </c>
      <c r="P11" s="4" t="n">
        <v>-385901879604</v>
      </c>
      <c r="Q11" s="4" t="n">
        <v>-307796866973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  <c r="J12" s="4" t="n">
        <v>3385017591478</v>
      </c>
      <c r="K12" s="4" t="n">
        <v>3302799103110</v>
      </c>
      <c r="L12" s="4" t="n">
        <v>3806582011002</v>
      </c>
      <c r="M12" s="4" t="n">
        <v>4960786332190</v>
      </c>
      <c r="N12" s="4" t="n">
        <v>4571024716176</v>
      </c>
      <c r="O12" s="4" t="n">
        <v>4567440888267</v>
      </c>
      <c r="P12" s="4" t="n">
        <v>10704033503572</v>
      </c>
      <c r="Q12" s="4" t="n">
        <v>7155004358406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  <c r="J13" s="4" t="n">
        <v>220917018524</v>
      </c>
      <c r="K13" s="4" t="n">
        <v>225300683318</v>
      </c>
      <c r="L13" s="4" t="n">
        <v>153981783497</v>
      </c>
      <c r="M13" s="4" t="n">
        <v>-41431471594</v>
      </c>
      <c r="N13" s="4" t="n">
        <v>78007207531</v>
      </c>
      <c r="O13" s="4" t="n">
        <v>115035838477</v>
      </c>
      <c r="P13" s="4" t="n">
        <v>99982776284</v>
      </c>
      <c r="Q13" s="4" t="n">
        <v>82682443691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  <c r="J14" s="4" t="n">
        <v>-193549476158</v>
      </c>
      <c r="K14" s="4" t="n">
        <v>-241423685732</v>
      </c>
      <c r="L14" s="4" t="n">
        <v>-120798445479</v>
      </c>
      <c r="M14" s="4" t="n">
        <v>53028633067</v>
      </c>
      <c r="N14" s="4" t="n">
        <v>-20718751273</v>
      </c>
      <c r="O14" s="4" t="n">
        <v>-82346763981</v>
      </c>
      <c r="P14" s="4" t="n">
        <v>-41832440311</v>
      </c>
      <c r="Q14" s="4" t="n">
        <v>-53002594671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  <c r="J15" s="4" t="n">
        <v>27367542366</v>
      </c>
      <c r="K15" s="4" t="n">
        <v>-16123002414</v>
      </c>
      <c r="L15" s="4" t="n">
        <v>33183338018</v>
      </c>
      <c r="M15" s="4" t="n">
        <v>11597161473</v>
      </c>
      <c r="N15" s="4" t="n">
        <v>57288456258</v>
      </c>
      <c r="O15" s="4" t="n">
        <v>32689074496</v>
      </c>
      <c r="P15" s="4" t="n">
        <v>58150335973</v>
      </c>
      <c r="Q15" s="4" t="n">
        <v>29679849020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  <c r="J17" s="4" t="n">
        <v>3412385133844</v>
      </c>
      <c r="K17" s="4" t="n">
        <v>3286676100696</v>
      </c>
      <c r="L17" s="4" t="n">
        <v>3839765349020</v>
      </c>
      <c r="M17" s="4" t="n">
        <v>4972383493663</v>
      </c>
      <c r="N17" s="4" t="n">
        <v>4628313172434</v>
      </c>
      <c r="O17" s="4" t="n">
        <v>4600129962763</v>
      </c>
      <c r="P17" s="4" t="n">
        <v>10762183839545</v>
      </c>
      <c r="Q17" s="4" t="n">
        <v>7184684207426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  <c r="J18" s="4" t="n">
        <v>-427815885551</v>
      </c>
      <c r="K18" s="4" t="n">
        <v>-503217741562</v>
      </c>
      <c r="L18" s="4" t="n">
        <v>-512281294123</v>
      </c>
      <c r="M18" s="4" t="n">
        <v>-684398735485</v>
      </c>
      <c r="N18" s="4" t="n">
        <v>-632794091038</v>
      </c>
      <c r="O18" s="4" t="n">
        <v>-744749714238</v>
      </c>
      <c r="P18" s="4" t="n">
        <v>-1681871206942</v>
      </c>
      <c r="Q18" s="4" t="n">
        <v>-904510286555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  <c r="J19" s="4" t="n">
        <v>37102736610</v>
      </c>
      <c r="K19" s="4" t="n">
        <v>26135956217</v>
      </c>
      <c r="L19" s="4" t="n">
        <v>22321361187</v>
      </c>
      <c r="M19" s="4" t="n">
        <v>-23460652646</v>
      </c>
      <c r="N19" s="4" t="n">
        <v>16733235327</v>
      </c>
      <c r="O19" s="4" t="n">
        <v>32969484742</v>
      </c>
      <c r="P19" s="4" t="n">
        <v>-24394432580</v>
      </c>
      <c r="Q19" s="4" t="n">
        <v>144300346223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  <c r="J20" s="4" t="n">
        <v>-390713148941</v>
      </c>
      <c r="K20" s="4" t="n">
        <v>-477081785345</v>
      </c>
      <c r="L20" s="4" t="n">
        <v>-489959932936</v>
      </c>
      <c r="M20" s="4" t="n">
        <v>-707859388131</v>
      </c>
      <c r="N20" s="4" t="n">
        <v>-616060855711</v>
      </c>
      <c r="O20" s="4" t="n">
        <v>-711780229496</v>
      </c>
      <c r="P20" s="4" t="n">
        <v>-1706265639522</v>
      </c>
      <c r="Q20" s="4" t="n">
        <v>-760209940332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  <c r="J21" s="4" t="n">
        <v>3021671984903</v>
      </c>
      <c r="K21" s="4" t="n">
        <v>2809594315351</v>
      </c>
      <c r="L21" s="4" t="n">
        <v>3349805416084</v>
      </c>
      <c r="M21" s="4" t="n">
        <v>4264524105532</v>
      </c>
      <c r="N21" s="4" t="n">
        <v>4012252316723</v>
      </c>
      <c r="O21" s="4" t="n">
        <v>3888349733267</v>
      </c>
      <c r="P21" s="4" t="n">
        <v>9055918200023</v>
      </c>
      <c r="Q21" s="4" t="n">
        <v>6424474267094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  <c r="J22" s="4" t="n">
        <v>-1274647147</v>
      </c>
      <c r="K22" s="4" t="n">
        <v>948946180</v>
      </c>
      <c r="L22" s="4" t="n">
        <v>5520721696</v>
      </c>
      <c r="M22" s="4" t="n">
        <v>8036893768</v>
      </c>
      <c r="N22" s="4" t="n">
        <v>23933842184</v>
      </c>
      <c r="O22" s="4" t="n">
        <v>24266107735</v>
      </c>
      <c r="P22" s="4" t="n">
        <v>61914955881</v>
      </c>
      <c r="Q22" s="4" t="n">
        <v>53455262531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  <c r="J23" s="4" t="n">
        <v>3022946632050</v>
      </c>
      <c r="K23" s="4" t="n">
        <v>2808645369171</v>
      </c>
      <c r="L23" s="4" t="n">
        <v>3344284694388</v>
      </c>
      <c r="M23" s="4" t="n">
        <v>4256487211764</v>
      </c>
      <c r="N23" s="4" t="n">
        <v>3988318474539</v>
      </c>
      <c r="O23" s="4" t="n">
        <v>3864083625532</v>
      </c>
      <c r="P23" s="4" t="n">
        <v>8994003244142</v>
      </c>
      <c r="Q23" s="4" t="n">
        <v>6371019004563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 s="4" t="n">
        <v>1973</v>
      </c>
      <c r="P24" s="4" t="n">
        <v>0</v>
      </c>
      <c r="Q24" s="4" t="n">
        <v>1781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 s="4" t="n">
        <v>0</v>
      </c>
      <c r="P25" s="4" t="n">
        <v>0</v>
      </c>
      <c r="Q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315612782</v>
      </c>
      <c r="Q26" s="4" t="n">
        <v>1672357361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  <c r="J1" s="2" t="inlineStr">
        <is>
          <t>2024-Q3</t>
        </is>
      </c>
      <c r="K1" s="2" t="inlineStr">
        <is>
          <t>2024-Q4</t>
        </is>
      </c>
      <c r="L1" s="2" t="inlineStr">
        <is>
          <t>2025-Q1</t>
        </is>
      </c>
      <c r="M1" s="2" t="inlineStr">
        <is>
          <t>2025-Q2</t>
        </is>
      </c>
      <c r="N1" s="2" t="inlineStr">
        <is>
          <t>2025-Q3</t>
        </is>
      </c>
      <c r="O1" s="2" t="inlineStr">
        <is>
          <t>2025-Q4</t>
        </is>
      </c>
      <c r="P1" s="2" t="inlineStr">
        <is>
          <t>2026-Q1</t>
        </is>
      </c>
      <c r="Q1" s="2" t="inlineStr">
        <is>
          <t>2026-Q2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  <c r="J2" s="4" t="n">
        <v>3412385133844</v>
      </c>
      <c r="K2" s="4" t="n">
        <v>3286676100696</v>
      </c>
      <c r="L2" s="4" t="n">
        <v>3839765349020</v>
      </c>
      <c r="M2" s="4" t="n">
        <v>4972383493663</v>
      </c>
      <c r="N2" s="4" t="n">
        <v>4628313172434</v>
      </c>
      <c r="O2" s="4" t="n">
        <v>4600129962763</v>
      </c>
      <c r="P2" s="4" t="n">
        <v>10762183839545</v>
      </c>
      <c r="Q2" s="4" t="n">
        <v>7184684207426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  <c r="J3" s="4" t="n">
        <v>1771185761423</v>
      </c>
      <c r="K3" s="4" t="n">
        <v>1693028331093</v>
      </c>
      <c r="L3" s="4" t="n">
        <v>1801603135468</v>
      </c>
      <c r="M3" s="4" t="n">
        <v>1617247528510</v>
      </c>
      <c r="N3" s="4" t="n">
        <v>2169156032825</v>
      </c>
      <c r="O3" s="4" t="n">
        <v>2882676563353</v>
      </c>
      <c r="P3" s="4" t="n">
        <v>2854213903270</v>
      </c>
      <c r="Q3" s="4" t="n">
        <v>2851263156834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  <c r="J4" s="4" t="n">
        <v>-3156807492</v>
      </c>
      <c r="K4" s="4" t="n">
        <v>-61035121811</v>
      </c>
      <c r="L4" s="4" t="n">
        <v>11289113084</v>
      </c>
      <c r="M4" s="4" t="n">
        <v>-59927342891</v>
      </c>
      <c r="N4" s="4" t="n">
        <v>10882237428</v>
      </c>
      <c r="O4" s="4" t="n">
        <v>-12074483403</v>
      </c>
      <c r="P4" s="4" t="n">
        <v>-394463126</v>
      </c>
      <c r="Q4" s="4" t="n">
        <v>29729264501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  <c r="J5" s="4" t="n">
        <v>-206784225956</v>
      </c>
      <c r="K5" s="4" t="n">
        <v>227751228845</v>
      </c>
      <c r="L5" s="4" t="n">
        <v>132616469869</v>
      </c>
      <c r="M5" s="4" t="n">
        <v>309920317236</v>
      </c>
      <c r="N5" s="4" t="n">
        <v>-56814712069</v>
      </c>
      <c r="O5" s="4" t="n">
        <v>-36094914050</v>
      </c>
      <c r="P5" s="4" t="n">
        <v>-93187660506</v>
      </c>
      <c r="Q5" s="4" t="n">
        <v>36508026287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  <c r="J7" s="4" t="n">
        <v>103011663888</v>
      </c>
      <c r="K7" s="4" t="n">
        <v>-765370789609</v>
      </c>
      <c r="L7" s="4" t="n">
        <v>-244726801802</v>
      </c>
      <c r="M7" s="4" t="n">
        <v>-305813548010</v>
      </c>
      <c r="N7" s="4" t="n">
        <v>-454485515064</v>
      </c>
      <c r="O7" s="4" t="n">
        <v>-293829106766</v>
      </c>
      <c r="P7" s="4" t="n">
        <v>-5113315374186</v>
      </c>
      <c r="Q7" s="4" t="n">
        <v>-510268020185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  <c r="J8" s="4" t="n">
        <v>525114798901</v>
      </c>
      <c r="K8" s="4" t="n">
        <v>562492663846</v>
      </c>
      <c r="L8" s="4" t="n">
        <v>627024360692</v>
      </c>
      <c r="M8" s="4" t="n">
        <v>439112631420</v>
      </c>
      <c r="N8" s="4" t="n">
        <v>812194101705</v>
      </c>
      <c r="O8" s="4" t="n">
        <v>1236524775157</v>
      </c>
      <c r="P8" s="4" t="n">
        <v>1333414699291</v>
      </c>
      <c r="Q8" s="4" t="n">
        <v>1519613868123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  <c r="J10" s="4" t="n">
        <v>5595706353956</v>
      </c>
      <c r="K10" s="4" t="n">
        <v>4955838305029</v>
      </c>
      <c r="L10" s="4" t="n">
        <v>6167571626331</v>
      </c>
      <c r="M10" s="4" t="n">
        <v>6972923079928</v>
      </c>
      <c r="N10" s="4" t="n">
        <v>7109245317259</v>
      </c>
      <c r="O10" s="4" t="n">
        <v>8377332797054</v>
      </c>
      <c r="P10" s="4" t="n">
        <v>9742914944288</v>
      </c>
      <c r="Q10" s="4" t="n">
        <v>11111530502986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  <c r="J11" s="4" t="n">
        <v>377494427161</v>
      </c>
      <c r="K11" s="4" t="n">
        <v>971968926351</v>
      </c>
      <c r="L11" s="4" t="n">
        <v>-4134982417163</v>
      </c>
      <c r="M11" s="4" t="n">
        <v>-1835418390802</v>
      </c>
      <c r="N11" s="4" t="n">
        <v>-167609437136</v>
      </c>
      <c r="O11" s="4" t="n">
        <v>-2605118841180</v>
      </c>
      <c r="P11" s="4" t="n">
        <v>-3247077198393</v>
      </c>
      <c r="Q11" s="4" t="n">
        <v>-2028681332858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  <c r="J12" s="4" t="n">
        <v>-3510769453171</v>
      </c>
      <c r="K12" s="4" t="n">
        <v>-6209983876378</v>
      </c>
      <c r="L12" s="4" t="n">
        <v>-384608710947</v>
      </c>
      <c r="M12" s="4" t="n">
        <v>-2468299455608</v>
      </c>
      <c r="N12" s="4" t="n">
        <v>3191714046698</v>
      </c>
      <c r="O12" s="4" t="n">
        <v>-7580580412836</v>
      </c>
      <c r="P12" s="4" t="n">
        <v>6689926170566</v>
      </c>
      <c r="Q12" s="4" t="n">
        <v>-12414552906660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  <c r="J13" s="4" t="n">
        <v>-1584866701776</v>
      </c>
      <c r="K13" s="4" t="n">
        <v>4023222874211</v>
      </c>
      <c r="L13" s="4" t="n">
        <v>-1984736525485</v>
      </c>
      <c r="M13" s="4" t="n">
        <v>1394149750385</v>
      </c>
      <c r="N13" s="4" t="n">
        <v>-812631275870</v>
      </c>
      <c r="O13" s="4" t="n">
        <v>12796369447003</v>
      </c>
      <c r="P13" s="4" t="n">
        <v>-2632265270173</v>
      </c>
      <c r="Q13" s="4" t="n">
        <v>11230394666327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  <c r="J14" s="4" t="n">
        <v>46606159449</v>
      </c>
      <c r="K14" s="4" t="n">
        <v>129299221688</v>
      </c>
      <c r="L14" s="4" t="n">
        <v>48974724977</v>
      </c>
      <c r="M14" s="4" t="n">
        <v>-230901936807</v>
      </c>
      <c r="N14" s="4" t="n">
        <v>-253644124207</v>
      </c>
      <c r="O14" s="4" t="n">
        <v>-1247137898314</v>
      </c>
      <c r="P14" s="4" t="n">
        <v>101663240118</v>
      </c>
      <c r="Q14" s="4" t="n">
        <v>-165216387471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  <c r="J15" s="4" t="n">
        <v>-567728987154</v>
      </c>
      <c r="K15" s="4" t="n">
        <v>-529644932828</v>
      </c>
      <c r="L15" s="4" t="n">
        <v>-599757525250</v>
      </c>
      <c r="M15" s="4" t="n">
        <v>-473975259473</v>
      </c>
      <c r="N15" s="4" t="n">
        <v>-667863337041</v>
      </c>
      <c r="O15" s="4" t="n">
        <v>-1142569855154</v>
      </c>
      <c r="P15" s="4" t="n">
        <v>-1339109587744</v>
      </c>
      <c r="Q15" s="4" t="n">
        <v>-1425594052867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  <c r="J16" s="4" t="n">
        <v>-12405917246</v>
      </c>
      <c r="K16" s="4" t="n">
        <v>-51647870077</v>
      </c>
      <c r="L16" s="4" t="n">
        <v>-1670270526989</v>
      </c>
      <c r="M16" s="4" t="n">
        <v>-5880614099</v>
      </c>
      <c r="N16" s="4" t="n">
        <v>-36294935712</v>
      </c>
      <c r="O16" s="4" t="n">
        <v>-282396590908</v>
      </c>
      <c r="P16" s="4" t="n">
        <v>-2210061924270</v>
      </c>
      <c r="Q16" s="4" t="n">
        <v>-237746437207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  <c r="J17" s="4" t="n">
        <v>0</v>
      </c>
      <c r="K17" s="4" t="n">
        <v>447272727</v>
      </c>
      <c r="L17" s="4" t="n">
        <v>0</v>
      </c>
      <c r="M17" s="4" t="n">
        <v>0</v>
      </c>
      <c r="N17" s="4" t="n">
        <v>0</v>
      </c>
      <c r="O17" s="4" t="n">
        <v>439016917840</v>
      </c>
      <c r="P17" s="4" t="n">
        <v>0</v>
      </c>
      <c r="Q17" s="4" t="n">
        <v>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  <c r="J18" s="4" t="n">
        <v>-79428476117</v>
      </c>
      <c r="K18" s="4" t="n">
        <v>-194420019511</v>
      </c>
      <c r="L18" s="4" t="n">
        <v>-220131091954</v>
      </c>
      <c r="M18" s="4" t="n">
        <v>-67494643569</v>
      </c>
      <c r="N18" s="4" t="n">
        <v>-68517258315</v>
      </c>
      <c r="O18" s="4" t="n">
        <v>-190617586065</v>
      </c>
      <c r="P18" s="4" t="n">
        <v>-289234924371</v>
      </c>
      <c r="Q18" s="4" t="n">
        <v>-245192384986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  <c r="J19" s="4" t="n">
        <v>264607405102</v>
      </c>
      <c r="K19" s="4" t="n">
        <v>3095079901212</v>
      </c>
      <c r="L19" s="4" t="n">
        <v>-2777940446480</v>
      </c>
      <c r="M19" s="4" t="n">
        <v>3285102529955</v>
      </c>
      <c r="N19" s="4" t="n">
        <v>8294398995676</v>
      </c>
      <c r="O19" s="4" t="n">
        <v>8564297977440</v>
      </c>
      <c r="P19" s="4" t="n">
        <v>6816755450021</v>
      </c>
      <c r="Q19" s="4" t="n">
        <v>5824941667264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  <c r="J20" s="4" t="n">
        <v>-9401555834547</v>
      </c>
      <c r="K20" s="4" t="n">
        <v>-7257089099480</v>
      </c>
      <c r="L20" s="4" t="n">
        <v>-6168853176586</v>
      </c>
      <c r="M20" s="4" t="n">
        <v>-4519331143893</v>
      </c>
      <c r="N20" s="4" t="n">
        <v>-13174576334243</v>
      </c>
      <c r="O20" s="4" t="n">
        <v>-1885559821997</v>
      </c>
      <c r="P20" s="4" t="n">
        <v>-5489839982929</v>
      </c>
      <c r="Q20" s="4" t="n">
        <v>-7033737846145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  <c r="J21" s="4" t="n">
        <v>-332578559029</v>
      </c>
      <c r="K21" s="4" t="n">
        <v>443699573180</v>
      </c>
      <c r="L21" s="4" t="n">
        <v>8330267880</v>
      </c>
      <c r="M21" s="4" t="n">
        <v>27600517030</v>
      </c>
      <c r="N21" s="4" t="n">
        <v>3219518312</v>
      </c>
      <c r="O21" s="4" t="n">
        <v>29666213081</v>
      </c>
      <c r="P21" s="4" t="n">
        <v>5137451465</v>
      </c>
      <c r="Q21" s="4" t="n">
        <v>4953208163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  <c r="J22" s="4" t="n">
        <v>-6770711616439</v>
      </c>
      <c r="K22" s="4" t="n">
        <v>-6360476824332</v>
      </c>
      <c r="L22" s="4" t="n">
        <v>-5526332899179</v>
      </c>
      <c r="M22" s="4" t="n">
        <v>-9102740296773</v>
      </c>
      <c r="N22" s="4" t="n">
        <v>-5995439000000</v>
      </c>
      <c r="O22" s="4" t="n">
        <v>-9695300000000</v>
      </c>
      <c r="P22" s="4" t="n">
        <v>-15410488328272</v>
      </c>
      <c r="Q22" s="4" t="n">
        <v>-19094908027888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  <c r="J23" s="4" t="n">
        <v>5612320000000</v>
      </c>
      <c r="K23" s="4" t="n">
        <v>3871936250811</v>
      </c>
      <c r="L23" s="4" t="n">
        <v>8422939517832</v>
      </c>
      <c r="M23" s="4" t="n">
        <v>7723722972602</v>
      </c>
      <c r="N23" s="4" t="n">
        <v>4707217381781</v>
      </c>
      <c r="O23" s="4" t="n">
        <v>6932197909676</v>
      </c>
      <c r="P23" s="4" t="n">
        <v>9808255809184</v>
      </c>
      <c r="Q23" s="4" t="n">
        <v>15873130453662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-70900000000</v>
      </c>
      <c r="O24" s="4" t="n">
        <v>-373200000000</v>
      </c>
      <c r="P24" s="4" t="n">
        <v>-1860000000000</v>
      </c>
      <c r="Q24" s="4" t="n">
        <v>-1774697000000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  <c r="J25" s="4" t="n">
        <v>0</v>
      </c>
      <c r="K25" s="4" t="n">
        <v>31246619001</v>
      </c>
      <c r="L25" s="4" t="n">
        <v>226687184000</v>
      </c>
      <c r="M25" s="4" t="n">
        <v>15000000000</v>
      </c>
      <c r="N25" s="4" t="n">
        <v>209046191384</v>
      </c>
      <c r="O25" s="4" t="n">
        <v>1155000000000</v>
      </c>
      <c r="P25" s="4" t="n">
        <v>9754502725420</v>
      </c>
      <c r="Q25" s="4" t="n">
        <v>46272643836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  <c r="J26" s="4" t="n">
        <v>305754643259</v>
      </c>
      <c r="K26" s="4" t="n">
        <v>187519990129</v>
      </c>
      <c r="L26" s="4" t="n">
        <v>308719460282</v>
      </c>
      <c r="M26" s="4" t="n">
        <v>315786623119</v>
      </c>
      <c r="N26" s="4" t="n">
        <v>383190902192</v>
      </c>
      <c r="O26" s="4" t="n">
        <v>229515144802</v>
      </c>
      <c r="P26" s="4" t="n">
        <v>271138307918</v>
      </c>
      <c r="Q26" s="4" t="n">
        <v>457097668324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  <c r="J27" s="4" t="n">
        <v>-10586771366756</v>
      </c>
      <c r="K27" s="4" t="n">
        <v>-9083163490691</v>
      </c>
      <c r="L27" s="4" t="n">
        <v>-2728509645771</v>
      </c>
      <c r="M27" s="4" t="n">
        <v>-5539961327915</v>
      </c>
      <c r="N27" s="4" t="n">
        <v>-13938241340574</v>
      </c>
      <c r="O27" s="4" t="n">
        <v>-3607680554438</v>
      </c>
      <c r="P27" s="4" t="n">
        <v>-2921294017214</v>
      </c>
      <c r="Q27" s="4" t="n">
        <v>-11521888900048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  <c r="J28" s="4" t="n">
        <v>90136000000</v>
      </c>
      <c r="K28" s="4" t="n">
        <v>103000000000</v>
      </c>
      <c r="L28" s="4" t="n">
        <v>100000000</v>
      </c>
      <c r="M28" s="4" t="n">
        <v>525100000000</v>
      </c>
      <c r="N28" s="4" t="n">
        <v>1260500000000</v>
      </c>
      <c r="O28" s="4" t="n">
        <v>-1098200000000</v>
      </c>
      <c r="P28" s="4" t="n">
        <v>906464079800</v>
      </c>
      <c r="Q28" s="4" t="n">
        <v>19465212360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  <c r="J29" s="4" t="n">
        <v>0</v>
      </c>
      <c r="K29" s="4" t="n">
        <v>-17140000</v>
      </c>
      <c r="L29" s="4" t="n">
        <v>0</v>
      </c>
      <c r="M29" s="4" t="n">
        <v>-52020000</v>
      </c>
      <c r="N29" s="4" t="n">
        <v>-40275000000</v>
      </c>
      <c r="O29" s="4" t="n">
        <v>40272000000</v>
      </c>
      <c r="P29" s="4" t="n">
        <v>-133022500000</v>
      </c>
      <c r="Q29" s="4" t="n">
        <v>-20000000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  <c r="J30" s="4" t="n">
        <v>45987162684520</v>
      </c>
      <c r="K30" s="4" t="n">
        <v>42414841815225</v>
      </c>
      <c r="L30" s="4" t="n">
        <v>42070537735752</v>
      </c>
      <c r="M30" s="4" t="n">
        <v>37133314442108</v>
      </c>
      <c r="N30" s="4" t="n">
        <v>37526149069159</v>
      </c>
      <c r="O30" s="4" t="n">
        <v>32818989148452</v>
      </c>
      <c r="P30" s="4" t="n">
        <v>37972026707821</v>
      </c>
      <c r="Q30" s="4" t="n">
        <v>33108134858225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  <c r="J31" s="4" t="n">
        <v>-40276725834290</v>
      </c>
      <c r="K31" s="4" t="n">
        <v>-38146312226161</v>
      </c>
      <c r="L31" s="4" t="n">
        <v>-35992323059515</v>
      </c>
      <c r="M31" s="4" t="n">
        <v>-32170574605521</v>
      </c>
      <c r="N31" s="4" t="n">
        <v>-34691683779555</v>
      </c>
      <c r="O31" s="4" t="n">
        <v>-37483382298841</v>
      </c>
      <c r="P31" s="4" t="n">
        <v>-39509669716860</v>
      </c>
      <c r="Q31" s="4" t="n">
        <v>-25174836242420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0</v>
      </c>
      <c r="K32" s="4" t="n">
        <v>0</v>
      </c>
      <c r="L32" s="4" t="n">
        <v>0</v>
      </c>
      <c r="M32" s="4" t="n">
        <v>0</v>
      </c>
      <c r="N32" s="4" t="n">
        <v>0</v>
      </c>
      <c r="O32" s="4" t="n">
        <v>0</v>
      </c>
      <c r="P32" s="4" t="n">
        <v>0</v>
      </c>
      <c r="Q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  <c r="J33" s="4" t="n">
        <v>-1606676054</v>
      </c>
      <c r="K33" s="4" t="n">
        <v>-2343960741</v>
      </c>
      <c r="L33" s="4" t="n">
        <v>-22127134</v>
      </c>
      <c r="M33" s="4" t="n">
        <v>-3574672793</v>
      </c>
      <c r="N33" s="4" t="n">
        <v>-7647585893</v>
      </c>
      <c r="O33" s="4" t="n">
        <v>-25294401728</v>
      </c>
      <c r="P33" s="4" t="n">
        <v>-3593041781</v>
      </c>
      <c r="Q33" s="4" t="n">
        <v>-3928401581790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  <c r="J35" s="4" t="n">
        <v>5798966174176</v>
      </c>
      <c r="K35" s="4" t="n">
        <v>4369168488323</v>
      </c>
      <c r="L35" s="4" t="n">
        <v>6078292549103</v>
      </c>
      <c r="M35" s="4" t="n">
        <v>5484213143794</v>
      </c>
      <c r="N35" s="4" t="n">
        <v>4047042703711</v>
      </c>
      <c r="O35" s="4" t="n">
        <v>-5747615552117</v>
      </c>
      <c r="P35" s="4" t="n">
        <v>-767794471020</v>
      </c>
      <c r="Q35" s="4" t="n">
        <v>4024342246375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  <c r="J36" s="4" t="n">
        <v>-4523197787478</v>
      </c>
      <c r="K36" s="4" t="n">
        <v>-1618915101156</v>
      </c>
      <c r="L36" s="4" t="n">
        <v>571842456852</v>
      </c>
      <c r="M36" s="4" t="n">
        <v>3229354345834</v>
      </c>
      <c r="N36" s="4" t="n">
        <v>-1596799641187</v>
      </c>
      <c r="O36" s="4" t="n">
        <v>-790998129115</v>
      </c>
      <c r="P36" s="4" t="n">
        <v>3127666961787</v>
      </c>
      <c r="Q36" s="4" t="n">
        <v>-1672604986409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  <c r="J37" s="4" t="n">
        <v>13032037853283</v>
      </c>
      <c r="K37" s="4" t="n">
        <v>8500998079280</v>
      </c>
      <c r="L37" s="4" t="n">
        <v>6887646139852</v>
      </c>
      <c r="M37" s="4" t="n">
        <v>7459035818129</v>
      </c>
      <c r="N37" s="4" t="n">
        <v>10688024277258</v>
      </c>
      <c r="O37" s="4" t="n">
        <v>9092562739415</v>
      </c>
      <c r="P37" s="4" t="n">
        <v>8325103342897</v>
      </c>
      <c r="Q37" s="4" t="n">
        <v>11455231038505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  <c r="J38" s="4" t="n">
        <v>-7841986525</v>
      </c>
      <c r="K38" s="4" t="n">
        <v>5563161728</v>
      </c>
      <c r="L38" s="4" t="n">
        <v>-452778575</v>
      </c>
      <c r="M38" s="4" t="n">
        <v>-365886705</v>
      </c>
      <c r="N38" s="4" t="n">
        <v>1338103344</v>
      </c>
      <c r="O38" s="4" t="n">
        <v>-674306095</v>
      </c>
      <c r="P38" s="4" t="n">
        <v>2460733821</v>
      </c>
      <c r="Q38" s="4" t="n">
        <v>-568691187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  <c r="J39" s="4" t="n">
        <v>8500998079280</v>
      </c>
      <c r="K39" s="4" t="n">
        <v>6887646139852</v>
      </c>
      <c r="L39" s="4" t="n">
        <v>7459035818129</v>
      </c>
      <c r="M39" s="4" t="n">
        <v>10688024277258</v>
      </c>
      <c r="N39" s="4" t="n">
        <v>9092562739415</v>
      </c>
      <c r="O39" s="4" t="n">
        <v>8300890304205</v>
      </c>
      <c r="P39" s="4" t="n">
        <v>11455231038505</v>
      </c>
      <c r="Q39" s="4" t="n">
        <v>9782057360909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  <c r="J40" s="4" t="n">
        <v>-6049970652</v>
      </c>
      <c r="K40" s="4" t="n">
        <v>12295891969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0</v>
      </c>
      <c r="L41" s="4" t="n">
        <v>0</v>
      </c>
      <c r="M41" s="4" t="n">
        <v>0</v>
      </c>
      <c r="N41" s="4" t="n">
        <v>0</v>
      </c>
      <c r="O41" s="4" t="n">
        <v>0</v>
      </c>
      <c r="P41" s="4" t="n">
        <v>0</v>
      </c>
      <c r="Q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  <c r="N42" s="4" t="n">
        <v>0</v>
      </c>
      <c r="O42" s="4" t="n">
        <v>0</v>
      </c>
      <c r="P42" s="4" t="n">
        <v>0</v>
      </c>
      <c r="Q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selection activeCell="A1" sqref="A1"/>
    </sheetView>
  </sheetViews>
  <sheetFormatPr baseColWidth="8" defaultRowHeight="15"/>
  <cols>
    <col width="38.33203125" customWidth="1" min="1" max="1"/>
    <col width="17.44140625" customWidth="1" min="2" max="2"/>
    <col width="21.88671875" customWidth="1" min="9" max="9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5" t="inlineStr">
        <is>
          <t>ROE (LNST CĐ Cty mẹ / VCSH bình quân)</t>
        </is>
      </c>
      <c r="B2" s="7" t="inlineStr">
        <is>
          <t>n/a</t>
        </is>
      </c>
      <c r="C2" s="8">
        <f>IFERROR(C$51/((C$39+B$39)/2),"n/a")</f>
        <v/>
      </c>
      <c r="D2" s="8">
        <f>IFERROR(D$51/((D$39+C$39)/2),"n/a")</f>
        <v/>
      </c>
      <c r="E2" s="8">
        <f>IFERROR(E$51/((E$39+D$39)/2),"n/a")</f>
        <v/>
      </c>
      <c r="F2" s="8">
        <f>IFERROR(F$51/((F$39+E$39)/2),"n/a")</f>
        <v/>
      </c>
      <c r="G2" s="8">
        <f>IFERROR(G$51/((G$39+F$39)/2),"n/a")</f>
        <v/>
      </c>
      <c r="H2" s="8">
        <f>IFERROR(H$51/((H$39+G$39)/2),"n/a")</f>
        <v/>
      </c>
      <c r="I2" s="8">
        <f>IFERROR(I$51/((I$39+H$39)/2),"n/a")</f>
        <v/>
      </c>
      <c r="J2" s="8">
        <f>IFERROR(J$51/((J$39+I$39)/2),"n/a")</f>
        <v/>
      </c>
    </row>
    <row r="3">
      <c r="A3" s="5" t="inlineStr">
        <is>
          <t>ROA (LNST / Tổng tài sản bình quân)</t>
        </is>
      </c>
      <c r="B3" s="7" t="inlineStr">
        <is>
          <t>n/a</t>
        </is>
      </c>
      <c r="C3" s="8">
        <f>IFERROR(C$50/((C$31+B$31)/2),"n/a")</f>
        <v/>
      </c>
      <c r="D3" s="8">
        <f>IFERROR(D$50/((D$31+C$31)/2),"n/a")</f>
        <v/>
      </c>
      <c r="E3" s="8">
        <f>IFERROR(E$50/((E$31+D$31)/2),"n/a")</f>
        <v/>
      </c>
      <c r="F3" s="8">
        <f>IFERROR(F$50/((F$31+E$31)/2),"n/a")</f>
        <v/>
      </c>
      <c r="G3" s="8">
        <f>IFERROR(G$50/((G$31+F$31)/2),"n/a")</f>
        <v/>
      </c>
      <c r="H3" s="8">
        <f>IFERROR(H$50/((H$31+G$31)/2),"n/a")</f>
        <v/>
      </c>
      <c r="I3" s="8">
        <f>IFERROR(I$50/((I$31+H$31)/2),"n/a")</f>
        <v/>
      </c>
    </row>
    <row r="4">
      <c r="A4" s="5" t="inlineStr">
        <is>
          <t>Tăng trưởng LN Cổ đông Cty mẹ</t>
        </is>
      </c>
      <c r="B4" s="7" t="inlineStr">
        <is>
          <t>n/a</t>
        </is>
      </c>
      <c r="C4" s="8">
        <f>IFERROR((C$51-B$51)/ABS(B$51),"n/a")</f>
        <v/>
      </c>
      <c r="D4" s="8">
        <f>IFERROR((D$51-C$51)/ABS(C$51),"n/a")</f>
        <v/>
      </c>
      <c r="E4" s="8">
        <f>IFERROR((E$51-D$51)/ABS(D$51),"n/a")</f>
        <v/>
      </c>
      <c r="F4" s="8">
        <f>IFERROR((F$51-E$51)/ABS(E$51),"n/a")</f>
        <v/>
      </c>
      <c r="G4" s="8">
        <f>IFERROR((G$51-F$51)/ABS(F$51),"n/a")</f>
        <v/>
      </c>
      <c r="H4" s="8">
        <f>IFERROR((H$51-G$51)/ABS(G$51),"n/a")</f>
        <v/>
      </c>
      <c r="I4" s="8">
        <f>IFERROR((I$51-H$51)/ABS(H$51),"n/a")</f>
        <v/>
      </c>
      <c r="J4" s="8">
        <f>IFERROR((J$51-I$51)/ABS(I$51),"n/a")</f>
        <v/>
      </c>
    </row>
    <row r="5">
      <c r="A5" s="5" t="inlineStr">
        <is>
          <t>Tăng trưởng Doanh thu thuần</t>
        </is>
      </c>
      <c r="B5" s="7" t="inlineStr">
        <is>
          <t>n/a</t>
        </is>
      </c>
      <c r="C5" s="8">
        <f>IFERROR((C$43-B$43)/ABS(B$43),"n/a")</f>
        <v/>
      </c>
      <c r="D5" s="8">
        <f>IFERROR((D$43-C$43)/ABS(C$43),"n/a")</f>
        <v/>
      </c>
      <c r="E5" s="8">
        <f>IFERROR((E$43-D$43)/ABS(D$43),"n/a")</f>
        <v/>
      </c>
      <c r="F5" s="8">
        <f>IFERROR((F$43-E$43)/ABS(E$43),"n/a")</f>
        <v/>
      </c>
      <c r="G5" s="8">
        <f>IFERROR((G$43-F$43)/ABS(F$43),"n/a")</f>
        <v/>
      </c>
      <c r="H5" s="8">
        <f>IFERROR((H$43-G$43)/ABS(G$43),"n/a")</f>
        <v/>
      </c>
      <c r="I5" s="8">
        <f>IFERROR((I$43-H$43)/ABS(H$43),"n/a")</f>
        <v/>
      </c>
      <c r="J5" s="8">
        <f>IFERROR((J$43-I$43)/ABS(I$43),"n/a")</f>
        <v/>
      </c>
    </row>
    <row r="6">
      <c r="A6" s="5" t="inlineStr">
        <is>
          <t>Biên lợi nhuận gộp</t>
        </is>
      </c>
      <c r="B6" s="8">
        <f>IFERROR(B$45/B$43,"n/a")</f>
        <v/>
      </c>
      <c r="C6" s="8">
        <f>IFERROR(C$45/C$43,"n/a")</f>
        <v/>
      </c>
      <c r="D6" s="8">
        <f>IFERROR(D$45/D$43,"n/a")</f>
        <v/>
      </c>
      <c r="E6" s="8">
        <f>IFERROR(E$45/E$43,"n/a")</f>
        <v/>
      </c>
      <c r="F6" s="8">
        <f>IFERROR(F$45/F$43,"n/a")</f>
        <v/>
      </c>
      <c r="G6" s="8">
        <f>IFERROR(G$45/G$43,"n/a")</f>
        <v/>
      </c>
      <c r="H6" s="8">
        <f>IFERROR(H$45/H$43,"n/a")</f>
        <v/>
      </c>
      <c r="I6" s="8">
        <f>IFERROR(I$45/I$43,"n/a")</f>
        <v/>
      </c>
    </row>
    <row r="7">
      <c r="A7" s="5" t="inlineStr">
        <is>
          <t>Biên lợi nhuận ròng</t>
        </is>
      </c>
      <c r="B7" s="8">
        <f>IFERROR(B$51/B$43,"n/a")</f>
        <v/>
      </c>
      <c r="C7" s="8">
        <f>IFERROR(C$51/C$43,"n/a")</f>
        <v/>
      </c>
      <c r="D7" s="8">
        <f>IFERROR(D$51/D$43,"n/a")</f>
        <v/>
      </c>
      <c r="E7" s="8">
        <f>IFERROR(E$51/E$43,"n/a")</f>
        <v/>
      </c>
      <c r="F7" s="8">
        <f>IFERROR(F$51/F$43,"n/a")</f>
        <v/>
      </c>
      <c r="G7" s="8">
        <f>IFERROR(G$51/G$43,"n/a")</f>
        <v/>
      </c>
      <c r="H7" s="8">
        <f>IFERROR(H$51/H$43,"n/a")</f>
        <v/>
      </c>
      <c r="I7" s="8">
        <f>IFERROR(I$51/I$43,"n/a")</f>
        <v/>
      </c>
      <c r="J7" s="8">
        <f>IFERROR(J$51/J$43,"n/a")</f>
        <v/>
      </c>
    </row>
    <row r="8">
      <c r="A8" s="5" t="inlineStr">
        <is>
          <t>D/E (Nợ vay / Vốn chủ sở hữu)</t>
        </is>
      </c>
      <c r="B8" s="9">
        <f>IFERROR((B$34+B$36)/B$39,"n/a")</f>
        <v/>
      </c>
      <c r="C8" s="9">
        <f>IFERROR((C$34+C$36)/C$39,"n/a")</f>
        <v/>
      </c>
      <c r="D8" s="9">
        <f>IFERROR((D$34+D$36)/D$39,"n/a")</f>
        <v/>
      </c>
      <c r="E8" s="9">
        <f>IFERROR((E$34+E$36)/E$39,"n/a")</f>
        <v/>
      </c>
      <c r="F8" s="9">
        <f>IFERROR((F$34+F$36)/F$39,"n/a")</f>
        <v/>
      </c>
      <c r="G8" s="9">
        <f>IFERROR((G$34+G$36)/G$39,"n/a")</f>
        <v/>
      </c>
      <c r="H8" s="9">
        <f>IFERROR((H$34+H$36)/H$39,"n/a")</f>
        <v/>
      </c>
      <c r="I8" s="9">
        <f>IFERROR((I$34+I$36)/I$39,"n/a")</f>
        <v/>
      </c>
    </row>
    <row r="9">
      <c r="A9" s="10" t="inlineStr">
        <is>
          <t xml:space="preserve">     - Nợ vay dài hạn/Vốn chủ sở hữu</t>
        </is>
      </c>
      <c r="B9" s="9">
        <f>IFERROR(B$36/B$39,"n/a")</f>
        <v/>
      </c>
      <c r="C9" s="9">
        <f>IFERROR(C$36/C$39,"n/a")</f>
        <v/>
      </c>
      <c r="D9" s="9">
        <f>IFERROR(D$36/D$39,"n/a")</f>
        <v/>
      </c>
      <c r="E9" s="9">
        <f>IFERROR(E$36/E$39,"n/a")</f>
        <v/>
      </c>
      <c r="F9" s="9">
        <f>IFERROR(F$36/F$39,"n/a")</f>
        <v/>
      </c>
      <c r="G9" s="9">
        <f>IFERROR(G$36/G$39,"n/a")</f>
        <v/>
      </c>
      <c r="H9" s="9">
        <f>IFERROR(H$36/H$39,"n/a")</f>
        <v/>
      </c>
      <c r="I9" s="9">
        <f>IFERROR(I$36/I$39,"n/a")</f>
        <v/>
      </c>
    </row>
    <row r="10">
      <c r="A10" s="10" t="inlineStr">
        <is>
          <t xml:space="preserve">     - Nợ vay ngắn hạn/Vốn chủ sở hữu</t>
        </is>
      </c>
      <c r="B10" s="9">
        <f>IFERROR(B$34/B$39,"n/a")</f>
        <v/>
      </c>
      <c r="C10" s="9">
        <f>IFERROR(C$34/C$39,"n/a")</f>
        <v/>
      </c>
      <c r="D10" s="9">
        <f>IFERROR(D$34/D$39,"n/a")</f>
        <v/>
      </c>
      <c r="E10" s="9">
        <f>IFERROR(E$34/E$39,"n/a")</f>
        <v/>
      </c>
      <c r="F10" s="9">
        <f>IFERROR(F$34/F$39,"n/a")</f>
        <v/>
      </c>
      <c r="G10" s="9">
        <f>IFERROR(G$34/G$39,"n/a")</f>
        <v/>
      </c>
      <c r="H10" s="9">
        <f>IFERROR(H$34/H$39,"n/a")</f>
        <v/>
      </c>
      <c r="I10" s="9">
        <f>IFERROR(I$34/I$39,"n/a")</f>
        <v/>
      </c>
    </row>
    <row r="11">
      <c r="A11" s="5" t="inlineStr">
        <is>
          <t>Nợ phải trả/Vốn chủ sở hữu</t>
        </is>
      </c>
      <c r="B11" s="9">
        <f>IFERROR(B$38/B$39,"n/a")</f>
        <v/>
      </c>
      <c r="C11" s="9">
        <f>IFERROR(C$38/C$39,"n/a")</f>
        <v/>
      </c>
      <c r="D11" s="9">
        <f>IFERROR(D$38/D$39,"n/a")</f>
        <v/>
      </c>
      <c r="E11" s="9">
        <f>IFERROR(E$38/E$39,"n/a")</f>
        <v/>
      </c>
      <c r="F11" s="9">
        <f>IFERROR(F$38/F$39,"n/a")</f>
        <v/>
      </c>
      <c r="G11" s="9">
        <f>IFERROR(G$38/G$39,"n/a")</f>
        <v/>
      </c>
      <c r="H11" s="9">
        <f>IFERROR(H$38/H$39,"n/a")</f>
        <v/>
      </c>
      <c r="I11" s="9">
        <f>IFERROR(I$38/I$39,"n/a")</f>
        <v/>
      </c>
    </row>
    <row r="12">
      <c r="A12" s="10" t="inlineStr">
        <is>
          <t xml:space="preserve">     - Nợ dài hạn/Vốn chủ sở hữu</t>
        </is>
      </c>
      <c r="B12" s="9">
        <f>IFERROR(B$37/B$39,"n/a")</f>
        <v/>
      </c>
      <c r="C12" s="9">
        <f>IFERROR(C$37/C$39,"n/a")</f>
        <v/>
      </c>
      <c r="D12" s="9">
        <f>IFERROR(D$37/D$39,"n/a")</f>
        <v/>
      </c>
      <c r="E12" s="9">
        <f>IFERROR(E$37/E$39,"n/a")</f>
        <v/>
      </c>
      <c r="F12" s="9">
        <f>IFERROR(F$37/F$39,"n/a")</f>
        <v/>
      </c>
      <c r="G12" s="9">
        <f>IFERROR(G$37/G$39,"n/a")</f>
        <v/>
      </c>
      <c r="H12" s="9">
        <f>IFERROR(H$37/H$39,"n/a")</f>
        <v/>
      </c>
      <c r="I12" s="9">
        <f>IFERROR(I$37/I$39,"n/a")</f>
        <v/>
      </c>
    </row>
    <row r="13">
      <c r="A13" s="10" t="inlineStr">
        <is>
          <t xml:space="preserve">     - Nợ ngắn hạn/Vốn chủ sở hữu</t>
        </is>
      </c>
      <c r="B13" s="9">
        <f>IFERROR(B$35/B$39,"n/a")</f>
        <v/>
      </c>
      <c r="C13" s="9">
        <f>IFERROR(C$35/C$39,"n/a")</f>
        <v/>
      </c>
      <c r="D13" s="9">
        <f>IFERROR(D$35/D$39,"n/a")</f>
        <v/>
      </c>
      <c r="E13" s="9">
        <f>IFERROR(E$35/E$39,"n/a")</f>
        <v/>
      </c>
      <c r="F13" s="9">
        <f>IFERROR(F$35/F$39,"n/a")</f>
        <v/>
      </c>
      <c r="G13" s="9">
        <f>IFERROR(G$35/G$39,"n/a")</f>
        <v/>
      </c>
      <c r="H13" s="9">
        <f>IFERROR(H$35/H$39,"n/a")</f>
        <v/>
      </c>
      <c r="I13" s="9">
        <f>IFERROR(I$35/I$39,"n/a")</f>
        <v/>
      </c>
    </row>
    <row r="14">
      <c r="A14" s="5" t="inlineStr">
        <is>
          <t>Chi phí bán hàng, quản lý/LN gộp</t>
        </is>
      </c>
      <c r="B14" s="8">
        <f>IFERROR((ABS(B$46)+ABS(B$47))/B$45,"n/a")</f>
        <v/>
      </c>
      <c r="C14" s="8">
        <f>IFERROR((ABS(C$46)+ABS(C$47))/C$45,"n/a")</f>
        <v/>
      </c>
      <c r="D14" s="8">
        <f>IFERROR((ABS(D$46)+ABS(D$47))/D$45,"n/a")</f>
        <v/>
      </c>
      <c r="E14" s="8">
        <f>IFERROR((ABS(E$46)+ABS(E$47))/E$45,"n/a")</f>
        <v/>
      </c>
      <c r="F14" s="8">
        <f>IFERROR((ABS(F$46)+ABS(F$47))/F$45,"n/a")</f>
        <v/>
      </c>
      <c r="G14" s="8">
        <f>IFERROR((ABS(G$46)+ABS(G$47))/G$45,"n/a")</f>
        <v/>
      </c>
      <c r="H14" s="8">
        <f>IFERROR((ABS(H$46)+ABS(H$47))/H$45,"n/a")</f>
        <v/>
      </c>
      <c r="I14" s="8">
        <f>IFERROR((ABS(I$46)+ABS(I$47))/I$45,"n/a")</f>
        <v/>
      </c>
    </row>
    <row r="15">
      <c r="A15" s="5" t="inlineStr">
        <is>
          <t>Chi phí lãi vay/LN từ hoạt động kinh doanh</t>
        </is>
      </c>
      <c r="B15" s="8">
        <f>IFERROR(ABS(B$49)/B$48,"n/a")</f>
        <v/>
      </c>
      <c r="C15" s="8">
        <f>IFERROR(ABS(C$49)/C$48,"n/a")</f>
        <v/>
      </c>
      <c r="D15" s="8">
        <f>IFERROR(ABS(D$49)/D$48,"n/a")</f>
        <v/>
      </c>
      <c r="E15" s="8">
        <f>IFERROR(ABS(E$49)/E$48,"n/a")</f>
        <v/>
      </c>
      <c r="F15" s="8">
        <f>IFERROR(ABS(F$49)/F$48,"n/a")</f>
        <v/>
      </c>
      <c r="G15" s="8">
        <f>IFERROR(ABS(G$49)/G$48,"n/a")</f>
        <v/>
      </c>
      <c r="H15" s="8">
        <f>IFERROR(ABS(H$49)/H$48,"n/a")</f>
        <v/>
      </c>
      <c r="I15" s="8">
        <f>IFERROR(ABS(I$49)/I$48,"n/a")</f>
        <v/>
      </c>
    </row>
    <row r="16">
      <c r="A16" s="5" t="inlineStr">
        <is>
          <t>Số ngày phải trả (DPO)</t>
        </is>
      </c>
      <c r="B16" s="11" t="inlineStr">
        <is>
          <t>n/a</t>
        </is>
      </c>
      <c r="C16" s="12">
        <f>IFERROR(((C$33+B$33)/2)/ABS(C$44)*365,"n/a")</f>
        <v/>
      </c>
      <c r="D16" s="12">
        <f>IFERROR(((D$33+C$33)/2)/ABS(D$44)*365,"n/a")</f>
        <v/>
      </c>
      <c r="E16" s="12">
        <f>IFERROR(((E$33+D$33)/2)/ABS(E$44)*365,"n/a")</f>
        <v/>
      </c>
      <c r="F16" s="12">
        <f>IFERROR(((F$33+E$33)/2)/ABS(F$44)*365,"n/a")</f>
        <v/>
      </c>
      <c r="G16" s="12">
        <f>IFERROR(((G$33+F$33)/2)/ABS(G$44)*365,"n/a")</f>
        <v/>
      </c>
      <c r="H16" s="12">
        <f>IFERROR(((H$33+G$33)/2)/ABS(H$44)*365,"n/a")</f>
        <v/>
      </c>
      <c r="I16" s="12">
        <f>IFERROR(((I$33+H$33)/2)/ABS(I$44)*365,"n/a")</f>
        <v/>
      </c>
    </row>
    <row r="17">
      <c r="A17" s="5" t="inlineStr">
        <is>
          <t>Số ngày phải thu (DSO)</t>
        </is>
      </c>
      <c r="B17" s="11" t="inlineStr">
        <is>
          <t>n/a</t>
        </is>
      </c>
      <c r="C17" s="12">
        <f>IFERROR(((C$27+B$27)/2)/C$43*365,"n/a")</f>
        <v/>
      </c>
      <c r="D17" s="12">
        <f>IFERROR(((D$27+C$27)/2)/D$43*365,"n/a")</f>
        <v/>
      </c>
      <c r="E17" s="12">
        <f>IFERROR(((E$27+D$27)/2)/E$43*365,"n/a")</f>
        <v/>
      </c>
      <c r="F17" s="12">
        <f>IFERROR(((F$27+E$27)/2)/F$43*365,"n/a")</f>
        <v/>
      </c>
      <c r="G17" s="12">
        <f>IFERROR(((G$27+F$27)/2)/G$43*365,"n/a")</f>
        <v/>
      </c>
      <c r="H17" s="12">
        <f>IFERROR(((H$27+G$27)/2)/H$43*365,"n/a")</f>
        <v/>
      </c>
      <c r="I17" s="12">
        <f>IFERROR(((I$27+H$27)/2)/I$43*365,"n/a")</f>
        <v/>
      </c>
    </row>
    <row r="18">
      <c r="A18" s="5" t="inlineStr">
        <is>
          <t>Số ngày tồn kho (DIO)</t>
        </is>
      </c>
      <c r="B18" s="11" t="inlineStr">
        <is>
          <t>n/a</t>
        </is>
      </c>
      <c r="C18" s="12">
        <f>IFERROR(((C$28+B$28)/2)/ABS(C$44)*365,"n/a")</f>
        <v/>
      </c>
      <c r="D18" s="12">
        <f>IFERROR(((D$28+C$28)/2)/ABS(D$44)*365,"n/a")</f>
        <v/>
      </c>
      <c r="E18" s="12">
        <f>IFERROR(((E$28+D$28)/2)/ABS(E$44)*365,"n/a")</f>
        <v/>
      </c>
      <c r="F18" s="12">
        <f>IFERROR(((F$28+E$28)/2)/ABS(F$44)*365,"n/a")</f>
        <v/>
      </c>
      <c r="G18" s="12">
        <f>IFERROR(((G$28+F$28)/2)/ABS(G$44)*365,"n/a")</f>
        <v/>
      </c>
      <c r="H18" s="12">
        <f>IFERROR(((H$28+G$28)/2)/ABS(H$44)*365,"n/a")</f>
        <v/>
      </c>
      <c r="I18" s="12">
        <f>IFERROR(((I$28+H$28)/2)/ABS(I$44)*365,"n/a")</f>
        <v/>
      </c>
    </row>
    <row r="19">
      <c r="A19" s="5" t="inlineStr">
        <is>
          <t>Tiền và tương đương tiền/Tài sản</t>
        </is>
      </c>
      <c r="B19" s="8">
        <f>IFERROR(B$26/B$31,"n/a")</f>
        <v/>
      </c>
      <c r="C19" s="8">
        <f>IFERROR(C$26/C$31,"n/a")</f>
        <v/>
      </c>
      <c r="D19" s="8">
        <f>IFERROR(D$26/D$31,"n/a")</f>
        <v/>
      </c>
      <c r="E19" s="8">
        <f>IFERROR(E$26/E$31,"n/a")</f>
        <v/>
      </c>
      <c r="F19" s="8">
        <f>IFERROR(F$26/F$31,"n/a")</f>
        <v/>
      </c>
      <c r="G19" s="8">
        <f>IFERROR(G$26/G$31,"n/a")</f>
        <v/>
      </c>
      <c r="H19" s="8">
        <f>IFERROR(H$26/H$31,"n/a")</f>
        <v/>
      </c>
      <c r="I19" s="8">
        <f>IFERROR(I$26/I$31,"n/a")</f>
        <v/>
      </c>
    </row>
    <row r="20">
      <c r="A20" s="5" t="inlineStr">
        <is>
          <t>Hàng tồn kho/Tài sản</t>
        </is>
      </c>
      <c r="B20" s="8">
        <f>IFERROR(B$28/B$31,"n/a")</f>
        <v/>
      </c>
      <c r="C20" s="8">
        <f>IFERROR(C$28/C$31,"n/a")</f>
        <v/>
      </c>
      <c r="D20" s="8">
        <f>IFERROR(D$28/D$31,"n/a")</f>
        <v/>
      </c>
      <c r="E20" s="8">
        <f>IFERROR(E$28/E$31,"n/a")</f>
        <v/>
      </c>
      <c r="F20" s="8">
        <f>IFERROR(F$28/F$31,"n/a")</f>
        <v/>
      </c>
      <c r="G20" s="8">
        <f>IFERROR(G$28/G$31,"n/a")</f>
        <v/>
      </c>
      <c r="H20" s="8">
        <f>IFERROR(H$28/H$31,"n/a")</f>
        <v/>
      </c>
      <c r="I20" s="8">
        <f>IFERROR(I$28/I$31,"n/a")</f>
        <v/>
      </c>
    </row>
    <row r="21"/>
    <row r="22">
      <c r="A22" s="13" t="inlineStr">
        <is>
          <t>II. DỮ LIỆU TRÍCH XUẤT (tự động dò theo tên khoản mục)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5" t="inlineStr">
        <is>
          <t>Khoản mục</t>
        </is>
      </c>
      <c r="B23" s="16">
        <f>balance_sheet!B1</f>
        <v/>
      </c>
      <c r="C23" s="16">
        <f>balance_sheet!C1</f>
        <v/>
      </c>
      <c r="D23" s="16">
        <f>balance_sheet!D1</f>
        <v/>
      </c>
      <c r="E23" s="16">
        <f>balance_sheet!E1</f>
        <v/>
      </c>
      <c r="F23" s="16">
        <f>balance_sheet!F1</f>
        <v/>
      </c>
      <c r="G23" s="16">
        <f>balance_sheet!G1</f>
        <v/>
      </c>
      <c r="H23" s="16">
        <f>balance_sheet!H1</f>
        <v/>
      </c>
      <c r="I23" s="16">
        <f>balance_sheet!I1</f>
        <v/>
      </c>
    </row>
    <row r="24">
      <c r="A24" s="15" t="inlineStr">
        <is>
          <t>CĐKT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</row>
    <row r="25">
      <c r="A25" s="15" t="inlineStr">
        <is>
          <t>Tài sản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</row>
    <row r="26">
      <c r="A26" s="17" t="inlineStr">
        <is>
          <t>Tiền và tương đương tiền</t>
        </is>
      </c>
      <c r="B26" s="18">
        <f>IFERROR(INDEX(balance_sheet!$B:$I,MATCH("Tiền và tương đương tiền",balance_sheet!$A:$A,0),MATCH(B$23,balance_sheet!$B$1:$I$1,0)),"")</f>
        <v/>
      </c>
      <c r="C26" s="18">
        <f>IFERROR(INDEX(balance_sheet!$B:$I,MATCH("Tiền và tương đương tiền",balance_sheet!$A:$A,0),MATCH(C$23,balance_sheet!$B$1:$I$1,0)),"")</f>
        <v/>
      </c>
      <c r="D26" s="18">
        <f>IFERROR(INDEX(balance_sheet!$B:$I,MATCH("Tiền và tương đương tiền",balance_sheet!$A:$A,0),MATCH(D$23,balance_sheet!$B$1:$I$1,0)),"")</f>
        <v/>
      </c>
      <c r="E26" s="18">
        <f>IFERROR(INDEX(balance_sheet!$B:$I,MATCH("Tiền và tương đương tiền",balance_sheet!$A:$A,0),MATCH(E$23,balance_sheet!$B$1:$I$1,0)),"")</f>
        <v/>
      </c>
      <c r="F26" s="18">
        <f>IFERROR(INDEX(balance_sheet!$B:$I,MATCH("Tiền và tương đương tiền",balance_sheet!$A:$A,0),MATCH(F$23,balance_sheet!$B$1:$I$1,0)),"")</f>
        <v/>
      </c>
      <c r="G26" s="18">
        <f>IFERROR(INDEX(balance_sheet!$B:$I,MATCH("Tiền và tương đương tiền",balance_sheet!$A:$A,0),MATCH(G$23,balance_sheet!$B$1:$I$1,0)),"")</f>
        <v/>
      </c>
      <c r="H26" s="18">
        <f>IFERROR(INDEX(balance_sheet!$B:$I,MATCH("Tiền và tương đương tiền",balance_sheet!$A:$A,0),MATCH(H$23,balance_sheet!$B$1:$I$1,0)),"")</f>
        <v/>
      </c>
      <c r="I26" s="18">
        <f>IFERROR(INDEX(balance_sheet!$B:$I,MATCH("Tiền và tương đương tiền",balance_sheet!$A:$A,0),MATCH(I$23,balance_sheet!$B$1:$I$1,0)),"")</f>
        <v/>
      </c>
    </row>
    <row r="27">
      <c r="A27" s="17" t="inlineStr">
        <is>
          <t>Phải thu khách hàng</t>
        </is>
      </c>
      <c r="B27" s="18">
        <f>IFERROR(INDEX(balance_sheet!$B:$I,MATCH("Phải thu khách hàng",balance_sheet!$A:$A,0),MATCH(B$23,balance_sheet!$B$1:$I$1,0)),"")</f>
        <v/>
      </c>
      <c r="C27" s="18">
        <f>IFERROR(INDEX(balance_sheet!$B:$I,MATCH("Phải thu khách hàng",balance_sheet!$A:$A,0),MATCH(C$23,balance_sheet!$B$1:$I$1,0)),"")</f>
        <v/>
      </c>
      <c r="D27" s="18">
        <f>IFERROR(INDEX(balance_sheet!$B:$I,MATCH("Phải thu khách hàng",balance_sheet!$A:$A,0),MATCH(D$23,balance_sheet!$B$1:$I$1,0)),"")</f>
        <v/>
      </c>
      <c r="E27" s="18">
        <f>IFERROR(INDEX(balance_sheet!$B:$I,MATCH("Phải thu khách hàng",balance_sheet!$A:$A,0),MATCH(E$23,balance_sheet!$B$1:$I$1,0)),"")</f>
        <v/>
      </c>
      <c r="F27" s="18">
        <f>IFERROR(INDEX(balance_sheet!$B:$I,MATCH("Phải thu khách hàng",balance_sheet!$A:$A,0),MATCH(F$23,balance_sheet!$B$1:$I$1,0)),"")</f>
        <v/>
      </c>
      <c r="G27" s="18">
        <f>IFERROR(INDEX(balance_sheet!$B:$I,MATCH("Phải thu khách hàng",balance_sheet!$A:$A,0),MATCH(G$23,balance_sheet!$B$1:$I$1,0)),"")</f>
        <v/>
      </c>
      <c r="H27" s="18">
        <f>IFERROR(INDEX(balance_sheet!$B:$I,MATCH("Phải thu khách hàng",balance_sheet!$A:$A,0),MATCH(H$23,balance_sheet!$B$1:$I$1,0)),"")</f>
        <v/>
      </c>
      <c r="I27" s="18">
        <f>IFERROR(INDEX(balance_sheet!$B:$I,MATCH("Phải thu khách hàng",balance_sheet!$A:$A,0),MATCH(I$23,balance_sheet!$B$1:$I$1,0)),"")</f>
        <v/>
      </c>
    </row>
    <row r="28">
      <c r="A28" s="17" t="inlineStr">
        <is>
          <t>Hàng tồn kho, ròng</t>
        </is>
      </c>
      <c r="B28" s="18">
        <f>IFERROR(INDEX(balance_sheet!$B:$I,MATCH("Hàng tồn kho, ròng",balance_sheet!$A:$A,0),MATCH(B$23,balance_sheet!$B$1:$I$1,0)),"")</f>
        <v/>
      </c>
      <c r="C28" s="18">
        <f>IFERROR(INDEX(balance_sheet!$B:$I,MATCH("Hàng tồn kho, ròng",balance_sheet!$A:$A,0),MATCH(C$23,balance_sheet!$B$1:$I$1,0)),"")</f>
        <v/>
      </c>
      <c r="D28" s="18">
        <f>IFERROR(INDEX(balance_sheet!$B:$I,MATCH("Hàng tồn kho, ròng",balance_sheet!$A:$A,0),MATCH(D$23,balance_sheet!$B$1:$I$1,0)),"")</f>
        <v/>
      </c>
      <c r="E28" s="18">
        <f>IFERROR(INDEX(balance_sheet!$B:$I,MATCH("Hàng tồn kho, ròng",balance_sheet!$A:$A,0),MATCH(E$23,balance_sheet!$B$1:$I$1,0)),"")</f>
        <v/>
      </c>
      <c r="F28" s="18">
        <f>IFERROR(INDEX(balance_sheet!$B:$I,MATCH("Hàng tồn kho, ròng",balance_sheet!$A:$A,0),MATCH(F$23,balance_sheet!$B$1:$I$1,0)),"")</f>
        <v/>
      </c>
      <c r="G28" s="18">
        <f>IFERROR(INDEX(balance_sheet!$B:$I,MATCH("Hàng tồn kho, ròng",balance_sheet!$A:$A,0),MATCH(G$23,balance_sheet!$B$1:$I$1,0)),"")</f>
        <v/>
      </c>
      <c r="H28" s="18">
        <f>IFERROR(INDEX(balance_sheet!$B:$I,MATCH("Hàng tồn kho, ròng",balance_sheet!$A:$A,0),MATCH(H$23,balance_sheet!$B$1:$I$1,0)),"")</f>
        <v/>
      </c>
      <c r="I28" s="18">
        <f>IFERROR(INDEX(balance_sheet!$B:$I,MATCH("Hàng tồn kho, ròng",balance_sheet!$A:$A,0),MATCH(I$23,balance_sheet!$B$1:$I$1,0)),"")</f>
        <v/>
      </c>
    </row>
    <row r="29">
      <c r="A29" s="17" t="inlineStr">
        <is>
          <t>TÀI SẢN NGẮN HẠN</t>
        </is>
      </c>
      <c r="B29" s="18">
        <f>IFERROR(INDEX(balance_sheet!$B:$I,MATCH("TÀI SẢN NGẮN HẠN",balance_sheet!$A:$A,0),MATCH(B$23,balance_sheet!$B$1:$I$1,0)),"")</f>
        <v/>
      </c>
      <c r="C29" s="18">
        <f>IFERROR(INDEX(balance_sheet!$B:$I,MATCH("TÀI SẢN NGẮN HẠN",balance_sheet!$A:$A,0),MATCH(C$23,balance_sheet!$B$1:$I$1,0)),"")</f>
        <v/>
      </c>
      <c r="D29" s="18">
        <f>IFERROR(INDEX(balance_sheet!$B:$I,MATCH("TÀI SẢN NGẮN HẠN",balance_sheet!$A:$A,0),MATCH(D$23,balance_sheet!$B$1:$I$1,0)),"")</f>
        <v/>
      </c>
      <c r="E29" s="18">
        <f>IFERROR(INDEX(balance_sheet!$B:$I,MATCH("TÀI SẢN NGẮN HẠN",balance_sheet!$A:$A,0),MATCH(E$23,balance_sheet!$B$1:$I$1,0)),"")</f>
        <v/>
      </c>
      <c r="F29" s="18">
        <f>IFERROR(INDEX(balance_sheet!$B:$I,MATCH("TÀI SẢN NGẮN HẠN",balance_sheet!$A:$A,0),MATCH(F$23,balance_sheet!$B$1:$I$1,0)),"")</f>
        <v/>
      </c>
      <c r="G29" s="18">
        <f>IFERROR(INDEX(balance_sheet!$B:$I,MATCH("TÀI SẢN NGẮN HẠN",balance_sheet!$A:$A,0),MATCH(G$23,balance_sheet!$B$1:$I$1,0)),"")</f>
        <v/>
      </c>
      <c r="H29" s="18">
        <f>IFERROR(INDEX(balance_sheet!$B:$I,MATCH("TÀI SẢN NGẮN HẠN",balance_sheet!$A:$A,0),MATCH(H$23,balance_sheet!$B$1:$I$1,0)),"")</f>
        <v/>
      </c>
      <c r="I29" s="18">
        <f>IFERROR(INDEX(balance_sheet!$B:$I,MATCH("TÀI SẢN NGẮN HẠN",balance_sheet!$A:$A,0),MATCH(I$23,balance_sheet!$B$1:$I$1,0)),"")</f>
        <v/>
      </c>
    </row>
    <row r="30">
      <c r="A30" s="17" t="inlineStr">
        <is>
          <t>GTCL tài sản cố định vô hình</t>
        </is>
      </c>
      <c r="B30" s="18">
        <f>IFERROR(INDEX(balance_sheet!$B:$I,MATCH("GTCL tài sản cố định vô hình",balance_sheet!$A:$A,0),MATCH(B$23,balance_sheet!$B$1:$I$1,0)),"")</f>
        <v/>
      </c>
      <c r="C30" s="18">
        <f>IFERROR(INDEX(balance_sheet!$B:$I,MATCH("GTCL tài sản cố định vô hình",balance_sheet!$A:$A,0),MATCH(C$23,balance_sheet!$B$1:$I$1,0)),"")</f>
        <v/>
      </c>
      <c r="D30" s="18">
        <f>IFERROR(INDEX(balance_sheet!$B:$I,MATCH("GTCL tài sản cố định vô hình",balance_sheet!$A:$A,0),MATCH(D$23,balance_sheet!$B$1:$I$1,0)),"")</f>
        <v/>
      </c>
      <c r="E30" s="18">
        <f>IFERROR(INDEX(balance_sheet!$B:$I,MATCH("GTCL tài sản cố định vô hình",balance_sheet!$A:$A,0),MATCH(E$23,balance_sheet!$B$1:$I$1,0)),"")</f>
        <v/>
      </c>
      <c r="F30" s="18">
        <f>IFERROR(INDEX(balance_sheet!$B:$I,MATCH("GTCL tài sản cố định vô hình",balance_sheet!$A:$A,0),MATCH(F$23,balance_sheet!$B$1:$I$1,0)),"")</f>
        <v/>
      </c>
      <c r="G30" s="18">
        <f>IFERROR(INDEX(balance_sheet!$B:$I,MATCH("GTCL tài sản cố định vô hình",balance_sheet!$A:$A,0),MATCH(G$23,balance_sheet!$B$1:$I$1,0)),"")</f>
        <v/>
      </c>
      <c r="H30" s="18">
        <f>IFERROR(INDEX(balance_sheet!$B:$I,MATCH("GTCL tài sản cố định vô hình",balance_sheet!$A:$A,0),MATCH(H$23,balance_sheet!$B$1:$I$1,0)),"")</f>
        <v/>
      </c>
      <c r="I30" s="18">
        <f>IFERROR(INDEX(balance_sheet!$B:$I,MATCH("GTCL tài sản cố định vô hình",balance_sheet!$A:$A,0),MATCH(I$23,balance_sheet!$B$1:$I$1,0)),"")</f>
        <v/>
      </c>
    </row>
    <row r="31">
      <c r="A31" s="17" t="inlineStr">
        <is>
          <t>TỔNG CỘNG TÀI SẢN</t>
        </is>
      </c>
      <c r="B31" s="18">
        <f>IFERROR(INDEX(balance_sheet!$B:$I,MATCH("TỔNG CỘNG TÀI SẢN",balance_sheet!$A:$A,0),MATCH(B$23,balance_sheet!$B$1:$I$1,0)),"")</f>
        <v/>
      </c>
      <c r="C31" s="18">
        <f>IFERROR(INDEX(balance_sheet!$B:$I,MATCH("TỔNG CỘNG TÀI SẢN",balance_sheet!$A:$A,0),MATCH(C$23,balance_sheet!$B$1:$I$1,0)),"")</f>
        <v/>
      </c>
      <c r="D31" s="18">
        <f>IFERROR(INDEX(balance_sheet!$B:$I,MATCH("TỔNG CỘNG TÀI SẢN",balance_sheet!$A:$A,0),MATCH(D$23,balance_sheet!$B$1:$I$1,0)),"")</f>
        <v/>
      </c>
      <c r="E31" s="18">
        <f>IFERROR(INDEX(balance_sheet!$B:$I,MATCH("TỔNG CỘNG TÀI SẢN",balance_sheet!$A:$A,0),MATCH(E$23,balance_sheet!$B$1:$I$1,0)),"")</f>
        <v/>
      </c>
      <c r="F31" s="18">
        <f>IFERROR(INDEX(balance_sheet!$B:$I,MATCH("TỔNG CỘNG TÀI SẢN",balance_sheet!$A:$A,0),MATCH(F$23,balance_sheet!$B$1:$I$1,0)),"")</f>
        <v/>
      </c>
      <c r="G31" s="18">
        <f>IFERROR(INDEX(balance_sheet!$B:$I,MATCH("TỔNG CỘNG TÀI SẢN",balance_sheet!$A:$A,0),MATCH(G$23,balance_sheet!$B$1:$I$1,0)),"")</f>
        <v/>
      </c>
      <c r="H31" s="18">
        <f>IFERROR(INDEX(balance_sheet!$B:$I,MATCH("TỔNG CỘNG TÀI SẢN",balance_sheet!$A:$A,0),MATCH(H$23,balance_sheet!$B$1:$I$1,0)),"")</f>
        <v/>
      </c>
      <c r="I31" s="18">
        <f>IFERROR(INDEX(balance_sheet!$B:$I,MATCH("TỔNG CỘNG TÀI SẢN",balance_sheet!$A:$A,0),MATCH(I$23,balance_sheet!$B$1:$I$1,0)),"")</f>
        <v/>
      </c>
    </row>
    <row r="32">
      <c r="A32" s="15" t="inlineStr">
        <is>
          <t>Nguồn vốn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</row>
    <row r="33">
      <c r="A33" s="17" t="inlineStr">
        <is>
          <t>Phải trả người bán</t>
        </is>
      </c>
      <c r="B33" s="18">
        <f>IFERROR(INDEX(balance_sheet!$B:$I,MATCH("Phải trả người bán",balance_sheet!$A:$A,0),MATCH(B$23,balance_sheet!$B$1:$I$1,0)),"")</f>
        <v/>
      </c>
      <c r="C33" s="18">
        <f>IFERROR(INDEX(balance_sheet!$B:$I,MATCH("Phải trả người bán",balance_sheet!$A:$A,0),MATCH(C$23,balance_sheet!$B$1:$I$1,0)),"")</f>
        <v/>
      </c>
      <c r="D33" s="18">
        <f>IFERROR(INDEX(balance_sheet!$B:$I,MATCH("Phải trả người bán",balance_sheet!$A:$A,0),MATCH(D$23,balance_sheet!$B$1:$I$1,0)),"")</f>
        <v/>
      </c>
      <c r="E33" s="18">
        <f>IFERROR(INDEX(balance_sheet!$B:$I,MATCH("Phải trả người bán",balance_sheet!$A:$A,0),MATCH(E$23,balance_sheet!$B$1:$I$1,0)),"")</f>
        <v/>
      </c>
      <c r="F33" s="18">
        <f>IFERROR(INDEX(balance_sheet!$B:$I,MATCH("Phải trả người bán",balance_sheet!$A:$A,0),MATCH(F$23,balance_sheet!$B$1:$I$1,0)),"")</f>
        <v/>
      </c>
      <c r="G33" s="18">
        <f>IFERROR(INDEX(balance_sheet!$B:$I,MATCH("Phải trả người bán",balance_sheet!$A:$A,0),MATCH(G$23,balance_sheet!$B$1:$I$1,0)),"")</f>
        <v/>
      </c>
      <c r="H33" s="18">
        <f>IFERROR(INDEX(balance_sheet!$B:$I,MATCH("Phải trả người bán",balance_sheet!$A:$A,0),MATCH(H$23,balance_sheet!$B$1:$I$1,0)),"")</f>
        <v/>
      </c>
      <c r="I33" s="18">
        <f>IFERROR(INDEX(balance_sheet!$B:$I,MATCH("Phải trả người bán",balance_sheet!$A:$A,0),MATCH(I$23,balance_sheet!$B$1:$I$1,0)),"")</f>
        <v/>
      </c>
    </row>
    <row r="34">
      <c r="A34" s="17" t="inlineStr">
        <is>
          <t>Vay ngắn hạn</t>
        </is>
      </c>
      <c r="B34" s="18">
        <f>IFERROR(INDEX(balance_sheet!$B:$I,MATCH("Vay ngắn hạn",balance_sheet!$A:$A,0),MATCH(B$23,balance_sheet!$B$1:$I$1,0)),"")</f>
        <v/>
      </c>
      <c r="C34" s="18">
        <f>IFERROR(INDEX(balance_sheet!$B:$I,MATCH("Vay ngắn hạn",balance_sheet!$A:$A,0),MATCH(C$23,balance_sheet!$B$1:$I$1,0)),"")</f>
        <v/>
      </c>
      <c r="D34" s="18">
        <f>IFERROR(INDEX(balance_sheet!$B:$I,MATCH("Vay ngắn hạn",balance_sheet!$A:$A,0),MATCH(D$23,balance_sheet!$B$1:$I$1,0)),"")</f>
        <v/>
      </c>
      <c r="E34" s="18">
        <f>IFERROR(INDEX(balance_sheet!$B:$I,MATCH("Vay ngắn hạn",balance_sheet!$A:$A,0),MATCH(E$23,balance_sheet!$B$1:$I$1,0)),"")</f>
        <v/>
      </c>
      <c r="F34" s="18">
        <f>IFERROR(INDEX(balance_sheet!$B:$I,MATCH("Vay ngắn hạn",balance_sheet!$A:$A,0),MATCH(F$23,balance_sheet!$B$1:$I$1,0)),"")</f>
        <v/>
      </c>
      <c r="G34" s="18">
        <f>IFERROR(INDEX(balance_sheet!$B:$I,MATCH("Vay ngắn hạn",balance_sheet!$A:$A,0),MATCH(G$23,balance_sheet!$B$1:$I$1,0)),"")</f>
        <v/>
      </c>
      <c r="H34" s="18">
        <f>IFERROR(INDEX(balance_sheet!$B:$I,MATCH("Vay ngắn hạn",balance_sheet!$A:$A,0),MATCH(H$23,balance_sheet!$B$1:$I$1,0)),"")</f>
        <v/>
      </c>
      <c r="I34" s="18">
        <f>IFERROR(INDEX(balance_sheet!$B:$I,MATCH("Vay ngắn hạn",balance_sheet!$A:$A,0),MATCH(I$23,balance_sheet!$B$1:$I$1,0)),"")</f>
        <v/>
      </c>
    </row>
    <row r="35">
      <c r="A35" s="17" t="inlineStr">
        <is>
          <t>Nợ ngắn hạn</t>
        </is>
      </c>
      <c r="B35" s="18">
        <f>IFERROR(INDEX(balance_sheet!$B:$I,MATCH("Nợ ngắn hạn",balance_sheet!$A:$A,0),MATCH(B$23,balance_sheet!$B$1:$I$1,0)),"")</f>
        <v/>
      </c>
      <c r="C35" s="18">
        <f>IFERROR(INDEX(balance_sheet!$B:$I,MATCH("Nợ ngắn hạn",balance_sheet!$A:$A,0),MATCH(C$23,balance_sheet!$B$1:$I$1,0)),"")</f>
        <v/>
      </c>
      <c r="D35" s="18">
        <f>IFERROR(INDEX(balance_sheet!$B:$I,MATCH("Nợ ngắn hạn",balance_sheet!$A:$A,0),MATCH(D$23,balance_sheet!$B$1:$I$1,0)),"")</f>
        <v/>
      </c>
      <c r="E35" s="18">
        <f>IFERROR(INDEX(balance_sheet!$B:$I,MATCH("Nợ ngắn hạn",balance_sheet!$A:$A,0),MATCH(E$23,balance_sheet!$B$1:$I$1,0)),"")</f>
        <v/>
      </c>
      <c r="F35" s="18">
        <f>IFERROR(INDEX(balance_sheet!$B:$I,MATCH("Nợ ngắn hạn",balance_sheet!$A:$A,0),MATCH(F$23,balance_sheet!$B$1:$I$1,0)),"")</f>
        <v/>
      </c>
      <c r="G35" s="18">
        <f>IFERROR(INDEX(balance_sheet!$B:$I,MATCH("Nợ ngắn hạn",balance_sheet!$A:$A,0),MATCH(G$23,balance_sheet!$B$1:$I$1,0)),"")</f>
        <v/>
      </c>
      <c r="H35" s="18">
        <f>IFERROR(INDEX(balance_sheet!$B:$I,MATCH("Nợ ngắn hạn",balance_sheet!$A:$A,0),MATCH(H$23,balance_sheet!$B$1:$I$1,0)),"")</f>
        <v/>
      </c>
      <c r="I35" s="18">
        <f>IFERROR(INDEX(balance_sheet!$B:$I,MATCH("Nợ ngắn hạn",balance_sheet!$A:$A,0),MATCH(I$23,balance_sheet!$B$1:$I$1,0)),"")</f>
        <v/>
      </c>
    </row>
    <row r="36">
      <c r="A36" s="17" t="inlineStr">
        <is>
          <t>Vay dài hạn</t>
        </is>
      </c>
      <c r="B36" s="18">
        <f>IFERROR(INDEX(balance_sheet!$B:$I,MATCH("Vay dài hạn",balance_sheet!$A:$A,0),MATCH(B$23,balance_sheet!$B$1:$I$1,0)),"")</f>
        <v/>
      </c>
      <c r="C36" s="18">
        <f>IFERROR(INDEX(balance_sheet!$B:$I,MATCH("Vay dài hạn",balance_sheet!$A:$A,0),MATCH(C$23,balance_sheet!$B$1:$I$1,0)),"")</f>
        <v/>
      </c>
      <c r="D36" s="18">
        <f>IFERROR(INDEX(balance_sheet!$B:$I,MATCH("Vay dài hạn",balance_sheet!$A:$A,0),MATCH(D$23,balance_sheet!$B$1:$I$1,0)),"")</f>
        <v/>
      </c>
      <c r="E36" s="18">
        <f>IFERROR(INDEX(balance_sheet!$B:$I,MATCH("Vay dài hạn",balance_sheet!$A:$A,0),MATCH(E$23,balance_sheet!$B$1:$I$1,0)),"")</f>
        <v/>
      </c>
      <c r="F36" s="18">
        <f>IFERROR(INDEX(balance_sheet!$B:$I,MATCH("Vay dài hạn",balance_sheet!$A:$A,0),MATCH(F$23,balance_sheet!$B$1:$I$1,0)),"")</f>
        <v/>
      </c>
      <c r="G36" s="18">
        <f>IFERROR(INDEX(balance_sheet!$B:$I,MATCH("Vay dài hạn",balance_sheet!$A:$A,0),MATCH(G$23,balance_sheet!$B$1:$I$1,0)),"")</f>
        <v/>
      </c>
      <c r="H36" s="18">
        <f>IFERROR(INDEX(balance_sheet!$B:$I,MATCH("Vay dài hạn",balance_sheet!$A:$A,0),MATCH(H$23,balance_sheet!$B$1:$I$1,0)),"")</f>
        <v/>
      </c>
      <c r="I36" s="18">
        <f>IFERROR(INDEX(balance_sheet!$B:$I,MATCH("Vay dài hạn",balance_sheet!$A:$A,0),MATCH(I$23,balance_sheet!$B$1:$I$1,0)),"")</f>
        <v/>
      </c>
    </row>
    <row r="37">
      <c r="A37" s="17" t="inlineStr">
        <is>
          <t>Nợ dài hạn</t>
        </is>
      </c>
      <c r="B37" s="18">
        <f>IFERROR(INDEX(balance_sheet!$B:$I,MATCH("Nợ dài hạn",balance_sheet!$A:$A,0),MATCH(B$23,balance_sheet!$B$1:$I$1,0)),"")</f>
        <v/>
      </c>
      <c r="C37" s="18">
        <f>IFERROR(INDEX(balance_sheet!$B:$I,MATCH("Nợ dài hạn",balance_sheet!$A:$A,0),MATCH(C$23,balance_sheet!$B$1:$I$1,0)),"")</f>
        <v/>
      </c>
      <c r="D37" s="18">
        <f>IFERROR(INDEX(balance_sheet!$B:$I,MATCH("Nợ dài hạn",balance_sheet!$A:$A,0),MATCH(D$23,balance_sheet!$B$1:$I$1,0)),"")</f>
        <v/>
      </c>
      <c r="E37" s="18">
        <f>IFERROR(INDEX(balance_sheet!$B:$I,MATCH("Nợ dài hạn",balance_sheet!$A:$A,0),MATCH(E$23,balance_sheet!$B$1:$I$1,0)),"")</f>
        <v/>
      </c>
      <c r="F37" s="18">
        <f>IFERROR(INDEX(balance_sheet!$B:$I,MATCH("Nợ dài hạn",balance_sheet!$A:$A,0),MATCH(F$23,balance_sheet!$B$1:$I$1,0)),"")</f>
        <v/>
      </c>
      <c r="G37" s="18">
        <f>IFERROR(INDEX(balance_sheet!$B:$I,MATCH("Nợ dài hạn",balance_sheet!$A:$A,0),MATCH(G$23,balance_sheet!$B$1:$I$1,0)),"")</f>
        <v/>
      </c>
      <c r="H37" s="18">
        <f>IFERROR(INDEX(balance_sheet!$B:$I,MATCH("Nợ dài hạn",balance_sheet!$A:$A,0),MATCH(H$23,balance_sheet!$B$1:$I$1,0)),"")</f>
        <v/>
      </c>
      <c r="I37" s="18">
        <f>IFERROR(INDEX(balance_sheet!$B:$I,MATCH("Nợ dài hạn",balance_sheet!$A:$A,0),MATCH(I$23,balance_sheet!$B$1:$I$1,0)),"")</f>
        <v/>
      </c>
    </row>
    <row r="38">
      <c r="A38" s="17" t="inlineStr">
        <is>
          <t>NỢ PHẢI TRẢ</t>
        </is>
      </c>
      <c r="B38" s="18">
        <f>IFERROR(INDEX(balance_sheet!$B:$I,MATCH("NỢ PHẢI TRẢ",balance_sheet!$A:$A,0),MATCH(B$23,balance_sheet!$B$1:$I$1,0)),"")</f>
        <v/>
      </c>
      <c r="C38" s="18">
        <f>IFERROR(INDEX(balance_sheet!$B:$I,MATCH("NỢ PHẢI TRẢ",balance_sheet!$A:$A,0),MATCH(C$23,balance_sheet!$B$1:$I$1,0)),"")</f>
        <v/>
      </c>
      <c r="D38" s="18">
        <f>IFERROR(INDEX(balance_sheet!$B:$I,MATCH("NỢ PHẢI TRẢ",balance_sheet!$A:$A,0),MATCH(D$23,balance_sheet!$B$1:$I$1,0)),"")</f>
        <v/>
      </c>
      <c r="E38" s="18">
        <f>IFERROR(INDEX(balance_sheet!$B:$I,MATCH("NỢ PHẢI TRẢ",balance_sheet!$A:$A,0),MATCH(E$23,balance_sheet!$B$1:$I$1,0)),"")</f>
        <v/>
      </c>
      <c r="F38" s="18">
        <f>IFERROR(INDEX(balance_sheet!$B:$I,MATCH("NỢ PHẢI TRẢ",balance_sheet!$A:$A,0),MATCH(F$23,balance_sheet!$B$1:$I$1,0)),"")</f>
        <v/>
      </c>
      <c r="G38" s="18">
        <f>IFERROR(INDEX(balance_sheet!$B:$I,MATCH("NỢ PHẢI TRẢ",balance_sheet!$A:$A,0),MATCH(G$23,balance_sheet!$B$1:$I$1,0)),"")</f>
        <v/>
      </c>
      <c r="H38" s="18">
        <f>IFERROR(INDEX(balance_sheet!$B:$I,MATCH("NỢ PHẢI TRẢ",balance_sheet!$A:$A,0),MATCH(H$23,balance_sheet!$B$1:$I$1,0)),"")</f>
        <v/>
      </c>
      <c r="I38" s="18">
        <f>IFERROR(INDEX(balance_sheet!$B:$I,MATCH("NỢ PHẢI TRẢ",balance_sheet!$A:$A,0),MATCH(I$23,balance_sheet!$B$1:$I$1,0)),"")</f>
        <v/>
      </c>
    </row>
    <row r="39">
      <c r="A39" s="15" t="inlineStr">
        <is>
          <t>Vốn chủ sở hữu</t>
        </is>
      </c>
      <c r="B39" s="19">
        <f>IFERROR(INDEX(balance_sheet!$B:$I,MATCH("Vốn chủ sở hữu",balance_sheet!$A:$A,0),MATCH(B$23,balance_sheet!$B$1:$I$1,0)),"")</f>
        <v/>
      </c>
      <c r="C39" s="19">
        <f>IFERROR(INDEX(balance_sheet!$B:$I,MATCH("Vốn chủ sở hữu",balance_sheet!$A:$A,0),MATCH(C$23,balance_sheet!$B$1:$I$1,0)),"")</f>
        <v/>
      </c>
      <c r="D39" s="19">
        <f>IFERROR(INDEX(balance_sheet!$B:$I,MATCH("Vốn chủ sở hữu",balance_sheet!$A:$A,0),MATCH(D$23,balance_sheet!$B$1:$I$1,0)),"")</f>
        <v/>
      </c>
      <c r="E39" s="19">
        <f>IFERROR(INDEX(balance_sheet!$B:$I,MATCH("Vốn chủ sở hữu",balance_sheet!$A:$A,0),MATCH(E$23,balance_sheet!$B$1:$I$1,0)),"")</f>
        <v/>
      </c>
      <c r="F39" s="19">
        <f>IFERROR(INDEX(balance_sheet!$B:$I,MATCH("Vốn chủ sở hữu",balance_sheet!$A:$A,0),MATCH(F$23,balance_sheet!$B$1:$I$1,0)),"")</f>
        <v/>
      </c>
      <c r="G39" s="19">
        <f>IFERROR(INDEX(balance_sheet!$B:$I,MATCH("Vốn chủ sở hữu",balance_sheet!$A:$A,0),MATCH(G$23,balance_sheet!$B$1:$I$1,0)),"")</f>
        <v/>
      </c>
      <c r="H39" s="19">
        <f>IFERROR(INDEX(balance_sheet!$B:$I,MATCH("Vốn chủ sở hữu",balance_sheet!$A:$A,0),MATCH(H$23,balance_sheet!$B$1:$I$1,0)),"")</f>
        <v/>
      </c>
      <c r="I39" s="19">
        <f>IFERROR(INDEX(balance_sheet!$B:$I,MATCH("Vốn chủ sở hữu",balance_sheet!$A:$A,0),MATCH(I$23,balance_sheet!$B$1:$I$1,0)),"")</f>
        <v/>
      </c>
      <c r="J39" s="19">
        <f>I39+0.95*J51</f>
        <v/>
      </c>
    </row>
    <row r="40">
      <c r="A40" s="20" t="inlineStr">
        <is>
          <t>Tăng VCSH/LN cổ đông cty mẹ</t>
        </is>
      </c>
      <c r="B40" s="21" t="n"/>
      <c r="C40" s="22">
        <f>(C39-B39)/C51</f>
        <v/>
      </c>
      <c r="D40" s="22">
        <f>(D39-C39)/D51</f>
        <v/>
      </c>
      <c r="E40" s="22">
        <f>(E39-D39)/E51</f>
        <v/>
      </c>
      <c r="F40" s="22">
        <f>(F39-E39)/F51</f>
        <v/>
      </c>
      <c r="G40" s="22">
        <f>(G39-F39)/G51</f>
        <v/>
      </c>
      <c r="H40" s="22">
        <f>(H39-G39)/H51</f>
        <v/>
      </c>
      <c r="I40" s="22">
        <f>(I39-H39)/I51</f>
        <v/>
      </c>
      <c r="J40" s="23" t="n"/>
    </row>
    <row r="41">
      <c r="A41" s="15" t="inlineStr">
        <is>
          <t>Lợi ích cổ đông không kiểm soát</t>
        </is>
      </c>
      <c r="B41" s="19">
        <f>IFERROR(INDEX(balance_sheet!$B:$I,MATCH("Lợi ích cổ đông không kiểm soát",balance_sheet!$A:$A,0),MATCH(B$23,balance_sheet!$B$1:$I$1,0)),"")</f>
        <v/>
      </c>
      <c r="C41" s="19">
        <f>IFERROR(INDEX(balance_sheet!$B:$I,MATCH("Lợi ích cổ đông không kiểm soát",balance_sheet!$A:$A,0),MATCH(C$23,balance_sheet!$B$1:$I$1,0)),"")</f>
        <v/>
      </c>
      <c r="D41" s="19">
        <f>IFERROR(INDEX(balance_sheet!$B:$I,MATCH("Lợi ích cổ đông không kiểm soát",balance_sheet!$A:$A,0),MATCH(D$23,balance_sheet!$B$1:$I$1,0)),"")</f>
        <v/>
      </c>
      <c r="E41" s="19">
        <f>IFERROR(INDEX(balance_sheet!$B:$I,MATCH("Lợi ích cổ đông không kiểm soát",balance_sheet!$A:$A,0),MATCH(E$23,balance_sheet!$B$1:$I$1,0)),"")</f>
        <v/>
      </c>
      <c r="F41" s="19">
        <f>IFERROR(INDEX(balance_sheet!$B:$I,MATCH("Lợi ích cổ đông không kiểm soát",balance_sheet!$A:$A,0),MATCH(F$23,balance_sheet!$B$1:$I$1,0)),"")</f>
        <v/>
      </c>
      <c r="G41" s="19">
        <f>IFERROR(INDEX(balance_sheet!$B:$I,MATCH("Lợi ích cổ đông không kiểm soát",balance_sheet!$A:$A,0),MATCH(G$23,balance_sheet!$B$1:$I$1,0)),"")</f>
        <v/>
      </c>
      <c r="H41" s="19">
        <f>IFERROR(INDEX(balance_sheet!$B:$I,MATCH("Lợi ích cổ đông không kiểm soát",balance_sheet!$A:$A,0),MATCH(H$23,balance_sheet!$B$1:$I$1,0)),"")</f>
        <v/>
      </c>
      <c r="I41" s="19">
        <f>IFERROR(INDEX(balance_sheet!$B:$I,MATCH("Lợi ích cổ đông không kiểm soát",balance_sheet!$A:$A,0),MATCH(I$23,balance_sheet!$B$1:$I$1,0)),"")</f>
        <v/>
      </c>
      <c r="J41" s="24" t="n"/>
    </row>
    <row r="42">
      <c r="A42" s="25" t="inlineStr">
        <is>
          <t>Kết quả hoạt động kinh doanh</t>
        </is>
      </c>
    </row>
    <row r="43">
      <c r="A43" s="15" t="inlineStr">
        <is>
          <t>Doanh thu thuần</t>
        </is>
      </c>
      <c r="B43" s="19">
        <f>IFERROR(INDEX(income_statement!$B:$I,MATCH("Doanh thu thuần",income_statement!$A:$A,0),MATCH(B$23,income_statement!$B$1:$I$1,0)),"")</f>
        <v/>
      </c>
      <c r="C43" s="19">
        <f>IFERROR(INDEX(income_statement!$B:$I,MATCH("Doanh thu thuần",income_statement!$A:$A,0),MATCH(C$23,income_statement!$B$1:$I$1,0)),"")</f>
        <v/>
      </c>
      <c r="D43" s="19">
        <f>IFERROR(INDEX(income_statement!$B:$I,MATCH("Doanh thu thuần",income_statement!$A:$A,0),MATCH(D$23,income_statement!$B$1:$I$1,0)),"")</f>
        <v/>
      </c>
      <c r="E43" s="19">
        <f>IFERROR(INDEX(income_statement!$B:$I,MATCH("Doanh thu thuần",income_statement!$A:$A,0),MATCH(E$23,income_statement!$B$1:$I$1,0)),"")</f>
        <v/>
      </c>
      <c r="F43" s="19">
        <f>IFERROR(INDEX(income_statement!$B:$I,MATCH("Doanh thu thuần",income_statement!$A:$A,0),MATCH(F$23,income_statement!$B$1:$I$1,0)),"")</f>
        <v/>
      </c>
      <c r="G43" s="19">
        <f>IFERROR(INDEX(income_statement!$B:$I,MATCH("Doanh thu thuần",income_statement!$A:$A,0),MATCH(G$23,income_statement!$B$1:$I$1,0)),"")</f>
        <v/>
      </c>
      <c r="H43" s="19">
        <f>IFERROR(INDEX(income_statement!$B:$I,MATCH("Doanh thu thuần",income_statement!$A:$A,0),MATCH(H$23,income_statement!$B$1:$I$1,0)),"")</f>
        <v/>
      </c>
      <c r="I43" s="19">
        <f>IFERROR(INDEX(income_statement!$B:$I,MATCH("Doanh thu thuần",income_statement!$A:$A,0),MATCH(I$23,income_statement!$B$1:$I$1,0)),"")</f>
        <v/>
      </c>
      <c r="J43" s="19" t="n">
        <v>210000000000000</v>
      </c>
    </row>
    <row r="44">
      <c r="A44" s="17" t="inlineStr">
        <is>
          <t>Giá vốn hàng bán</t>
        </is>
      </c>
      <c r="B44" s="18">
        <f>IFERROR(INDEX(income_statement!$B:$I,MATCH("Giá vốn hàng bán",income_statement!$A:$A,0),MATCH(B$23,income_statement!$B$1:$I$1,0)),"")</f>
        <v/>
      </c>
      <c r="C44" s="18">
        <f>IFERROR(INDEX(income_statement!$B:$I,MATCH("Giá vốn hàng bán",income_statement!$A:$A,0),MATCH(C$23,income_statement!$B$1:$I$1,0)),"")</f>
        <v/>
      </c>
      <c r="D44" s="18">
        <f>IFERROR(INDEX(income_statement!$B:$I,MATCH("Giá vốn hàng bán",income_statement!$A:$A,0),MATCH(D$23,income_statement!$B$1:$I$1,0)),"")</f>
        <v/>
      </c>
      <c r="E44" s="18">
        <f>IFERROR(INDEX(income_statement!$B:$I,MATCH("Giá vốn hàng bán",income_statement!$A:$A,0),MATCH(E$23,income_statement!$B$1:$I$1,0)),"")</f>
        <v/>
      </c>
      <c r="F44" s="18">
        <f>IFERROR(INDEX(income_statement!$B:$I,MATCH("Giá vốn hàng bán",income_statement!$A:$A,0),MATCH(F$23,income_statement!$B$1:$I$1,0)),"")</f>
        <v/>
      </c>
      <c r="G44" s="18">
        <f>IFERROR(INDEX(income_statement!$B:$I,MATCH("Giá vốn hàng bán",income_statement!$A:$A,0),MATCH(G$23,income_statement!$B$1:$I$1,0)),"")</f>
        <v/>
      </c>
      <c r="H44" s="18">
        <f>IFERROR(INDEX(income_statement!$B:$I,MATCH("Giá vốn hàng bán",income_statement!$A:$A,0),MATCH(H$23,income_statement!$B$1:$I$1,0)),"")</f>
        <v/>
      </c>
      <c r="I44" s="18">
        <f>IFERROR(INDEX(income_statement!$B:$I,MATCH("Giá vốn hàng bán",income_statement!$A:$A,0),MATCH(I$23,income_statement!$B$1:$I$1,0)),"")</f>
        <v/>
      </c>
    </row>
    <row r="45">
      <c r="A45" s="15" t="inlineStr">
        <is>
          <t>Lợi nhuận gộp</t>
        </is>
      </c>
      <c r="B45" s="19">
        <f>IFERROR(INDEX(income_statement!$B:$I,MATCH("Lợi nhuận gộp",income_statement!$A:$A,0),MATCH(B$23,income_statement!$B$1:$I$1,0)),"")</f>
        <v/>
      </c>
      <c r="C45" s="19">
        <f>IFERROR(INDEX(income_statement!$B:$I,MATCH("Lợi nhuận gộp",income_statement!$A:$A,0),MATCH(C$23,income_statement!$B$1:$I$1,0)),"")</f>
        <v/>
      </c>
      <c r="D45" s="19">
        <f>IFERROR(INDEX(income_statement!$B:$I,MATCH("Lợi nhuận gộp",income_statement!$A:$A,0),MATCH(D$23,income_statement!$B$1:$I$1,0)),"")</f>
        <v/>
      </c>
      <c r="E45" s="19">
        <f>IFERROR(INDEX(income_statement!$B:$I,MATCH("Lợi nhuận gộp",income_statement!$A:$A,0),MATCH(E$23,income_statement!$B$1:$I$1,0)),"")</f>
        <v/>
      </c>
      <c r="F45" s="19">
        <f>IFERROR(INDEX(income_statement!$B:$I,MATCH("Lợi nhuận gộp",income_statement!$A:$A,0),MATCH(F$23,income_statement!$B$1:$I$1,0)),"")</f>
        <v/>
      </c>
      <c r="G45" s="19">
        <f>IFERROR(INDEX(income_statement!$B:$I,MATCH("Lợi nhuận gộp",income_statement!$A:$A,0),MATCH(G$23,income_statement!$B$1:$I$1,0)),"")</f>
        <v/>
      </c>
      <c r="H45" s="19">
        <f>IFERROR(INDEX(income_statement!$B:$I,MATCH("Lợi nhuận gộp",income_statement!$A:$A,0),MATCH(H$23,income_statement!$B$1:$I$1,0)),"")</f>
        <v/>
      </c>
      <c r="I45" s="19">
        <f>IFERROR(INDEX(income_statement!$B:$I,MATCH("Lợi nhuận gộp",income_statement!$A:$A,0),MATCH(I$23,income_statement!$B$1:$I$1,0)),"")</f>
        <v/>
      </c>
    </row>
    <row r="46">
      <c r="A46" s="17" t="inlineStr">
        <is>
          <t>Chi phí bán hàng</t>
        </is>
      </c>
      <c r="B46" s="18">
        <f>IFERROR(INDEX(income_statement!$B:$I,MATCH("Chi phí bán hàng",income_statement!$A:$A,0),MATCH(B$23,income_statement!$B$1:$I$1,0)),"")</f>
        <v/>
      </c>
      <c r="C46" s="18">
        <f>IFERROR(INDEX(income_statement!$B:$I,MATCH("Chi phí bán hàng",income_statement!$A:$A,0),MATCH(C$23,income_statement!$B$1:$I$1,0)),"")</f>
        <v/>
      </c>
      <c r="D46" s="18">
        <f>IFERROR(INDEX(income_statement!$B:$I,MATCH("Chi phí bán hàng",income_statement!$A:$A,0),MATCH(D$23,income_statement!$B$1:$I$1,0)),"")</f>
        <v/>
      </c>
      <c r="E46" s="18">
        <f>IFERROR(INDEX(income_statement!$B:$I,MATCH("Chi phí bán hàng",income_statement!$A:$A,0),MATCH(E$23,income_statement!$B$1:$I$1,0)),"")</f>
        <v/>
      </c>
      <c r="F46" s="18">
        <f>IFERROR(INDEX(income_statement!$B:$I,MATCH("Chi phí bán hàng",income_statement!$A:$A,0),MATCH(F$23,income_statement!$B$1:$I$1,0)),"")</f>
        <v/>
      </c>
      <c r="G46" s="18">
        <f>IFERROR(INDEX(income_statement!$B:$I,MATCH("Chi phí bán hàng",income_statement!$A:$A,0),MATCH(G$23,income_statement!$B$1:$I$1,0)),"")</f>
        <v/>
      </c>
      <c r="H46" s="18">
        <f>IFERROR(INDEX(income_statement!$B:$I,MATCH("Chi phí bán hàng",income_statement!$A:$A,0),MATCH(H$23,income_statement!$B$1:$I$1,0)),"")</f>
        <v/>
      </c>
      <c r="I46" s="18">
        <f>IFERROR(INDEX(income_statement!$B:$I,MATCH("Chi phí bán hàng",income_statement!$A:$A,0),MATCH(I$23,income_statement!$B$1:$I$1,0)),"")</f>
        <v/>
      </c>
    </row>
    <row r="47">
      <c r="A47" s="17" t="inlineStr">
        <is>
          <t>Chi phí quản lý doanh nghiệp</t>
        </is>
      </c>
      <c r="B47" s="18">
        <f>IFERROR(INDEX(income_statement!$B:$I,MATCH("Chi phí quản lý doanh nghiệp",income_statement!$A:$A,0),MATCH(B$23,income_statement!$B$1:$I$1,0)),"")</f>
        <v/>
      </c>
      <c r="C47" s="18">
        <f>IFERROR(INDEX(income_statement!$B:$I,MATCH("Chi phí quản lý doanh nghiệp",income_statement!$A:$A,0),MATCH(C$23,income_statement!$B$1:$I$1,0)),"")</f>
        <v/>
      </c>
      <c r="D47" s="18">
        <f>IFERROR(INDEX(income_statement!$B:$I,MATCH("Chi phí quản lý doanh nghiệp",income_statement!$A:$A,0),MATCH(D$23,income_statement!$B$1:$I$1,0)),"")</f>
        <v/>
      </c>
      <c r="E47" s="18">
        <f>IFERROR(INDEX(income_statement!$B:$I,MATCH("Chi phí quản lý doanh nghiệp",income_statement!$A:$A,0),MATCH(E$23,income_statement!$B$1:$I$1,0)),"")</f>
        <v/>
      </c>
      <c r="F47" s="18">
        <f>IFERROR(INDEX(income_statement!$B:$I,MATCH("Chi phí quản lý doanh nghiệp",income_statement!$A:$A,0),MATCH(F$23,income_statement!$B$1:$I$1,0)),"")</f>
        <v/>
      </c>
      <c r="G47" s="18">
        <f>IFERROR(INDEX(income_statement!$B:$I,MATCH("Chi phí quản lý doanh nghiệp",income_statement!$A:$A,0),MATCH(G$23,income_statement!$B$1:$I$1,0)),"")</f>
        <v/>
      </c>
      <c r="H47" s="18">
        <f>IFERROR(INDEX(income_statement!$B:$I,MATCH("Chi phí quản lý doanh nghiệp",income_statement!$A:$A,0),MATCH(H$23,income_statement!$B$1:$I$1,0)),"")</f>
        <v/>
      </c>
      <c r="I47" s="18">
        <f>IFERROR(INDEX(income_statement!$B:$I,MATCH("Chi phí quản lý doanh nghiệp",income_statement!$A:$A,0),MATCH(I$23,income_statement!$B$1:$I$1,0)),"")</f>
        <v/>
      </c>
    </row>
    <row r="48">
      <c r="A48" s="17" t="inlineStr">
        <is>
          <t>Lãi/(lỗ) từ hoạt động kinh doanh</t>
        </is>
      </c>
      <c r="B48" s="18">
        <f>IFERROR(INDEX(income_statement!$B:$I,MATCH("Lãi/(lỗ) từ hoạt động kinh doanh",income_statement!$A:$A,0),MATCH(B$23,income_statement!$B$1:$I$1,0)),"")</f>
        <v/>
      </c>
      <c r="C48" s="18">
        <f>IFERROR(INDEX(income_statement!$B:$I,MATCH("Lãi/(lỗ) từ hoạt động kinh doanh",income_statement!$A:$A,0),MATCH(C$23,income_statement!$B$1:$I$1,0)),"")</f>
        <v/>
      </c>
      <c r="D48" s="18">
        <f>IFERROR(INDEX(income_statement!$B:$I,MATCH("Lãi/(lỗ) từ hoạt động kinh doanh",income_statement!$A:$A,0),MATCH(D$23,income_statement!$B$1:$I$1,0)),"")</f>
        <v/>
      </c>
      <c r="E48" s="18">
        <f>IFERROR(INDEX(income_statement!$B:$I,MATCH("Lãi/(lỗ) từ hoạt động kinh doanh",income_statement!$A:$A,0),MATCH(E$23,income_statement!$B$1:$I$1,0)),"")</f>
        <v/>
      </c>
      <c r="F48" s="18">
        <f>IFERROR(INDEX(income_statement!$B:$I,MATCH("Lãi/(lỗ) từ hoạt động kinh doanh",income_statement!$A:$A,0),MATCH(F$23,income_statement!$B$1:$I$1,0)),"")</f>
        <v/>
      </c>
      <c r="G48" s="18">
        <f>IFERROR(INDEX(income_statement!$B:$I,MATCH("Lãi/(lỗ) từ hoạt động kinh doanh",income_statement!$A:$A,0),MATCH(G$23,income_statement!$B$1:$I$1,0)),"")</f>
        <v/>
      </c>
      <c r="H48" s="18">
        <f>IFERROR(INDEX(income_statement!$B:$I,MATCH("Lãi/(lỗ) từ hoạt động kinh doanh",income_statement!$A:$A,0),MATCH(H$23,income_statement!$B$1:$I$1,0)),"")</f>
        <v/>
      </c>
      <c r="I48" s="18">
        <f>IFERROR(INDEX(income_statement!$B:$I,MATCH("Lãi/(lỗ) từ hoạt động kinh doanh",income_statement!$A:$A,0),MATCH(I$23,income_statement!$B$1:$I$1,0)),"")</f>
        <v/>
      </c>
    </row>
    <row r="49">
      <c r="A49" s="17" t="inlineStr">
        <is>
          <t>Chi phí lãi vay</t>
        </is>
      </c>
      <c r="B49" s="18">
        <f>IFERROR(INDEX(income_statement!$B:$I,MATCH("Chi phí lãi vay",income_statement!$A:$A,0),MATCH(B$23,income_statement!$B$1:$I$1,0)),"")</f>
        <v/>
      </c>
      <c r="C49" s="18">
        <f>IFERROR(INDEX(income_statement!$B:$I,MATCH("Chi phí lãi vay",income_statement!$A:$A,0),MATCH(C$23,income_statement!$B$1:$I$1,0)),"")</f>
        <v/>
      </c>
      <c r="D49" s="18">
        <f>IFERROR(INDEX(income_statement!$B:$I,MATCH("Chi phí lãi vay",income_statement!$A:$A,0),MATCH(D$23,income_statement!$B$1:$I$1,0)),"")</f>
        <v/>
      </c>
      <c r="E49" s="18">
        <f>IFERROR(INDEX(income_statement!$B:$I,MATCH("Chi phí lãi vay",income_statement!$A:$A,0),MATCH(E$23,income_statement!$B$1:$I$1,0)),"")</f>
        <v/>
      </c>
      <c r="F49" s="18">
        <f>IFERROR(INDEX(income_statement!$B:$I,MATCH("Chi phí lãi vay",income_statement!$A:$A,0),MATCH(F$23,income_statement!$B$1:$I$1,0)),"")</f>
        <v/>
      </c>
      <c r="G49" s="18">
        <f>IFERROR(INDEX(income_statement!$B:$I,MATCH("Chi phí lãi vay",income_statement!$A:$A,0),MATCH(G$23,income_statement!$B$1:$I$1,0)),"")</f>
        <v/>
      </c>
      <c r="H49" s="18">
        <f>IFERROR(INDEX(income_statement!$B:$I,MATCH("Chi phí lãi vay",income_statement!$A:$A,0),MATCH(H$23,income_statement!$B$1:$I$1,0)),"")</f>
        <v/>
      </c>
      <c r="I49" s="18">
        <f>IFERROR(INDEX(income_statement!$B:$I,MATCH("Chi phí lãi vay",income_statement!$A:$A,0),MATCH(I$23,income_statement!$B$1:$I$1,0)),"")</f>
        <v/>
      </c>
    </row>
    <row r="50">
      <c r="A50" s="17" t="inlineStr">
        <is>
          <t>Lãi/(lỗ) thuần sau thuế</t>
        </is>
      </c>
      <c r="B50" s="18">
        <f>IFERROR(INDEX(income_statement!$B:$I,MATCH("Lãi/(lỗ) thuần sau thuế",income_statement!$A:$A,0),MATCH(B$23,income_statement!$B$1:$I$1,0)),"")</f>
        <v/>
      </c>
      <c r="C50" s="18">
        <f>IFERROR(INDEX(income_statement!$B:$I,MATCH("Lãi/(lỗ) thuần sau thuế",income_statement!$A:$A,0),MATCH(C$23,income_statement!$B$1:$I$1,0)),"")</f>
        <v/>
      </c>
      <c r="D50" s="18">
        <f>IFERROR(INDEX(income_statement!$B:$I,MATCH("Lãi/(lỗ) thuần sau thuế",income_statement!$A:$A,0),MATCH(D$23,income_statement!$B$1:$I$1,0)),"")</f>
        <v/>
      </c>
      <c r="E50" s="18">
        <f>IFERROR(INDEX(income_statement!$B:$I,MATCH("Lãi/(lỗ) thuần sau thuế",income_statement!$A:$A,0),MATCH(E$23,income_statement!$B$1:$I$1,0)),"")</f>
        <v/>
      </c>
      <c r="F50" s="18">
        <f>IFERROR(INDEX(income_statement!$B:$I,MATCH("Lãi/(lỗ) thuần sau thuế",income_statement!$A:$A,0),MATCH(F$23,income_statement!$B$1:$I$1,0)),"")</f>
        <v/>
      </c>
      <c r="G50" s="18">
        <f>IFERROR(INDEX(income_statement!$B:$I,MATCH("Lãi/(lỗ) thuần sau thuế",income_statement!$A:$A,0),MATCH(G$23,income_statement!$B$1:$I$1,0)),"")</f>
        <v/>
      </c>
      <c r="H50" s="18">
        <f>IFERROR(INDEX(income_statement!$B:$I,MATCH("Lãi/(lỗ) thuần sau thuế",income_statement!$A:$A,0),MATCH(H$23,income_statement!$B$1:$I$1,0)),"")</f>
        <v/>
      </c>
      <c r="I50" s="18">
        <f>IFERROR(INDEX(income_statement!$B:$I,MATCH("Lãi/(lỗ) thuần sau thuế",income_statement!$A:$A,0),MATCH(I$23,income_statement!$B$1:$I$1,0)),"")</f>
        <v/>
      </c>
      <c r="J50" s="19" t="n">
        <v>22000000000000</v>
      </c>
    </row>
    <row r="51">
      <c r="A51" s="15" t="inlineStr">
        <is>
          <t>Lợi nhuận của Cổ đông của Công ty mẹ</t>
        </is>
      </c>
      <c r="B51" s="19">
        <f>IFERROR(INDEX(income_statement!$B:$I,MATCH("Lợi nhuận của Cổ đông của Công ty mẹ",income_statement!$A:$A,0),MATCH(B$23,income_statement!$B$1:$I$1,0)),"")</f>
        <v/>
      </c>
      <c r="C51" s="19">
        <f>IFERROR(INDEX(income_statement!$B:$I,MATCH("Lợi nhuận của Cổ đông của Công ty mẹ",income_statement!$A:$A,0),MATCH(C$23,income_statement!$B$1:$I$1,0)),"")</f>
        <v/>
      </c>
      <c r="D51" s="19">
        <f>IFERROR(INDEX(income_statement!$B:$I,MATCH("Lợi nhuận của Cổ đông của Công ty mẹ",income_statement!$A:$A,0),MATCH(D$23,income_statement!$B$1:$I$1,0)),"")</f>
        <v/>
      </c>
      <c r="E51" s="19">
        <f>IFERROR(INDEX(income_statement!$B:$I,MATCH("Lợi nhuận của Cổ đông của Công ty mẹ",income_statement!$A:$A,0),MATCH(E$23,income_statement!$B$1:$I$1,0)),"")</f>
        <v/>
      </c>
      <c r="F51" s="19">
        <f>IFERROR(INDEX(income_statement!$B:$I,MATCH("Lợi nhuận của Cổ đông của Công ty mẹ",income_statement!$A:$A,0),MATCH(F$23,income_statement!$B$1:$I$1,0)),"")</f>
        <v/>
      </c>
      <c r="G51" s="19">
        <f>IFERROR(INDEX(income_statement!$B:$I,MATCH("Lợi nhuận của Cổ đông của Công ty mẹ",income_statement!$A:$A,0),MATCH(G$23,income_statement!$B$1:$I$1,0)),"")</f>
        <v/>
      </c>
      <c r="H51" s="19">
        <f>IFERROR(INDEX(income_statement!$B:$I,MATCH("Lợi nhuận của Cổ đông của Công ty mẹ",income_statement!$A:$A,0),MATCH(H$23,income_statement!$B$1:$I$1,0)),"")</f>
        <v/>
      </c>
      <c r="I51" s="19">
        <f>IFERROR(INDEX(income_statement!$B:$I,MATCH("Lợi nhuận của Cổ đông của Công ty mẹ",income_statement!$A:$A,0),MATCH(I$23,income_statement!$B$1:$I$1,0)),"")</f>
        <v/>
      </c>
      <c r="J51" s="19" t="n">
        <v>22000000000000</v>
      </c>
    </row>
    <row r="52">
      <c r="A52" s="26" t="inlineStr">
        <is>
          <t>Lưu chuyển tiền tệ</t>
        </is>
      </c>
      <c r="B52" s="18" t="n"/>
      <c r="C52" s="18" t="n"/>
      <c r="D52" s="18" t="n"/>
      <c r="E52" s="18" t="n"/>
      <c r="F52" s="18" t="n"/>
      <c r="G52" s="18" t="n"/>
      <c r="H52" s="18" t="n"/>
      <c r="I52" s="18" t="n"/>
    </row>
    <row r="53">
      <c r="A53" s="17" t="inlineStr">
        <is>
          <t>Khấu hao TSCĐ và BĐSĐT</t>
        </is>
      </c>
      <c r="B53" s="18">
        <f>IFERROR(INDEX(cash_flow!$B:$I,MATCH("Khấu hao TSCĐ và BĐSĐT",cash_flow!$A:$A,0),MATCH(B$23,cash_flow!$B$1:$I$1,0)),"")</f>
        <v/>
      </c>
      <c r="C53" s="18">
        <f>IFERROR(INDEX(cash_flow!$B:$I,MATCH("Khấu hao TSCĐ và BĐSĐT",cash_flow!$A:$A,0),MATCH(C$23,cash_flow!$B$1:$I$1,0)),"")</f>
        <v/>
      </c>
      <c r="D53" s="18">
        <f>IFERROR(INDEX(cash_flow!$B:$I,MATCH("Khấu hao TSCĐ và BĐSĐT",cash_flow!$A:$A,0),MATCH(D$23,cash_flow!$B$1:$I$1,0)),"")</f>
        <v/>
      </c>
      <c r="E53" s="18">
        <f>IFERROR(INDEX(cash_flow!$B:$I,MATCH("Khấu hao TSCĐ và BĐSĐT",cash_flow!$A:$A,0),MATCH(E$23,cash_flow!$B$1:$I$1,0)),"")</f>
        <v/>
      </c>
      <c r="F53" s="18">
        <f>IFERROR(INDEX(cash_flow!$B:$I,MATCH("Khấu hao TSCĐ và BĐSĐT",cash_flow!$A:$A,0),MATCH(F$23,cash_flow!$B$1:$I$1,0)),"")</f>
        <v/>
      </c>
      <c r="G53" s="18">
        <f>IFERROR(INDEX(cash_flow!$B:$I,MATCH("Khấu hao TSCĐ và BĐSĐT",cash_flow!$A:$A,0),MATCH(G$23,cash_flow!$B$1:$I$1,0)),"")</f>
        <v/>
      </c>
      <c r="H53" s="18">
        <f>IFERROR(INDEX(cash_flow!$B:$I,MATCH("Khấu hao TSCĐ và BĐSĐT",cash_flow!$A:$A,0),MATCH(H$23,cash_flow!$B$1:$I$1,0)),"")</f>
        <v/>
      </c>
      <c r="I53" s="18">
        <f>IFERROR(INDEX(cash_flow!$B:$I,MATCH("Khấu hao TSCĐ và BĐSĐT",cash_flow!$A:$A,0),MATCH(I$23,cash_flow!$B$1:$I$1,0)),"")</f>
        <v/>
      </c>
    </row>
    <row r="54">
      <c r="A54" s="17" t="inlineStr">
        <is>
          <t>Tiền chi để mua sắm, xây dựng TSCĐ và các tài sản dài hạn khác</t>
        </is>
      </c>
      <c r="B54" s="18">
        <f>IFERROR(INDEX(cash_flow!$B:$I,MATCH("Tiền chi để mua sắm, xây dựng TSCĐ và các tài sản dài hạn khác",cash_flow!$A:$A,0),MATCH(B$23,cash_flow!$B$1:$I$1,0)),"")</f>
        <v/>
      </c>
      <c r="C54" s="18">
        <f>IFERROR(INDEX(cash_flow!$B:$I,MATCH("Tiền chi để mua sắm, xây dựng TSCĐ và các tài sản dài hạn khác",cash_flow!$A:$A,0),MATCH(C$23,cash_flow!$B$1:$I$1,0)),"")</f>
        <v/>
      </c>
      <c r="D54" s="18">
        <f>IFERROR(INDEX(cash_flow!$B:$I,MATCH("Tiền chi để mua sắm, xây dựng TSCĐ và các tài sản dài hạn khác",cash_flow!$A:$A,0),MATCH(D$23,cash_flow!$B$1:$I$1,0)),"")</f>
        <v/>
      </c>
      <c r="E54" s="18">
        <f>IFERROR(INDEX(cash_flow!$B:$I,MATCH("Tiền chi để mua sắm, xây dựng TSCĐ và các tài sản dài hạn khác",cash_flow!$A:$A,0),MATCH(E$23,cash_flow!$B$1:$I$1,0)),"")</f>
        <v/>
      </c>
      <c r="F54" s="18">
        <f>IFERROR(INDEX(cash_flow!$B:$I,MATCH("Tiền chi để mua sắm, xây dựng TSCĐ và các tài sản dài hạn khác",cash_flow!$A:$A,0),MATCH(F$23,cash_flow!$B$1:$I$1,0)),"")</f>
        <v/>
      </c>
      <c r="G54" s="18">
        <f>IFERROR(INDEX(cash_flow!$B:$I,MATCH("Tiền chi để mua sắm, xây dựng TSCĐ và các tài sản dài hạn khác",cash_flow!$A:$A,0),MATCH(G$23,cash_flow!$B$1:$I$1,0)),"")</f>
        <v/>
      </c>
      <c r="H54" s="18">
        <f>IFERROR(INDEX(cash_flow!$B:$I,MATCH("Tiền chi để mua sắm, xây dựng TSCĐ và các tài sản dài hạn khác",cash_flow!$A:$A,0),MATCH(H$23,cash_flow!$B$1:$I$1,0)),"")</f>
        <v/>
      </c>
      <c r="I54" s="18">
        <f>IFERROR(INDEX(cash_flow!$B:$I,MATCH("Tiền chi để mua sắm, xây dựng TSCĐ và các tài sản dài hạn khác",cash_flow!$A:$A,0),MATCH(I$23,cash_flow!$B$1:$I$1,0)),"")</f>
        <v/>
      </c>
    </row>
    <row r="55">
      <c r="A55" s="17" t="inlineStr">
        <is>
          <t>Lưu chuyển tiền tệ ròng từ các hoạt động sản xuất kinh doanh</t>
        </is>
      </c>
      <c r="B55" s="18">
        <f>IFERROR(INDEX(cash_flow!$B:$I,MATCH("Lưu chuyển tiền tệ ròng từ các hoạt động sản xuất kinh doanh",cash_flow!$A:$A,0),MATCH(B$23,cash_flow!$B$1:$I$1,0)),"")</f>
        <v/>
      </c>
      <c r="C55" s="18">
        <f>IFERROR(INDEX(cash_flow!$B:$I,MATCH("Lưu chuyển tiền tệ ròng từ các hoạt động sản xuất kinh doanh",cash_flow!$A:$A,0),MATCH(C$23,cash_flow!$B$1:$I$1,0)),"")</f>
        <v/>
      </c>
      <c r="D55" s="18">
        <f>IFERROR(INDEX(cash_flow!$B:$I,MATCH("Lưu chuyển tiền tệ ròng từ các hoạt động sản xuất kinh doanh",cash_flow!$A:$A,0),MATCH(D$23,cash_flow!$B$1:$I$1,0)),"")</f>
        <v/>
      </c>
      <c r="E55" s="18">
        <f>IFERROR(INDEX(cash_flow!$B:$I,MATCH("Lưu chuyển tiền tệ ròng từ các hoạt động sản xuất kinh doanh",cash_flow!$A:$A,0),MATCH(E$23,cash_flow!$B$1:$I$1,0)),"")</f>
        <v/>
      </c>
      <c r="F55" s="18">
        <f>IFERROR(INDEX(cash_flow!$B:$I,MATCH("Lưu chuyển tiền tệ ròng từ các hoạt động sản xuất kinh doanh",cash_flow!$A:$A,0),MATCH(F$23,cash_flow!$B$1:$I$1,0)),"")</f>
        <v/>
      </c>
      <c r="G55" s="18">
        <f>IFERROR(INDEX(cash_flow!$B:$I,MATCH("Lưu chuyển tiền tệ ròng từ các hoạt động sản xuất kinh doanh",cash_flow!$A:$A,0),MATCH(G$23,cash_flow!$B$1:$I$1,0)),"")</f>
        <v/>
      </c>
      <c r="H55" s="18">
        <f>IFERROR(INDEX(cash_flow!$B:$I,MATCH("Lưu chuyển tiền tệ ròng từ các hoạt động sản xuất kinh doanh",cash_flow!$A:$A,0),MATCH(H$23,cash_flow!$B$1:$I$1,0)),"")</f>
        <v/>
      </c>
      <c r="I55" s="18">
        <f>IFERROR(INDEX(cash_flow!$B:$I,MATCH("Lưu chuyển tiền tệ ròng từ các hoạt động sản xuất kinh doanh",cash_flow!$A:$A,0),MATCH(I$23,cash_flow!$B$1:$I$1,0)),"")</f>
        <v/>
      </c>
    </row>
    <row r="56"/>
    <row r="57"/>
    <row r="58"/>
    <row r="59">
      <c r="A59" s="27" t="inlineStr">
        <is>
          <t>CHỈ SỐ THÊM</t>
        </is>
      </c>
      <c r="B59" s="28" t="n">
        <v>2018</v>
      </c>
      <c r="C59" s="28" t="n">
        <v>2019</v>
      </c>
      <c r="D59" s="28" t="n">
        <v>2020</v>
      </c>
      <c r="E59" s="28" t="n">
        <v>2021</v>
      </c>
      <c r="F59" s="28" t="n">
        <v>2022</v>
      </c>
      <c r="G59" s="28" t="n">
        <v>2023</v>
      </c>
      <c r="H59" s="28" t="n">
        <v>2024</v>
      </c>
      <c r="I59" s="28" t="n">
        <v>2025</v>
      </c>
    </row>
    <row r="60">
      <c r="A60" s="27" t="inlineStr">
        <is>
          <t>Khả năng sinh lời &amp; hiệu quả sử dụng vốn</t>
        </is>
      </c>
      <c r="B60" s="29" t="n"/>
      <c r="C60" s="29" t="n"/>
      <c r="D60" s="29" t="n"/>
      <c r="E60" s="29" t="n"/>
      <c r="F60" s="29" t="n"/>
      <c r="G60" s="29" t="n"/>
      <c r="H60" s="29" t="n"/>
      <c r="I60" s="29" t="n"/>
    </row>
    <row r="61">
      <c r="A61" s="29" t="inlineStr">
        <is>
          <t>ROCE</t>
        </is>
      </c>
      <c r="B61" s="30">
        <f>IFERROR(B$63/(B$31-B$35),"n/a")</f>
        <v/>
      </c>
      <c r="C61" s="30">
        <f>IFERROR(C$63/(C$31-C$35),"n/a")</f>
        <v/>
      </c>
      <c r="D61" s="30">
        <f>IFERROR(D$63/(D$31-D$35),"n/a")</f>
        <v/>
      </c>
      <c r="E61" s="30">
        <f>IFERROR(E$63/(E$31-E$35),"n/a")</f>
        <v/>
      </c>
      <c r="F61" s="30">
        <f>IFERROR(F$63/(F$31-F$35),"n/a")</f>
        <v/>
      </c>
      <c r="G61" s="30">
        <f>IFERROR(G$63/(G$31-G$35),"n/a")</f>
        <v/>
      </c>
      <c r="H61" s="30">
        <f>IFERROR(H$63/(H$31-H$35),"n/a")</f>
        <v/>
      </c>
      <c r="I61" s="30">
        <f>IFERROR(I$63/(I$31-I$35),"n/a")</f>
        <v/>
      </c>
    </row>
    <row r="62">
      <c r="A62" s="29" t="inlineStr">
        <is>
          <t>CROIC</t>
        </is>
      </c>
      <c r="B62" s="30">
        <f>IFERROR(B$67/(B$31-B$35),"n/a")</f>
        <v/>
      </c>
      <c r="C62" s="30">
        <f>IFERROR(C$67/(C$31-C$35),"n/a")</f>
        <v/>
      </c>
      <c r="D62" s="30">
        <f>IFERROR(D$67/(D$31-D$35),"n/a")</f>
        <v/>
      </c>
      <c r="E62" s="30">
        <f>IFERROR(E$67/(E$31-E$35),"n/a")</f>
        <v/>
      </c>
      <c r="F62" s="30">
        <f>IFERROR(F$67/(F$31-F$35),"n/a")</f>
        <v/>
      </c>
      <c r="G62" s="30">
        <f>IFERROR(G$67/(G$31-G$35),"n/a")</f>
        <v/>
      </c>
      <c r="H62" s="30">
        <f>IFERROR(H$67/(H$31-H$35),"n/a")</f>
        <v/>
      </c>
      <c r="I62" s="30">
        <f>IFERROR(I$67/(I$31-I$35),"n/a")</f>
        <v/>
      </c>
    </row>
    <row r="63">
      <c r="A63" s="29" t="inlineStr">
        <is>
          <t>EBIT</t>
        </is>
      </c>
      <c r="B63" s="31">
        <f>IFERROR(B$48+ABS(B$49),"n/a")</f>
        <v/>
      </c>
      <c r="C63" s="31">
        <f>IFERROR(C$48+ABS(C$49),"n/a")</f>
        <v/>
      </c>
      <c r="D63" s="31">
        <f>IFERROR(D$48+ABS(D$49),"n/a")</f>
        <v/>
      </c>
      <c r="E63" s="31">
        <f>IFERROR(E$48+ABS(E$49),"n/a")</f>
        <v/>
      </c>
      <c r="F63" s="31">
        <f>IFERROR(F$48+ABS(F$49),"n/a")</f>
        <v/>
      </c>
      <c r="G63" s="31">
        <f>IFERROR(G$48+ABS(G$49),"n/a")</f>
        <v/>
      </c>
      <c r="H63" s="31">
        <f>IFERROR(H$48+ABS(H$49),"n/a")</f>
        <v/>
      </c>
      <c r="I63" s="31">
        <f>IFERROR(I$48+ABS(I$49),"n/a")</f>
        <v/>
      </c>
    </row>
    <row r="64">
      <c r="A64" s="29" t="inlineStr">
        <is>
          <t>EBIT/DT</t>
        </is>
      </c>
      <c r="B64" s="30">
        <f>IFERROR(B$63/B$43,"n/a")</f>
        <v/>
      </c>
      <c r="C64" s="30">
        <f>IFERROR(C$63/C$43,"n/a")</f>
        <v/>
      </c>
      <c r="D64" s="30">
        <f>IFERROR(D$63/D$43,"n/a")</f>
        <v/>
      </c>
      <c r="E64" s="30">
        <f>IFERROR(E$63/E$43,"n/a")</f>
        <v/>
      </c>
      <c r="F64" s="30">
        <f>IFERROR(F$63/F$43,"n/a")</f>
        <v/>
      </c>
      <c r="G64" s="30">
        <f>IFERROR(G$63/G$43,"n/a")</f>
        <v/>
      </c>
      <c r="H64" s="30">
        <f>IFERROR(H$63/H$43,"n/a")</f>
        <v/>
      </c>
      <c r="I64" s="30">
        <f>IFERROR(I$63/I$43,"n/a")</f>
        <v/>
      </c>
    </row>
    <row r="65">
      <c r="A65" s="29" t="inlineStr">
        <is>
          <t>DT/TS</t>
        </is>
      </c>
      <c r="B65" s="30">
        <f>IFERROR(B$43/B$31,"n/a")</f>
        <v/>
      </c>
      <c r="C65" s="30">
        <f>IFERROR(C$43/C$31,"n/a")</f>
        <v/>
      </c>
      <c r="D65" s="30">
        <f>IFERROR(D$43/D$31,"n/a")</f>
        <v/>
      </c>
      <c r="E65" s="30">
        <f>IFERROR(E$43/E$31,"n/a")</f>
        <v/>
      </c>
      <c r="F65" s="30">
        <f>IFERROR(F$43/F$31,"n/a")</f>
        <v/>
      </c>
      <c r="G65" s="30">
        <f>IFERROR(G$43/G$31,"n/a")</f>
        <v/>
      </c>
      <c r="H65" s="30">
        <f>IFERROR(H$43/H$31,"n/a")</f>
        <v/>
      </c>
      <c r="I65" s="30">
        <f>IFERROR(I$43/I$31,"n/a")</f>
        <v/>
      </c>
    </row>
    <row r="66">
      <c r="A66" s="27" t="inlineStr">
        <is>
          <t>Dòng tiền &amp; tái đầu tư</t>
        </is>
      </c>
      <c r="B66" s="29" t="n"/>
      <c r="C66" s="29" t="n"/>
      <c r="D66" s="29" t="n"/>
      <c r="E66" s="29" t="n"/>
      <c r="F66" s="29" t="n"/>
      <c r="G66" s="29" t="n"/>
      <c r="H66" s="29" t="n"/>
      <c r="I66" s="29" t="n"/>
    </row>
    <row r="67">
      <c r="A67" s="29" t="inlineStr">
        <is>
          <t>FCF</t>
        </is>
      </c>
      <c r="B67" s="31">
        <f>IFERROR(B$55-ABS(B$54),"n/a")</f>
        <v/>
      </c>
      <c r="C67" s="31">
        <f>IFERROR(C$55-ABS(C$54),"n/a")</f>
        <v/>
      </c>
      <c r="D67" s="31">
        <f>IFERROR(D$55-ABS(D$54),"n/a")</f>
        <v/>
      </c>
      <c r="E67" s="31">
        <f>IFERROR(E$55-ABS(E$54),"n/a")</f>
        <v/>
      </c>
      <c r="F67" s="31">
        <f>IFERROR(F$55-ABS(F$54),"n/a")</f>
        <v/>
      </c>
      <c r="G67" s="31">
        <f>IFERROR(G$55-ABS(G$54),"n/a")</f>
        <v/>
      </c>
      <c r="H67" s="31">
        <f>IFERROR(H$55-ABS(H$54),"n/a")</f>
        <v/>
      </c>
      <c r="I67" s="31">
        <f>IFERROR(I$55-ABS(I$54),"n/a")</f>
        <v/>
      </c>
    </row>
    <row r="68">
      <c r="A68" s="29" t="inlineStr">
        <is>
          <t>FCF/DT</t>
        </is>
      </c>
      <c r="B68" s="30">
        <f>IFERROR(B$67/B$43,"n/a")</f>
        <v/>
      </c>
      <c r="C68" s="30">
        <f>IFERROR(C$67/C$43,"n/a")</f>
        <v/>
      </c>
      <c r="D68" s="30">
        <f>IFERROR(D$67/D$43,"n/a")</f>
        <v/>
      </c>
      <c r="E68" s="30">
        <f>IFERROR(E$67/E$43,"n/a")</f>
        <v/>
      </c>
      <c r="F68" s="30">
        <f>IFERROR(F$67/F$43,"n/a")</f>
        <v/>
      </c>
      <c r="G68" s="30">
        <f>IFERROR(G$67/G$43,"n/a")</f>
        <v/>
      </c>
      <c r="H68" s="30">
        <f>IFERROR(H$67/H$43,"n/a")</f>
        <v/>
      </c>
      <c r="I68" s="30">
        <f>IFERROR(I$67/I$43,"n/a")</f>
        <v/>
      </c>
    </row>
    <row r="69">
      <c r="A69" s="29" t="inlineStr">
        <is>
          <t>FCF/Nợ ngắn hạn</t>
        </is>
      </c>
      <c r="B69" s="30">
        <f>IFERROR(B$67/B$35,"n/a")</f>
        <v/>
      </c>
      <c r="C69" s="30">
        <f>IFERROR(C$67/C$35,"n/a")</f>
        <v/>
      </c>
      <c r="D69" s="30">
        <f>IFERROR(D$67/D$35,"n/a")</f>
        <v/>
      </c>
      <c r="E69" s="30">
        <f>IFERROR(E$67/E$35,"n/a")</f>
        <v/>
      </c>
      <c r="F69" s="30">
        <f>IFERROR(F$67/F$35,"n/a")</f>
        <v/>
      </c>
      <c r="G69" s="30">
        <f>IFERROR(G$67/G$35,"n/a")</f>
        <v/>
      </c>
      <c r="H69" s="30">
        <f>IFERROR(H$67/H$35,"n/a")</f>
        <v/>
      </c>
      <c r="I69" s="30">
        <f>IFERROR(I$67/I$35,"n/a")</f>
        <v/>
      </c>
    </row>
    <row r="70">
      <c r="A70" s="29" t="inlineStr">
        <is>
          <t>Capex</t>
        </is>
      </c>
      <c r="B70" s="31">
        <f>IFERROR(ABS(B$54),"n/a")</f>
        <v/>
      </c>
      <c r="C70" s="31">
        <f>IFERROR(ABS(C$54),"n/a")</f>
        <v/>
      </c>
      <c r="D70" s="31">
        <f>IFERROR(ABS(D$54),"n/a")</f>
        <v/>
      </c>
      <c r="E70" s="31">
        <f>IFERROR(ABS(E$54),"n/a")</f>
        <v/>
      </c>
      <c r="F70" s="31">
        <f>IFERROR(ABS(F$54),"n/a")</f>
        <v/>
      </c>
      <c r="G70" s="31">
        <f>IFERROR(ABS(G$54),"n/a")</f>
        <v/>
      </c>
      <c r="H70" s="31">
        <f>IFERROR(ABS(H$54),"n/a")</f>
        <v/>
      </c>
      <c r="I70" s="31">
        <f>IFERROR(ABS(I$54),"n/a")</f>
        <v/>
      </c>
    </row>
    <row r="71">
      <c r="A71" s="29" t="inlineStr">
        <is>
          <t>Capex/TS</t>
        </is>
      </c>
      <c r="B71" s="30">
        <f>IFERROR(B$70/B$31,"n/a")</f>
        <v/>
      </c>
      <c r="C71" s="30">
        <f>IFERROR(C$70/C$31,"n/a")</f>
        <v/>
      </c>
      <c r="D71" s="30">
        <f>IFERROR(D$70/D$31,"n/a")</f>
        <v/>
      </c>
      <c r="E71" s="30">
        <f>IFERROR(E$70/E$31,"n/a")</f>
        <v/>
      </c>
      <c r="F71" s="30">
        <f>IFERROR(F$70/F$31,"n/a")</f>
        <v/>
      </c>
      <c r="G71" s="30">
        <f>IFERROR(G$70/G$31,"n/a")</f>
        <v/>
      </c>
      <c r="H71" s="30">
        <f>IFERROR(H$70/H$31,"n/a")</f>
        <v/>
      </c>
      <c r="I71" s="30">
        <f>IFERROR(I$70/I$31,"n/a")</f>
        <v/>
      </c>
    </row>
    <row r="72">
      <c r="A72" s="29" t="inlineStr">
        <is>
          <t>Capex/LNST</t>
        </is>
      </c>
      <c r="B72" s="30">
        <f>IFERROR(B$70/ABS(B$50),"n/a")</f>
        <v/>
      </c>
      <c r="C72" s="30">
        <f>IFERROR(C$70/ABS(C$50),"n/a")</f>
        <v/>
      </c>
      <c r="D72" s="30">
        <f>IFERROR(D$70/ABS(D$50),"n/a")</f>
        <v/>
      </c>
      <c r="E72" s="30">
        <f>IFERROR(E$70/ABS(E$50),"n/a")</f>
        <v/>
      </c>
      <c r="F72" s="30">
        <f>IFERROR(F$70/ABS(F$50),"n/a")</f>
        <v/>
      </c>
      <c r="G72" s="30">
        <f>IFERROR(G$70/ABS(G$50),"n/a")</f>
        <v/>
      </c>
      <c r="H72" s="30">
        <f>IFERROR(H$70/ABS(H$50),"n/a")</f>
        <v/>
      </c>
      <c r="I72" s="30">
        <f>IFERROR(I$70/ABS(I$50),"n/a")</f>
        <v/>
      </c>
    </row>
    <row r="73">
      <c r="A73" s="29" t="inlineStr">
        <is>
          <t>Chi phí khấu hao/Lợi nhuận gộp</t>
        </is>
      </c>
      <c r="B73" s="30">
        <f>IFERROR(ABS(B$53)/B$45,"n/a")</f>
        <v/>
      </c>
      <c r="C73" s="30">
        <f>IFERROR(ABS(C$53)/C$45,"n/a")</f>
        <v/>
      </c>
      <c r="D73" s="30">
        <f>IFERROR(ABS(D$53)/D$45,"n/a")</f>
        <v/>
      </c>
      <c r="E73" s="30">
        <f>IFERROR(ABS(E$53)/E$45,"n/a")</f>
        <v/>
      </c>
      <c r="F73" s="30">
        <f>IFERROR(ABS(F$53)/F$45,"n/a")</f>
        <v/>
      </c>
      <c r="G73" s="30">
        <f>IFERROR(ABS(G$53)/G$45,"n/a")</f>
        <v/>
      </c>
      <c r="H73" s="30">
        <f>IFERROR(ABS(H$53)/H$45,"n/a")</f>
        <v/>
      </c>
      <c r="I73" s="30">
        <f>IFERROR(ABS(I$53)/I$45,"n/a")</f>
        <v/>
      </c>
    </row>
    <row r="74">
      <c r="A74" s="29" t="inlineStr">
        <is>
          <t>EBIT/Chi phí lãi vay</t>
        </is>
      </c>
      <c r="B74" s="32">
        <f>IFERROR(B$63/ABS(B$49),"n/a")</f>
        <v/>
      </c>
      <c r="C74" s="32">
        <f>IFERROR(C$63/ABS(C$49),"n/a")</f>
        <v/>
      </c>
      <c r="D74" s="32">
        <f>IFERROR(D$63/ABS(D$49),"n/a")</f>
        <v/>
      </c>
      <c r="E74" s="32">
        <f>IFERROR(E$63/ABS(E$49),"n/a")</f>
        <v/>
      </c>
      <c r="F74" s="32">
        <f>IFERROR(F$63/ABS(F$49),"n/a")</f>
        <v/>
      </c>
      <c r="G74" s="32">
        <f>IFERROR(G$63/ABS(G$49),"n/a")</f>
        <v/>
      </c>
      <c r="H74" s="32">
        <f>IFERROR(H$63/ABS(H$49),"n/a")</f>
        <v/>
      </c>
      <c r="I74" s="32">
        <f>IFERROR(I$63/ABS(I$49),"n/a")</f>
        <v/>
      </c>
    </row>
    <row r="75">
      <c r="A75" s="27" t="inlineStr">
        <is>
          <t>Vốn lưu động &amp; hiệu quả hoạt động</t>
        </is>
      </c>
      <c r="B75" s="29" t="n"/>
      <c r="C75" s="29" t="n"/>
      <c r="D75" s="29" t="n"/>
      <c r="E75" s="29" t="n"/>
      <c r="F75" s="29" t="n"/>
      <c r="G75" s="29" t="n"/>
      <c r="H75" s="29" t="n"/>
      <c r="I75" s="29" t="n"/>
    </row>
    <row r="76">
      <c r="A76" s="29" t="inlineStr">
        <is>
          <t>Vòng quay tiền mặt</t>
        </is>
      </c>
      <c r="B76" s="33">
        <f>IFERROR(B$17+B$18-B$16,"n/a")</f>
        <v/>
      </c>
      <c r="C76" s="33">
        <f>IFERROR(C$17+C$18-C$16,"n/a")</f>
        <v/>
      </c>
      <c r="D76" s="33">
        <f>IFERROR(D$17+D$18-D$16,"n/a")</f>
        <v/>
      </c>
      <c r="E76" s="33">
        <f>IFERROR(E$17+E$18-E$16,"n/a")</f>
        <v/>
      </c>
      <c r="F76" s="33">
        <f>IFERROR(F$17+F$18-F$16,"n/a")</f>
        <v/>
      </c>
      <c r="G76" s="33">
        <f>IFERROR(G$17+G$18-G$16,"n/a")</f>
        <v/>
      </c>
      <c r="H76" s="33">
        <f>IFERROR(H$17+H$18-H$16,"n/a")</f>
        <v/>
      </c>
      <c r="I76" s="33">
        <f>IFERROR(I$17+I$18-I$16,"n/a")</f>
        <v/>
      </c>
    </row>
    <row r="77">
      <c r="A77" s="29" t="inlineStr">
        <is>
          <t>HTK/DT</t>
        </is>
      </c>
      <c r="B77" s="30">
        <f>IFERROR(B$28/B$43,"n/a")</f>
        <v/>
      </c>
      <c r="C77" s="30">
        <f>IFERROR(C$28/C$43,"n/a")</f>
        <v/>
      </c>
      <c r="D77" s="30">
        <f>IFERROR(D$28/D$43,"n/a")</f>
        <v/>
      </c>
      <c r="E77" s="30">
        <f>IFERROR(E$28/E$43,"n/a")</f>
        <v/>
      </c>
      <c r="F77" s="30">
        <f>IFERROR(F$28/F$43,"n/a")</f>
        <v/>
      </c>
      <c r="G77" s="30">
        <f>IFERROR(G$28/G$43,"n/a")</f>
        <v/>
      </c>
      <c r="H77" s="30">
        <f>IFERROR(H$28/H$43,"n/a")</f>
        <v/>
      </c>
      <c r="I77" s="30">
        <f>IFERROR(I$28/I$43,"n/a")</f>
        <v/>
      </c>
    </row>
    <row r="78">
      <c r="A78" s="29" t="inlineStr">
        <is>
          <t>HTK/TS</t>
        </is>
      </c>
      <c r="B78" s="30">
        <f>IFERROR(B$28/B$31,"n/a")</f>
        <v/>
      </c>
      <c r="C78" s="30">
        <f>IFERROR(C$28/C$31,"n/a")</f>
        <v/>
      </c>
      <c r="D78" s="30">
        <f>IFERROR(D$28/D$31,"n/a")</f>
        <v/>
      </c>
      <c r="E78" s="30">
        <f>IFERROR(E$28/E$31,"n/a")</f>
        <v/>
      </c>
      <c r="F78" s="30">
        <f>IFERROR(F$28/F$31,"n/a")</f>
        <v/>
      </c>
      <c r="G78" s="30">
        <f>IFERROR(G$28/G$31,"n/a")</f>
        <v/>
      </c>
      <c r="H78" s="30">
        <f>IFERROR(H$28/H$31,"n/a")</f>
        <v/>
      </c>
      <c r="I78" s="30">
        <f>IFERROR(I$28/I$31,"n/a")</f>
        <v/>
      </c>
    </row>
    <row r="79">
      <c r="A79" s="29" t="inlineStr">
        <is>
          <t>DT/TS</t>
        </is>
      </c>
      <c r="B79" s="30">
        <f>IFERROR(B$43/B$31,"n/a")</f>
        <v/>
      </c>
      <c r="C79" s="30">
        <f>IFERROR(C$43/C$31,"n/a")</f>
        <v/>
      </c>
      <c r="D79" s="30">
        <f>IFERROR(D$43/D$31,"n/a")</f>
        <v/>
      </c>
      <c r="E79" s="30">
        <f>IFERROR(E$43/E$31,"n/a")</f>
        <v/>
      </c>
      <c r="F79" s="30">
        <f>IFERROR(F$43/F$31,"n/a")</f>
        <v/>
      </c>
      <c r="G79" s="30">
        <f>IFERROR(G$43/G$31,"n/a")</f>
        <v/>
      </c>
      <c r="H79" s="30">
        <f>IFERROR(H$43/H$31,"n/a")</f>
        <v/>
      </c>
      <c r="I79" s="30">
        <f>IFERROR(I$43/I$31,"n/a")</f>
        <v/>
      </c>
    </row>
    <row r="80">
      <c r="A80" s="27" t="inlineStr">
        <is>
          <t>Khả năng thanh toán</t>
        </is>
      </c>
      <c r="B80" s="29" t="n"/>
      <c r="C80" s="29" t="n"/>
      <c r="D80" s="29" t="n"/>
      <c r="E80" s="29" t="n"/>
      <c r="F80" s="29" t="n"/>
      <c r="G80" s="29" t="n"/>
      <c r="H80" s="29" t="n"/>
      <c r="I80" s="29" t="n"/>
    </row>
    <row r="81">
      <c r="A81" s="29" t="inlineStr">
        <is>
          <t>(TS ngắn hạn − HTK)/Nợ ngắn hạn</t>
        </is>
      </c>
      <c r="B81" s="32">
        <f>IFERROR((B$29-B$28)/B$35,"n/a")</f>
        <v/>
      </c>
      <c r="C81" s="32">
        <f>IFERROR((C$29-C$28)/C$35,"n/a")</f>
        <v/>
      </c>
      <c r="D81" s="32">
        <f>IFERROR((D$29-D$28)/D$35,"n/a")</f>
        <v/>
      </c>
      <c r="E81" s="32">
        <f>IFERROR((E$29-E$28)/E$35,"n/a")</f>
        <v/>
      </c>
      <c r="F81" s="32">
        <f>IFERROR((F$29-F$28)/F$35,"n/a")</f>
        <v/>
      </c>
      <c r="G81" s="32">
        <f>IFERROR((G$29-G$28)/G$35,"n/a")</f>
        <v/>
      </c>
      <c r="H81" s="32">
        <f>IFERROR((H$29-H$28)/H$35,"n/a")</f>
        <v/>
      </c>
      <c r="I81" s="32">
        <f>IFERROR((I$29-I$28)/I$35,"n/a")</f>
        <v/>
      </c>
    </row>
    <row r="82">
      <c r="A82" s="29" t="inlineStr">
        <is>
          <t>TS ngắn hạn/Nợ ngắn hạn</t>
        </is>
      </c>
      <c r="B82" s="32">
        <f>IFERROR(B$29/B$35,"n/a")</f>
        <v/>
      </c>
      <c r="C82" s="32">
        <f>IFERROR(C$29/C$35,"n/a")</f>
        <v/>
      </c>
      <c r="D82" s="32">
        <f>IFERROR(D$29/D$35,"n/a")</f>
        <v/>
      </c>
      <c r="E82" s="32">
        <f>IFERROR(E$29/E$35,"n/a")</f>
        <v/>
      </c>
      <c r="F82" s="32">
        <f>IFERROR(F$29/F$35,"n/a")</f>
        <v/>
      </c>
      <c r="G82" s="32">
        <f>IFERROR(G$29/G$35,"n/a")</f>
        <v/>
      </c>
      <c r="H82" s="32">
        <f>IFERROR(H$29/H$35,"n/a")</f>
        <v/>
      </c>
      <c r="I82" s="32">
        <f>IFERROR(I$29/I$35,"n/a")</f>
        <v/>
      </c>
    </row>
    <row r="83">
      <c r="A83" s="27" t="inlineStr">
        <is>
          <t>Tài sản &amp; cơ cấu tài sản</t>
        </is>
      </c>
      <c r="B83" s="29" t="n"/>
      <c r="C83" s="29" t="n"/>
      <c r="D83" s="29" t="n"/>
      <c r="E83" s="29" t="n"/>
      <c r="F83" s="29" t="n"/>
      <c r="G83" s="29" t="n"/>
      <c r="H83" s="29" t="n"/>
      <c r="I83" s="29" t="n"/>
    </row>
    <row r="84">
      <c r="A84" s="29" t="inlineStr">
        <is>
          <t>TSCĐ vô hình</t>
        </is>
      </c>
      <c r="B84" s="31">
        <f>IFERROR(B$30,"n/a")</f>
        <v/>
      </c>
      <c r="C84" s="31">
        <f>IFERROR(C$30,"n/a")</f>
        <v/>
      </c>
      <c r="D84" s="31">
        <f>IFERROR(D$30,"n/a")</f>
        <v/>
      </c>
      <c r="E84" s="31">
        <f>IFERROR(E$30,"n/a")</f>
        <v/>
      </c>
      <c r="F84" s="31">
        <f>IFERROR(F$30,"n/a")</f>
        <v/>
      </c>
      <c r="G84" s="31">
        <f>IFERROR(G$30,"n/a")</f>
        <v/>
      </c>
      <c r="H84" s="31">
        <f>IFERROR(H$30,"n/a")</f>
        <v/>
      </c>
      <c r="I84" s="31">
        <f>IFERROR(I$30,"n/a")</f>
        <v/>
      </c>
    </row>
    <row r="85">
      <c r="A85" s="29" t="inlineStr">
        <is>
          <t>Tài sản vô hình/Giá trị sổ sách</t>
        </is>
      </c>
      <c r="B85" s="30">
        <f>IFERROR(B$30/B$39,"n/a")</f>
        <v/>
      </c>
      <c r="C85" s="30">
        <f>IFERROR(C$30/C$39,"n/a")</f>
        <v/>
      </c>
      <c r="D85" s="30">
        <f>IFERROR(D$30/D$39,"n/a")</f>
        <v/>
      </c>
      <c r="E85" s="30">
        <f>IFERROR(E$30/E$39,"n/a")</f>
        <v/>
      </c>
      <c r="F85" s="30">
        <f>IFERROR(F$30/F$39,"n/a")</f>
        <v/>
      </c>
      <c r="G85" s="30">
        <f>IFERROR(G$30/G$39,"n/a")</f>
        <v/>
      </c>
      <c r="H85" s="30">
        <f>IFERROR(H$30/H$39,"n/a")</f>
        <v/>
      </c>
      <c r="I85" s="30">
        <f>IFERROR(I$30/I$39,"n/a")</f>
        <v/>
      </c>
    </row>
  </sheetData>
  <conditionalFormatting sqref="B6:I6">
    <cfRule type="cellIs" priority="8" operator="greaterThanOrEqual" dxfId="0">
      <formula>0.3</formula>
    </cfRule>
    <cfRule type="cellIs" priority="9" operator="lessThanOrEqual" dxfId="1">
      <formula>0.1</formula>
    </cfRule>
    <cfRule type="cellIs" priority="10" operator="between" dxfId="2">
      <formula>0.1</formula>
      <formula>0.3</formula>
    </cfRule>
  </conditionalFormatting>
  <conditionalFormatting sqref="B8:I8 B11:I11">
    <cfRule type="cellIs" priority="6" operator="lessThanOrEqual" dxfId="0">
      <formula>0.5</formula>
    </cfRule>
  </conditionalFormatting>
  <conditionalFormatting sqref="B14:I14">
    <cfRule type="cellIs" priority="4" operator="lessThanOrEqual" dxfId="0">
      <formula>0.3</formula>
    </cfRule>
    <cfRule type="cellIs" priority="5" operator="greaterThanOrEqual" dxfId="1">
      <formula>0.7</formula>
    </cfRule>
  </conditionalFormatting>
  <conditionalFormatting sqref="B19:I19">
    <cfRule type="cellIs" priority="2" operator="notBetween" dxfId="1">
      <formula>0.02</formula>
      <formula>0.3</formula>
    </cfRule>
    <cfRule type="cellIs" priority="3" operator="between" dxfId="0">
      <formula>0.02</formula>
      <formula>0.3</formula>
    </cfRule>
  </conditionalFormatting>
  <conditionalFormatting sqref="B2:J2">
    <cfRule type="cellIs" priority="14" operator="greaterThanOrEqual" dxfId="0">
      <formula>0.15</formula>
    </cfRule>
    <cfRule type="cellIs" priority="15" operator="lessThan" dxfId="1">
      <formula>0.15</formula>
    </cfRule>
  </conditionalFormatting>
  <conditionalFormatting sqref="B4:J5">
    <cfRule type="cellIs" priority="11" operator="lessThan" dxfId="1">
      <formula>0.1</formula>
    </cfRule>
    <cfRule type="cellIs" priority="12" operator="greaterThanOrEqual" dxfId="0">
      <formula>0.15</formula>
    </cfRule>
    <cfRule type="cellIs" priority="13" operator="between" dxfId="2">
      <formula>0.1</formula>
      <formula>0.15</formula>
    </cfRule>
  </conditionalFormatting>
  <conditionalFormatting sqref="B7:J7">
    <cfRule type="cellIs" priority="7" operator="greaterThanOrEqual" dxfId="0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A1" sqref="A1"/>
    </sheetView>
  </sheetViews>
  <sheetFormatPr baseColWidth="8" defaultRowHeight="15"/>
  <cols>
    <col width="8.21875" customWidth="1" min="1" max="1"/>
    <col width="20" customWidth="1" min="2" max="2"/>
    <col width="19.44140625" customWidth="1" min="6" max="6"/>
    <col width="9.21875" customWidth="1" min="9" max="9"/>
    <col width="8.6640625" customWidth="1" min="11" max="11"/>
    <col width="11.21875" customWidth="1" min="18" max="18"/>
  </cols>
  <sheetData>
    <row r="1" ht="15" customHeight="1">
      <c r="A1" s="34" t="n"/>
      <c r="B1" s="34" t="inlineStr">
        <is>
          <t>Q1/2026</t>
        </is>
      </c>
      <c r="C1" s="34" t="inlineStr">
        <is>
          <t>Q2/2026</t>
        </is>
      </c>
      <c r="D1" s="34" t="inlineStr">
        <is>
          <t>Q3/2026</t>
        </is>
      </c>
      <c r="E1" s="34" t="inlineStr">
        <is>
          <t>Q4/2026</t>
        </is>
      </c>
    </row>
    <row r="2" ht="15" customHeight="1">
      <c r="A2" s="34" t="inlineStr">
        <is>
          <t>Số CP</t>
        </is>
      </c>
      <c r="B2" s="35" t="n">
        <v>8442964520</v>
      </c>
      <c r="C2" s="35" t="n">
        <v>8442964520</v>
      </c>
      <c r="D2" s="35" t="n">
        <v>8442964520</v>
      </c>
      <c r="E2" s="35" t="n">
        <v>8442964520</v>
      </c>
      <c r="F2" s="36" t="n"/>
    </row>
    <row r="3" ht="15" customHeight="1">
      <c r="A3" s="34" t="inlineStr">
        <is>
          <t>Thị giá</t>
        </is>
      </c>
      <c r="B3" s="35">
        <f>[1]Sheet1!$B$2</f>
        <v/>
      </c>
      <c r="C3" s="35">
        <f>[1]Sheet1!$B$2</f>
        <v/>
      </c>
      <c r="D3" s="35">
        <f>[1]Sheet1!$B$2</f>
        <v/>
      </c>
      <c r="E3" s="35">
        <f>[1]Sheet1!$B$2</f>
        <v/>
      </c>
      <c r="F3" s="36" t="n"/>
    </row>
    <row r="4" ht="15" customHeight="1">
      <c r="A4" s="34" t="inlineStr">
        <is>
          <t>Vốn hoá</t>
        </is>
      </c>
      <c r="B4" s="35">
        <f>B2*B3</f>
        <v/>
      </c>
      <c r="C4" s="35">
        <f>C2*C3</f>
        <v/>
      </c>
      <c r="D4" s="35">
        <f>D2*D3</f>
        <v/>
      </c>
      <c r="E4" s="35">
        <f>E2*E3</f>
        <v/>
      </c>
      <c r="F4" s="36" t="n"/>
    </row>
    <row r="5" ht="15" customHeight="1"/>
    <row r="6" ht="15" customHeight="1">
      <c r="A6" s="34" t="inlineStr">
        <is>
          <t>VCSH</t>
        </is>
      </c>
      <c r="B6" s="37" t="n">
        <v>139782000000000</v>
      </c>
      <c r="C6" s="37" t="n">
        <v>141516000000000</v>
      </c>
      <c r="D6" s="37">
        <f>B6*(($E$6/$B$6)^(2/3))</f>
        <v/>
      </c>
      <c r="E6" s="37">
        <f>chi_so_tai_chinh!J39</f>
        <v/>
      </c>
      <c r="F6" s="38" t="n"/>
      <c r="G6" s="39" t="n"/>
    </row>
    <row r="7" ht="15" customHeight="1">
      <c r="A7" s="34" t="inlineStr">
        <is>
          <t>LICĐKKS</t>
        </is>
      </c>
      <c r="B7" s="35">
        <f>B6*0.35/100</f>
        <v/>
      </c>
      <c r="C7" s="35">
        <f>C6*0.35/100</f>
        <v/>
      </c>
      <c r="D7" s="35">
        <f>D6*0.35/100</f>
        <v/>
      </c>
      <c r="E7" s="35">
        <f>E6*0.35/100</f>
        <v/>
      </c>
      <c r="F7" s="40" t="n"/>
      <c r="G7" s="40" t="n"/>
    </row>
    <row r="8" ht="15" customHeight="1">
      <c r="A8" s="34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H8" s="41" t="n"/>
      <c r="I8" s="41" t="n"/>
      <c r="J8" s="41" t="n"/>
    </row>
    <row r="9" ht="15" customHeight="1">
      <c r="A9" s="42" t="inlineStr">
        <is>
          <t>BVPS</t>
        </is>
      </c>
      <c r="B9" s="43">
        <f>B8/B2</f>
        <v/>
      </c>
      <c r="C9" s="43">
        <f>C8/C2</f>
        <v/>
      </c>
      <c r="D9" s="43">
        <f>D8/D2</f>
        <v/>
      </c>
      <c r="E9" s="43">
        <f>E8/E2</f>
        <v/>
      </c>
    </row>
    <row r="10" ht="15" customHeight="1">
      <c r="A10" s="42" t="inlineStr">
        <is>
          <t>PB</t>
        </is>
      </c>
      <c r="B10" s="44">
        <f>$E$3/B9</f>
        <v/>
      </c>
      <c r="C10" s="44">
        <f>$E$3/C9</f>
        <v/>
      </c>
      <c r="D10" s="44">
        <f>$E$3/D9</f>
        <v/>
      </c>
      <c r="E10" s="44">
        <f>$E$3/E9</f>
        <v/>
      </c>
    </row>
    <row r="11" ht="15" customHeight="1">
      <c r="M11" s="41" t="n"/>
      <c r="N11" s="41" t="n"/>
      <c r="O11" s="41" t="n"/>
      <c r="P11" s="41" t="n"/>
      <c r="Q11" s="41" t="n"/>
      <c r="R11" s="41" t="n"/>
    </row>
    <row r="12"/>
    <row r="13"/>
    <row r="14">
      <c r="I14" s="45" t="n"/>
      <c r="J14" s="45" t="n"/>
      <c r="K14" s="45" t="n"/>
      <c r="L14" s="45" t="n"/>
    </row>
    <row r="15"/>
    <row r="16">
      <c r="I16" s="45" t="n"/>
      <c r="J16" s="45" t="n"/>
      <c r="K16" s="45" t="n"/>
      <c r="L16" s="45" t="n"/>
    </row>
    <row r="17"/>
    <row r="18"/>
    <row r="19">
      <c r="M19" s="45" t="n"/>
      <c r="N19" s="45" t="n"/>
      <c r="O19" s="45" t="n"/>
      <c r="P19" s="45" t="n"/>
      <c r="Q19" s="45" t="n"/>
    </row>
    <row r="20"/>
    <row r="21">
      <c r="M21" s="45" t="n"/>
      <c r="N21" s="45" t="n"/>
      <c r="O21" s="45" t="n"/>
      <c r="P21" s="45" t="n"/>
      <c r="Q21" s="4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0.33203125" customWidth="1" min="1" max="1"/>
    <col width="10.109375" customWidth="1" min="2" max="2"/>
    <col width="11.109375" customWidth="1" min="3" max="3"/>
    <col width="8.6640625" customWidth="1" min="8" max="8"/>
    <col width="11.21875" customWidth="1" min="22" max="22"/>
  </cols>
  <sheetData>
    <row r="1">
      <c r="A1" s="34" t="inlineStr">
        <is>
          <t>Chỉ tiêu</t>
        </is>
      </c>
      <c r="B1" s="34" t="n">
        <v>2020</v>
      </c>
      <c r="C1" s="34" t="n">
        <v>2021</v>
      </c>
      <c r="D1" s="34" t="n">
        <v>2022</v>
      </c>
      <c r="E1" s="34" t="n">
        <v>2023</v>
      </c>
      <c r="F1" s="34" t="n">
        <v>2024</v>
      </c>
      <c r="G1" s="34" t="n">
        <v>2025</v>
      </c>
    </row>
    <row r="2">
      <c r="A2" s="34" t="inlineStr">
        <is>
          <t>Doanh thu kế hoạch</t>
        </is>
      </c>
      <c r="B2" s="35" t="n">
        <v>86000000</v>
      </c>
      <c r="C2" s="35" t="n">
        <v>120000000</v>
      </c>
      <c r="D2" s="35" t="n">
        <v>160000000</v>
      </c>
      <c r="E2" s="35" t="n">
        <v>150000000</v>
      </c>
      <c r="F2" s="35" t="n">
        <v>140000000</v>
      </c>
      <c r="G2" s="35" t="n">
        <v>170000000</v>
      </c>
    </row>
    <row r="3">
      <c r="A3" s="34" t="inlineStr">
        <is>
          <t>Doanh thu thuần về bán hàng và cung cấp dịch vụ</t>
        </is>
      </c>
      <c r="B3" s="35">
        <f>[2]KQHĐKD!O4*1000</f>
        <v/>
      </c>
      <c r="C3" s="35">
        <f>[2]KQHĐKD!P4*1000</f>
        <v/>
      </c>
      <c r="D3" s="35">
        <f>[2]KQHĐKD!Q4*1000</f>
        <v/>
      </c>
      <c r="E3" s="35">
        <f>[2]KQHĐKD!R4*1000</f>
        <v/>
      </c>
      <c r="F3" s="35">
        <f>[2]KQHĐKD!S4*1000</f>
        <v/>
      </c>
      <c r="G3" s="35" t="n"/>
    </row>
    <row r="4">
      <c r="A4" s="34" t="inlineStr">
        <is>
          <t>%thực hiện</t>
        </is>
      </c>
      <c r="B4" s="46">
        <f>B3/B2</f>
        <v/>
      </c>
      <c r="C4" s="46">
        <f>C3/C2</f>
        <v/>
      </c>
      <c r="D4" s="46">
        <f>D3/D2</f>
        <v/>
      </c>
      <c r="E4" s="46">
        <f>E3/E2</f>
        <v/>
      </c>
      <c r="F4" s="46">
        <f>F3/F2</f>
        <v/>
      </c>
      <c r="G4" s="46" t="n"/>
    </row>
    <row r="5">
      <c r="A5" s="34" t="inlineStr">
        <is>
          <t>Lợi nhuận sau thuế kế hoạch</t>
        </is>
      </c>
      <c r="B5" s="35" t="n">
        <v>9000000</v>
      </c>
      <c r="C5" s="35" t="n">
        <v>18000000</v>
      </c>
      <c r="D5" s="35" t="n">
        <v>30000000</v>
      </c>
      <c r="E5" s="35" t="n">
        <v>8000000</v>
      </c>
      <c r="F5" s="35" t="n">
        <v>10000000</v>
      </c>
      <c r="G5" s="35" t="n">
        <v>15000000</v>
      </c>
    </row>
    <row r="6">
      <c r="A6" s="34" t="inlineStr">
        <is>
          <t>Lợi nhuận sau thuế thu nhập doanh nghiệp</t>
        </is>
      </c>
      <c r="B6" s="35">
        <f>[2]KQHĐKD!O21*1000</f>
        <v/>
      </c>
      <c r="C6" s="35">
        <f>[2]KQHĐKD!P21*1000</f>
        <v/>
      </c>
      <c r="D6" s="35">
        <f>[2]KQHĐKD!Q21*1000</f>
        <v/>
      </c>
      <c r="E6" s="35">
        <f>[2]KQHĐKD!R21*1000</f>
        <v/>
      </c>
      <c r="F6" s="35">
        <f>[2]KQHĐKD!S21*1000</f>
        <v/>
      </c>
      <c r="G6" s="35" t="n"/>
    </row>
    <row r="7">
      <c r="A7" s="34" t="inlineStr">
        <is>
          <t>%thực hiện</t>
        </is>
      </c>
      <c r="B7" s="46">
        <f>B6/B5</f>
        <v/>
      </c>
      <c r="C7" s="46">
        <f>C6/C5</f>
        <v/>
      </c>
      <c r="D7" s="46">
        <f>D6/D5</f>
        <v/>
      </c>
      <c r="E7" s="46">
        <f>E6/E5</f>
        <v/>
      </c>
      <c r="F7" s="46">
        <f>F6/F5</f>
        <v/>
      </c>
      <c r="G7" s="46" t="n"/>
    </row>
    <row r="8"/>
    <row r="9">
      <c r="A9" s="34" t="inlineStr">
        <is>
          <t>Trung vị %thực hiện DT</t>
        </is>
      </c>
      <c r="B9" s="46">
        <f>MEDIAN(B4:F4)</f>
        <v/>
      </c>
    </row>
    <row r="10">
      <c r="A10" s="34" t="inlineStr">
        <is>
          <t>Trung vị %thực hiện LNST</t>
        </is>
      </c>
      <c r="B10" s="46">
        <f>MEDIAN(B7:F7)</f>
        <v/>
      </c>
    </row>
    <row r="11"/>
    <row r="12">
      <c r="A12" s="34" t="inlineStr">
        <is>
          <t>Tỷ lệ hoàn thành DT trên 95%</t>
        </is>
      </c>
      <c r="B12" s="46">
        <f>COUNTIF(B4:F4,"&gt;=95%")/COUNT(B4:F4)</f>
        <v/>
      </c>
    </row>
    <row r="13">
      <c r="A13" s="34" t="inlineStr">
        <is>
          <t>Tỷ lệ hoàn thành LNST trên 95%</t>
        </is>
      </c>
      <c r="B13" s="46">
        <f>COUNTIF(B7:F7,"&gt;=95%")/COUNT(B7:F7)</f>
        <v/>
      </c>
    </row>
  </sheetData>
  <conditionalFormatting sqref="B9:B10">
    <cfRule type="cellIs" priority="3" operator="lessThanOrEqual" dxfId="1" stopIfTrue="1">
      <formula>0.9</formula>
    </cfRule>
    <cfRule type="cellIs" priority="4" operator="greaterThanOrEqual" dxfId="0" stopIfTrue="1">
      <formula>0.95</formula>
    </cfRule>
    <cfRule type="cellIs" priority="5" operator="between" dxfId="2">
      <formula>0.9</formula>
      <formula>0.95</formula>
    </cfRule>
  </conditionalFormatting>
  <conditionalFormatting sqref="B12:B13">
    <cfRule type="cellIs" priority="1" operator="lessThan" dxfId="1">
      <formula>0.8</formula>
    </cfRule>
    <cfRule type="cellIs" priority="2" operator="greaterThanOrEqual" dxfId="0">
      <formula>0.8</formula>
    </cfRule>
  </conditionalFormatting>
  <conditionalFormatting sqref="B4:G4 B7:G7">
    <cfRule type="cellIs" priority="6" operator="greaterThanOrEqual" dxfId="3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2026-09-23T03:42:20Z</dcterms:created>
  <dcterms:modified xsi:type="dcterms:W3CDTF">2026-09-23T03:42:21Z</dcterms:modified>
</cp:coreProperties>
</file>
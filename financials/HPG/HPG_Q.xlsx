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3" autoFilterDateGrouping="1"/>
  </bookViews>
  <sheets>
    <sheet name="balance_sheet" sheetId="1" state="visible" r:id="rId1"/>
    <sheet name="income_statement" sheetId="2" state="visible" r:id="rId2"/>
    <sheet name="cash_flow" sheetId="3" state="visible" r:id="rId3"/>
    <sheet name="chi_so_tai_chinh" sheetId="4" state="visible" r:id="rId4"/>
    <sheet name="Dự báo tăng trưởng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#,##0;\(#,##0\);\-"/>
    <numFmt numFmtId="165" formatCode="0.0%"/>
    <numFmt numFmtId="166" formatCode="0.00\x"/>
    <numFmt numFmtId="167" formatCode="_(* #,##0_);_(* \(#,##0\);_(* &quot;-&quot;??_);_(@_)"/>
    <numFmt numFmtId="168" formatCode="#,##0;\(#,##0\);&quot;-&quot;"/>
    <numFmt numFmtId="169" formatCode="#,##0;(#,##0);&quot;-&quot;"/>
  </numFmts>
  <fonts count="19">
    <font>
      <name val="Calibri"/>
      <family val="2"/>
      <color theme="1"/>
      <sz val="11"/>
      <scheme val="minor"/>
    </font>
    <font>
      <name val="Tahoma"/>
      <charset val="1"/>
      <family val="2"/>
      <b val="1"/>
      <sz val="10"/>
    </font>
    <font>
      <name val="Tahoma"/>
      <charset val="1"/>
      <family val="2"/>
      <sz val="10"/>
    </font>
    <font>
      <name val="Tahoma"/>
      <charset val="1"/>
      <family val="2"/>
      <color theme="1"/>
      <sz val="10"/>
    </font>
    <font>
      <name val="Tahoma"/>
      <charset val="1"/>
      <family val="2"/>
      <color rgb="FF008000"/>
      <sz val="10"/>
    </font>
    <font>
      <name val="Tahoma"/>
      <charset val="1"/>
      <family val="2"/>
      <b val="1"/>
      <color theme="1"/>
      <sz val="10"/>
    </font>
    <font>
      <name val="Tahoma"/>
      <family val="2"/>
      <color theme="1"/>
      <sz val="10"/>
    </font>
    <font>
      <name val="Tahoma"/>
      <family val="2"/>
      <color rgb="FF7030A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b val="1"/>
      <sz val="10"/>
    </font>
    <font>
      <name val="Tahoma"/>
      <charset val="1"/>
      <family val="2"/>
      <b val="1"/>
      <color rgb="FF008000"/>
      <sz val="10"/>
    </font>
    <font>
      <name val="Tahoma"/>
      <charset val="1"/>
      <family val="2"/>
      <b val="1"/>
      <color rgb="FF7030A0"/>
      <sz val="10"/>
    </font>
    <font>
      <name val="Calibri"/>
      <family val="2"/>
      <b val="1"/>
      <color rgb="FF7030A0"/>
      <sz val="11"/>
      <scheme val="minor"/>
    </font>
    <font>
      <name val="Tahoma"/>
      <family val="2"/>
      <b val="1"/>
      <color rgb="FFFFFFFF"/>
      <sz val="11"/>
    </font>
    <font>
      <name val="Tahoma"/>
      <family val="2"/>
      <sz val="10"/>
    </font>
    <font>
      <name val="Tahoma"/>
      <family val="2"/>
      <color rgb="FF000000"/>
      <sz val="10"/>
    </font>
    <font>
      <name val="Tahoma"/>
      <b val="1"/>
      <color rgb="00FFFFFF"/>
    </font>
    <font>
      <name val="Tahoma"/>
      <sz val="10"/>
    </font>
  </fonts>
  <fills count="7">
    <fill>
      <patternFill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1F4E78"/>
      </patternFill>
    </fill>
    <fill>
      <patternFill patternType="solid">
        <fgColor theme="5" tint="0.7999816888943144"/>
        <bgColor rgb="FFFBE4D5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8" fillId="0" borderId="0"/>
    <xf numFmtId="9" fontId="8" fillId="0" borderId="0"/>
  </cellStyleXfs>
  <cellXfs count="57">
    <xf numFmtId="0" fontId="0" fillId="0" borderId="0" pivotButton="0" quotePrefix="0" xfId="0"/>
    <xf numFmtId="1" fontId="1" fillId="0" borderId="1" applyAlignment="1" pivotButton="0" quotePrefix="0" xfId="0">
      <alignment horizontal="center"/>
    </xf>
    <xf numFmtId="0" fontId="1" fillId="2" borderId="0" pivotButton="0" quotePrefix="0" xfId="0"/>
    <xf numFmtId="0" fontId="3" fillId="2" borderId="0" pivotButton="0" quotePrefix="0" xfId="0"/>
    <xf numFmtId="0" fontId="1" fillId="0" borderId="2" pivotButton="0" quotePrefix="0" xfId="0"/>
    <xf numFmtId="1" fontId="1" fillId="0" borderId="2" applyAlignment="1" pivotButton="0" quotePrefix="0" xfId="0">
      <alignment horizontal="center"/>
    </xf>
    <xf numFmtId="0" fontId="2" fillId="0" borderId="2" pivotButton="0" quotePrefix="0" xfId="0"/>
    <xf numFmtId="164" fontId="4" fillId="0" borderId="2" pivotButton="0" quotePrefix="0" xfId="0"/>
    <xf numFmtId="0" fontId="5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164" fontId="3" fillId="0" borderId="1" pivotButton="0" quotePrefix="0" xfId="0"/>
    <xf numFmtId="166" fontId="3" fillId="0" borderId="1" pivotButton="0" quotePrefix="0" xfId="0"/>
    <xf numFmtId="1" fontId="3" fillId="0" borderId="1" pivotButton="0" quotePrefix="0" xfId="0"/>
    <xf numFmtId="0" fontId="1" fillId="3" borderId="1" pivotButton="0" quotePrefix="0" xfId="0"/>
    <xf numFmtId="1" fontId="1" fillId="3" borderId="1" applyAlignment="1" pivotButton="0" quotePrefix="0" xfId="0">
      <alignment horizontal="center"/>
    </xf>
    <xf numFmtId="0" fontId="2" fillId="3" borderId="1" pivotButton="0" quotePrefix="0" xfId="0"/>
    <xf numFmtId="0" fontId="6" fillId="0" borderId="1" pivotButton="0" quotePrefix="0" xfId="0"/>
    <xf numFmtId="41" fontId="6" fillId="0" borderId="1" pivotButton="0" quotePrefix="0" xfId="0"/>
    <xf numFmtId="3" fontId="6" fillId="0" borderId="1" pivotButton="0" quotePrefix="0" xfId="0"/>
    <xf numFmtId="0" fontId="7" fillId="0" borderId="1" pivotButton="0" quotePrefix="0" xfId="0"/>
    <xf numFmtId="167" fontId="7" fillId="0" borderId="1" pivotButton="0" quotePrefix="0" xfId="0"/>
    <xf numFmtId="43" fontId="7" fillId="0" borderId="1" pivotButton="0" quotePrefix="0" xfId="0"/>
    <xf numFmtId="0" fontId="6" fillId="0" borderId="0" pivotButton="0" quotePrefix="0" xfId="0"/>
    <xf numFmtId="3" fontId="6" fillId="0" borderId="0" pivotButton="0" quotePrefix="0" xfId="0"/>
    <xf numFmtId="41" fontId="6" fillId="0" borderId="0" pivotButton="0" quotePrefix="0" xfId="0"/>
    <xf numFmtId="43" fontId="6" fillId="0" borderId="0" pivotButton="0" quotePrefix="0" xfId="0"/>
    <xf numFmtId="9" fontId="6" fillId="0" borderId="0" pivotButton="0" quotePrefix="0" xfId="0"/>
    <xf numFmtId="1" fontId="6" fillId="0" borderId="0" pivotButton="0" quotePrefix="0" xfId="0"/>
    <xf numFmtId="0" fontId="7" fillId="0" borderId="0" pivotButton="0" quotePrefix="0" xfId="0"/>
    <xf numFmtId="0" fontId="10" fillId="0" borderId="3" pivotButton="0" quotePrefix="0" xfId="0"/>
    <xf numFmtId="0" fontId="10" fillId="0" borderId="2" pivotButton="0" quotePrefix="0" xfId="0"/>
    <xf numFmtId="164" fontId="11" fillId="0" borderId="2" pivotButton="0" quotePrefix="0" xfId="0"/>
    <xf numFmtId="0" fontId="9" fillId="0" borderId="0" pivotButton="0" quotePrefix="0" xfId="0"/>
    <xf numFmtId="0" fontId="12" fillId="0" borderId="2" pivotButton="0" quotePrefix="0" xfId="0"/>
    <xf numFmtId="9" fontId="12" fillId="0" borderId="2" pivotButton="0" quotePrefix="0" xfId="1"/>
    <xf numFmtId="0" fontId="13" fillId="0" borderId="0" pivotButton="0" quotePrefix="0" xfId="0"/>
    <xf numFmtId="0" fontId="14" fillId="4" borderId="4" applyAlignment="1" pivotButton="0" quotePrefix="0" xfId="0">
      <alignment horizontal="left"/>
    </xf>
    <xf numFmtId="0" fontId="14" fillId="4" borderId="4" applyAlignment="1" pivotButton="0" quotePrefix="0" xfId="0">
      <alignment horizontal="center"/>
    </xf>
    <xf numFmtId="0" fontId="15" fillId="0" borderId="4" pivotButton="0" quotePrefix="0" xfId="0"/>
    <xf numFmtId="168" fontId="15" fillId="0" borderId="4" pivotButton="0" quotePrefix="0" xfId="0"/>
    <xf numFmtId="0" fontId="10" fillId="3" borderId="1" pivotButton="0" quotePrefix="0" xfId="0"/>
    <xf numFmtId="165" fontId="16" fillId="3" borderId="1" pivotButton="0" quotePrefix="0" xfId="0"/>
    <xf numFmtId="9" fontId="16" fillId="3" borderId="1" pivotButton="0" quotePrefix="0" xfId="0"/>
    <xf numFmtId="1" fontId="16" fillId="3" borderId="1" pivotButton="0" quotePrefix="0" xfId="0"/>
    <xf numFmtId="9" fontId="6" fillId="5" borderId="1" pivotButton="0" quotePrefix="0" xfId="0"/>
    <xf numFmtId="0" fontId="17" fillId="6" borderId="5" applyAlignment="1" pivotButton="0" quotePrefix="0" xfId="0">
      <alignment horizontal="left"/>
    </xf>
    <xf numFmtId="0" fontId="17" fillId="6" borderId="5" applyAlignment="1" pivotButton="0" quotePrefix="0" xfId="0">
      <alignment horizontal="center"/>
    </xf>
    <xf numFmtId="0" fontId="18" fillId="0" borderId="5" pivotButton="0" quotePrefix="0" xfId="0"/>
    <xf numFmtId="169" fontId="18" fillId="0" borderId="5" pivotButton="0" quotePrefix="0" xfId="0"/>
    <xf numFmtId="165" fontId="16" fillId="3" borderId="1" pivotButton="0" quotePrefix="0" xfId="0"/>
    <xf numFmtId="164" fontId="4" fillId="0" borderId="2" pivotButton="0" quotePrefix="0" xfId="0"/>
    <xf numFmtId="164" fontId="11" fillId="0" borderId="2" pivotButton="0" quotePrefix="0" xfId="0"/>
    <xf numFmtId="165" fontId="3" fillId="0" borderId="1" pivotButton="0" quotePrefix="0" xfId="0"/>
    <xf numFmtId="164" fontId="3" fillId="0" borderId="1" pivotButton="0" quotePrefix="0" xfId="0"/>
    <xf numFmtId="166" fontId="3" fillId="0" borderId="1" pivotButton="0" quotePrefix="0" xfId="0"/>
    <xf numFmtId="167" fontId="7" fillId="0" borderId="1" pivotButton="0" quotePrefix="0" xfId="0"/>
  </cellXfs>
  <cellStyles count="2">
    <cellStyle name="Normal" xfId="0" builtinId="0"/>
    <cellStyle name="Percent" xfId="1" builtinId="5"/>
  </cellStyles>
  <dxfs count="26"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</cols>
  <sheetData>
    <row r="1">
      <c r="A1" s="46" t="inlineStr">
        <is>
          <t>item</t>
        </is>
      </c>
      <c r="B1" s="47" t="inlineStr">
        <is>
          <t>2018-Q1</t>
        </is>
      </c>
      <c r="C1" s="47" t="inlineStr">
        <is>
          <t>2018-Q2</t>
        </is>
      </c>
      <c r="D1" s="47" t="inlineStr">
        <is>
          <t>2018-Q3</t>
        </is>
      </c>
      <c r="E1" s="47" t="inlineStr">
        <is>
          <t>2018-Q4</t>
        </is>
      </c>
      <c r="F1" s="47" t="inlineStr">
        <is>
          <t>2024-Q3</t>
        </is>
      </c>
      <c r="G1" s="47" t="inlineStr">
        <is>
          <t>2024-Q4</t>
        </is>
      </c>
      <c r="H1" s="47" t="inlineStr">
        <is>
          <t>2025-Q1</t>
        </is>
      </c>
      <c r="I1" s="47" t="inlineStr">
        <is>
          <t>2025-Q2</t>
        </is>
      </c>
      <c r="J1" s="47" t="inlineStr">
        <is>
          <t>2025-Q3</t>
        </is>
      </c>
      <c r="K1" s="47" t="inlineStr">
        <is>
          <t>2025-Q4</t>
        </is>
      </c>
      <c r="L1" s="47" t="inlineStr">
        <is>
          <t>2026-Q1</t>
        </is>
      </c>
      <c r="M1" s="47" t="inlineStr">
        <is>
          <t>2026-Q2</t>
        </is>
      </c>
    </row>
    <row r="2">
      <c r="A2" s="48" t="inlineStr">
        <is>
          <t>TÀI SẢN NGẮN HẠN</t>
        </is>
      </c>
      <c r="B2" s="49" t="n">
        <v>32950886918408</v>
      </c>
      <c r="C2" s="49" t="n">
        <v>33311681394721</v>
      </c>
      <c r="D2" s="49" t="n">
        <v>31834300607121</v>
      </c>
      <c r="E2" s="49" t="n">
        <v>26013633267830</v>
      </c>
      <c r="F2" s="49" t="n">
        <v>80841803394106</v>
      </c>
      <c r="G2" s="49" t="n">
        <v>86674276272995</v>
      </c>
      <c r="H2" s="49" t="n">
        <v>88914195573724</v>
      </c>
      <c r="I2" s="49" t="n">
        <v>97613904938535</v>
      </c>
      <c r="J2" s="49" t="n">
        <v>95425988115582</v>
      </c>
      <c r="K2" s="49" t="n">
        <v>103659402759724</v>
      </c>
      <c r="L2" s="49" t="n">
        <v>104365180994071</v>
      </c>
      <c r="M2" s="49" t="n">
        <v>119968988853207</v>
      </c>
    </row>
    <row r="3">
      <c r="A3" s="48" t="inlineStr">
        <is>
          <t>Tiền và tương đương tiền</t>
        </is>
      </c>
      <c r="B3" s="49" t="n">
        <v>6662968459743</v>
      </c>
      <c r="C3" s="49" t="n">
        <v>5319038225154</v>
      </c>
      <c r="D3" s="49" t="n">
        <v>3976151668262</v>
      </c>
      <c r="E3" s="49" t="n">
        <v>2515617135457</v>
      </c>
      <c r="F3" s="49" t="n">
        <v>8500998079280</v>
      </c>
      <c r="G3" s="49" t="n">
        <v>6887646139852</v>
      </c>
      <c r="H3" s="49" t="n">
        <v>7459035818129</v>
      </c>
      <c r="I3" s="49" t="n">
        <v>10688024277258</v>
      </c>
      <c r="J3" s="49" t="n">
        <v>9092562739415</v>
      </c>
      <c r="K3" s="49" t="n">
        <v>8300890304205</v>
      </c>
      <c r="L3" s="49" t="n">
        <v>11455231038505</v>
      </c>
      <c r="M3" s="49" t="n">
        <v>9782057360909</v>
      </c>
    </row>
    <row r="4">
      <c r="A4" s="48" t="inlineStr">
        <is>
          <t>Tiền</t>
        </is>
      </c>
      <c r="B4" s="49" t="n">
        <v>846812895854</v>
      </c>
      <c r="C4" s="49" t="n">
        <v>1063073003002</v>
      </c>
      <c r="D4" s="49" t="n">
        <v>937606668262</v>
      </c>
      <c r="E4" s="49" t="n">
        <v>1822302135457</v>
      </c>
      <c r="F4" s="49" t="n">
        <v>2781657706285</v>
      </c>
      <c r="G4" s="49" t="n">
        <v>2919531945908</v>
      </c>
      <c r="H4" s="49" t="n">
        <v>3098950890534</v>
      </c>
      <c r="I4" s="49" t="n">
        <v>3313840111274</v>
      </c>
      <c r="J4" s="49" t="n">
        <v>2690506955882</v>
      </c>
      <c r="K4" s="49" t="n">
        <v>4602047650138</v>
      </c>
      <c r="L4" s="49" t="n">
        <v>3614809922085</v>
      </c>
      <c r="M4" s="49" t="n">
        <v>2221354791923</v>
      </c>
    </row>
    <row r="5">
      <c r="A5" s="48" t="inlineStr">
        <is>
          <t>Các khoản tương đương tiền</t>
        </is>
      </c>
      <c r="B5" s="49" t="n">
        <v>5816155563889</v>
      </c>
      <c r="C5" s="49" t="n">
        <v>4255965222152</v>
      </c>
      <c r="D5" s="49" t="n">
        <v>3038545000000</v>
      </c>
      <c r="E5" s="49" t="n">
        <v>693315000000</v>
      </c>
      <c r="F5" s="49" t="n">
        <v>5719340372995</v>
      </c>
      <c r="G5" s="49" t="n">
        <v>3968114193944</v>
      </c>
      <c r="H5" s="49" t="n">
        <v>4360084927595</v>
      </c>
      <c r="I5" s="49" t="n">
        <v>7374184165984</v>
      </c>
      <c r="J5" s="49" t="n">
        <v>6402055783533</v>
      </c>
      <c r="K5" s="49" t="n">
        <v>3698842654067</v>
      </c>
      <c r="L5" s="49" t="n">
        <v>7840421116420</v>
      </c>
      <c r="M5" s="49" t="n">
        <v>7560702568986</v>
      </c>
    </row>
    <row r="6">
      <c r="A6" s="48" t="inlineStr">
        <is>
          <t>Đầu tư ngắn hạn</t>
        </is>
      </c>
      <c r="B6" s="49" t="n">
        <v>0</v>
      </c>
      <c r="C6" s="49" t="n">
        <v>0</v>
      </c>
      <c r="D6" s="49" t="n">
        <v>0</v>
      </c>
      <c r="E6" s="49" t="n">
        <v>0</v>
      </c>
      <c r="F6" s="49" t="n">
        <v>0</v>
      </c>
      <c r="G6" s="49" t="n">
        <v>0</v>
      </c>
      <c r="H6" s="49" t="n">
        <v>0</v>
      </c>
      <c r="I6" s="49" t="n">
        <v>0</v>
      </c>
      <c r="J6" s="49" t="n">
        <v>0</v>
      </c>
      <c r="K6" s="49" t="n">
        <v>0</v>
      </c>
      <c r="L6" s="49" t="n">
        <v>0</v>
      </c>
      <c r="M6" s="49" t="n">
        <v>0</v>
      </c>
    </row>
    <row r="7">
      <c r="A7" s="48" t="inlineStr">
        <is>
          <t>Đầu tư ngắn hạn</t>
        </is>
      </c>
      <c r="B7" s="49" t="n"/>
      <c r="C7" s="49" t="n"/>
      <c r="D7" s="49" t="n"/>
      <c r="E7" s="49" t="n"/>
      <c r="F7" s="49" t="n"/>
      <c r="G7" s="49" t="n"/>
      <c r="H7" s="49" t="n"/>
      <c r="I7" s="49" t="n"/>
      <c r="J7" s="49" t="n"/>
      <c r="K7" s="49" t="n"/>
      <c r="L7" s="49" t="n"/>
      <c r="M7" s="49" t="n"/>
    </row>
    <row r="8">
      <c r="A8" s="48" t="inlineStr">
        <is>
          <t>Dự phòng giảm giá</t>
        </is>
      </c>
      <c r="B8" s="49" t="n">
        <v>0</v>
      </c>
      <c r="C8" s="49" t="n">
        <v>0</v>
      </c>
      <c r="D8" s="49" t="n">
        <v>0</v>
      </c>
      <c r="E8" s="49" t="n">
        <v>0</v>
      </c>
      <c r="F8" s="49" t="n">
        <v>0</v>
      </c>
      <c r="G8" s="49" t="n">
        <v>0</v>
      </c>
      <c r="H8" s="49" t="n">
        <v>0</v>
      </c>
      <c r="I8" s="49" t="n">
        <v>0</v>
      </c>
      <c r="J8" s="49" t="n">
        <v>0</v>
      </c>
      <c r="K8" s="49" t="n">
        <v>0</v>
      </c>
      <c r="L8" s="49" t="n">
        <v>0</v>
      </c>
      <c r="M8" s="49" t="n">
        <v>0</v>
      </c>
    </row>
    <row r="9">
      <c r="A9" s="48" t="inlineStr">
        <is>
          <t>Các khoản phải thu</t>
        </is>
      </c>
      <c r="B9" s="49" t="n">
        <v>7178547741042</v>
      </c>
      <c r="C9" s="49" t="n">
        <v>6176268736830</v>
      </c>
      <c r="D9" s="49" t="n">
        <v>5640203890272</v>
      </c>
      <c r="E9" s="49" t="n">
        <v>3915158043554</v>
      </c>
      <c r="F9" s="49" t="n">
        <v>9140948029240</v>
      </c>
      <c r="G9" s="49" t="n">
        <v>7647800286988</v>
      </c>
      <c r="H9" s="49" t="n">
        <v>10856053423195</v>
      </c>
      <c r="I9" s="49" t="n">
        <v>12334925649801</v>
      </c>
      <c r="J9" s="49" t="n">
        <v>13727194725111</v>
      </c>
      <c r="K9" s="49" t="n">
        <v>15042323117690</v>
      </c>
      <c r="L9" s="49" t="n">
        <v>16692782771439</v>
      </c>
      <c r="M9" s="49" t="n">
        <v>18040238952446</v>
      </c>
    </row>
    <row r="10">
      <c r="A10" s="48" t="inlineStr">
        <is>
          <t>Phải thu khách hàng</t>
        </is>
      </c>
      <c r="B10" s="49" t="n">
        <v>1982714902404</v>
      </c>
      <c r="C10" s="49" t="n">
        <v>2028079364820</v>
      </c>
      <c r="D10" s="49" t="n">
        <v>2748733518605</v>
      </c>
      <c r="E10" s="49" t="n">
        <v>2281760501157</v>
      </c>
      <c r="F10" s="49" t="n">
        <v>4980712149392</v>
      </c>
      <c r="G10" s="49" t="n">
        <v>4352135419872</v>
      </c>
      <c r="H10" s="49" t="n">
        <v>7405241282190</v>
      </c>
      <c r="I10" s="49" t="n">
        <v>8196017496272</v>
      </c>
      <c r="J10" s="49" t="n">
        <v>7979265010316</v>
      </c>
      <c r="K10" s="49" t="n">
        <v>10971774018235</v>
      </c>
      <c r="L10" s="49" t="n">
        <v>10919196457706</v>
      </c>
      <c r="M10" s="49" t="n">
        <v>12869807539960</v>
      </c>
    </row>
    <row r="11">
      <c r="A11" s="48" t="inlineStr">
        <is>
          <t>Trả trước người bán</t>
        </is>
      </c>
      <c r="B11" s="49" t="n">
        <v>4856000991045</v>
      </c>
      <c r="C11" s="49" t="n">
        <v>3893429128203</v>
      </c>
      <c r="D11" s="49" t="n">
        <v>2338017297368</v>
      </c>
      <c r="E11" s="49" t="n">
        <v>810319171039</v>
      </c>
      <c r="F11" s="49" t="n">
        <v>2948440731905</v>
      </c>
      <c r="G11" s="49" t="n">
        <v>2118824427004</v>
      </c>
      <c r="H11" s="49" t="n">
        <v>2349213570061</v>
      </c>
      <c r="I11" s="49" t="n">
        <v>2755989948090</v>
      </c>
      <c r="J11" s="49" t="n">
        <v>4219935549920</v>
      </c>
      <c r="K11" s="49" t="n">
        <v>1878084035938</v>
      </c>
      <c r="L11" s="49" t="n">
        <v>3188267235957</v>
      </c>
      <c r="M11" s="49" t="n">
        <v>3362889032465</v>
      </c>
    </row>
    <row r="12">
      <c r="A12" s="48" t="inlineStr">
        <is>
          <t>Phải thu nội bộ</t>
        </is>
      </c>
      <c r="B12" s="49" t="n">
        <v>0</v>
      </c>
      <c r="C12" s="49" t="n">
        <v>0</v>
      </c>
      <c r="D12" s="49" t="n">
        <v>0</v>
      </c>
      <c r="E12" s="49" t="n">
        <v>0</v>
      </c>
      <c r="F12" s="49" t="n">
        <v>0</v>
      </c>
      <c r="G12" s="49" t="n">
        <v>0</v>
      </c>
      <c r="H12" s="49" t="n">
        <v>0</v>
      </c>
      <c r="I12" s="49" t="n">
        <v>0</v>
      </c>
      <c r="J12" s="49" t="n">
        <v>0</v>
      </c>
      <c r="K12" s="49" t="n">
        <v>0</v>
      </c>
      <c r="L12" s="49" t="n">
        <v>0</v>
      </c>
      <c r="M12" s="49" t="n">
        <v>0</v>
      </c>
    </row>
    <row r="13">
      <c r="A13" s="48" t="inlineStr">
        <is>
          <t>Phải thu hợp đồng xây dựng đang thực hiện</t>
        </is>
      </c>
      <c r="B13" s="49" t="n">
        <v>0</v>
      </c>
      <c r="C13" s="49" t="n">
        <v>0</v>
      </c>
      <c r="D13" s="49" t="n">
        <v>0</v>
      </c>
      <c r="E13" s="49" t="n">
        <v>0</v>
      </c>
      <c r="F13" s="49" t="n">
        <v>0</v>
      </c>
      <c r="G13" s="49" t="n">
        <v>0</v>
      </c>
      <c r="H13" s="49" t="n">
        <v>0</v>
      </c>
      <c r="I13" s="49" t="n">
        <v>0</v>
      </c>
      <c r="J13" s="49" t="n">
        <v>0</v>
      </c>
      <c r="K13" s="49" t="n">
        <v>0</v>
      </c>
      <c r="L13" s="49" t="n">
        <v>0</v>
      </c>
      <c r="M13" s="49" t="n">
        <v>0</v>
      </c>
    </row>
    <row r="14">
      <c r="A14" s="48" t="inlineStr">
        <is>
          <t>Phải thu khác</t>
        </is>
      </c>
      <c r="B14" s="49" t="n">
        <v>373123574564</v>
      </c>
      <c r="C14" s="49" t="n">
        <v>289244825538</v>
      </c>
      <c r="D14" s="49" t="n">
        <v>588652040210</v>
      </c>
      <c r="E14" s="49" t="n">
        <v>855831785552</v>
      </c>
      <c r="F14" s="49" t="n">
        <v>938808369599</v>
      </c>
      <c r="G14" s="49" t="n">
        <v>1248992845378</v>
      </c>
      <c r="H14" s="49" t="n">
        <v>1170323249843</v>
      </c>
      <c r="I14" s="49" t="n">
        <v>1443182617677</v>
      </c>
      <c r="J14" s="49" t="n">
        <v>1614044195296</v>
      </c>
      <c r="K14" s="49" t="n">
        <v>2318283126429</v>
      </c>
      <c r="L14" s="49" t="n">
        <v>2710787542005</v>
      </c>
      <c r="M14" s="49" t="n">
        <v>1933150942736</v>
      </c>
    </row>
    <row r="15">
      <c r="A15" s="48" t="inlineStr">
        <is>
          <t>Dự phòng nợ khó đòi</t>
        </is>
      </c>
      <c r="B15" s="49" t="n">
        <v>-34932619381</v>
      </c>
      <c r="C15" s="49" t="n">
        <v>-35812771992</v>
      </c>
      <c r="D15" s="49" t="n">
        <v>-36934899098</v>
      </c>
      <c r="E15" s="49" t="n">
        <v>-37693842866</v>
      </c>
      <c r="F15" s="49" t="n">
        <v>-46670304885</v>
      </c>
      <c r="G15" s="49" t="n">
        <v>-159993736285</v>
      </c>
      <c r="H15" s="49" t="n">
        <v>-158638815710</v>
      </c>
      <c r="I15" s="49" t="n">
        <v>-157971873885</v>
      </c>
      <c r="J15" s="49" t="n">
        <v>-158272660342</v>
      </c>
      <c r="K15" s="49" t="n">
        <v>-132548698812</v>
      </c>
      <c r="L15" s="49" t="n">
        <v>-132284501806</v>
      </c>
      <c r="M15" s="49" t="n">
        <v>-132596386675</v>
      </c>
    </row>
    <row r="16">
      <c r="A16" s="48" t="inlineStr">
        <is>
          <t>Hàng tồn kho, ròng</t>
        </is>
      </c>
      <c r="B16" s="49" t="n">
        <v>11333204635800</v>
      </c>
      <c r="C16" s="49" t="n">
        <v>12887026543733</v>
      </c>
      <c r="D16" s="49" t="n">
        <v>14770217336303</v>
      </c>
      <c r="E16" s="49" t="n">
        <v>14115158052529</v>
      </c>
      <c r="F16" s="49" t="n">
        <v>40197821463879</v>
      </c>
      <c r="G16" s="49" t="n">
        <v>46091222189472</v>
      </c>
      <c r="H16" s="49" t="n">
        <v>46603844415849</v>
      </c>
      <c r="I16" s="49" t="n">
        <v>48853408114115</v>
      </c>
      <c r="J16" s="49" t="n">
        <v>45623656431728</v>
      </c>
      <c r="K16" s="49" t="n">
        <v>52828227344442</v>
      </c>
      <c r="L16" s="49" t="n">
        <v>43515585272210</v>
      </c>
      <c r="M16" s="49" t="n">
        <v>55607877088316</v>
      </c>
    </row>
    <row r="17">
      <c r="A17" s="48" t="inlineStr">
        <is>
          <t>Hàng tồn kho</t>
        </is>
      </c>
      <c r="B17" s="49" t="n">
        <v>11473029927631</v>
      </c>
      <c r="C17" s="49" t="n">
        <v>13024194419202</v>
      </c>
      <c r="D17" s="49" t="n">
        <v>14859260924492</v>
      </c>
      <c r="E17" s="49" t="n">
        <v>14188355173355</v>
      </c>
      <c r="F17" s="49" t="n">
        <v>40480715224028</v>
      </c>
      <c r="G17" s="49" t="n">
        <v>46192292081813</v>
      </c>
      <c r="H17" s="49" t="n">
        <v>46713899534932</v>
      </c>
      <c r="I17" s="49" t="n">
        <v>48900263257832</v>
      </c>
      <c r="J17" s="49" t="n">
        <v>45675711221795</v>
      </c>
      <c r="K17" s="49" t="n">
        <v>52892273238885</v>
      </c>
      <c r="L17" s="49" t="n">
        <v>43571823623004</v>
      </c>
      <c r="M17" s="49" t="n">
        <v>55683418417281</v>
      </c>
    </row>
    <row r="18">
      <c r="A18" s="48" t="inlineStr">
        <is>
          <t>Dự phòng giảm giá hàng tồn kho</t>
        </is>
      </c>
      <c r="B18" s="49" t="n">
        <v>-139825291831</v>
      </c>
      <c r="C18" s="49" t="n">
        <v>-137167875469</v>
      </c>
      <c r="D18" s="49" t="n">
        <v>-89043588189</v>
      </c>
      <c r="E18" s="49" t="n">
        <v>-73197120826</v>
      </c>
      <c r="F18" s="49" t="n">
        <v>-282893760149</v>
      </c>
      <c r="G18" s="49" t="n">
        <v>-101069892341</v>
      </c>
      <c r="H18" s="49" t="n">
        <v>-110055119083</v>
      </c>
      <c r="I18" s="49" t="n">
        <v>-46855143717</v>
      </c>
      <c r="J18" s="49" t="n">
        <v>-52054790067</v>
      </c>
      <c r="K18" s="49" t="n">
        <v>-64045894443</v>
      </c>
      <c r="L18" s="49" t="n">
        <v>-56238350794</v>
      </c>
      <c r="M18" s="49" t="n">
        <v>-75541328965</v>
      </c>
    </row>
    <row r="19">
      <c r="A19" s="48" t="inlineStr">
        <is>
          <t>Tài sản lưu động khác</t>
        </is>
      </c>
      <c r="B19" s="49" t="n">
        <v>0</v>
      </c>
      <c r="C19" s="49" t="n">
        <v>0</v>
      </c>
      <c r="D19" s="49" t="n">
        <v>0</v>
      </c>
      <c r="E19" s="49" t="n">
        <v>0</v>
      </c>
      <c r="F19" s="49" t="n">
        <v>0</v>
      </c>
      <c r="G19" s="49" t="n">
        <v>0</v>
      </c>
      <c r="H19" s="49" t="n">
        <v>0</v>
      </c>
      <c r="I19" s="49" t="n">
        <v>0</v>
      </c>
      <c r="J19" s="49" t="n">
        <v>0</v>
      </c>
      <c r="K19" s="49" t="n">
        <v>0</v>
      </c>
      <c r="L19" s="49" t="n">
        <v>0</v>
      </c>
      <c r="M19" s="49" t="n">
        <v>0</v>
      </c>
    </row>
    <row r="20">
      <c r="A20" s="48" t="inlineStr">
        <is>
          <t>Chi phí trả trước ngắn hạn</t>
        </is>
      </c>
      <c r="B20" s="49" t="n">
        <v>136129041210</v>
      </c>
      <c r="C20" s="49" t="n">
        <v>141564735167</v>
      </c>
      <c r="D20" s="49" t="n">
        <v>151753510067</v>
      </c>
      <c r="E20" s="49" t="n">
        <v>122420331320</v>
      </c>
      <c r="F20" s="49" t="n">
        <v>485174823842</v>
      </c>
      <c r="G20" s="49" t="n">
        <v>426149499088</v>
      </c>
      <c r="H20" s="49" t="n">
        <v>367887843650</v>
      </c>
      <c r="I20" s="49" t="n">
        <v>504036542519</v>
      </c>
      <c r="J20" s="49" t="n">
        <v>688785036932</v>
      </c>
      <c r="K20" s="49" t="n">
        <v>567293994902</v>
      </c>
      <c r="L20" s="49" t="n">
        <v>458681515183</v>
      </c>
      <c r="M20" s="49" t="n">
        <v>747303014945</v>
      </c>
    </row>
    <row r="21">
      <c r="A21" s="48" t="inlineStr">
        <is>
          <t>Thuế GTGT được khấu trừ</t>
        </is>
      </c>
      <c r="B21" s="49" t="n">
        <v>525491139726</v>
      </c>
      <c r="C21" s="49" t="n">
        <v>1017688932867</v>
      </c>
      <c r="D21" s="49" t="n">
        <v>1379127675249</v>
      </c>
      <c r="E21" s="49" t="n">
        <v>1601968154331</v>
      </c>
      <c r="F21" s="49" t="n">
        <v>6119907210099</v>
      </c>
      <c r="G21" s="49" t="n">
        <v>6636666459154</v>
      </c>
      <c r="H21" s="49" t="n">
        <v>7402341146235</v>
      </c>
      <c r="I21" s="49" t="n">
        <v>7643786214753</v>
      </c>
      <c r="J21" s="49" t="n">
        <v>7385421034849</v>
      </c>
      <c r="K21" s="49" t="n">
        <v>7429884133408</v>
      </c>
      <c r="L21" s="49" t="n">
        <v>7523425573937</v>
      </c>
      <c r="M21" s="49" t="n">
        <v>7834764352766</v>
      </c>
    </row>
    <row r="22">
      <c r="A22" s="48" t="inlineStr">
        <is>
          <t>Phải thu thuế khác</t>
        </is>
      </c>
      <c r="B22" s="49" t="n">
        <v>17366234169</v>
      </c>
      <c r="C22" s="49" t="n">
        <v>16059788009</v>
      </c>
      <c r="D22" s="49" t="n">
        <v>15950589606</v>
      </c>
      <c r="E22" s="49" t="n">
        <v>18748840104</v>
      </c>
      <c r="F22" s="49" t="n">
        <v>10150638821</v>
      </c>
      <c r="G22" s="49" t="n">
        <v>10074967536</v>
      </c>
      <c r="H22" s="49" t="n">
        <v>12522814414</v>
      </c>
      <c r="I22" s="49" t="n">
        <v>5696703666</v>
      </c>
      <c r="J22" s="49" t="n">
        <v>4419092905</v>
      </c>
      <c r="K22" s="49" t="n">
        <v>6371103672</v>
      </c>
      <c r="L22" s="49" t="n">
        <v>11832647902</v>
      </c>
      <c r="M22" s="49" t="n">
        <v>9542625532</v>
      </c>
    </row>
    <row r="23">
      <c r="A23" s="48" t="inlineStr">
        <is>
          <t>Tài sản lưu động khác</t>
        </is>
      </c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</row>
    <row r="24">
      <c r="A24" s="48" t="inlineStr">
        <is>
          <t>TÀI SẢN DÀI HẠN</t>
        </is>
      </c>
      <c r="B24" s="49" t="n">
        <v>21486597050953</v>
      </c>
      <c r="C24" s="49" t="n">
        <v>28766660537419</v>
      </c>
      <c r="D24" s="49" t="n">
        <v>38268471313713</v>
      </c>
      <c r="E24" s="49" t="n">
        <v>52211329380109</v>
      </c>
      <c r="F24" s="49" t="n">
        <v>130544540534012</v>
      </c>
      <c r="G24" s="49" t="n">
        <v>137815431280986</v>
      </c>
      <c r="H24" s="49" t="n">
        <v>139947392214583</v>
      </c>
      <c r="I24" s="49" t="n">
        <v>144610625980515</v>
      </c>
      <c r="J24" s="49" t="n">
        <v>150745350172070</v>
      </c>
      <c r="K24" s="49" t="n">
        <v>154239798057823</v>
      </c>
      <c r="L24" s="49" t="n">
        <v>154962319211157</v>
      </c>
      <c r="M24" s="49" t="n">
        <v>158960797394565</v>
      </c>
    </row>
    <row r="25">
      <c r="A25" s="48" t="inlineStr">
        <is>
          <t>Phải thu dài hạn</t>
        </is>
      </c>
      <c r="B25" s="49" t="n">
        <v>22307347172</v>
      </c>
      <c r="C25" s="49" t="n">
        <v>70312568404</v>
      </c>
      <c r="D25" s="49" t="n">
        <v>22307347172</v>
      </c>
      <c r="E25" s="49" t="n">
        <v>22301804672</v>
      </c>
      <c r="F25" s="49" t="n">
        <v>1031145036427</v>
      </c>
      <c r="G25" s="49" t="n">
        <v>923400123614</v>
      </c>
      <c r="H25" s="49" t="n">
        <v>920743791614</v>
      </c>
      <c r="I25" s="49" t="n">
        <v>900453913211</v>
      </c>
      <c r="J25" s="49" t="n">
        <v>849788287676</v>
      </c>
      <c r="K25" s="49" t="n">
        <v>290327516308</v>
      </c>
      <c r="L25" s="49" t="n">
        <v>548069920526</v>
      </c>
      <c r="M25" s="49" t="n">
        <v>2142595494949</v>
      </c>
    </row>
    <row r="26">
      <c r="A26" s="48" t="inlineStr">
        <is>
          <t>Phải thu khách hàng dài hạn</t>
        </is>
      </c>
      <c r="B26" s="49" t="n">
        <v>0</v>
      </c>
      <c r="C26" s="49" t="n">
        <v>0</v>
      </c>
      <c r="D26" s="49" t="n">
        <v>0</v>
      </c>
      <c r="E26" s="49" t="n">
        <v>0</v>
      </c>
      <c r="F26" s="49" t="n">
        <v>0</v>
      </c>
      <c r="G26" s="49" t="n">
        <v>0</v>
      </c>
      <c r="H26" s="49" t="n">
        <v>0</v>
      </c>
      <c r="I26" s="49" t="n">
        <v>0</v>
      </c>
      <c r="J26" s="49" t="n">
        <v>0</v>
      </c>
      <c r="K26" s="49" t="n">
        <v>0</v>
      </c>
      <c r="L26" s="49" t="n">
        <v>0</v>
      </c>
      <c r="M26" s="49" t="n">
        <v>0</v>
      </c>
    </row>
    <row r="27">
      <c r="A27" s="48" t="inlineStr">
        <is>
          <t>Phải thu nội bộ dài hạn</t>
        </is>
      </c>
      <c r="B27" s="49" t="n">
        <v>0</v>
      </c>
      <c r="C27" s="49" t="n">
        <v>0</v>
      </c>
      <c r="D27" s="49" t="n">
        <v>0</v>
      </c>
      <c r="E27" s="49" t="n">
        <v>0</v>
      </c>
      <c r="F27" s="49" t="n">
        <v>0</v>
      </c>
      <c r="G27" s="49" t="n">
        <v>0</v>
      </c>
      <c r="H27" s="49" t="n">
        <v>0</v>
      </c>
      <c r="I27" s="49" t="n">
        <v>0</v>
      </c>
      <c r="J27" s="49" t="n">
        <v>0</v>
      </c>
      <c r="K27" s="49" t="n">
        <v>0</v>
      </c>
      <c r="L27" s="49" t="n">
        <v>0</v>
      </c>
      <c r="M27" s="49" t="n">
        <v>0</v>
      </c>
    </row>
    <row r="28">
      <c r="A28" s="48" t="inlineStr">
        <is>
          <t>Phải thu dài hạn khác</t>
        </is>
      </c>
      <c r="B28" s="49" t="n">
        <v>22307347172</v>
      </c>
      <c r="C28" s="49" t="n">
        <v>70312568404</v>
      </c>
      <c r="D28" s="49" t="n">
        <v>22307347172</v>
      </c>
      <c r="E28" s="49" t="n">
        <v>22301804672</v>
      </c>
      <c r="F28" s="49" t="n">
        <v>841682562478</v>
      </c>
      <c r="G28" s="49" t="n">
        <v>840594835822</v>
      </c>
      <c r="H28" s="49" t="n">
        <v>848015622228</v>
      </c>
      <c r="I28" s="49" t="n">
        <v>827053815447</v>
      </c>
      <c r="J28" s="49" t="n">
        <v>825562606009</v>
      </c>
      <c r="K28" s="49" t="n">
        <v>248919079879</v>
      </c>
      <c r="L28" s="49" t="n">
        <v>508303099491</v>
      </c>
      <c r="M28" s="49" t="n">
        <v>2107205522415</v>
      </c>
    </row>
    <row r="29">
      <c r="A29" s="48" t="inlineStr">
        <is>
          <t>Dự phòng phải thu dài hạn</t>
        </is>
      </c>
      <c r="B29" s="49" t="n">
        <v>0</v>
      </c>
      <c r="C29" s="49" t="n">
        <v>0</v>
      </c>
      <c r="D29" s="49" t="n">
        <v>0</v>
      </c>
      <c r="E29" s="49" t="n">
        <v>0</v>
      </c>
      <c r="F29" s="49" t="n">
        <v>0</v>
      </c>
      <c r="G29" s="49" t="n">
        <v>0</v>
      </c>
      <c r="H29" s="49" t="n">
        <v>0</v>
      </c>
      <c r="I29" s="49" t="n">
        <v>0</v>
      </c>
      <c r="J29" s="49" t="n">
        <v>0</v>
      </c>
      <c r="K29" s="49" t="n">
        <v>0</v>
      </c>
      <c r="L29" s="49" t="n">
        <v>0</v>
      </c>
      <c r="M29" s="49" t="n">
        <v>0</v>
      </c>
    </row>
    <row r="30">
      <c r="A30" s="48" t="inlineStr">
        <is>
          <t>Tài sản cố định</t>
        </is>
      </c>
      <c r="B30" s="49" t="n">
        <v>13075194506203</v>
      </c>
      <c r="C30" s="49" t="n">
        <v>13072518388579</v>
      </c>
      <c r="D30" s="49" t="n">
        <v>13086355600772</v>
      </c>
      <c r="E30" s="49" t="n">
        <v>12782560625001</v>
      </c>
      <c r="F30" s="49" t="n">
        <v>68475648874477</v>
      </c>
      <c r="G30" s="49" t="n">
        <v>67428366953514</v>
      </c>
      <c r="H30" s="49" t="n">
        <v>85838135705767</v>
      </c>
      <c r="I30" s="49" t="n">
        <v>65302976358571</v>
      </c>
      <c r="J30" s="49" t="n">
        <v>104711263391250</v>
      </c>
      <c r="K30" s="49" t="n">
        <v>133608057859977</v>
      </c>
      <c r="L30" s="49" t="n">
        <v>134574365284040</v>
      </c>
      <c r="M30" s="49" t="n">
        <v>132716228895558</v>
      </c>
    </row>
    <row r="31">
      <c r="A31" s="48" t="inlineStr">
        <is>
          <t>GTCL TSCĐ hữu hình</t>
        </is>
      </c>
      <c r="B31" s="49" t="n">
        <v>12879619300176</v>
      </c>
      <c r="C31" s="49" t="n">
        <v>12866787781557</v>
      </c>
      <c r="D31" s="49" t="n">
        <v>12882494190986</v>
      </c>
      <c r="E31" s="49" t="n">
        <v>12565363529879</v>
      </c>
      <c r="F31" s="49" t="n">
        <v>68286049668351</v>
      </c>
      <c r="G31" s="49" t="n">
        <v>67244150975048</v>
      </c>
      <c r="H31" s="49" t="n">
        <v>85662860787586</v>
      </c>
      <c r="I31" s="49" t="n">
        <v>65120521330076</v>
      </c>
      <c r="J31" s="49" t="n">
        <v>104533248655101</v>
      </c>
      <c r="K31" s="49" t="n">
        <v>133420846696083</v>
      </c>
      <c r="L31" s="49" t="n">
        <v>134372566192062</v>
      </c>
      <c r="M31" s="49" t="n">
        <v>132512652285273</v>
      </c>
    </row>
    <row r="32">
      <c r="A32" s="48" t="inlineStr">
        <is>
          <t>Nguyên giá TSCĐ hữu hình</t>
        </is>
      </c>
      <c r="B32" s="49" t="n">
        <v>21704460370910</v>
      </c>
      <c r="C32" s="49" t="n">
        <v>22222714327948</v>
      </c>
      <c r="D32" s="49" t="n">
        <v>22762070447420</v>
      </c>
      <c r="E32" s="49" t="n">
        <v>22992663946845</v>
      </c>
      <c r="F32" s="49" t="n">
        <v>108153947400446</v>
      </c>
      <c r="G32" s="49" t="n">
        <v>108146566348954</v>
      </c>
      <c r="H32" s="49" t="n">
        <v>128260224636169</v>
      </c>
      <c r="I32" s="49" t="n">
        <v>109249187040644</v>
      </c>
      <c r="J32" s="49" t="n">
        <v>150704510599924</v>
      </c>
      <c r="K32" s="49" t="n">
        <v>182308655292963</v>
      </c>
      <c r="L32" s="49" t="n">
        <v>185925994763538</v>
      </c>
      <c r="M32" s="49" t="n">
        <v>186818108004847</v>
      </c>
    </row>
    <row r="33">
      <c r="A33" s="48" t="inlineStr">
        <is>
          <t>Khấu hao lũy kế TSCĐ hữu hình</t>
        </is>
      </c>
      <c r="B33" s="49" t="n">
        <v>-8824841070734</v>
      </c>
      <c r="C33" s="49" t="n">
        <v>-9355926546391</v>
      </c>
      <c r="D33" s="49" t="n">
        <v>-9879576256434</v>
      </c>
      <c r="E33" s="49" t="n">
        <v>-10427300416966</v>
      </c>
      <c r="F33" s="49" t="n">
        <v>-39867897732095</v>
      </c>
      <c r="G33" s="49" t="n">
        <v>-40902415373906</v>
      </c>
      <c r="H33" s="49" t="n">
        <v>-42597363848583</v>
      </c>
      <c r="I33" s="49" t="n">
        <v>-44128665710568</v>
      </c>
      <c r="J33" s="49" t="n">
        <v>-46171261944823</v>
      </c>
      <c r="K33" s="49" t="n">
        <v>-48887808596880</v>
      </c>
      <c r="L33" s="49" t="n">
        <v>-51553428571476</v>
      </c>
      <c r="M33" s="49" t="n">
        <v>-54305455719574</v>
      </c>
    </row>
    <row r="34">
      <c r="A34" s="48" t="inlineStr">
        <is>
          <t>GTCL tài sản thuê tài chính</t>
        </is>
      </c>
      <c r="B34" s="49" t="n">
        <v>0</v>
      </c>
      <c r="C34" s="49" t="n">
        <v>0</v>
      </c>
      <c r="D34" s="49" t="n">
        <v>0</v>
      </c>
      <c r="E34" s="49" t="n">
        <v>0</v>
      </c>
      <c r="F34" s="49" t="n">
        <v>0</v>
      </c>
      <c r="G34" s="49" t="n">
        <v>0</v>
      </c>
      <c r="H34" s="49" t="n">
        <v>0</v>
      </c>
      <c r="I34" s="49" t="n">
        <v>0</v>
      </c>
      <c r="J34" s="49" t="n">
        <v>0</v>
      </c>
      <c r="K34" s="49" t="n">
        <v>0</v>
      </c>
      <c r="L34" s="49" t="n">
        <v>0</v>
      </c>
      <c r="M34" s="49" t="n">
        <v>0</v>
      </c>
    </row>
    <row r="35">
      <c r="A35" s="48" t="inlineStr">
        <is>
          <t>Nguyên giá tài sản thuê tài chính</t>
        </is>
      </c>
      <c r="B35" s="49" t="n">
        <v>0</v>
      </c>
      <c r="C35" s="49" t="n">
        <v>0</v>
      </c>
      <c r="D35" s="49" t="n">
        <v>0</v>
      </c>
      <c r="E35" s="49" t="n">
        <v>0</v>
      </c>
      <c r="F35" s="49" t="n">
        <v>0</v>
      </c>
      <c r="G35" s="49" t="n">
        <v>0</v>
      </c>
      <c r="H35" s="49" t="n">
        <v>0</v>
      </c>
      <c r="I35" s="49" t="n">
        <v>0</v>
      </c>
      <c r="J35" s="49" t="n">
        <v>0</v>
      </c>
      <c r="K35" s="49" t="n">
        <v>0</v>
      </c>
      <c r="L35" s="49" t="n">
        <v>0</v>
      </c>
      <c r="M35" s="49" t="n">
        <v>0</v>
      </c>
    </row>
    <row r="36">
      <c r="A36" s="48" t="inlineStr">
        <is>
          <t>Khấu hao lũy kế tài sản thuê tài chính</t>
        </is>
      </c>
      <c r="B36" s="49" t="n">
        <v>0</v>
      </c>
      <c r="C36" s="49" t="n">
        <v>0</v>
      </c>
      <c r="D36" s="49" t="n">
        <v>0</v>
      </c>
      <c r="E36" s="49" t="n">
        <v>0</v>
      </c>
      <c r="F36" s="49" t="n">
        <v>0</v>
      </c>
      <c r="G36" s="49" t="n">
        <v>0</v>
      </c>
      <c r="H36" s="49" t="n">
        <v>0</v>
      </c>
      <c r="I36" s="49" t="n">
        <v>0</v>
      </c>
      <c r="J36" s="49" t="n">
        <v>0</v>
      </c>
      <c r="K36" s="49" t="n">
        <v>0</v>
      </c>
      <c r="L36" s="49" t="n">
        <v>0</v>
      </c>
      <c r="M36" s="49" t="n">
        <v>0</v>
      </c>
    </row>
    <row r="37">
      <c r="A37" s="48" t="inlineStr">
        <is>
          <t>GTCL tài sản cố định vô hình</t>
        </is>
      </c>
      <c r="B37" s="49" t="n">
        <v>195575206027</v>
      </c>
      <c r="C37" s="49" t="n">
        <v>205730607022</v>
      </c>
      <c r="D37" s="49" t="n">
        <v>203861409786</v>
      </c>
      <c r="E37" s="49" t="n">
        <v>217197095122</v>
      </c>
      <c r="F37" s="49" t="n">
        <v>189599206126</v>
      </c>
      <c r="G37" s="49" t="n">
        <v>184215978466</v>
      </c>
      <c r="H37" s="49" t="n">
        <v>175274918181</v>
      </c>
      <c r="I37" s="49" t="n">
        <v>182455028495</v>
      </c>
      <c r="J37" s="49" t="n">
        <v>178014736149</v>
      </c>
      <c r="K37" s="49" t="n">
        <v>187211163894</v>
      </c>
      <c r="L37" s="49" t="n">
        <v>201799091978</v>
      </c>
      <c r="M37" s="49" t="n">
        <v>203576610285</v>
      </c>
    </row>
    <row r="38">
      <c r="A38" s="48" t="inlineStr">
        <is>
          <t>Nguyên giá TSCĐ vô hình</t>
        </is>
      </c>
      <c r="B38" s="49" t="n">
        <v>237620165357</v>
      </c>
      <c r="C38" s="49" t="n">
        <v>250413730557</v>
      </c>
      <c r="D38" s="49" t="n">
        <v>251632087343</v>
      </c>
      <c r="E38" s="49" t="n">
        <v>268391812870</v>
      </c>
      <c r="F38" s="49" t="n">
        <v>363040543847</v>
      </c>
      <c r="G38" s="49" t="n">
        <v>367057604707</v>
      </c>
      <c r="H38" s="49" t="n">
        <v>366800991165</v>
      </c>
      <c r="I38" s="49" t="n">
        <v>380435441707</v>
      </c>
      <c r="J38" s="49" t="n">
        <v>380729191707</v>
      </c>
      <c r="K38" s="49" t="n">
        <v>394755577407</v>
      </c>
      <c r="L38" s="49" t="n">
        <v>413498333677</v>
      </c>
      <c r="M38" s="49" t="n">
        <v>421524406409</v>
      </c>
    </row>
    <row r="39">
      <c r="A39" s="48" t="inlineStr">
        <is>
          <t>Khấu hao lũy kế TSCĐ vô hình</t>
        </is>
      </c>
      <c r="B39" s="49" t="n">
        <v>-42044959330</v>
      </c>
      <c r="C39" s="49" t="n">
        <v>-44683123535</v>
      </c>
      <c r="D39" s="49" t="n">
        <v>-47770677557</v>
      </c>
      <c r="E39" s="49" t="n">
        <v>-51194717748</v>
      </c>
      <c r="F39" s="49" t="n">
        <v>-173441337721</v>
      </c>
      <c r="G39" s="49" t="n">
        <v>-182841626241</v>
      </c>
      <c r="H39" s="49" t="n">
        <v>-191526072984</v>
      </c>
      <c r="I39" s="49" t="n">
        <v>-197980413212</v>
      </c>
      <c r="J39" s="49" t="n">
        <v>-202714455558</v>
      </c>
      <c r="K39" s="49" t="n">
        <v>-207544413513</v>
      </c>
      <c r="L39" s="49" t="n">
        <v>-211699241699</v>
      </c>
      <c r="M39" s="49" t="n">
        <v>-217947796124</v>
      </c>
    </row>
    <row r="40">
      <c r="A40" s="48" t="inlineStr">
        <is>
          <t>Xây dựng cơ bản đang dang dở (trước 2015)</t>
        </is>
      </c>
      <c r="B40" s="49" t="n">
        <v>0</v>
      </c>
      <c r="C40" s="49" t="n">
        <v>0</v>
      </c>
      <c r="D40" s="49" t="n">
        <v>0</v>
      </c>
      <c r="E40" s="49" t="n">
        <v>0</v>
      </c>
      <c r="F40" s="49" t="n">
        <v>0</v>
      </c>
      <c r="G40" s="49" t="n">
        <v>0</v>
      </c>
      <c r="H40" s="49" t="n">
        <v>0</v>
      </c>
      <c r="I40" s="49" t="n">
        <v>0</v>
      </c>
      <c r="J40" s="49" t="n">
        <v>0</v>
      </c>
      <c r="K40" s="49" t="n">
        <v>0</v>
      </c>
      <c r="L40" s="49" t="n">
        <v>0</v>
      </c>
      <c r="M40" s="49" t="n">
        <v>0</v>
      </c>
    </row>
    <row r="41">
      <c r="A41" s="48" t="inlineStr">
        <is>
          <t>Giá trị ròng tài sản đầu tư</t>
        </is>
      </c>
      <c r="B41" s="49" t="n">
        <v>188172060799</v>
      </c>
      <c r="C41" s="49" t="n">
        <v>185153036362</v>
      </c>
      <c r="D41" s="49" t="n">
        <v>182134011925</v>
      </c>
      <c r="E41" s="49" t="n">
        <v>179740530488</v>
      </c>
      <c r="F41" s="49" t="n">
        <v>568026681070</v>
      </c>
      <c r="G41" s="49" t="n">
        <v>559598463093</v>
      </c>
      <c r="H41" s="49" t="n">
        <v>552837241998</v>
      </c>
      <c r="I41" s="49" t="n">
        <v>544375244149</v>
      </c>
      <c r="J41" s="49" t="n">
        <v>536668864862</v>
      </c>
      <c r="K41" s="49" t="n">
        <v>528191122247</v>
      </c>
      <c r="L41" s="49" t="n">
        <v>519713379632</v>
      </c>
      <c r="M41" s="49" t="n">
        <v>511235637028</v>
      </c>
    </row>
    <row r="42">
      <c r="A42" s="48" t="inlineStr">
        <is>
          <t>Nguyên giá tài sản đầu tư</t>
        </is>
      </c>
      <c r="B42" s="49" t="n">
        <v>246141517543</v>
      </c>
      <c r="C42" s="49" t="n">
        <v>246141517543</v>
      </c>
      <c r="D42" s="49" t="n">
        <v>246141517543</v>
      </c>
      <c r="E42" s="49" t="n">
        <v>246767060543</v>
      </c>
      <c r="F42" s="49" t="n">
        <v>860171015615</v>
      </c>
      <c r="G42" s="49" t="n">
        <v>860549015615</v>
      </c>
      <c r="H42" s="49" t="n">
        <v>862627015615</v>
      </c>
      <c r="I42" s="49" t="n">
        <v>862878515615</v>
      </c>
      <c r="J42" s="49" t="n">
        <v>863635594434</v>
      </c>
      <c r="K42" s="49" t="n">
        <v>863635594434</v>
      </c>
      <c r="L42" s="49" t="n">
        <v>850896124504</v>
      </c>
      <c r="M42" s="49" t="n">
        <v>863635594434</v>
      </c>
    </row>
    <row r="43">
      <c r="A43" s="48" t="inlineStr">
        <is>
          <t>Khấu hao lũy kế tài sản đầu tư</t>
        </is>
      </c>
      <c r="B43" s="49" t="n">
        <v>-57969456744</v>
      </c>
      <c r="C43" s="49" t="n">
        <v>-60988481181</v>
      </c>
      <c r="D43" s="49" t="n">
        <v>-64007505618</v>
      </c>
      <c r="E43" s="49" t="n">
        <v>-67026530055</v>
      </c>
      <c r="F43" s="49" t="n">
        <v>-292144334545</v>
      </c>
      <c r="G43" s="49" t="n">
        <v>-300950552522</v>
      </c>
      <c r="H43" s="49" t="n">
        <v>-309789773617</v>
      </c>
      <c r="I43" s="49" t="n">
        <v>-318503271466</v>
      </c>
      <c r="J43" s="49" t="n">
        <v>-326966729572</v>
      </c>
      <c r="K43" s="49" t="n">
        <v>-335444472187</v>
      </c>
      <c r="L43" s="49" t="n">
        <v>-331182744872</v>
      </c>
      <c r="M43" s="49" t="n">
        <v>-352399957406</v>
      </c>
    </row>
    <row r="44">
      <c r="A44" s="48" t="inlineStr">
        <is>
          <t>Đầu tư dài hạn</t>
        </is>
      </c>
      <c r="B44" s="49" t="n">
        <v>31015649848</v>
      </c>
      <c r="C44" s="49" t="n">
        <v>21894926457</v>
      </c>
      <c r="D44" s="49" t="n">
        <v>22030941489</v>
      </c>
      <c r="E44" s="49" t="n">
        <v>66584926457</v>
      </c>
      <c r="F44" s="49" t="n">
        <v>136500000000</v>
      </c>
      <c r="G44" s="49" t="n">
        <v>136500000000</v>
      </c>
      <c r="H44" s="49" t="n">
        <v>0</v>
      </c>
      <c r="I44" s="49" t="n">
        <v>0</v>
      </c>
      <c r="J44" s="49" t="n">
        <v>300000000</v>
      </c>
      <c r="K44" s="49" t="n">
        <v>2248000000000</v>
      </c>
      <c r="L44" s="49" t="n">
        <v>1860315612782</v>
      </c>
      <c r="M44" s="49" t="n">
        <v>1920000000000</v>
      </c>
    </row>
    <row r="45">
      <c r="A45" s="48" t="inlineStr">
        <is>
          <t>Đầu tư vào các công ty con</t>
        </is>
      </c>
      <c r="B45" s="49" t="n">
        <v>0</v>
      </c>
      <c r="C45" s="49" t="n">
        <v>0</v>
      </c>
      <c r="D45" s="49" t="n">
        <v>0</v>
      </c>
      <c r="E45" s="49" t="n">
        <v>0</v>
      </c>
      <c r="F45" s="49" t="n">
        <v>0</v>
      </c>
      <c r="G45" s="49" t="n">
        <v>0</v>
      </c>
      <c r="H45" s="49" t="n">
        <v>0</v>
      </c>
      <c r="I45" s="49" t="n">
        <v>0</v>
      </c>
      <c r="J45" s="49" t="n">
        <v>0</v>
      </c>
      <c r="K45" s="49" t="n">
        <v>0</v>
      </c>
      <c r="L45" s="49" t="n">
        <v>0</v>
      </c>
      <c r="M45" s="49" t="n">
        <v>0</v>
      </c>
    </row>
    <row r="46">
      <c r="A46" s="48" t="inlineStr">
        <is>
          <t>Đầu tư vào các công ty liên kết</t>
        </is>
      </c>
      <c r="B46" s="49" t="n">
        <v>0</v>
      </c>
      <c r="C46" s="49" t="n">
        <v>0</v>
      </c>
      <c r="D46" s="49" t="n">
        <v>0</v>
      </c>
      <c r="E46" s="49" t="n">
        <v>0</v>
      </c>
      <c r="F46" s="49" t="n">
        <v>0</v>
      </c>
      <c r="G46" s="49" t="n">
        <v>0</v>
      </c>
      <c r="H46" s="49" t="n">
        <v>0</v>
      </c>
      <c r="I46" s="49" t="n">
        <v>0</v>
      </c>
      <c r="J46" s="49" t="n">
        <v>0</v>
      </c>
      <c r="K46" s="49" t="n">
        <v>0</v>
      </c>
      <c r="L46" s="49" t="n">
        <v>1860315612782</v>
      </c>
      <c r="M46" s="49" t="n">
        <v>1920000000000</v>
      </c>
    </row>
    <row r="47">
      <c r="A47" s="48" t="inlineStr">
        <is>
          <t>Đầu tư dài hạn khác</t>
        </is>
      </c>
      <c r="B47" s="49" t="n">
        <v>15700000000</v>
      </c>
      <c r="C47" s="49" t="n">
        <v>700000000</v>
      </c>
      <c r="D47" s="49" t="n">
        <v>700000000</v>
      </c>
      <c r="E47" s="49" t="n">
        <v>700000000</v>
      </c>
      <c r="F47" s="49" t="n">
        <v>0</v>
      </c>
      <c r="G47" s="49" t="n">
        <v>0</v>
      </c>
      <c r="H47" s="49" t="n">
        <v>0</v>
      </c>
      <c r="I47" s="49" t="n">
        <v>0</v>
      </c>
      <c r="J47" s="49" t="n">
        <v>0</v>
      </c>
      <c r="K47" s="49" t="n">
        <v>0</v>
      </c>
      <c r="L47" s="49" t="n">
        <v>0</v>
      </c>
      <c r="M47" s="49" t="n">
        <v>0</v>
      </c>
    </row>
    <row r="48">
      <c r="A48" s="48" t="inlineStr">
        <is>
          <t>Dự phòng giảm giá đầu tư dài hạn</t>
        </is>
      </c>
      <c r="B48" s="49" t="n">
        <v>0</v>
      </c>
      <c r="C48" s="49" t="n">
        <v>0</v>
      </c>
      <c r="D48" s="49" t="n">
        <v>0</v>
      </c>
      <c r="E48" s="49" t="n">
        <v>0</v>
      </c>
      <c r="F48" s="49" t="n">
        <v>0</v>
      </c>
      <c r="G48" s="49" t="n">
        <v>0</v>
      </c>
      <c r="H48" s="49" t="n">
        <v>0</v>
      </c>
      <c r="I48" s="49" t="n">
        <v>0</v>
      </c>
      <c r="J48" s="49" t="n">
        <v>0</v>
      </c>
      <c r="K48" s="49" t="n">
        <v>0</v>
      </c>
      <c r="L48" s="49" t="n">
        <v>0</v>
      </c>
      <c r="M48" s="49" t="n">
        <v>0</v>
      </c>
    </row>
    <row r="49">
      <c r="A49" s="48" t="inlineStr">
        <is>
          <t>Lợi thế thương mại (trước 2015)</t>
        </is>
      </c>
      <c r="B49" s="49" t="n">
        <v>0</v>
      </c>
      <c r="C49" s="49" t="n">
        <v>0</v>
      </c>
      <c r="D49" s="49" t="n">
        <v>0</v>
      </c>
      <c r="E49" s="49" t="n">
        <v>0</v>
      </c>
      <c r="F49" s="49" t="n">
        <v>0</v>
      </c>
      <c r="G49" s="49" t="n">
        <v>0</v>
      </c>
      <c r="H49" s="49" t="n">
        <v>0</v>
      </c>
      <c r="I49" s="49" t="n">
        <v>0</v>
      </c>
      <c r="J49" s="49" t="n">
        <v>0</v>
      </c>
      <c r="K49" s="49" t="n">
        <v>0</v>
      </c>
      <c r="L49" s="49" t="n">
        <v>0</v>
      </c>
      <c r="M49" s="49" t="n">
        <v>0</v>
      </c>
    </row>
    <row r="50">
      <c r="A50" s="48" t="inlineStr">
        <is>
          <t>Tài sản dài hạn khác</t>
        </is>
      </c>
      <c r="B50" s="49" t="n">
        <v>1390105168162</v>
      </c>
      <c r="C50" s="49" t="n">
        <v>1627559890874</v>
      </c>
      <c r="D50" s="49" t="n">
        <v>1614903232515</v>
      </c>
      <c r="E50" s="49" t="n">
        <v>1755774089572</v>
      </c>
      <c r="F50" s="49" t="n">
        <v>4642778670407</v>
      </c>
      <c r="G50" s="49" t="n">
        <v>5016848415359</v>
      </c>
      <c r="H50" s="49" t="n">
        <v>5015366006415</v>
      </c>
      <c r="I50" s="49" t="n">
        <v>5041262109917</v>
      </c>
      <c r="J50" s="49" t="n">
        <v>5079772440151</v>
      </c>
      <c r="K50" s="49" t="n">
        <v>6695330188319</v>
      </c>
      <c r="L50" s="49" t="n">
        <v>6552910435885</v>
      </c>
      <c r="M50" s="49" t="n">
        <v>6857002487069</v>
      </c>
    </row>
    <row r="51">
      <c r="A51" s="48" t="inlineStr">
        <is>
          <t>Trả trước dài hạn</t>
        </is>
      </c>
      <c r="B51" s="49" t="n">
        <v>1095751686732</v>
      </c>
      <c r="C51" s="49" t="n">
        <v>1344631018832</v>
      </c>
      <c r="D51" s="49" t="n">
        <v>1332714173291</v>
      </c>
      <c r="E51" s="49" t="n">
        <v>1461311868435</v>
      </c>
      <c r="F51" s="49" t="n">
        <v>4347213561931</v>
      </c>
      <c r="G51" s="49" t="n">
        <v>4269141694868</v>
      </c>
      <c r="H51" s="49" t="n">
        <v>4261916994097</v>
      </c>
      <c r="I51" s="49" t="n">
        <v>4338725174159</v>
      </c>
      <c r="J51" s="49" t="n">
        <v>4390536576181</v>
      </c>
      <c r="K51" s="49" t="n">
        <v>6003628755787</v>
      </c>
      <c r="L51" s="49" t="n">
        <v>5906104404742</v>
      </c>
      <c r="M51" s="49" t="n">
        <v>6081562755328</v>
      </c>
    </row>
    <row r="52">
      <c r="A52" s="48" t="inlineStr">
        <is>
          <t>Thuế thu nhập hoãn lại</t>
        </is>
      </c>
      <c r="B52" s="49" t="n">
        <v>323343872</v>
      </c>
      <c r="C52" s="49" t="n">
        <v>143476720</v>
      </c>
      <c r="D52" s="49" t="n">
        <v>143476720</v>
      </c>
      <c r="E52" s="49" t="n">
        <v>0</v>
      </c>
      <c r="F52" s="49" t="n">
        <v>29464276717</v>
      </c>
      <c r="G52" s="49" t="n">
        <v>29268483140</v>
      </c>
      <c r="H52" s="49" t="n">
        <v>29076465309</v>
      </c>
      <c r="I52" s="49" t="n">
        <v>29665463669</v>
      </c>
      <c r="J52" s="49" t="n">
        <v>30296581076</v>
      </c>
      <c r="K52" s="49" t="n">
        <v>31013808361</v>
      </c>
      <c r="L52" s="49" t="n">
        <v>31223696682</v>
      </c>
      <c r="M52" s="49" t="n">
        <v>27938594552</v>
      </c>
    </row>
    <row r="53">
      <c r="A53" s="48" t="inlineStr">
        <is>
          <t>Các tài sản dài hạn khác</t>
        </is>
      </c>
      <c r="B53" s="49" t="n">
        <v>0</v>
      </c>
      <c r="C53" s="49" t="n">
        <v>0</v>
      </c>
      <c r="D53" s="49" t="n">
        <v>0</v>
      </c>
      <c r="E53" s="49" t="n">
        <v>0</v>
      </c>
      <c r="F53" s="49" t="n">
        <v>0</v>
      </c>
      <c r="G53" s="49" t="n">
        <v>0</v>
      </c>
      <c r="H53" s="49" t="n">
        <v>0</v>
      </c>
      <c r="I53" s="49" t="n">
        <v>0</v>
      </c>
      <c r="J53" s="49" t="n">
        <v>0</v>
      </c>
      <c r="K53" s="49" t="n">
        <v>0</v>
      </c>
      <c r="L53" s="49" t="n">
        <v>48488200093</v>
      </c>
      <c r="M53" s="49" t="n">
        <v>45463214767</v>
      </c>
    </row>
    <row r="54">
      <c r="A54" s="48" t="inlineStr">
        <is>
          <t>TỔNG CỘNG TÀI SẢN</t>
        </is>
      </c>
      <c r="B54" s="49" t="n">
        <v>54437483969361</v>
      </c>
      <c r="C54" s="49" t="n">
        <v>62078341932140</v>
      </c>
      <c r="D54" s="49" t="n">
        <v>70102771920834</v>
      </c>
      <c r="E54" s="49" t="n">
        <v>78224962647939</v>
      </c>
      <c r="F54" s="49" t="n">
        <v>211386343928118</v>
      </c>
      <c r="G54" s="49" t="n">
        <v>224489707553981</v>
      </c>
      <c r="H54" s="49" t="n">
        <v>228861587788307</v>
      </c>
      <c r="I54" s="49" t="n">
        <v>242224530919050</v>
      </c>
      <c r="J54" s="49" t="n">
        <v>246171338287652</v>
      </c>
      <c r="K54" s="49" t="n">
        <v>257899200817547</v>
      </c>
      <c r="L54" s="49" t="n">
        <v>259327500205228</v>
      </c>
      <c r="M54" s="49" t="n">
        <v>278929786247772</v>
      </c>
    </row>
    <row r="55">
      <c r="A55" s="48" t="inlineStr">
        <is>
          <t>NỢ PHẢI TRẢ</t>
        </is>
      </c>
      <c r="B55" s="49" t="n">
        <v>20009291058652</v>
      </c>
      <c r="C55" s="49" t="n">
        <v>25451498115834</v>
      </c>
      <c r="D55" s="49" t="n">
        <v>31069071303247</v>
      </c>
      <c r="E55" s="49" t="n">
        <v>37616012807129</v>
      </c>
      <c r="F55" s="49" t="n">
        <v>99607246691658</v>
      </c>
      <c r="G55" s="49" t="n">
        <v>109842249570282</v>
      </c>
      <c r="H55" s="49" t="n">
        <v>110864708699178</v>
      </c>
      <c r="I55" s="49" t="n">
        <v>119865026005768</v>
      </c>
      <c r="J55" s="49" t="n">
        <v>118655326188383</v>
      </c>
      <c r="K55" s="49" t="n">
        <v>126679189940972</v>
      </c>
      <c r="L55" s="49" t="n">
        <v>119545707998756</v>
      </c>
      <c r="M55" s="49" t="n">
        <v>137413759457075</v>
      </c>
    </row>
    <row r="56">
      <c r="A56" s="48" t="inlineStr">
        <is>
          <t>Nợ ngắn hạn</t>
        </is>
      </c>
      <c r="B56" s="49" t="n">
        <v>17459059766452</v>
      </c>
      <c r="C56" s="49" t="n">
        <v>19959127538857</v>
      </c>
      <c r="D56" s="49" t="n">
        <v>21460455144991</v>
      </c>
      <c r="E56" s="49" t="n">
        <v>24299196176342</v>
      </c>
      <c r="F56" s="49" t="n">
        <v>68995125104046</v>
      </c>
      <c r="G56" s="49" t="n">
        <v>75225243262689</v>
      </c>
      <c r="H56" s="49" t="n">
        <v>77298523955478</v>
      </c>
      <c r="I56" s="49" t="n">
        <v>86427453449629</v>
      </c>
      <c r="J56" s="49" t="n">
        <v>83163272833172</v>
      </c>
      <c r="K56" s="49" t="n">
        <v>94186268324508</v>
      </c>
      <c r="L56" s="49" t="n">
        <v>86369839061570</v>
      </c>
      <c r="M56" s="49" t="n">
        <v>105037075079739</v>
      </c>
    </row>
    <row r="57">
      <c r="A57" s="48" t="inlineStr">
        <is>
          <t>Vay ngắn hạn</t>
        </is>
      </c>
      <c r="B57" s="49" t="n">
        <v>10291257465605</v>
      </c>
      <c r="C57" s="49" t="n">
        <v>11527601640256</v>
      </c>
      <c r="D57" s="49" t="n">
        <v>13023391906780</v>
      </c>
      <c r="E57" s="49" t="n">
        <v>11494717393327</v>
      </c>
      <c r="F57" s="49" t="n">
        <v>54180722680952</v>
      </c>
      <c r="G57" s="49" t="n">
        <v>55882686213459</v>
      </c>
      <c r="H57" s="49" t="n">
        <v>61784512821075</v>
      </c>
      <c r="I57" s="49" t="n">
        <v>66692028477152</v>
      </c>
      <c r="J57" s="49" t="n">
        <v>68482383626253</v>
      </c>
      <c r="K57" s="49" t="n">
        <v>64694957245143</v>
      </c>
      <c r="L57" s="49" t="n">
        <v>62799568273773</v>
      </c>
      <c r="M57" s="49" t="n">
        <v>71433383400905</v>
      </c>
    </row>
    <row r="58">
      <c r="A58" s="48" t="inlineStr">
        <is>
          <t>Phải trả người bán</t>
        </is>
      </c>
      <c r="B58" s="49" t="n">
        <v>3420134716675</v>
      </c>
      <c r="C58" s="49" t="n">
        <v>4362424903337</v>
      </c>
      <c r="D58" s="49" t="n">
        <v>5729031785682</v>
      </c>
      <c r="E58" s="49" t="n">
        <v>10354044794458</v>
      </c>
      <c r="F58" s="49" t="n">
        <v>9950657828696</v>
      </c>
      <c r="G58" s="49" t="n">
        <v>14046841160127</v>
      </c>
      <c r="H58" s="49" t="n">
        <v>11710046001326</v>
      </c>
      <c r="I58" s="49" t="n">
        <v>15136410953706</v>
      </c>
      <c r="J58" s="49" t="n">
        <v>8529818586842</v>
      </c>
      <c r="K58" s="49" t="n">
        <v>21183376049432</v>
      </c>
      <c r="L58" s="49" t="n">
        <v>17164200903296</v>
      </c>
      <c r="M58" s="49" t="n">
        <v>26690134352803</v>
      </c>
    </row>
    <row r="59">
      <c r="A59" s="48" t="inlineStr">
        <is>
          <t>Người mua trả tiền trước</t>
        </is>
      </c>
      <c r="B59" s="49" t="n">
        <v>705004491879</v>
      </c>
      <c r="C59" s="49" t="n">
        <v>797009065381</v>
      </c>
      <c r="D59" s="49" t="n">
        <v>405076519485</v>
      </c>
      <c r="E59" s="49" t="n">
        <v>361444408581</v>
      </c>
      <c r="F59" s="49" t="n">
        <v>440576623880</v>
      </c>
      <c r="G59" s="49" t="n">
        <v>739178306553</v>
      </c>
      <c r="H59" s="49" t="n">
        <v>570631436241</v>
      </c>
      <c r="I59" s="49" t="n">
        <v>306667783670</v>
      </c>
      <c r="J59" s="49" t="n">
        <v>619205121131</v>
      </c>
      <c r="K59" s="49" t="n">
        <v>839645735088</v>
      </c>
      <c r="L59" s="49" t="n">
        <v>1667092509362</v>
      </c>
      <c r="M59" s="49" t="n">
        <v>914378130783</v>
      </c>
    </row>
    <row r="60">
      <c r="A60" s="48" t="inlineStr">
        <is>
          <t>Thuế và các khoản phải trả Nhà nước</t>
        </is>
      </c>
      <c r="B60" s="49" t="n">
        <v>449772422112</v>
      </c>
      <c r="C60" s="49" t="n">
        <v>706471647240</v>
      </c>
      <c r="D60" s="49" t="n">
        <v>729334922881</v>
      </c>
      <c r="E60" s="49" t="n">
        <v>481510200714</v>
      </c>
      <c r="F60" s="49" t="n">
        <v>1438519795665</v>
      </c>
      <c r="G60" s="49" t="n">
        <v>1743411429415</v>
      </c>
      <c r="H60" s="49" t="n">
        <v>598699176814</v>
      </c>
      <c r="I60" s="49" t="n">
        <v>1381630142757</v>
      </c>
      <c r="J60" s="49" t="n">
        <v>2106828051547</v>
      </c>
      <c r="K60" s="49" t="n">
        <v>2377396188571</v>
      </c>
      <c r="L60" s="49" t="n">
        <v>1909521507440</v>
      </c>
      <c r="M60" s="49" t="n">
        <v>2644753151956</v>
      </c>
    </row>
    <row r="61">
      <c r="A61" s="48" t="inlineStr">
        <is>
          <t>Phải trả người lao động</t>
        </is>
      </c>
      <c r="B61" s="49" t="n">
        <v>236794773306</v>
      </c>
      <c r="C61" s="49" t="n">
        <v>180564622217</v>
      </c>
      <c r="D61" s="49" t="n">
        <v>111429112149</v>
      </c>
      <c r="E61" s="49" t="n">
        <v>252288255386</v>
      </c>
      <c r="F61" s="49" t="n">
        <v>277438336855</v>
      </c>
      <c r="G61" s="49" t="n">
        <v>890893543298</v>
      </c>
      <c r="H61" s="49" t="n">
        <v>284189911532</v>
      </c>
      <c r="I61" s="49" t="n">
        <v>272364201644</v>
      </c>
      <c r="J61" s="49" t="n">
        <v>317735935434</v>
      </c>
      <c r="K61" s="49" t="n">
        <v>995918246781</v>
      </c>
      <c r="L61" s="49" t="n">
        <v>343809506691</v>
      </c>
      <c r="M61" s="49" t="n">
        <v>344544994396</v>
      </c>
    </row>
    <row r="62">
      <c r="A62" s="48" t="inlineStr">
        <is>
          <t>Chi phí phải trả</t>
        </is>
      </c>
      <c r="B62" s="49" t="n">
        <v>246885610097</v>
      </c>
      <c r="C62" s="49" t="n">
        <v>256089405905</v>
      </c>
      <c r="D62" s="49" t="n">
        <v>282474395626</v>
      </c>
      <c r="E62" s="49" t="n">
        <v>263549362763</v>
      </c>
      <c r="F62" s="49" t="n">
        <v>1078411787488</v>
      </c>
      <c r="G62" s="49" t="n">
        <v>682112072502</v>
      </c>
      <c r="H62" s="49" t="n">
        <v>947037881276</v>
      </c>
      <c r="I62" s="49" t="n">
        <v>1119741083109</v>
      </c>
      <c r="J62" s="49" t="n">
        <v>1399310566535</v>
      </c>
      <c r="K62" s="49" t="n">
        <v>939347023380</v>
      </c>
      <c r="L62" s="49" t="n">
        <v>1300632191974</v>
      </c>
      <c r="M62" s="49" t="n">
        <v>1741405043384</v>
      </c>
    </row>
    <row r="63">
      <c r="A63" s="48" t="inlineStr">
        <is>
          <t>Phải trả nội bộ</t>
        </is>
      </c>
      <c r="B63" s="49" t="n">
        <v>0</v>
      </c>
      <c r="C63" s="49" t="n">
        <v>0</v>
      </c>
      <c r="D63" s="49" t="n">
        <v>0</v>
      </c>
      <c r="E63" s="49" t="n">
        <v>0</v>
      </c>
      <c r="F63" s="49" t="n">
        <v>0</v>
      </c>
      <c r="G63" s="49" t="n">
        <v>0</v>
      </c>
      <c r="H63" s="49" t="n">
        <v>0</v>
      </c>
      <c r="I63" s="49" t="n">
        <v>0</v>
      </c>
      <c r="J63" s="49" t="n">
        <v>0</v>
      </c>
      <c r="K63" s="49" t="n">
        <v>0</v>
      </c>
      <c r="L63" s="49" t="n">
        <v>0</v>
      </c>
      <c r="M63" s="49" t="n">
        <v>0</v>
      </c>
    </row>
    <row r="64">
      <c r="A64" s="48" t="inlineStr">
        <is>
          <t>Phải trả về xây dựng cơ bản</t>
        </is>
      </c>
      <c r="B64" s="49" t="n">
        <v>0</v>
      </c>
      <c r="C64" s="49" t="n">
        <v>0</v>
      </c>
      <c r="D64" s="49" t="n">
        <v>0</v>
      </c>
      <c r="E64" s="49" t="n">
        <v>0</v>
      </c>
      <c r="F64" s="49" t="n">
        <v>0</v>
      </c>
      <c r="G64" s="49" t="n">
        <v>0</v>
      </c>
      <c r="H64" s="49" t="n">
        <v>0</v>
      </c>
      <c r="I64" s="49" t="n">
        <v>0</v>
      </c>
      <c r="J64" s="49" t="n">
        <v>0</v>
      </c>
      <c r="K64" s="49" t="n">
        <v>0</v>
      </c>
      <c r="L64" s="49" t="n">
        <v>0</v>
      </c>
      <c r="M64" s="49" t="n">
        <v>0</v>
      </c>
    </row>
    <row r="65">
      <c r="A65" s="48" t="inlineStr">
        <is>
          <t>Phải trả khác</t>
        </is>
      </c>
      <c r="B65" s="49" t="n">
        <v>1368185843735</v>
      </c>
      <c r="C65" s="49" t="n">
        <v>1419531070027</v>
      </c>
      <c r="D65" s="49" t="n">
        <v>502931037809</v>
      </c>
      <c r="E65" s="49" t="n">
        <v>300069780261</v>
      </c>
      <c r="F65" s="49" t="n">
        <v>245557195543</v>
      </c>
      <c r="G65" s="49" t="n">
        <v>188076845190</v>
      </c>
      <c r="H65" s="49" t="n">
        <v>525839075832</v>
      </c>
      <c r="I65" s="49" t="n">
        <v>305807445331</v>
      </c>
      <c r="J65" s="49" t="n">
        <v>544878875265</v>
      </c>
      <c r="K65" s="49" t="n">
        <v>2011792352575</v>
      </c>
      <c r="L65" s="49" t="n">
        <v>348247387218</v>
      </c>
      <c r="M65" s="49" t="n">
        <v>414382997288</v>
      </c>
    </row>
    <row r="66">
      <c r="A66" s="48" t="inlineStr">
        <is>
          <t>Dự phòng các khoản phải trả ngắn hạn</t>
        </is>
      </c>
      <c r="B66" s="49" t="n">
        <v>7425670031</v>
      </c>
      <c r="C66" s="49" t="n">
        <v>7247116218</v>
      </c>
      <c r="D66" s="49" t="n">
        <v>7402480267</v>
      </c>
      <c r="E66" s="49" t="n">
        <v>6238723132</v>
      </c>
      <c r="F66" s="49" t="n">
        <v>11253194472</v>
      </c>
      <c r="G66" s="49" t="n">
        <v>13672830889</v>
      </c>
      <c r="H66" s="49" t="n">
        <v>15092031400</v>
      </c>
      <c r="I66" s="49" t="n">
        <v>15105856400</v>
      </c>
      <c r="J66" s="49" t="n">
        <v>11901191883</v>
      </c>
      <c r="K66" s="49" t="n">
        <v>15437227372</v>
      </c>
      <c r="L66" s="49" t="n">
        <v>14183287772</v>
      </c>
      <c r="M66" s="49" t="n">
        <v>15501183193</v>
      </c>
    </row>
    <row r="67">
      <c r="A67" s="48" t="inlineStr">
        <is>
          <t>Quỹ khen thưởng, phúc lợi</t>
        </is>
      </c>
      <c r="B67" s="49" t="n">
        <v>713195107462</v>
      </c>
      <c r="C67" s="49" t="n">
        <v>687247533035</v>
      </c>
      <c r="D67" s="49" t="n">
        <v>658823148401</v>
      </c>
      <c r="E67" s="49" t="n">
        <v>775403536738</v>
      </c>
      <c r="F67" s="49" t="n">
        <v>1179261489728</v>
      </c>
      <c r="G67" s="49" t="n">
        <v>1027310381825</v>
      </c>
      <c r="H67" s="49" t="n">
        <v>806996402371</v>
      </c>
      <c r="I67" s="49" t="n">
        <v>1162748596302</v>
      </c>
      <c r="J67" s="49" t="n">
        <v>1105148450487</v>
      </c>
      <c r="K67" s="49" t="n">
        <v>975878976922</v>
      </c>
      <c r="L67" s="49" t="n">
        <v>756461165051</v>
      </c>
      <c r="M67" s="49" t="n">
        <v>773058323325</v>
      </c>
    </row>
    <row r="68">
      <c r="A68" s="48" t="inlineStr">
        <is>
          <t>Nợ dài hạn</t>
        </is>
      </c>
      <c r="B68" s="49" t="n">
        <v>2550231292200</v>
      </c>
      <c r="C68" s="49" t="n">
        <v>5492370576977</v>
      </c>
      <c r="D68" s="49" t="n">
        <v>9608616158256</v>
      </c>
      <c r="E68" s="49" t="n">
        <v>13316816630787</v>
      </c>
      <c r="F68" s="49" t="n">
        <v>30612121587612</v>
      </c>
      <c r="G68" s="49" t="n">
        <v>34617006307593</v>
      </c>
      <c r="H68" s="49" t="n">
        <v>33566184743700</v>
      </c>
      <c r="I68" s="49" t="n">
        <v>33437572556139</v>
      </c>
      <c r="J68" s="49" t="n">
        <v>35492053355211</v>
      </c>
      <c r="K68" s="49" t="n">
        <v>32492921616464</v>
      </c>
      <c r="L68" s="49" t="n">
        <v>33175868937186</v>
      </c>
      <c r="M68" s="49" t="n">
        <v>32376684377336</v>
      </c>
    </row>
    <row r="69">
      <c r="A69" s="48" t="inlineStr">
        <is>
          <t>Phải trả nhà cung cấp dài hạn</t>
        </is>
      </c>
      <c r="B69" s="49" t="n">
        <v>0</v>
      </c>
      <c r="C69" s="49" t="n">
        <v>0</v>
      </c>
      <c r="D69" s="49" t="n">
        <v>0</v>
      </c>
      <c r="E69" s="49" t="n">
        <v>0</v>
      </c>
      <c r="F69" s="49" t="n">
        <v>4947006155870</v>
      </c>
      <c r="G69" s="49" t="n">
        <v>6283630279040</v>
      </c>
      <c r="H69" s="49" t="n">
        <v>5024630453715</v>
      </c>
      <c r="I69" s="49" t="n">
        <v>5283480679370</v>
      </c>
      <c r="J69" s="49" t="n">
        <v>6536812369874</v>
      </c>
      <c r="K69" s="49" t="n">
        <v>4237943510056</v>
      </c>
      <c r="L69" s="49" t="n">
        <v>4560807796384</v>
      </c>
      <c r="M69" s="49" t="n">
        <v>4501957266856</v>
      </c>
    </row>
    <row r="70">
      <c r="A70" s="48" t="inlineStr">
        <is>
          <t>Phải trả nội bộ dài hạn</t>
        </is>
      </c>
      <c r="B70" s="49" t="n">
        <v>0</v>
      </c>
      <c r="C70" s="49" t="n">
        <v>0</v>
      </c>
      <c r="D70" s="49" t="n">
        <v>0</v>
      </c>
      <c r="E70" s="49" t="n">
        <v>0</v>
      </c>
      <c r="F70" s="49" t="n">
        <v>0</v>
      </c>
      <c r="G70" s="49" t="n">
        <v>0</v>
      </c>
      <c r="H70" s="49" t="n">
        <v>0</v>
      </c>
      <c r="I70" s="49" t="n">
        <v>0</v>
      </c>
      <c r="J70" s="49" t="n">
        <v>0</v>
      </c>
      <c r="K70" s="49" t="n">
        <v>0</v>
      </c>
      <c r="L70" s="49" t="n">
        <v>0</v>
      </c>
      <c r="M70" s="49" t="n">
        <v>0</v>
      </c>
    </row>
    <row r="71">
      <c r="A71" s="48" t="inlineStr">
        <is>
          <t>Phải trả dài hạn khác</t>
        </is>
      </c>
      <c r="B71" s="49" t="n">
        <v>41920873188</v>
      </c>
      <c r="C71" s="49" t="n">
        <v>38461766435</v>
      </c>
      <c r="D71" s="49" t="n">
        <v>35494661025</v>
      </c>
      <c r="E71" s="49" t="n">
        <v>36480820999</v>
      </c>
      <c r="F71" s="49" t="n">
        <v>13402259250</v>
      </c>
      <c r="G71" s="49" t="n">
        <v>12476505170</v>
      </c>
      <c r="H71" s="49" t="n">
        <v>12556505170</v>
      </c>
      <c r="I71" s="49" t="n">
        <v>13956239004</v>
      </c>
      <c r="J71" s="49" t="n">
        <v>15398264650</v>
      </c>
      <c r="K71" s="49" t="n">
        <v>18032488855</v>
      </c>
      <c r="L71" s="49" t="n">
        <v>18115247699</v>
      </c>
      <c r="M71" s="49" t="n">
        <v>19546428655</v>
      </c>
    </row>
    <row r="72">
      <c r="A72" s="48" t="inlineStr">
        <is>
          <t>Vay dài hạn</t>
        </is>
      </c>
      <c r="B72" s="49" t="n">
        <v>2077143669720</v>
      </c>
      <c r="C72" s="49" t="n">
        <v>4976499450228</v>
      </c>
      <c r="D72" s="49" t="n">
        <v>9011900651509</v>
      </c>
      <c r="E72" s="49" t="n">
        <v>12810996979972</v>
      </c>
      <c r="F72" s="49" t="n">
        <v>24517626484538</v>
      </c>
      <c r="G72" s="49" t="n">
        <v>27080443256096</v>
      </c>
      <c r="H72" s="49" t="n">
        <v>27256965869238</v>
      </c>
      <c r="I72" s="49" t="n">
        <v>27312288660990</v>
      </c>
      <c r="J72" s="49" t="n">
        <v>28356095137594</v>
      </c>
      <c r="K72" s="49" t="n">
        <v>27479194057074</v>
      </c>
      <c r="L72" s="49" t="n">
        <v>27817253418546</v>
      </c>
      <c r="M72" s="49" t="n">
        <v>27096593831648</v>
      </c>
    </row>
    <row r="73">
      <c r="A73" s="48" t="inlineStr">
        <is>
          <t>Thuế thu nhập hoãn lại</t>
        </is>
      </c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</row>
    <row r="74">
      <c r="A74" s="48" t="inlineStr">
        <is>
          <t>Dự phòng trợ cấp thôi việc</t>
        </is>
      </c>
      <c r="B74" s="49" t="n">
        <v>0</v>
      </c>
      <c r="C74" s="49" t="n">
        <v>0</v>
      </c>
      <c r="D74" s="49" t="n">
        <v>0</v>
      </c>
      <c r="E74" s="49" t="n">
        <v>0</v>
      </c>
      <c r="F74" s="49" t="n">
        <v>0</v>
      </c>
      <c r="G74" s="49" t="n">
        <v>0</v>
      </c>
      <c r="H74" s="49" t="n">
        <v>0</v>
      </c>
      <c r="I74" s="49" t="n">
        <v>0</v>
      </c>
      <c r="J74" s="49" t="n">
        <v>0</v>
      </c>
      <c r="K74" s="49" t="n">
        <v>0</v>
      </c>
      <c r="L74" s="49" t="n">
        <v>0</v>
      </c>
      <c r="M74" s="49" t="n">
        <v>0</v>
      </c>
    </row>
    <row r="75">
      <c r="A75" s="48" t="inlineStr">
        <is>
          <t>Dự phòng các khoản nợ dài hạn</t>
        </is>
      </c>
      <c r="B75" s="49" t="n">
        <v>18899407699</v>
      </c>
      <c r="C75" s="49" t="n">
        <v>20422803081</v>
      </c>
      <c r="D75" s="49" t="n">
        <v>20166210731</v>
      </c>
      <c r="E75" s="49" t="n">
        <v>18238256789</v>
      </c>
      <c r="F75" s="49" t="n">
        <v>62449868760</v>
      </c>
      <c r="G75" s="49" t="n">
        <v>67495546940</v>
      </c>
      <c r="H75" s="49" t="n">
        <v>68073293346</v>
      </c>
      <c r="I75" s="49" t="n">
        <v>125073293346</v>
      </c>
      <c r="J75" s="49" t="n">
        <v>79659762484</v>
      </c>
      <c r="K75" s="49" t="n">
        <v>119373951692</v>
      </c>
      <c r="L75" s="49" t="n">
        <v>122633161280</v>
      </c>
      <c r="M75" s="49" t="n">
        <v>128615967000</v>
      </c>
    </row>
    <row r="76">
      <c r="A76" s="48" t="inlineStr">
        <is>
          <t>Doanh thu chưa thực hiện</t>
        </is>
      </c>
      <c r="B76" s="49" t="n">
        <v>0</v>
      </c>
      <c r="C76" s="49" t="n">
        <v>0</v>
      </c>
      <c r="D76" s="49" t="n">
        <v>0</v>
      </c>
      <c r="E76" s="49" t="n">
        <v>0</v>
      </c>
      <c r="F76" s="49" t="n">
        <v>174647128</v>
      </c>
      <c r="G76" s="49" t="n">
        <v>0</v>
      </c>
      <c r="H76" s="49" t="n">
        <v>0</v>
      </c>
      <c r="I76" s="49" t="n">
        <v>0</v>
      </c>
      <c r="J76" s="49" t="n">
        <v>0</v>
      </c>
      <c r="K76" s="49" t="n">
        <v>0</v>
      </c>
      <c r="L76" s="49" t="n">
        <v>0</v>
      </c>
      <c r="M76" s="49" t="n">
        <v>0</v>
      </c>
    </row>
    <row r="77">
      <c r="A77" s="48" t="inlineStr">
        <is>
          <t>Quỹ phát triển khoa học công nghệ</t>
        </is>
      </c>
      <c r="B77" s="49" t="n">
        <v>0</v>
      </c>
      <c r="C77" s="49" t="n">
        <v>0</v>
      </c>
      <c r="D77" s="49" t="n">
        <v>0</v>
      </c>
      <c r="E77" s="49" t="n">
        <v>0</v>
      </c>
      <c r="F77" s="49" t="n">
        <v>0</v>
      </c>
      <c r="G77" s="49" t="n">
        <v>0</v>
      </c>
      <c r="H77" s="49" t="n">
        <v>0</v>
      </c>
      <c r="I77" s="49" t="n">
        <v>0</v>
      </c>
      <c r="J77" s="49" t="n">
        <v>0</v>
      </c>
      <c r="K77" s="49" t="n">
        <v>0</v>
      </c>
      <c r="L77" s="49" t="n">
        <v>0</v>
      </c>
      <c r="M77" s="49" t="n">
        <v>0</v>
      </c>
    </row>
    <row r="78">
      <c r="A78" s="48" t="inlineStr">
        <is>
          <t>Vốn chủ sở hữu</t>
        </is>
      </c>
      <c r="B78" s="49" t="n">
        <v>34428192910709</v>
      </c>
      <c r="C78" s="49" t="n">
        <v>36626843816306</v>
      </c>
      <c r="D78" s="49" t="n">
        <v>39033700617587</v>
      </c>
      <c r="E78" s="49" t="n">
        <v>40608949840810</v>
      </c>
      <c r="F78" s="49" t="n">
        <v>111779097236460</v>
      </c>
      <c r="G78" s="49" t="n">
        <v>114647457983699</v>
      </c>
      <c r="H78" s="49" t="n">
        <v>117996879089129</v>
      </c>
      <c r="I78" s="49" t="n">
        <v>122359504913282</v>
      </c>
      <c r="J78" s="49" t="n">
        <v>127516012099269</v>
      </c>
      <c r="K78" s="49" t="n">
        <v>131220010876575</v>
      </c>
      <c r="L78" s="49" t="n">
        <v>139781792206472</v>
      </c>
      <c r="M78" s="49" t="n">
        <v>141516026790697</v>
      </c>
    </row>
    <row r="79">
      <c r="A79" s="48" t="inlineStr">
        <is>
          <t>Vốn và các quỹ</t>
        </is>
      </c>
      <c r="B79" s="49" t="n">
        <v>34428192910709</v>
      </c>
      <c r="C79" s="49" t="n">
        <v>36626843816306</v>
      </c>
      <c r="D79" s="49" t="n">
        <v>39033700617587</v>
      </c>
      <c r="E79" s="49" t="n">
        <v>40608949840810</v>
      </c>
      <c r="F79" s="49" t="n">
        <v>111779097236460</v>
      </c>
      <c r="G79" s="49" t="n">
        <v>114647457983699</v>
      </c>
      <c r="H79" s="49" t="n">
        <v>117996879089129</v>
      </c>
      <c r="I79" s="49" t="n">
        <v>122359504913282</v>
      </c>
      <c r="J79" s="49" t="n">
        <v>127516012099269</v>
      </c>
      <c r="K79" s="49" t="n">
        <v>131220010876575</v>
      </c>
      <c r="L79" s="49" t="n">
        <v>139781792206472</v>
      </c>
      <c r="M79" s="49" t="n">
        <v>141516026790697</v>
      </c>
    </row>
    <row r="80">
      <c r="A80" s="48" t="inlineStr">
        <is>
          <t>Vốn góp</t>
        </is>
      </c>
      <c r="B80" s="49" t="n">
        <v>15170790000000</v>
      </c>
      <c r="C80" s="49" t="n">
        <v>15170790000000</v>
      </c>
      <c r="D80" s="49" t="n">
        <v>21239071660000</v>
      </c>
      <c r="E80" s="49" t="n">
        <v>21239071660000</v>
      </c>
      <c r="F80" s="49" t="n">
        <v>63962502000000</v>
      </c>
      <c r="G80" s="49" t="n">
        <v>63962502000000</v>
      </c>
      <c r="H80" s="49" t="n">
        <v>63962502000000</v>
      </c>
      <c r="I80" s="49" t="n">
        <v>63962502000000</v>
      </c>
      <c r="J80" s="49" t="n">
        <v>76754658550000</v>
      </c>
      <c r="K80" s="49" t="n">
        <v>76754658550000</v>
      </c>
      <c r="L80" s="49" t="n">
        <v>76754658550000</v>
      </c>
      <c r="M80" s="49" t="n">
        <v>76754658550000</v>
      </c>
    </row>
    <row r="81">
      <c r="A81" s="48" t="inlineStr">
        <is>
          <t>Thặng dư vốn cổ phần</t>
        </is>
      </c>
      <c r="B81" s="49" t="n">
        <v>3202198967068</v>
      </c>
      <c r="C81" s="49" t="n">
        <v>3211560416270</v>
      </c>
      <c r="D81" s="49" t="n">
        <v>3211560416270</v>
      </c>
      <c r="E81" s="49" t="n">
        <v>3211560416270</v>
      </c>
      <c r="F81" s="49" t="n">
        <v>0</v>
      </c>
      <c r="G81" s="49" t="n">
        <v>0</v>
      </c>
      <c r="H81" s="49" t="n">
        <v>0</v>
      </c>
      <c r="I81" s="49" t="n">
        <v>0</v>
      </c>
      <c r="J81" s="49" t="n">
        <v>0</v>
      </c>
      <c r="K81" s="49" t="n">
        <v>0</v>
      </c>
      <c r="L81" s="49" t="n">
        <v>911866210000</v>
      </c>
      <c r="M81" s="49" t="n">
        <v>0</v>
      </c>
    </row>
    <row r="82">
      <c r="A82" s="48" t="inlineStr">
        <is>
          <t>Vốn khác</t>
        </is>
      </c>
      <c r="B82" s="49" t="n">
        <v>0</v>
      </c>
      <c r="C82" s="49" t="n">
        <v>0</v>
      </c>
      <c r="D82" s="49" t="n">
        <v>0</v>
      </c>
      <c r="E82" s="49" t="n">
        <v>0</v>
      </c>
      <c r="F82" s="49" t="n">
        <v>0</v>
      </c>
      <c r="G82" s="49" t="n">
        <v>0</v>
      </c>
      <c r="H82" s="49" t="n">
        <v>0</v>
      </c>
      <c r="I82" s="49" t="n">
        <v>0</v>
      </c>
      <c r="J82" s="49" t="n">
        <v>0</v>
      </c>
      <c r="K82" s="49" t="n">
        <v>0</v>
      </c>
      <c r="L82" s="49" t="n">
        <v>0</v>
      </c>
      <c r="M82" s="49" t="n">
        <v>7674986650000</v>
      </c>
    </row>
    <row r="83">
      <c r="A83" s="48" t="inlineStr">
        <is>
          <t>Cổ phiếu quỹ</t>
        </is>
      </c>
      <c r="B83" s="49" t="n">
        <v>-2063270000</v>
      </c>
      <c r="C83" s="49" t="n">
        <v>0</v>
      </c>
      <c r="D83" s="49" t="n">
        <v>0</v>
      </c>
      <c r="E83" s="49" t="n">
        <v>0</v>
      </c>
      <c r="F83" s="49" t="n">
        <v>0</v>
      </c>
      <c r="G83" s="49" t="n">
        <v>0</v>
      </c>
      <c r="H83" s="49" t="n">
        <v>0</v>
      </c>
      <c r="I83" s="49" t="n">
        <v>0</v>
      </c>
      <c r="J83" s="49" t="n">
        <v>0</v>
      </c>
      <c r="K83" s="49" t="n">
        <v>0</v>
      </c>
      <c r="L83" s="49" t="n">
        <v>0</v>
      </c>
      <c r="M83" s="49" t="n">
        <v>0</v>
      </c>
    </row>
    <row r="84">
      <c r="A84" s="48" t="inlineStr">
        <is>
          <t>Chênh lệch đánh giá lại tài sản</t>
        </is>
      </c>
      <c r="B84" s="49" t="n">
        <v>0</v>
      </c>
      <c r="C84" s="49" t="n">
        <v>0</v>
      </c>
      <c r="D84" s="49" t="n">
        <v>0</v>
      </c>
      <c r="E84" s="49" t="n">
        <v>0</v>
      </c>
      <c r="F84" s="49" t="n">
        <v>0</v>
      </c>
      <c r="G84" s="49" t="n">
        <v>0</v>
      </c>
      <c r="H84" s="49" t="n">
        <v>0</v>
      </c>
      <c r="I84" s="49" t="n">
        <v>0</v>
      </c>
      <c r="J84" s="49" t="n">
        <v>0</v>
      </c>
      <c r="K84" s="49" t="n">
        <v>0</v>
      </c>
      <c r="L84" s="49" t="n">
        <v>0</v>
      </c>
      <c r="M84" s="49" t="n">
        <v>0</v>
      </c>
    </row>
    <row r="85">
      <c r="A85" s="48" t="inlineStr">
        <is>
          <t>Chênh lệch tỷ giá</t>
        </is>
      </c>
      <c r="B85" s="49" t="n">
        <v>0</v>
      </c>
      <c r="C85" s="49" t="n">
        <v>23097859</v>
      </c>
      <c r="D85" s="49" t="n">
        <v>422577406</v>
      </c>
      <c r="E85" s="49" t="n">
        <v>276819257</v>
      </c>
      <c r="F85" s="49" t="n">
        <v>0</v>
      </c>
      <c r="G85" s="49" t="n">
        <v>0</v>
      </c>
      <c r="H85" s="49" t="n">
        <v>0</v>
      </c>
      <c r="I85" s="49" t="n">
        <v>0</v>
      </c>
      <c r="J85" s="49" t="n">
        <v>0</v>
      </c>
      <c r="K85" s="49" t="n">
        <v>0</v>
      </c>
      <c r="L85" s="49" t="n">
        <v>0</v>
      </c>
      <c r="M85" s="49" t="n">
        <v>0</v>
      </c>
    </row>
    <row r="86">
      <c r="A86" s="48" t="inlineStr">
        <is>
          <t>Quỹ đầu tư và phát triển</t>
        </is>
      </c>
      <c r="B86" s="49" t="n">
        <v>918641612156</v>
      </c>
      <c r="C86" s="49" t="n">
        <v>918641612156</v>
      </c>
      <c r="D86" s="49" t="n">
        <v>918641612156</v>
      </c>
      <c r="E86" s="49" t="n">
        <v>918641612156</v>
      </c>
      <c r="F86" s="49" t="n">
        <v>818200313964</v>
      </c>
      <c r="G86" s="49" t="n">
        <v>794841242128</v>
      </c>
      <c r="H86" s="49" t="n">
        <v>794841242128</v>
      </c>
      <c r="I86" s="49" t="n">
        <v>1394841242128</v>
      </c>
      <c r="J86" s="49" t="n">
        <v>1394841242128</v>
      </c>
      <c r="K86" s="49" t="n">
        <v>1388437800829</v>
      </c>
      <c r="L86" s="49" t="n">
        <v>1388437800829</v>
      </c>
      <c r="M86" s="49" t="n">
        <v>1388437800829</v>
      </c>
    </row>
    <row r="87">
      <c r="A87" s="48" t="inlineStr">
        <is>
          <t>Quỹ dự phòng tài chính</t>
        </is>
      </c>
      <c r="B87" s="49" t="n">
        <v>0</v>
      </c>
      <c r="C87" s="49" t="n">
        <v>0</v>
      </c>
      <c r="D87" s="49" t="n">
        <v>0</v>
      </c>
      <c r="E87" s="49" t="n">
        <v>0</v>
      </c>
      <c r="F87" s="49" t="n">
        <v>0</v>
      </c>
      <c r="G87" s="49" t="n">
        <v>0</v>
      </c>
      <c r="H87" s="49" t="n">
        <v>0</v>
      </c>
      <c r="I87" s="49" t="n">
        <v>0</v>
      </c>
      <c r="J87" s="49" t="n">
        <v>0</v>
      </c>
      <c r="K87" s="49" t="n">
        <v>0</v>
      </c>
      <c r="L87" s="49" t="n">
        <v>0</v>
      </c>
      <c r="M87" s="49" t="n">
        <v>0</v>
      </c>
    </row>
    <row r="88">
      <c r="A88" s="48" t="inlineStr">
        <is>
          <t>Quỹ khác</t>
        </is>
      </c>
      <c r="B88" s="49" t="n">
        <v>0</v>
      </c>
      <c r="C88" s="49" t="n">
        <v>0</v>
      </c>
      <c r="D88" s="49" t="n">
        <v>0</v>
      </c>
      <c r="E88" s="49" t="n">
        <v>0</v>
      </c>
      <c r="F88" s="49" t="n">
        <v>0</v>
      </c>
      <c r="G88" s="49" t="n">
        <v>0</v>
      </c>
      <c r="H88" s="49" t="n">
        <v>0</v>
      </c>
      <c r="I88" s="49" t="n">
        <v>0</v>
      </c>
      <c r="J88" s="49" t="n">
        <v>0</v>
      </c>
      <c r="K88" s="49" t="n">
        <v>0</v>
      </c>
      <c r="L88" s="49" t="n">
        <v>0</v>
      </c>
      <c r="M88" s="49" t="n">
        <v>0</v>
      </c>
    </row>
    <row r="89">
      <c r="A89" s="48" t="inlineStr">
        <is>
          <t>Lãi chưa phân phối</t>
        </is>
      </c>
      <c r="B89" s="49" t="n">
        <v>15017374820546</v>
      </c>
      <c r="C89" s="49" t="n">
        <v>17199924338502</v>
      </c>
      <c r="D89" s="49" t="n">
        <v>13533454440631</v>
      </c>
      <c r="E89" s="49" t="n">
        <v>15111142063905</v>
      </c>
      <c r="F89" s="49" t="n">
        <v>46809218886586</v>
      </c>
      <c r="G89" s="49" t="n">
        <v>49599124109203</v>
      </c>
      <c r="H89" s="49" t="n">
        <v>52943588928234</v>
      </c>
      <c r="I89" s="49" t="n">
        <v>56176646414996</v>
      </c>
      <c r="J89" s="49" t="n">
        <v>47288178774368</v>
      </c>
      <c r="K89" s="49" t="n">
        <v>51037901749343</v>
      </c>
      <c r="L89" s="49" t="n">
        <v>59889614145579</v>
      </c>
      <c r="M89" s="49" t="n">
        <v>54838263513400</v>
      </c>
    </row>
    <row r="90">
      <c r="A90" s="48" t="inlineStr">
        <is>
          <t>Quỹ hỗ trợ sắp xếp doanh nghiệp</t>
        </is>
      </c>
      <c r="B90" s="49" t="n">
        <v>0</v>
      </c>
      <c r="C90" s="49" t="n">
        <v>0</v>
      </c>
      <c r="D90" s="49" t="n">
        <v>0</v>
      </c>
      <c r="E90" s="49" t="n">
        <v>0</v>
      </c>
      <c r="F90" s="49" t="n">
        <v>0</v>
      </c>
      <c r="G90" s="49" t="n">
        <v>0</v>
      </c>
      <c r="H90" s="49" t="n">
        <v>0</v>
      </c>
      <c r="I90" s="49" t="n">
        <v>0</v>
      </c>
      <c r="J90" s="49" t="n">
        <v>0</v>
      </c>
      <c r="K90" s="49" t="n">
        <v>0</v>
      </c>
      <c r="L90" s="49" t="n">
        <v>0</v>
      </c>
      <c r="M90" s="49" t="n">
        <v>0</v>
      </c>
    </row>
    <row r="91">
      <c r="A91" s="48" t="inlineStr">
        <is>
          <t>Vốn Ngân sách nhà nước và quỹ khác</t>
        </is>
      </c>
      <c r="B91" s="49" t="n">
        <v>0</v>
      </c>
      <c r="C91" s="49" t="n">
        <v>0</v>
      </c>
      <c r="D91" s="49" t="n">
        <v>0</v>
      </c>
      <c r="E91" s="49" t="n">
        <v>0</v>
      </c>
      <c r="F91" s="49" t="n">
        <v>0</v>
      </c>
      <c r="G91" s="49" t="n">
        <v>0</v>
      </c>
      <c r="H91" s="49" t="n">
        <v>0</v>
      </c>
      <c r="I91" s="49" t="n">
        <v>0</v>
      </c>
      <c r="J91" s="49" t="n">
        <v>0</v>
      </c>
      <c r="K91" s="49" t="n">
        <v>0</v>
      </c>
      <c r="L91" s="49" t="n">
        <v>0</v>
      </c>
      <c r="M91" s="49" t="n">
        <v>0</v>
      </c>
    </row>
    <row r="92">
      <c r="A92" s="48" t="inlineStr">
        <is>
          <t>Quỹ khen thưởng, phúc lợi (trước 2010)</t>
        </is>
      </c>
      <c r="B92" s="49" t="n">
        <v>0</v>
      </c>
      <c r="C92" s="49" t="n">
        <v>0</v>
      </c>
      <c r="D92" s="49" t="n">
        <v>0</v>
      </c>
      <c r="E92" s="49" t="n">
        <v>0</v>
      </c>
      <c r="F92" s="49" t="n">
        <v>0</v>
      </c>
      <c r="G92" s="49" t="n">
        <v>0</v>
      </c>
      <c r="H92" s="49" t="n">
        <v>0</v>
      </c>
      <c r="I92" s="49" t="n">
        <v>0</v>
      </c>
      <c r="J92" s="49" t="n">
        <v>0</v>
      </c>
      <c r="K92" s="49" t="n">
        <v>0</v>
      </c>
      <c r="L92" s="49" t="n">
        <v>0</v>
      </c>
      <c r="M92" s="49" t="n">
        <v>0</v>
      </c>
    </row>
    <row r="93">
      <c r="A93" s="48" t="inlineStr">
        <is>
          <t>Vốn ngân sách nhà nước và quỹ khác</t>
        </is>
      </c>
      <c r="B93" s="49" t="n">
        <v>0</v>
      </c>
      <c r="C93" s="49" t="n">
        <v>0</v>
      </c>
      <c r="D93" s="49" t="n">
        <v>0</v>
      </c>
      <c r="E93" s="49" t="n">
        <v>0</v>
      </c>
      <c r="F93" s="49" t="n">
        <v>0</v>
      </c>
      <c r="G93" s="49" t="n">
        <v>0</v>
      </c>
      <c r="H93" s="49" t="n">
        <v>0</v>
      </c>
      <c r="I93" s="49" t="n">
        <v>0</v>
      </c>
      <c r="J93" s="49" t="n">
        <v>0</v>
      </c>
      <c r="K93" s="49" t="n">
        <v>0</v>
      </c>
      <c r="L93" s="49" t="n">
        <v>0</v>
      </c>
      <c r="M93" s="49" t="n">
        <v>0</v>
      </c>
    </row>
    <row r="94">
      <c r="A94" s="48" t="inlineStr">
        <is>
          <t>Lợi ích của cổ đông thiểu số</t>
        </is>
      </c>
      <c r="B94" s="49" t="n">
        <v>0</v>
      </c>
      <c r="C94" s="49" t="n">
        <v>0</v>
      </c>
      <c r="D94" s="49" t="n">
        <v>0</v>
      </c>
      <c r="E94" s="49" t="n">
        <v>0</v>
      </c>
      <c r="F94" s="49" t="n">
        <v>0</v>
      </c>
      <c r="G94" s="49" t="n">
        <v>0</v>
      </c>
      <c r="H94" s="49" t="n">
        <v>0</v>
      </c>
      <c r="I94" s="49" t="n">
        <v>0</v>
      </c>
      <c r="J94" s="49" t="n">
        <v>0</v>
      </c>
      <c r="K94" s="49" t="n">
        <v>0</v>
      </c>
      <c r="L94" s="49" t="n">
        <v>0</v>
      </c>
      <c r="M94" s="49" t="n">
        <v>0</v>
      </c>
    </row>
    <row r="95">
      <c r="A95" s="48" t="inlineStr">
        <is>
          <t>Tổng cộng nguồn vốn</t>
        </is>
      </c>
      <c r="B95" s="49" t="n">
        <v>54437483969361</v>
      </c>
      <c r="C95" s="49" t="n">
        <v>62078341932140</v>
      </c>
      <c r="D95" s="49" t="n">
        <v>70102771920834</v>
      </c>
      <c r="E95" s="49" t="n">
        <v>78224962647939</v>
      </c>
      <c r="F95" s="49" t="n">
        <v>211386343928118</v>
      </c>
      <c r="G95" s="49" t="n">
        <v>224489707553981</v>
      </c>
      <c r="H95" s="49" t="n">
        <v>228861587788307</v>
      </c>
      <c r="I95" s="49" t="n">
        <v>242224530919050</v>
      </c>
      <c r="J95" s="49" t="n">
        <v>246171338287652</v>
      </c>
      <c r="K95" s="49" t="n">
        <v>257899200817547</v>
      </c>
      <c r="L95" s="49" t="n">
        <v>259327500205228</v>
      </c>
      <c r="M95" s="49" t="n">
        <v>278929786247772</v>
      </c>
    </row>
    <row r="96">
      <c r="A96" s="48" t="inlineStr">
        <is>
          <t>Cổ phiếu ưu đãi</t>
        </is>
      </c>
      <c r="B96" s="49" t="n">
        <v>0</v>
      </c>
      <c r="C96" s="49" t="n">
        <v>0</v>
      </c>
      <c r="D96" s="49" t="n">
        <v>0</v>
      </c>
      <c r="E96" s="49" t="n">
        <v>0</v>
      </c>
      <c r="F96" s="49" t="n">
        <v>0</v>
      </c>
      <c r="G96" s="49" t="n">
        <v>0</v>
      </c>
      <c r="H96" s="49" t="n">
        <v>0</v>
      </c>
      <c r="I96" s="49" t="n">
        <v>0</v>
      </c>
      <c r="J96" s="49" t="n">
        <v>0</v>
      </c>
      <c r="K96" s="49" t="n">
        <v>0</v>
      </c>
      <c r="L96" s="49" t="n">
        <v>0</v>
      </c>
      <c r="M96" s="49" t="n">
        <v>0</v>
      </c>
    </row>
    <row r="97">
      <c r="A97" s="48" t="inlineStr">
        <is>
          <t>Đầu tư nắm giữ đến ngày đáo hạn</t>
        </is>
      </c>
      <c r="B97" s="49" t="n">
        <v>15315649848</v>
      </c>
      <c r="C97" s="49" t="n">
        <v>21194926457</v>
      </c>
      <c r="D97" s="49" t="n">
        <v>21330941489</v>
      </c>
      <c r="E97" s="49" t="n">
        <v>65884926457</v>
      </c>
      <c r="F97" s="49" t="n">
        <v>136500000000</v>
      </c>
      <c r="G97" s="49" t="n">
        <v>136500000000</v>
      </c>
      <c r="H97" s="49" t="n">
        <v>0</v>
      </c>
      <c r="I97" s="49" t="n">
        <v>0</v>
      </c>
      <c r="J97" s="49" t="n">
        <v>300000000</v>
      </c>
      <c r="K97" s="49" t="n">
        <v>2248000000000</v>
      </c>
      <c r="L97" s="49" t="n">
        <v>0</v>
      </c>
      <c r="M97" s="49" t="n">
        <v>0</v>
      </c>
    </row>
    <row r="98">
      <c r="A98" s="48" t="inlineStr">
        <is>
          <t>Vốn kinh doanh ở các đơn vị trực thuộc</t>
        </is>
      </c>
      <c r="B98" s="49" t="n">
        <v>0</v>
      </c>
      <c r="C98" s="49" t="n">
        <v>0</v>
      </c>
      <c r="D98" s="49" t="n">
        <v>0</v>
      </c>
      <c r="E98" s="49" t="n">
        <v>0</v>
      </c>
      <c r="F98" s="49" t="n">
        <v>0</v>
      </c>
      <c r="G98" s="49" t="n">
        <v>0</v>
      </c>
      <c r="H98" s="49" t="n">
        <v>0</v>
      </c>
      <c r="I98" s="49" t="n">
        <v>0</v>
      </c>
      <c r="J98" s="49" t="n">
        <v>0</v>
      </c>
      <c r="K98" s="49" t="n">
        <v>0</v>
      </c>
      <c r="L98" s="49" t="n">
        <v>0</v>
      </c>
      <c r="M98" s="49" t="n">
        <v>0</v>
      </c>
    </row>
    <row r="99">
      <c r="A99" s="48" t="inlineStr">
        <is>
          <t>Tài sản thiếu cần xử lý</t>
        </is>
      </c>
      <c r="B99" s="49" t="n">
        <v>1640892410</v>
      </c>
      <c r="C99" s="49" t="n">
        <v>1328190261</v>
      </c>
      <c r="D99" s="49" t="n">
        <v>1735933187</v>
      </c>
      <c r="E99" s="49" t="n">
        <v>4940428672</v>
      </c>
      <c r="F99" s="49" t="n">
        <v>1195466790</v>
      </c>
      <c r="G99" s="49" t="n">
        <v>379714580</v>
      </c>
      <c r="H99" s="49" t="n">
        <v>352520372</v>
      </c>
      <c r="I99" s="49" t="n">
        <v>645845208</v>
      </c>
      <c r="J99" s="49" t="n">
        <v>7161013482</v>
      </c>
      <c r="K99" s="49" t="n">
        <v>6730635900</v>
      </c>
      <c r="L99" s="49" t="n">
        <v>6816037577</v>
      </c>
      <c r="M99" s="49" t="n">
        <v>6987823960</v>
      </c>
    </row>
    <row r="100">
      <c r="A100" s="48" t="inlineStr">
        <is>
          <t>Phải thu cho vay ngắn hạn</t>
        </is>
      </c>
      <c r="B100" s="49" t="n">
        <v>0</v>
      </c>
      <c r="C100" s="49" t="n">
        <v>0</v>
      </c>
      <c r="D100" s="49" t="n">
        <v>0</v>
      </c>
      <c r="E100" s="49" t="n">
        <v>0</v>
      </c>
      <c r="F100" s="49" t="n">
        <v>318461616439</v>
      </c>
      <c r="G100" s="49" t="n">
        <v>87461616439</v>
      </c>
      <c r="H100" s="49" t="n">
        <v>89561616439</v>
      </c>
      <c r="I100" s="49" t="n">
        <v>97061616439</v>
      </c>
      <c r="J100" s="49" t="n">
        <v>65061616439</v>
      </c>
      <c r="K100" s="49" t="n">
        <v>0</v>
      </c>
      <c r="L100" s="49" t="n">
        <v>0</v>
      </c>
      <c r="M100" s="49" t="n">
        <v>0</v>
      </c>
    </row>
    <row r="101">
      <c r="A101" s="48" t="inlineStr">
        <is>
          <t>Giao dịch mua bán lại trái phiếu Chính phủ</t>
        </is>
      </c>
      <c r="B101" s="49" t="n">
        <v>0</v>
      </c>
      <c r="C101" s="49" t="n">
        <v>0</v>
      </c>
      <c r="D101" s="49" t="n">
        <v>0</v>
      </c>
      <c r="E101" s="49" t="n">
        <v>0</v>
      </c>
      <c r="F101" s="49" t="n">
        <v>0</v>
      </c>
      <c r="G101" s="49" t="n">
        <v>0</v>
      </c>
      <c r="H101" s="49" t="n">
        <v>0</v>
      </c>
      <c r="I101" s="49" t="n">
        <v>0</v>
      </c>
      <c r="J101" s="49" t="n">
        <v>0</v>
      </c>
      <c r="K101" s="49" t="n">
        <v>0</v>
      </c>
      <c r="L101" s="49" t="n">
        <v>0</v>
      </c>
      <c r="M101" s="49" t="n">
        <v>0</v>
      </c>
    </row>
    <row r="102">
      <c r="A102" s="48" t="inlineStr">
        <is>
          <t>Trả trước người bán dài hạn</t>
        </is>
      </c>
      <c r="B102" s="49" t="n">
        <v>0</v>
      </c>
      <c r="C102" s="49" t="n">
        <v>0</v>
      </c>
      <c r="D102" s="49" t="n">
        <v>0</v>
      </c>
      <c r="E102" s="49" t="n">
        <v>0</v>
      </c>
      <c r="F102" s="49" t="n">
        <v>189462473949</v>
      </c>
      <c r="G102" s="49" t="n">
        <v>82805287792</v>
      </c>
      <c r="H102" s="49" t="n">
        <v>72728169386</v>
      </c>
      <c r="I102" s="49" t="n">
        <v>73400097764</v>
      </c>
      <c r="J102" s="49" t="n">
        <v>24225681667</v>
      </c>
      <c r="K102" s="49" t="n">
        <v>41408436429</v>
      </c>
      <c r="L102" s="49" t="n">
        <v>39766821035</v>
      </c>
      <c r="M102" s="49" t="n">
        <v>35389972534</v>
      </c>
    </row>
    <row r="103">
      <c r="A103" s="48" t="inlineStr">
        <is>
          <t>Phải thu cho vay dài hạn</t>
        </is>
      </c>
      <c r="B103" s="49" t="n">
        <v>0</v>
      </c>
      <c r="C103" s="49" t="n">
        <v>0</v>
      </c>
      <c r="D103" s="49" t="n">
        <v>0</v>
      </c>
      <c r="E103" s="49" t="n">
        <v>0</v>
      </c>
      <c r="F103" s="49" t="n">
        <v>0</v>
      </c>
      <c r="G103" s="49" t="n">
        <v>0</v>
      </c>
      <c r="H103" s="49" t="n">
        <v>0</v>
      </c>
      <c r="I103" s="49" t="n">
        <v>0</v>
      </c>
      <c r="J103" s="49" t="n">
        <v>0</v>
      </c>
      <c r="K103" s="49" t="n">
        <v>0</v>
      </c>
      <c r="L103" s="49" t="n">
        <v>0</v>
      </c>
      <c r="M103" s="49" t="n">
        <v>0</v>
      </c>
    </row>
    <row r="104">
      <c r="A104" s="48" t="inlineStr">
        <is>
          <t>Tài sản dở dang dài hạn</t>
        </is>
      </c>
      <c r="B104" s="49" t="n">
        <v>6779802318769</v>
      </c>
      <c r="C104" s="49" t="n">
        <v>13789221726743</v>
      </c>
      <c r="D104" s="49" t="n">
        <v>23340740179840</v>
      </c>
      <c r="E104" s="49" t="n">
        <v>37404367403919</v>
      </c>
      <c r="F104" s="49" t="n">
        <v>55690441271631</v>
      </c>
      <c r="G104" s="49" t="n">
        <v>63750717325406</v>
      </c>
      <c r="H104" s="49" t="n">
        <v>47620309468789</v>
      </c>
      <c r="I104" s="49" t="n">
        <v>72821558354667</v>
      </c>
      <c r="J104" s="49" t="n">
        <v>39567557188131</v>
      </c>
      <c r="K104" s="49" t="n">
        <v>10869891370972</v>
      </c>
      <c r="L104" s="49" t="n">
        <v>10723997667216</v>
      </c>
      <c r="M104" s="49" t="n">
        <v>14620760805469</v>
      </c>
    </row>
    <row r="105">
      <c r="A105" s="48" t="inlineStr">
        <is>
          <t>Chi phí sản xuất, kinh doanh dở dang dài hạn</t>
        </is>
      </c>
      <c r="B105" s="49" t="n">
        <v>780351307517</v>
      </c>
      <c r="C105" s="49" t="n">
        <v>760182257089</v>
      </c>
      <c r="D105" s="49" t="n">
        <v>426629621112</v>
      </c>
      <c r="E105" s="49" t="n">
        <v>205541048896</v>
      </c>
      <c r="F105" s="49" t="n">
        <v>94525874980</v>
      </c>
      <c r="G105" s="49" t="n">
        <v>94859885024</v>
      </c>
      <c r="H105" s="49" t="n">
        <v>113250593821</v>
      </c>
      <c r="I105" s="49" t="n">
        <v>117828507706</v>
      </c>
      <c r="J105" s="49" t="n">
        <v>82652761496</v>
      </c>
      <c r="K105" s="49" t="n">
        <v>148814839011</v>
      </c>
      <c r="L105" s="49" t="n">
        <v>395261847976</v>
      </c>
      <c r="M105" s="49" t="n">
        <v>633946116238</v>
      </c>
    </row>
    <row r="106">
      <c r="A106" s="48" t="inlineStr">
        <is>
          <t>Đầu tư nắm giữ đến ngày đáo hạn</t>
        </is>
      </c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</row>
    <row r="107">
      <c r="A107" s="48" t="inlineStr">
        <is>
          <t>Thiết bị, vật tư, phụ tùng thay thế dài hạn</t>
        </is>
      </c>
      <c r="B107" s="49" t="n">
        <v>0</v>
      </c>
      <c r="C107" s="49" t="n">
        <v>0</v>
      </c>
      <c r="D107" s="49" t="n">
        <v>94996612417</v>
      </c>
      <c r="E107" s="49" t="n">
        <v>0</v>
      </c>
      <c r="F107" s="49" t="n">
        <v>0</v>
      </c>
      <c r="G107" s="49" t="n">
        <v>429422385383</v>
      </c>
      <c r="H107" s="49" t="n">
        <v>416060319178</v>
      </c>
      <c r="I107" s="49" t="n">
        <v>391044882231</v>
      </c>
      <c r="J107" s="49" t="n">
        <v>365844862496</v>
      </c>
      <c r="K107" s="49" t="n">
        <v>335208284895</v>
      </c>
      <c r="L107" s="49" t="n">
        <v>317522413091</v>
      </c>
      <c r="M107" s="49" t="n">
        <v>308165854922</v>
      </c>
    </row>
    <row r="108">
      <c r="A108" s="48" t="inlineStr">
        <is>
          <t>Doanh thu chưa thực hiện ngắn hạn</t>
        </is>
      </c>
      <c r="B108" s="49" t="n">
        <v>20403665550</v>
      </c>
      <c r="C108" s="49" t="n">
        <v>14940535241</v>
      </c>
      <c r="D108" s="49" t="n">
        <v>10559835911</v>
      </c>
      <c r="E108" s="49" t="n">
        <v>9929720982</v>
      </c>
      <c r="F108" s="49" t="n">
        <v>192726170767</v>
      </c>
      <c r="G108" s="49" t="n">
        <v>11060479431</v>
      </c>
      <c r="H108" s="49" t="n">
        <v>55479217611</v>
      </c>
      <c r="I108" s="49" t="n">
        <v>34948909558</v>
      </c>
      <c r="J108" s="49" t="n">
        <v>46062427795</v>
      </c>
      <c r="K108" s="49" t="n">
        <v>152519279244</v>
      </c>
      <c r="L108" s="49" t="n">
        <v>60310161581</v>
      </c>
      <c r="M108" s="49" t="n">
        <v>56565429771</v>
      </c>
    </row>
    <row r="109">
      <c r="A109" s="48" t="inlineStr">
        <is>
          <t>Quỹ bình ổn giá</t>
        </is>
      </c>
      <c r="B109" s="49" t="n">
        <v>0</v>
      </c>
      <c r="C109" s="49" t="n">
        <v>0</v>
      </c>
      <c r="D109" s="49" t="n">
        <v>0</v>
      </c>
      <c r="E109" s="49" t="n">
        <v>0</v>
      </c>
      <c r="F109" s="49" t="n">
        <v>0</v>
      </c>
      <c r="G109" s="49" t="n">
        <v>0</v>
      </c>
      <c r="H109" s="49" t="n">
        <v>0</v>
      </c>
      <c r="I109" s="49" t="n">
        <v>0</v>
      </c>
      <c r="J109" s="49" t="n">
        <v>0</v>
      </c>
      <c r="K109" s="49" t="n">
        <v>0</v>
      </c>
      <c r="L109" s="49" t="n">
        <v>0</v>
      </c>
      <c r="M109" s="49" t="n">
        <v>0</v>
      </c>
    </row>
    <row r="110">
      <c r="A110" s="48" t="inlineStr">
        <is>
          <t>Giao dịch mua bán lại trái phiếu chính phủ</t>
        </is>
      </c>
      <c r="B110" s="49" t="n">
        <v>0</v>
      </c>
      <c r="C110" s="49" t="n">
        <v>0</v>
      </c>
      <c r="D110" s="49" t="n">
        <v>0</v>
      </c>
      <c r="E110" s="49" t="n">
        <v>0</v>
      </c>
      <c r="F110" s="49" t="n">
        <v>0</v>
      </c>
      <c r="G110" s="49" t="n">
        <v>0</v>
      </c>
      <c r="H110" s="49" t="n">
        <v>0</v>
      </c>
      <c r="I110" s="49" t="n">
        <v>0</v>
      </c>
      <c r="J110" s="49" t="n">
        <v>0</v>
      </c>
      <c r="K110" s="49" t="n">
        <v>0</v>
      </c>
      <c r="L110" s="49" t="n">
        <v>0</v>
      </c>
      <c r="M110" s="49" t="n">
        <v>0</v>
      </c>
    </row>
    <row r="111">
      <c r="A111" s="48" t="inlineStr">
        <is>
          <t>Người mua trả tiền trước dài hạn</t>
        </is>
      </c>
      <c r="B111" s="49" t="n">
        <v>0</v>
      </c>
      <c r="C111" s="49" t="n">
        <v>0</v>
      </c>
      <c r="D111" s="49" t="n">
        <v>0</v>
      </c>
      <c r="E111" s="49" t="n">
        <v>0</v>
      </c>
      <c r="F111" s="49" t="n">
        <v>0</v>
      </c>
      <c r="G111" s="49" t="n">
        <v>0</v>
      </c>
      <c r="H111" s="49" t="n">
        <v>0</v>
      </c>
      <c r="I111" s="49" t="n">
        <v>0</v>
      </c>
      <c r="J111" s="49" t="n">
        <v>0</v>
      </c>
      <c r="K111" s="49" t="n">
        <v>0</v>
      </c>
      <c r="L111" s="49" t="n">
        <v>0</v>
      </c>
      <c r="M111" s="49" t="n">
        <v>0</v>
      </c>
    </row>
    <row r="112">
      <c r="A112" s="48" t="inlineStr">
        <is>
          <t>Chi phí phải trả dài hạn</t>
        </is>
      </c>
      <c r="B112" s="49" t="n">
        <v>411943997721</v>
      </c>
      <c r="C112" s="49" t="n">
        <v>456843080513</v>
      </c>
      <c r="D112" s="49" t="n">
        <v>540911158271</v>
      </c>
      <c r="E112" s="49" t="n">
        <v>451100573027</v>
      </c>
      <c r="F112" s="49" t="n">
        <v>1041997895349</v>
      </c>
      <c r="G112" s="49" t="n">
        <v>1143692237207</v>
      </c>
      <c r="H112" s="49" t="n">
        <v>1174882156922</v>
      </c>
      <c r="I112" s="49" t="n">
        <v>673108219760</v>
      </c>
      <c r="J112" s="49" t="n">
        <v>473791239533</v>
      </c>
      <c r="K112" s="49" t="n">
        <v>607363800426</v>
      </c>
      <c r="L112" s="49" t="n">
        <v>625835616595</v>
      </c>
      <c r="M112" s="49" t="n">
        <v>602032288625</v>
      </c>
    </row>
    <row r="113">
      <c r="A113" s="48" t="inlineStr">
        <is>
          <t>Phải trả nội bộ về vốn kinh doanh</t>
        </is>
      </c>
      <c r="B113" s="49" t="n">
        <v>0</v>
      </c>
      <c r="C113" s="49" t="n">
        <v>0</v>
      </c>
      <c r="D113" s="49" t="n">
        <v>0</v>
      </c>
      <c r="E113" s="49" t="n">
        <v>0</v>
      </c>
      <c r="F113" s="49" t="n">
        <v>0</v>
      </c>
      <c r="G113" s="49" t="n">
        <v>0</v>
      </c>
      <c r="H113" s="49" t="n">
        <v>0</v>
      </c>
      <c r="I113" s="49" t="n">
        <v>0</v>
      </c>
      <c r="J113" s="49" t="n">
        <v>0</v>
      </c>
      <c r="K113" s="49" t="n">
        <v>0</v>
      </c>
      <c r="L113" s="49" t="n">
        <v>0</v>
      </c>
      <c r="M113" s="49" t="n">
        <v>0</v>
      </c>
    </row>
    <row r="114">
      <c r="A114" s="48" t="inlineStr">
        <is>
          <t>Trái phiếu chuyển đổi</t>
        </is>
      </c>
      <c r="B114" s="49" t="n">
        <v>0</v>
      </c>
      <c r="C114" s="49" t="n">
        <v>0</v>
      </c>
      <c r="D114" s="49" t="n">
        <v>0</v>
      </c>
      <c r="E114" s="49" t="n">
        <v>0</v>
      </c>
      <c r="F114" s="49" t="n">
        <v>0</v>
      </c>
      <c r="G114" s="49" t="n">
        <v>0</v>
      </c>
      <c r="H114" s="49" t="n">
        <v>0</v>
      </c>
      <c r="I114" s="49" t="n">
        <v>0</v>
      </c>
      <c r="J114" s="49" t="n">
        <v>0</v>
      </c>
      <c r="K114" s="49" t="n">
        <v>0</v>
      </c>
      <c r="L114" s="49" t="n">
        <v>0</v>
      </c>
      <c r="M114" s="49" t="n">
        <v>0</v>
      </c>
    </row>
    <row r="115">
      <c r="A115" s="48" t="inlineStr">
        <is>
          <t>Cổ phiếu ưu đãi</t>
        </is>
      </c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</row>
    <row r="116">
      <c r="A116" s="48" t="inlineStr">
        <is>
          <t>Cổ phiếu phổ thông</t>
        </is>
      </c>
      <c r="B116" s="49" t="n">
        <v>15170790000000</v>
      </c>
      <c r="C116" s="49" t="n">
        <v>15170790000000</v>
      </c>
      <c r="D116" s="49" t="n">
        <v>21239071660000</v>
      </c>
      <c r="E116" s="49" t="n">
        <v>21239071660000</v>
      </c>
      <c r="F116" s="49" t="n">
        <v>63962502000000</v>
      </c>
      <c r="G116" s="49" t="n">
        <v>63962502000000</v>
      </c>
      <c r="H116" s="49" t="n">
        <v>63962502000000</v>
      </c>
      <c r="I116" s="49" t="n">
        <v>63962502000000</v>
      </c>
      <c r="J116" s="49" t="n">
        <v>76754658550000</v>
      </c>
      <c r="K116" s="49" t="n">
        <v>76754658550000</v>
      </c>
      <c r="L116" s="49" t="n">
        <v>76754658550000</v>
      </c>
      <c r="M116" s="49" t="n">
        <v>76754658550000</v>
      </c>
    </row>
    <row r="117">
      <c r="A117" s="48" t="inlineStr">
        <is>
          <t>Quyền chọn chuyển đổi trái phiếu</t>
        </is>
      </c>
      <c r="B117" s="49" t="n">
        <v>0</v>
      </c>
      <c r="C117" s="49" t="n">
        <v>0</v>
      </c>
      <c r="D117" s="49" t="n">
        <v>0</v>
      </c>
      <c r="E117" s="49" t="n">
        <v>0</v>
      </c>
      <c r="F117" s="49" t="n">
        <v>0</v>
      </c>
      <c r="G117" s="49" t="n">
        <v>0</v>
      </c>
      <c r="H117" s="49" t="n">
        <v>0</v>
      </c>
      <c r="I117" s="49" t="n">
        <v>0</v>
      </c>
      <c r="J117" s="49" t="n">
        <v>0</v>
      </c>
      <c r="K117" s="49" t="n">
        <v>0</v>
      </c>
      <c r="L117" s="49" t="n">
        <v>0</v>
      </c>
      <c r="M117" s="49" t="n">
        <v>0</v>
      </c>
    </row>
    <row r="118">
      <c r="A118" s="48" t="inlineStr">
        <is>
          <t>LNST chưa phân phối lũy kế đến cuối kỳ trước</t>
        </is>
      </c>
      <c r="B118" s="49" t="n">
        <v>12806120845975</v>
      </c>
      <c r="C118" s="49" t="n">
        <v>12793083437867</v>
      </c>
      <c r="D118" s="49" t="n">
        <v>11131501988924</v>
      </c>
      <c r="E118" s="49" t="n">
        <v>13346921317605</v>
      </c>
      <c r="F118" s="49" t="n">
        <v>43786272254536</v>
      </c>
      <c r="G118" s="49" t="n">
        <v>37624250548129</v>
      </c>
      <c r="H118" s="49" t="n">
        <v>49599304233846</v>
      </c>
      <c r="I118" s="49" t="n">
        <v>48575874508844</v>
      </c>
      <c r="J118" s="49" t="n">
        <v>43299860299829</v>
      </c>
      <c r="K118" s="49" t="n">
        <v>35657348003468</v>
      </c>
      <c r="L118" s="49" t="n">
        <v>50895610901437</v>
      </c>
      <c r="M118" s="49" t="n">
        <v>39473241264695</v>
      </c>
    </row>
    <row r="119">
      <c r="A119" s="48" t="inlineStr">
        <is>
          <t>LNST chưa phân phối kỳ này</t>
        </is>
      </c>
      <c r="B119" s="49" t="n">
        <v>2211253974571</v>
      </c>
      <c r="C119" s="49" t="n">
        <v>4406840900635</v>
      </c>
      <c r="D119" s="49" t="n">
        <v>2401952451707</v>
      </c>
      <c r="E119" s="49" t="n">
        <v>1764220746300</v>
      </c>
      <c r="F119" s="49" t="n">
        <v>3022946632050</v>
      </c>
      <c r="G119" s="49" t="n">
        <v>11974873561074</v>
      </c>
      <c r="H119" s="49" t="n">
        <v>3344284694388</v>
      </c>
      <c r="I119" s="49" t="n">
        <v>7600771906152</v>
      </c>
      <c r="J119" s="49" t="n">
        <v>3988318474539</v>
      </c>
      <c r="K119" s="49" t="n">
        <v>15380553745875</v>
      </c>
      <c r="L119" s="49" t="n">
        <v>8994003244142</v>
      </c>
      <c r="M119" s="49" t="n">
        <v>15365022248705</v>
      </c>
    </row>
    <row r="120">
      <c r="A120" s="48" t="inlineStr">
        <is>
          <t>Xây dựng cơ bản đang dở dang</t>
        </is>
      </c>
      <c r="B120" s="49" t="n">
        <v>5999451011252</v>
      </c>
      <c r="C120" s="49" t="n">
        <v>13029039469654</v>
      </c>
      <c r="D120" s="49" t="n">
        <v>22914110558728</v>
      </c>
      <c r="E120" s="49" t="n">
        <v>37198826355023</v>
      </c>
      <c r="F120" s="49" t="n">
        <v>55595915396651</v>
      </c>
      <c r="G120" s="49" t="n">
        <v>63655857440382</v>
      </c>
      <c r="H120" s="49" t="n">
        <v>47507058874968</v>
      </c>
      <c r="I120" s="49" t="n">
        <v>72703729846961</v>
      </c>
      <c r="J120" s="49" t="n">
        <v>39484904426635</v>
      </c>
      <c r="K120" s="49" t="n">
        <v>10721076531961</v>
      </c>
      <c r="L120" s="49" t="n">
        <v>10328735819240</v>
      </c>
      <c r="M120" s="49" t="n">
        <v>13986814689231</v>
      </c>
    </row>
    <row r="121">
      <c r="A121" s="48" t="inlineStr">
        <is>
          <t>Lợi thế thương mại</t>
        </is>
      </c>
      <c r="B121" s="49" t="n">
        <v>108631365039</v>
      </c>
      <c r="C121" s="49" t="n">
        <v>101977257121</v>
      </c>
      <c r="D121" s="49" t="n">
        <v>0</v>
      </c>
      <c r="E121" s="49" t="n">
        <v>88234324237</v>
      </c>
      <c r="F121" s="49" t="n">
        <v>66834062714</v>
      </c>
      <c r="G121" s="49" t="n">
        <v>63613126723</v>
      </c>
      <c r="H121" s="49" t="n">
        <v>60588141397</v>
      </c>
      <c r="I121" s="49" t="n">
        <v>57563156071</v>
      </c>
      <c r="J121" s="49" t="n">
        <v>52097751283</v>
      </c>
      <c r="K121" s="49" t="n">
        <v>51513185419</v>
      </c>
      <c r="L121" s="49" t="n">
        <v>0</v>
      </c>
      <c r="M121" s="49" t="n">
        <v>0</v>
      </c>
    </row>
    <row r="122">
      <c r="A122" s="48" t="inlineStr">
        <is>
          <t>Lợi ích cổ đông không kiểm soát</t>
        </is>
      </c>
      <c r="B122" s="49" t="n">
        <v>121250780939</v>
      </c>
      <c r="C122" s="49" t="n">
        <v>125904351519</v>
      </c>
      <c r="D122" s="49" t="n">
        <v>130549911124</v>
      </c>
      <c r="E122" s="49" t="n">
        <v>128257269222</v>
      </c>
      <c r="F122" s="49" t="n">
        <v>189176035910</v>
      </c>
      <c r="G122" s="49" t="n">
        <v>290990632368</v>
      </c>
      <c r="H122" s="49" t="n">
        <v>295946918767</v>
      </c>
      <c r="I122" s="49" t="n">
        <v>825515256158</v>
      </c>
      <c r="J122" s="49" t="n">
        <v>2078333532773</v>
      </c>
      <c r="K122" s="49" t="n">
        <v>2039012776403</v>
      </c>
      <c r="L122" s="49" t="n">
        <v>837215500064</v>
      </c>
      <c r="M122" s="49" t="n">
        <v>859680276468</v>
      </c>
    </row>
    <row r="123">
      <c r="A123" s="48" t="inlineStr">
        <is>
          <t>Nguồn kinh phí đã hình thành TSCĐ</t>
        </is>
      </c>
      <c r="B123" s="49" t="n">
        <v>0</v>
      </c>
      <c r="C123" s="49" t="n">
        <v>0</v>
      </c>
      <c r="D123" s="49" t="n">
        <v>0</v>
      </c>
      <c r="E123" s="49" t="n">
        <v>0</v>
      </c>
      <c r="F123" s="49" t="n">
        <v>0</v>
      </c>
      <c r="G123" s="49" t="n">
        <v>0</v>
      </c>
      <c r="H123" s="49" t="n">
        <v>0</v>
      </c>
      <c r="I123" s="49" t="n">
        <v>0</v>
      </c>
      <c r="J123" s="49" t="n">
        <v>0</v>
      </c>
      <c r="K123" s="49" t="n">
        <v>0</v>
      </c>
      <c r="L123" s="49" t="n">
        <v>0</v>
      </c>
      <c r="M123" s="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</cols>
  <sheetData>
    <row r="1">
      <c r="A1" s="46" t="inlineStr">
        <is>
          <t>item</t>
        </is>
      </c>
      <c r="B1" s="47" t="inlineStr">
        <is>
          <t>2018-Q1</t>
        </is>
      </c>
      <c r="C1" s="47" t="inlineStr">
        <is>
          <t>2018-Q2</t>
        </is>
      </c>
      <c r="D1" s="47" t="inlineStr">
        <is>
          <t>2018-Q3</t>
        </is>
      </c>
      <c r="E1" s="47" t="inlineStr">
        <is>
          <t>2018-Q4</t>
        </is>
      </c>
      <c r="F1" s="47" t="inlineStr">
        <is>
          <t>2024-Q3</t>
        </is>
      </c>
      <c r="G1" s="47" t="inlineStr">
        <is>
          <t>2024-Q4</t>
        </is>
      </c>
      <c r="H1" s="47" t="inlineStr">
        <is>
          <t>2025-Q1</t>
        </is>
      </c>
      <c r="I1" s="47" t="inlineStr">
        <is>
          <t>2025-Q2</t>
        </is>
      </c>
      <c r="J1" s="47" t="inlineStr">
        <is>
          <t>2025-Q3</t>
        </is>
      </c>
      <c r="K1" s="47" t="inlineStr">
        <is>
          <t>2025-Q4</t>
        </is>
      </c>
      <c r="L1" s="47" t="inlineStr">
        <is>
          <t>2026-Q1</t>
        </is>
      </c>
      <c r="M1" s="47" t="inlineStr">
        <is>
          <t>2026-Q2</t>
        </is>
      </c>
    </row>
    <row r="2">
      <c r="A2" s="48" t="inlineStr">
        <is>
          <t>Doanh thu bán hàng và cung cấp dịch vụ</t>
        </is>
      </c>
      <c r="B2" s="49" t="n">
        <v>13161793754293</v>
      </c>
      <c r="C2" s="49" t="n">
        <v>14432746600541</v>
      </c>
      <c r="D2" s="49" t="n">
        <v>14393503062099</v>
      </c>
      <c r="E2" s="49" t="n">
        <v>14592380278150</v>
      </c>
      <c r="F2" s="49" t="n">
        <v>34300352057045</v>
      </c>
      <c r="G2" s="49" t="n">
        <v>35232197602514</v>
      </c>
      <c r="H2" s="49" t="n">
        <v>37950635502050</v>
      </c>
      <c r="I2" s="49" t="n">
        <v>36286185846409</v>
      </c>
      <c r="J2" s="49" t="n">
        <v>36793873449413</v>
      </c>
      <c r="K2" s="49" t="n">
        <v>47301623136340</v>
      </c>
      <c r="L2" s="49" t="n">
        <v>53312910120686</v>
      </c>
      <c r="M2" s="49" t="n">
        <v>55557246173846</v>
      </c>
    </row>
    <row r="3">
      <c r="A3" s="48" t="inlineStr">
        <is>
          <t>Các khoản giảm trừ doanh thu</t>
        </is>
      </c>
      <c r="B3" s="49" t="n">
        <v>-160830333055</v>
      </c>
      <c r="C3" s="49" t="n">
        <v>-171808499990</v>
      </c>
      <c r="D3" s="49" t="n">
        <v>-205156935686</v>
      </c>
      <c r="E3" s="49" t="n">
        <v>-206169546593</v>
      </c>
      <c r="F3" s="49" t="n">
        <v>-344091771518</v>
      </c>
      <c r="G3" s="49" t="n">
        <v>-741215175825</v>
      </c>
      <c r="H3" s="49" t="n">
        <v>-328960948472</v>
      </c>
      <c r="I3" s="49" t="n">
        <v>-375666735200</v>
      </c>
      <c r="J3" s="49" t="n">
        <v>-386457045489</v>
      </c>
      <c r="K3" s="49" t="n">
        <v>-1125138586569</v>
      </c>
      <c r="L3" s="49" t="n">
        <v>-412062818033</v>
      </c>
      <c r="M3" s="49" t="n">
        <v>-398343874945</v>
      </c>
    </row>
    <row r="4">
      <c r="A4" s="48" t="inlineStr">
        <is>
          <t>Doanh thu thuần</t>
        </is>
      </c>
      <c r="B4" s="49" t="n">
        <v>13000963421238</v>
      </c>
      <c r="C4" s="49" t="n">
        <v>14260938100551</v>
      </c>
      <c r="D4" s="49" t="n">
        <v>14188346126413</v>
      </c>
      <c r="E4" s="49" t="n">
        <v>14386210731557</v>
      </c>
      <c r="F4" s="49" t="n">
        <v>33956260285527</v>
      </c>
      <c r="G4" s="49" t="n">
        <v>34490982426689</v>
      </c>
      <c r="H4" s="49" t="n">
        <v>37621674553578</v>
      </c>
      <c r="I4" s="49" t="n">
        <v>35910519111209</v>
      </c>
      <c r="J4" s="49" t="n">
        <v>36407416403924</v>
      </c>
      <c r="K4" s="49" t="n">
        <v>46176484549771</v>
      </c>
      <c r="L4" s="49" t="n">
        <v>52900847302653</v>
      </c>
      <c r="M4" s="49" t="n">
        <v>55158902298901</v>
      </c>
    </row>
    <row r="5">
      <c r="A5" s="48" t="inlineStr">
        <is>
          <t>Giá vốn hàng bán</t>
        </is>
      </c>
      <c r="B5" s="49" t="n">
        <v>-10035454240162</v>
      </c>
      <c r="C5" s="49" t="n">
        <v>-11379662995694</v>
      </c>
      <c r="D5" s="49" t="n">
        <v>-10925130035885</v>
      </c>
      <c r="E5" s="49" t="n">
        <v>-11825378876944</v>
      </c>
      <c r="F5" s="49" t="n">
        <v>-29225083561286</v>
      </c>
      <c r="G5" s="49" t="n">
        <v>-30126073473488</v>
      </c>
      <c r="H5" s="49" t="n">
        <v>-32197520628446</v>
      </c>
      <c r="I5" s="49" t="n">
        <v>-29320796625500</v>
      </c>
      <c r="J5" s="49" t="n">
        <v>-30320155128758</v>
      </c>
      <c r="K5" s="49" t="n">
        <v>-39779834052596</v>
      </c>
      <c r="L5" s="49" t="n">
        <v>-44535778694658</v>
      </c>
      <c r="M5" s="49" t="n">
        <v>-44671115105470</v>
      </c>
    </row>
    <row r="6">
      <c r="A6" s="48" t="inlineStr">
        <is>
          <t>Lợi nhuận gộp</t>
        </is>
      </c>
      <c r="B6" s="49" t="n">
        <v>2965509181076</v>
      </c>
      <c r="C6" s="49" t="n">
        <v>2881275104857</v>
      </c>
      <c r="D6" s="49" t="n">
        <v>3263216090528</v>
      </c>
      <c r="E6" s="49" t="n">
        <v>2560831854613</v>
      </c>
      <c r="F6" s="49" t="n">
        <v>4731176724241</v>
      </c>
      <c r="G6" s="49" t="n">
        <v>4364908953201</v>
      </c>
      <c r="H6" s="49" t="n">
        <v>5424153925132</v>
      </c>
      <c r="I6" s="49" t="n">
        <v>6589722485709</v>
      </c>
      <c r="J6" s="49" t="n">
        <v>6087261275166</v>
      </c>
      <c r="K6" s="49" t="n">
        <v>6396650497175</v>
      </c>
      <c r="L6" s="49" t="n">
        <v>8365068607995</v>
      </c>
      <c r="M6" s="49" t="n">
        <v>10487787193431</v>
      </c>
    </row>
    <row r="7">
      <c r="A7" s="48" t="inlineStr">
        <is>
          <t>Doanh thu hoạt động tài chính</t>
        </is>
      </c>
      <c r="B7" s="49" t="n">
        <v>63318173965</v>
      </c>
      <c r="C7" s="49" t="n">
        <v>79415973001</v>
      </c>
      <c r="D7" s="49" t="n">
        <v>79985465695</v>
      </c>
      <c r="E7" s="49" t="n">
        <v>71688658080</v>
      </c>
      <c r="F7" s="49" t="n">
        <v>528453174917</v>
      </c>
      <c r="G7" s="49" t="n">
        <v>700560102056</v>
      </c>
      <c r="H7" s="49" t="n">
        <v>438057240540</v>
      </c>
      <c r="I7" s="49" t="n">
        <v>498183728007</v>
      </c>
      <c r="J7" s="49" t="n">
        <v>711903358963</v>
      </c>
      <c r="K7" s="49" t="n">
        <v>437280867832</v>
      </c>
      <c r="L7" s="49" t="n">
        <v>5938347436208</v>
      </c>
      <c r="M7" s="49" t="n">
        <v>616702440089</v>
      </c>
    </row>
    <row r="8">
      <c r="A8" s="48" t="inlineStr">
        <is>
          <t>Chi phí tài chính</t>
        </is>
      </c>
      <c r="B8" s="49" t="n">
        <v>-171748751094</v>
      </c>
      <c r="C8" s="49" t="n">
        <v>-159250258201</v>
      </c>
      <c r="D8" s="49" t="n">
        <v>-234345232708</v>
      </c>
      <c r="E8" s="49" t="n">
        <v>-206972919898</v>
      </c>
      <c r="F8" s="49" t="n">
        <v>-832902574260</v>
      </c>
      <c r="G8" s="49" t="n">
        <v>-1015139809937</v>
      </c>
      <c r="H8" s="49" t="n">
        <v>-970569640998</v>
      </c>
      <c r="I8" s="49" t="n">
        <v>-979462100729</v>
      </c>
      <c r="J8" s="49" t="n">
        <v>-1073210620638</v>
      </c>
      <c r="K8" s="49" t="n">
        <v>-1583968999127</v>
      </c>
      <c r="L8" s="49" t="n">
        <v>-1868827249709</v>
      </c>
      <c r="M8" s="49" t="n">
        <v>-1925757565918</v>
      </c>
    </row>
    <row r="9">
      <c r="A9" s="48" t="inlineStr">
        <is>
          <t>Chi phí lãi vay</t>
        </is>
      </c>
      <c r="B9" s="49" t="n">
        <v>-118019669890</v>
      </c>
      <c r="C9" s="49" t="n">
        <v>-135220094841</v>
      </c>
      <c r="D9" s="49" t="n">
        <v>-141685345016</v>
      </c>
      <c r="E9" s="49" t="n">
        <v>-144936133893</v>
      </c>
      <c r="F9" s="49" t="n">
        <v>-525114798901</v>
      </c>
      <c r="G9" s="49" t="n">
        <v>-562492663846</v>
      </c>
      <c r="H9" s="49" t="n">
        <v>-627024360692</v>
      </c>
      <c r="I9" s="49" t="n">
        <v>-439112631420</v>
      </c>
      <c r="J9" s="49" t="n">
        <v>-812194101705</v>
      </c>
      <c r="K9" s="49" t="n">
        <v>-1236524775157</v>
      </c>
      <c r="L9" s="49" t="n">
        <v>-1333414699291</v>
      </c>
      <c r="M9" s="49" t="n">
        <v>-1519613868123</v>
      </c>
    </row>
    <row r="10">
      <c r="A10" s="48" t="inlineStr">
        <is>
          <t>Chi phí bán hàng</t>
        </is>
      </c>
      <c r="B10" s="49" t="n">
        <v>-143871695353</v>
      </c>
      <c r="C10" s="49" t="n">
        <v>-154665928668</v>
      </c>
      <c r="D10" s="49" t="n">
        <v>-188483553715</v>
      </c>
      <c r="E10" s="49" t="n">
        <v>-191711141335</v>
      </c>
      <c r="F10" s="49" t="n">
        <v>-720208188679</v>
      </c>
      <c r="G10" s="49" t="n">
        <v>-230212058532</v>
      </c>
      <c r="H10" s="49" t="n">
        <v>-737815718816</v>
      </c>
      <c r="I10" s="49" t="n">
        <v>-825371907199</v>
      </c>
      <c r="J10" s="49" t="n">
        <v>-798965987739</v>
      </c>
      <c r="K10" s="49" t="n">
        <v>-271477098154</v>
      </c>
      <c r="L10" s="49" t="n">
        <v>-1344969024100</v>
      </c>
      <c r="M10" s="49" t="n">
        <v>-1717603199584</v>
      </c>
    </row>
    <row r="11">
      <c r="A11" s="48" t="inlineStr">
        <is>
          <t>Chi phí quản lý doanh nghiệp</t>
        </is>
      </c>
      <c r="B11" s="49" t="n">
        <v>-114493721383</v>
      </c>
      <c r="C11" s="49" t="n">
        <v>-66201080303</v>
      </c>
      <c r="D11" s="49" t="n">
        <v>-51780664435</v>
      </c>
      <c r="E11" s="49" t="n">
        <v>-209629621922</v>
      </c>
      <c r="F11" s="49" t="n">
        <v>-321501544741</v>
      </c>
      <c r="G11" s="49" t="n">
        <v>-517318083678</v>
      </c>
      <c r="H11" s="49" t="n">
        <v>-347243794856</v>
      </c>
      <c r="I11" s="49" t="n">
        <v>-322285873598</v>
      </c>
      <c r="J11" s="49" t="n">
        <v>-355963309576</v>
      </c>
      <c r="K11" s="49" t="n">
        <v>-411044379459</v>
      </c>
      <c r="L11" s="49" t="n">
        <v>-385901879604</v>
      </c>
      <c r="M11" s="49" t="n">
        <v>-307796866973</v>
      </c>
    </row>
    <row r="12">
      <c r="A12" s="48" t="inlineStr">
        <is>
          <t>Lãi/(lỗ) từ hoạt động kinh doanh</t>
        </is>
      </c>
      <c r="B12" s="49" t="n">
        <v>2598713187211</v>
      </c>
      <c r="C12" s="49" t="n">
        <v>2580573810686</v>
      </c>
      <c r="D12" s="49" t="n">
        <v>2868592105365</v>
      </c>
      <c r="E12" s="49" t="n">
        <v>2024206829538</v>
      </c>
      <c r="F12" s="49" t="n">
        <v>3385017591478</v>
      </c>
      <c r="G12" s="49" t="n">
        <v>3302799103110</v>
      </c>
      <c r="H12" s="49" t="n">
        <v>3806582011002</v>
      </c>
      <c r="I12" s="49" t="n">
        <v>4960786332190</v>
      </c>
      <c r="J12" s="49" t="n">
        <v>4571024716176</v>
      </c>
      <c r="K12" s="49" t="n">
        <v>4567440888267</v>
      </c>
      <c r="L12" s="49" t="n">
        <v>10704033503572</v>
      </c>
      <c r="M12" s="49" t="n">
        <v>7155004358406</v>
      </c>
    </row>
    <row r="13">
      <c r="A13" s="48" t="inlineStr">
        <is>
          <t>Thu nhập khác</t>
        </is>
      </c>
      <c r="B13" s="49" t="n">
        <v>151761821218</v>
      </c>
      <c r="C13" s="49" t="n">
        <v>114214391806</v>
      </c>
      <c r="D13" s="49" t="n">
        <v>79210487446</v>
      </c>
      <c r="E13" s="49" t="n">
        <v>143669887566</v>
      </c>
      <c r="F13" s="49" t="n">
        <v>220917018524</v>
      </c>
      <c r="G13" s="49" t="n">
        <v>225300683318</v>
      </c>
      <c r="H13" s="49" t="n">
        <v>153981783497</v>
      </c>
      <c r="I13" s="49" t="n">
        <v>-41431471594</v>
      </c>
      <c r="J13" s="49" t="n">
        <v>78007207531</v>
      </c>
      <c r="K13" s="49" t="n">
        <v>115035838477</v>
      </c>
      <c r="L13" s="49" t="n">
        <v>99982776284</v>
      </c>
      <c r="M13" s="49" t="n">
        <v>82682443691</v>
      </c>
    </row>
    <row r="14">
      <c r="A14" s="48" t="inlineStr">
        <is>
          <t>Chi phí khác</t>
        </is>
      </c>
      <c r="B14" s="49" t="n">
        <v>-142035802432</v>
      </c>
      <c r="C14" s="49" t="n">
        <v>-117570201393</v>
      </c>
      <c r="D14" s="49" t="n">
        <v>-99716528968</v>
      </c>
      <c r="E14" s="49" t="n">
        <v>-130547115741</v>
      </c>
      <c r="F14" s="49" t="n">
        <v>-193549476158</v>
      </c>
      <c r="G14" s="49" t="n">
        <v>-241423685732</v>
      </c>
      <c r="H14" s="49" t="n">
        <v>-120798445479</v>
      </c>
      <c r="I14" s="49" t="n">
        <v>53028633067</v>
      </c>
      <c r="J14" s="49" t="n">
        <v>-20718751273</v>
      </c>
      <c r="K14" s="49" t="n">
        <v>-82346763981</v>
      </c>
      <c r="L14" s="49" t="n">
        <v>-41832440311</v>
      </c>
      <c r="M14" s="49" t="n">
        <v>-53002594671</v>
      </c>
    </row>
    <row r="15">
      <c r="A15" s="48" t="inlineStr">
        <is>
          <t>Thu nhập khác, ròng</t>
        </is>
      </c>
      <c r="B15" s="49" t="n">
        <v>9726018786</v>
      </c>
      <c r="C15" s="49" t="n">
        <v>-3355809587</v>
      </c>
      <c r="D15" s="49" t="n">
        <v>-20506041522</v>
      </c>
      <c r="E15" s="49" t="n">
        <v>13122771825</v>
      </c>
      <c r="F15" s="49" t="n">
        <v>27367542366</v>
      </c>
      <c r="G15" s="49" t="n">
        <v>-16123002414</v>
      </c>
      <c r="H15" s="49" t="n">
        <v>33183338018</v>
      </c>
      <c r="I15" s="49" t="n">
        <v>11597161473</v>
      </c>
      <c r="J15" s="49" t="n">
        <v>57288456258</v>
      </c>
      <c r="K15" s="49" t="n">
        <v>32689074496</v>
      </c>
      <c r="L15" s="49" t="n">
        <v>58150335973</v>
      </c>
      <c r="M15" s="49" t="n">
        <v>29679849020</v>
      </c>
    </row>
    <row r="16">
      <c r="A16" s="48" t="inlineStr">
        <is>
          <t>Lãi/(lỗ) từ công ty liên doanh</t>
        </is>
      </c>
      <c r="B16" s="49" t="n">
        <v>0</v>
      </c>
      <c r="C16" s="49" t="n">
        <v>0</v>
      </c>
      <c r="D16" s="49" t="n">
        <v>0</v>
      </c>
      <c r="E16" s="49" t="n">
        <v>0</v>
      </c>
      <c r="F16" s="49" t="n">
        <v>0</v>
      </c>
      <c r="G16" s="49" t="n">
        <v>0</v>
      </c>
      <c r="H16" s="49" t="n">
        <v>0</v>
      </c>
      <c r="I16" s="49" t="n">
        <v>0</v>
      </c>
      <c r="J16" s="49" t="n">
        <v>0</v>
      </c>
      <c r="K16" s="49" t="n">
        <v>0</v>
      </c>
      <c r="L16" s="49" t="n">
        <v>0</v>
      </c>
      <c r="M16" s="49" t="n">
        <v>0</v>
      </c>
    </row>
    <row r="17">
      <c r="A17" s="48" t="inlineStr">
        <is>
          <t>Lãi/(lỗ) trước thuế</t>
        </is>
      </c>
      <c r="B17" s="49" t="n">
        <v>2608439205997</v>
      </c>
      <c r="C17" s="49" t="n">
        <v>2577218001099</v>
      </c>
      <c r="D17" s="49" t="n">
        <v>2848086063843</v>
      </c>
      <c r="E17" s="49" t="n">
        <v>2037329601363</v>
      </c>
      <c r="F17" s="49" t="n">
        <v>3412385133844</v>
      </c>
      <c r="G17" s="49" t="n">
        <v>3286676100696</v>
      </c>
      <c r="H17" s="49" t="n">
        <v>3839765349020</v>
      </c>
      <c r="I17" s="49" t="n">
        <v>4972383493663</v>
      </c>
      <c r="J17" s="49" t="n">
        <v>4628313172434</v>
      </c>
      <c r="K17" s="49" t="n">
        <v>4600129962763</v>
      </c>
      <c r="L17" s="49" t="n">
        <v>10762183839545</v>
      </c>
      <c r="M17" s="49" t="n">
        <v>7184684207426</v>
      </c>
    </row>
    <row r="18">
      <c r="A18" s="48" t="inlineStr">
        <is>
          <t>Thuế thu nhập doanh nghiệp - hiện thời</t>
        </is>
      </c>
      <c r="B18" s="49" t="n">
        <v>-400652405032</v>
      </c>
      <c r="C18" s="49" t="n">
        <v>-370255122285</v>
      </c>
      <c r="D18" s="49" t="n">
        <v>-445904279612</v>
      </c>
      <c r="E18" s="49" t="n">
        <v>-289508280622</v>
      </c>
      <c r="F18" s="49" t="n">
        <v>-427815885551</v>
      </c>
      <c r="G18" s="49" t="n">
        <v>-503217741562</v>
      </c>
      <c r="H18" s="49" t="n">
        <v>-512281294123</v>
      </c>
      <c r="I18" s="49" t="n">
        <v>-684398735485</v>
      </c>
      <c r="J18" s="49" t="n">
        <v>-632794091038</v>
      </c>
      <c r="K18" s="49" t="n">
        <v>-744749714238</v>
      </c>
      <c r="L18" s="49" t="n">
        <v>-1681871206942</v>
      </c>
      <c r="M18" s="49" t="n">
        <v>-904510286555</v>
      </c>
    </row>
    <row r="19">
      <c r="A19" s="48" t="inlineStr">
        <is>
          <t>Thuế thu nhập doanh nghiệp - hoãn lại</t>
        </is>
      </c>
      <c r="B19" s="49" t="n">
        <v>14968797102</v>
      </c>
      <c r="C19" s="49" t="n">
        <v>-4590634318</v>
      </c>
      <c r="D19" s="49" t="n">
        <v>6240831886</v>
      </c>
      <c r="E19" s="49" t="n">
        <v>19178926806</v>
      </c>
      <c r="F19" s="49" t="n">
        <v>37102736610</v>
      </c>
      <c r="G19" s="49" t="n">
        <v>26135956217</v>
      </c>
      <c r="H19" s="49" t="n">
        <v>22321361187</v>
      </c>
      <c r="I19" s="49" t="n">
        <v>-23460652646</v>
      </c>
      <c r="J19" s="49" t="n">
        <v>16733235327</v>
      </c>
      <c r="K19" s="49" t="n">
        <v>32969484742</v>
      </c>
      <c r="L19" s="49" t="n">
        <v>-24394432580</v>
      </c>
      <c r="M19" s="49" t="n">
        <v>144300346223</v>
      </c>
    </row>
    <row r="20">
      <c r="A20" s="48" t="inlineStr">
        <is>
          <t>Chi phí thuế thu nhập doanh nghiệp</t>
        </is>
      </c>
      <c r="B20" s="49" t="n">
        <v>-385683607930</v>
      </c>
      <c r="C20" s="49" t="n">
        <v>-374845756603</v>
      </c>
      <c r="D20" s="49" t="n">
        <v>-439663447726</v>
      </c>
      <c r="E20" s="49" t="n">
        <v>-270329353816</v>
      </c>
      <c r="F20" s="49" t="n">
        <v>-390713148941</v>
      </c>
      <c r="G20" s="49" t="n">
        <v>-477081785345</v>
      </c>
      <c r="H20" s="49" t="n">
        <v>-489959932936</v>
      </c>
      <c r="I20" s="49" t="n">
        <v>-707859388131</v>
      </c>
      <c r="J20" s="49" t="n">
        <v>-616060855711</v>
      </c>
      <c r="K20" s="49" t="n">
        <v>-711780229496</v>
      </c>
      <c r="L20" s="49" t="n">
        <v>-1706265639522</v>
      </c>
      <c r="M20" s="49" t="n">
        <v>-760209940332</v>
      </c>
    </row>
    <row r="21">
      <c r="A21" s="48" t="inlineStr">
        <is>
          <t>Lãi/(lỗ) thuần sau thuế</t>
        </is>
      </c>
      <c r="B21" s="49" t="n">
        <v>2222755598067</v>
      </c>
      <c r="C21" s="49" t="n">
        <v>2202372244496</v>
      </c>
      <c r="D21" s="49" t="n">
        <v>2408422616117</v>
      </c>
      <c r="E21" s="49" t="n">
        <v>1767000247547</v>
      </c>
      <c r="F21" s="49" t="n">
        <v>3021671984903</v>
      </c>
      <c r="G21" s="49" t="n">
        <v>2809594315351</v>
      </c>
      <c r="H21" s="49" t="n">
        <v>3349805416084</v>
      </c>
      <c r="I21" s="49" t="n">
        <v>4264524105532</v>
      </c>
      <c r="J21" s="49" t="n">
        <v>4012252316723</v>
      </c>
      <c r="K21" s="49" t="n">
        <v>3888349733267</v>
      </c>
      <c r="L21" s="49" t="n">
        <v>9055918200023</v>
      </c>
      <c r="M21" s="49" t="n">
        <v>6424474267094</v>
      </c>
    </row>
    <row r="22">
      <c r="A22" s="48" t="inlineStr">
        <is>
          <t>Lợi ích của cổ đông thiểu số</t>
        </is>
      </c>
      <c r="B22" s="49" t="n">
        <v>11501623496</v>
      </c>
      <c r="C22" s="49" t="n">
        <v>6785318432</v>
      </c>
      <c r="D22" s="49" t="n">
        <v>6470164410</v>
      </c>
      <c r="E22" s="49" t="n">
        <v>2779501247</v>
      </c>
      <c r="F22" s="49" t="n">
        <v>-1274647147</v>
      </c>
      <c r="G22" s="49" t="n">
        <v>948946180</v>
      </c>
      <c r="H22" s="49" t="n">
        <v>5520721696</v>
      </c>
      <c r="I22" s="49" t="n">
        <v>8036893768</v>
      </c>
      <c r="J22" s="49" t="n">
        <v>23933842184</v>
      </c>
      <c r="K22" s="49" t="n">
        <v>24266107735</v>
      </c>
      <c r="L22" s="49" t="n">
        <v>61914955881</v>
      </c>
      <c r="M22" s="49" t="n">
        <v>53455262531</v>
      </c>
    </row>
    <row r="23">
      <c r="A23" s="48" t="inlineStr">
        <is>
          <t>Lợi nhuận của Cổ đông của Công ty mẹ</t>
        </is>
      </c>
      <c r="B23" s="49" t="n">
        <v>2211253974571</v>
      </c>
      <c r="C23" s="49" t="n">
        <v>2195586926064</v>
      </c>
      <c r="D23" s="49" t="n">
        <v>2401952451707</v>
      </c>
      <c r="E23" s="49" t="n">
        <v>1764220746300</v>
      </c>
      <c r="F23" s="49" t="n">
        <v>3022946632050</v>
      </c>
      <c r="G23" s="49" t="n">
        <v>2808645369171</v>
      </c>
      <c r="H23" s="49" t="n">
        <v>3344284694388</v>
      </c>
      <c r="I23" s="49" t="n">
        <v>4256487211764</v>
      </c>
      <c r="J23" s="49" t="n">
        <v>3988318474539</v>
      </c>
      <c r="K23" s="49" t="n">
        <v>3864083625532</v>
      </c>
      <c r="L23" s="49" t="n">
        <v>8994003244142</v>
      </c>
      <c r="M23" s="49" t="n">
        <v>6371019004563</v>
      </c>
    </row>
    <row r="24">
      <c r="A24" s="48" t="inlineStr">
        <is>
          <t>Lãi cơ bản trên cổ phiếu (VND)</t>
        </is>
      </c>
      <c r="B24" s="49" t="n">
        <v>0</v>
      </c>
      <c r="C24" s="49" t="n">
        <v>0</v>
      </c>
      <c r="D24" s="49" t="n">
        <v>0</v>
      </c>
      <c r="E24" s="49" t="n">
        <v>0</v>
      </c>
      <c r="F24" s="49" t="n">
        <v>0</v>
      </c>
      <c r="G24" s="49" t="n">
        <v>0</v>
      </c>
      <c r="H24" s="49" t="n">
        <v>0</v>
      </c>
      <c r="I24" s="49" t="n">
        <v>0</v>
      </c>
      <c r="J24" s="49" t="n">
        <v>0</v>
      </c>
      <c r="K24" s="49" t="n">
        <v>1973</v>
      </c>
      <c r="L24" s="49" t="n">
        <v>0</v>
      </c>
      <c r="M24" s="49" t="n">
        <v>1781</v>
      </c>
    </row>
    <row r="25">
      <c r="A25" s="48" t="inlineStr">
        <is>
          <t>Lãi trên cổ phiếu pha loãng (VND)</t>
        </is>
      </c>
      <c r="B25" s="49" t="n">
        <v>0</v>
      </c>
      <c r="C25" s="49" t="n">
        <v>0</v>
      </c>
      <c r="D25" s="49" t="n">
        <v>0</v>
      </c>
      <c r="E25" s="49" t="n">
        <v>0</v>
      </c>
      <c r="F25" s="49" t="n">
        <v>0</v>
      </c>
      <c r="G25" s="49" t="n">
        <v>0</v>
      </c>
      <c r="H25" s="49" t="n">
        <v>0</v>
      </c>
      <c r="I25" s="49" t="n">
        <v>0</v>
      </c>
      <c r="J25" s="49" t="n">
        <v>0</v>
      </c>
      <c r="K25" s="49" t="n">
        <v>0</v>
      </c>
      <c r="L25" s="49" t="n">
        <v>0</v>
      </c>
      <c r="M25" s="49" t="n">
        <v>0</v>
      </c>
    </row>
    <row r="26">
      <c r="A26" s="48" t="inlineStr">
        <is>
          <t>Lãi/(lỗ) từ công ty liên doanh (từ năm 2015)</t>
        </is>
      </c>
      <c r="B26" s="49" t="n">
        <v>0</v>
      </c>
      <c r="C26" s="49" t="n">
        <v>0</v>
      </c>
      <c r="D26" s="49" t="n">
        <v>0</v>
      </c>
      <c r="E26" s="49" t="n">
        <v>0</v>
      </c>
      <c r="F26" s="49" t="n">
        <v>0</v>
      </c>
      <c r="G26" s="49" t="n">
        <v>0</v>
      </c>
      <c r="H26" s="49" t="n">
        <v>0</v>
      </c>
      <c r="I26" s="49" t="n">
        <v>0</v>
      </c>
      <c r="J26" s="49" t="n">
        <v>0</v>
      </c>
      <c r="K26" s="49" t="n">
        <v>0</v>
      </c>
      <c r="L26" s="49" t="n">
        <v>315612782</v>
      </c>
      <c r="M26" s="49" t="n">
        <v>1672357361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</cols>
  <sheetData>
    <row r="1">
      <c r="A1" s="46" t="inlineStr">
        <is>
          <t>item</t>
        </is>
      </c>
      <c r="B1" s="47" t="inlineStr">
        <is>
          <t>2018-Q1</t>
        </is>
      </c>
      <c r="C1" s="47" t="inlineStr">
        <is>
          <t>2018-Q2</t>
        </is>
      </c>
      <c r="D1" s="47" t="inlineStr">
        <is>
          <t>2018-Q3</t>
        </is>
      </c>
      <c r="E1" s="47" t="inlineStr">
        <is>
          <t>2018-Q4</t>
        </is>
      </c>
      <c r="F1" s="47" t="inlineStr">
        <is>
          <t>2024-Q3</t>
        </is>
      </c>
      <c r="G1" s="47" t="inlineStr">
        <is>
          <t>2024-Q4</t>
        </is>
      </c>
      <c r="H1" s="47" t="inlineStr">
        <is>
          <t>2025-Q1</t>
        </is>
      </c>
      <c r="I1" s="47" t="inlineStr">
        <is>
          <t>2025-Q2</t>
        </is>
      </c>
      <c r="J1" s="47" t="inlineStr">
        <is>
          <t>2025-Q3</t>
        </is>
      </c>
      <c r="K1" s="47" t="inlineStr">
        <is>
          <t>2025-Q4</t>
        </is>
      </c>
      <c r="L1" s="47" t="inlineStr">
        <is>
          <t>2026-Q1</t>
        </is>
      </c>
      <c r="M1" s="47" t="inlineStr">
        <is>
          <t>2026-Q2</t>
        </is>
      </c>
    </row>
    <row r="2">
      <c r="A2" s="48" t="inlineStr">
        <is>
          <t>Lợi nhuận/(lỗ) trước thuế</t>
        </is>
      </c>
      <c r="B2" s="49" t="n">
        <v>2608439205997</v>
      </c>
      <c r="C2" s="49" t="n">
        <v>2577218001099</v>
      </c>
      <c r="D2" s="49" t="n">
        <v>2848086063843</v>
      </c>
      <c r="E2" s="49" t="n">
        <v>2037329601363</v>
      </c>
      <c r="F2" s="49" t="n">
        <v>3412385133844</v>
      </c>
      <c r="G2" s="49" t="n">
        <v>3286676100696</v>
      </c>
      <c r="H2" s="49" t="n">
        <v>3839765349020</v>
      </c>
      <c r="I2" s="49" t="n">
        <v>4972383493663</v>
      </c>
      <c r="J2" s="49" t="n">
        <v>4628313172434</v>
      </c>
      <c r="K2" s="49" t="n">
        <v>4600129962763</v>
      </c>
      <c r="L2" s="49" t="n">
        <v>10762183839545</v>
      </c>
      <c r="M2" s="49" t="n">
        <v>7184684207426</v>
      </c>
    </row>
    <row r="3">
      <c r="A3" s="48" t="inlineStr">
        <is>
          <t>Khấu hao TSCĐ và BĐSĐT</t>
        </is>
      </c>
      <c r="B3" s="49" t="n">
        <v>556108322687</v>
      </c>
      <c r="C3" s="49" t="n">
        <v>553037107154</v>
      </c>
      <c r="D3" s="49" t="n">
        <v>597087360757</v>
      </c>
      <c r="E3" s="49" t="n">
        <v>577870811942</v>
      </c>
      <c r="F3" s="49" t="n">
        <v>1771185761423</v>
      </c>
      <c r="G3" s="49" t="n">
        <v>1693028331093</v>
      </c>
      <c r="H3" s="49" t="n">
        <v>1801603135468</v>
      </c>
      <c r="I3" s="49" t="n">
        <v>1617247528510</v>
      </c>
      <c r="J3" s="49" t="n">
        <v>2169156032825</v>
      </c>
      <c r="K3" s="49" t="n">
        <v>2882676563353</v>
      </c>
      <c r="L3" s="49" t="n">
        <v>2854213903270</v>
      </c>
      <c r="M3" s="49" t="n">
        <v>2851263156834</v>
      </c>
    </row>
    <row r="4">
      <c r="A4" s="48" t="inlineStr">
        <is>
          <t>Chi phí dự phòng</t>
        </is>
      </c>
      <c r="B4" s="49" t="n">
        <v>-7296315043</v>
      </c>
      <c r="C4" s="49" t="n">
        <v>-426147437</v>
      </c>
      <c r="D4" s="49" t="n">
        <v>-47094368475</v>
      </c>
      <c r="E4" s="49" t="n">
        <v>-18173662868</v>
      </c>
      <c r="F4" s="49" t="n">
        <v>-3156807492</v>
      </c>
      <c r="G4" s="49" t="n">
        <v>-61035121811</v>
      </c>
      <c r="H4" s="49" t="n">
        <v>11289113084</v>
      </c>
      <c r="I4" s="49" t="n">
        <v>-59927342891</v>
      </c>
      <c r="J4" s="49" t="n">
        <v>10882237428</v>
      </c>
      <c r="K4" s="49" t="n">
        <v>-12074483403</v>
      </c>
      <c r="L4" s="49" t="n">
        <v>-394463126</v>
      </c>
      <c r="M4" s="49" t="n">
        <v>29729264501</v>
      </c>
    </row>
    <row r="5">
      <c r="A5" s="48" t="inlineStr">
        <is>
          <t>Lãi/lỗ chênh lệch tỷ giá hối đoái do đánh giá lại các khoản mục tiền tệ có gốc ngoại tệ</t>
        </is>
      </c>
      <c r="B5" s="49" t="n">
        <v>38197623898</v>
      </c>
      <c r="C5" s="49" t="n">
        <v>-33113633439</v>
      </c>
      <c r="D5" s="49" t="n">
        <v>21416556849</v>
      </c>
      <c r="E5" s="49" t="n">
        <v>4104939588</v>
      </c>
      <c r="F5" s="49" t="n">
        <v>-206784225956</v>
      </c>
      <c r="G5" s="49" t="n">
        <v>227751228845</v>
      </c>
      <c r="H5" s="49" t="n">
        <v>132616469869</v>
      </c>
      <c r="I5" s="49" t="n">
        <v>309920317236</v>
      </c>
      <c r="J5" s="49" t="n">
        <v>-56814712069</v>
      </c>
      <c r="K5" s="49" t="n">
        <v>-36094914050</v>
      </c>
      <c r="L5" s="49" t="n">
        <v>-93187660506</v>
      </c>
      <c r="M5" s="49" t="n">
        <v>36508026287</v>
      </c>
    </row>
    <row r="6">
      <c r="A6" s="48" t="inlineStr">
        <is>
          <t>Lãi/(lỗ) từ thanh lý tài sản cố định</t>
        </is>
      </c>
      <c r="B6" s="49" t="n">
        <v>0</v>
      </c>
      <c r="C6" s="49" t="n">
        <v>0</v>
      </c>
      <c r="D6" s="49" t="n">
        <v>0</v>
      </c>
      <c r="E6" s="49" t="n">
        <v>0</v>
      </c>
      <c r="F6" s="49" t="n">
        <v>0</v>
      </c>
      <c r="G6" s="49" t="n">
        <v>0</v>
      </c>
      <c r="H6" s="49" t="n">
        <v>0</v>
      </c>
      <c r="I6" s="49" t="n">
        <v>0</v>
      </c>
      <c r="J6" s="49" t="n">
        <v>0</v>
      </c>
      <c r="K6" s="49" t="n">
        <v>0</v>
      </c>
      <c r="L6" s="49" t="n">
        <v>0</v>
      </c>
      <c r="M6" s="49" t="n">
        <v>0</v>
      </c>
    </row>
    <row r="7">
      <c r="A7" s="48" t="inlineStr">
        <is>
          <t>(Lãi)/lỗ từ hoạt động đầu tư</t>
        </is>
      </c>
      <c r="B7" s="49" t="n">
        <v>-46934532354</v>
      </c>
      <c r="C7" s="49" t="n">
        <v>-41534210367</v>
      </c>
      <c r="D7" s="49" t="n">
        <v>2051444778</v>
      </c>
      <c r="E7" s="49" t="n">
        <v>-66937818732</v>
      </c>
      <c r="F7" s="49" t="n">
        <v>103011663888</v>
      </c>
      <c r="G7" s="49" t="n">
        <v>-765370789609</v>
      </c>
      <c r="H7" s="49" t="n">
        <v>-244726801802</v>
      </c>
      <c r="I7" s="49" t="n">
        <v>-305813548010</v>
      </c>
      <c r="J7" s="49" t="n">
        <v>-454485515064</v>
      </c>
      <c r="K7" s="49" t="n">
        <v>-293829106766</v>
      </c>
      <c r="L7" s="49" t="n">
        <v>-5113315374186</v>
      </c>
      <c r="M7" s="49" t="n">
        <v>-510268020185</v>
      </c>
    </row>
    <row r="8">
      <c r="A8" s="48" t="inlineStr">
        <is>
          <t>Chi phí lãi vay</t>
        </is>
      </c>
      <c r="B8" s="49" t="n">
        <v>118019669890</v>
      </c>
      <c r="C8" s="49" t="n">
        <v>135220094841</v>
      </c>
      <c r="D8" s="49" t="n">
        <v>141685345016</v>
      </c>
      <c r="E8" s="49" t="n">
        <v>144936133893</v>
      </c>
      <c r="F8" s="49" t="n">
        <v>525114798901</v>
      </c>
      <c r="G8" s="49" t="n">
        <v>562492663846</v>
      </c>
      <c r="H8" s="49" t="n">
        <v>627024360692</v>
      </c>
      <c r="I8" s="49" t="n">
        <v>439112631420</v>
      </c>
      <c r="J8" s="49" t="n">
        <v>812194101705</v>
      </c>
      <c r="K8" s="49" t="n">
        <v>1236524775157</v>
      </c>
      <c r="L8" s="49" t="n">
        <v>1333414699291</v>
      </c>
      <c r="M8" s="49" t="n">
        <v>1519613868123</v>
      </c>
    </row>
    <row r="9">
      <c r="A9" s="48" t="inlineStr">
        <is>
          <t>Thu lãi và cổ tức</t>
        </is>
      </c>
      <c r="B9" s="49" t="n">
        <v>0</v>
      </c>
      <c r="C9" s="49" t="n">
        <v>0</v>
      </c>
      <c r="D9" s="49" t="n">
        <v>0</v>
      </c>
      <c r="E9" s="49" t="n">
        <v>0</v>
      </c>
      <c r="F9" s="49" t="n">
        <v>0</v>
      </c>
      <c r="G9" s="49" t="n">
        <v>0</v>
      </c>
      <c r="H9" s="49" t="n">
        <v>0</v>
      </c>
      <c r="I9" s="49" t="n">
        <v>0</v>
      </c>
      <c r="J9" s="49" t="n">
        <v>0</v>
      </c>
      <c r="K9" s="49" t="n">
        <v>0</v>
      </c>
      <c r="L9" s="49" t="n">
        <v>0</v>
      </c>
      <c r="M9" s="49" t="n">
        <v>0</v>
      </c>
    </row>
    <row r="10">
      <c r="A10" s="48" t="inlineStr">
        <is>
          <t>Lợi nhuận/(lỗ) từ hoạt động kinh doanh trước những thay đổi vốn lưu động</t>
        </is>
      </c>
      <c r="B10" s="49" t="n">
        <v>3266533975075</v>
      </c>
      <c r="C10" s="49" t="n">
        <v>3202709431687</v>
      </c>
      <c r="D10" s="49" t="n">
        <v>3550924182932</v>
      </c>
      <c r="E10" s="49" t="n">
        <v>2679130005186</v>
      </c>
      <c r="F10" s="49" t="n">
        <v>5595706353956</v>
      </c>
      <c r="G10" s="49" t="n">
        <v>4955838305029</v>
      </c>
      <c r="H10" s="49" t="n">
        <v>6167571626331</v>
      </c>
      <c r="I10" s="49" t="n">
        <v>6972923079928</v>
      </c>
      <c r="J10" s="49" t="n">
        <v>7109245317259</v>
      </c>
      <c r="K10" s="49" t="n">
        <v>8377332797054</v>
      </c>
      <c r="L10" s="49" t="n">
        <v>9742914944288</v>
      </c>
      <c r="M10" s="49" t="n">
        <v>11111530502986</v>
      </c>
    </row>
    <row r="11">
      <c r="A11" s="48" t="inlineStr">
        <is>
          <t>(Tăng)/giảm các khoản phải thu</t>
        </is>
      </c>
      <c r="B11" s="49" t="n">
        <v>82342161661</v>
      </c>
      <c r="C11" s="49" t="n">
        <v>-618456931257</v>
      </c>
      <c r="D11" s="49" t="n">
        <v>119547210473</v>
      </c>
      <c r="E11" s="49" t="n">
        <v>-1712374696823</v>
      </c>
      <c r="F11" s="49" t="n">
        <v>377494427161</v>
      </c>
      <c r="G11" s="49" t="n">
        <v>971968926351</v>
      </c>
      <c r="H11" s="49" t="n">
        <v>-4134982417163</v>
      </c>
      <c r="I11" s="49" t="n">
        <v>-1835418390802</v>
      </c>
      <c r="J11" s="49" t="n">
        <v>-167609437136</v>
      </c>
      <c r="K11" s="49" t="n">
        <v>-2605118841180</v>
      </c>
      <c r="L11" s="49" t="n">
        <v>-3247077198393</v>
      </c>
      <c r="M11" s="49" t="n">
        <v>-2028681332858</v>
      </c>
    </row>
    <row r="12">
      <c r="A12" s="48" t="inlineStr">
        <is>
          <t>(Tăng)/giảm hàng tồn kho</t>
        </is>
      </c>
      <c r="B12" s="49" t="n">
        <v>543802130814</v>
      </c>
      <c r="C12" s="49" t="n">
        <v>-1531001715888</v>
      </c>
      <c r="D12" s="49" t="n">
        <v>-1501522889313</v>
      </c>
      <c r="E12" s="49" t="n">
        <v>891988751549</v>
      </c>
      <c r="F12" s="49" t="n">
        <v>-3510769453171</v>
      </c>
      <c r="G12" s="49" t="n">
        <v>-6209983876378</v>
      </c>
      <c r="H12" s="49" t="n">
        <v>-384608710947</v>
      </c>
      <c r="I12" s="49" t="n">
        <v>-2468299455608</v>
      </c>
      <c r="J12" s="49" t="n">
        <v>3191714046698</v>
      </c>
      <c r="K12" s="49" t="n">
        <v>-7580580412836</v>
      </c>
      <c r="L12" s="49" t="n">
        <v>6689926170566</v>
      </c>
      <c r="M12" s="49" t="n">
        <v>-12414552906660</v>
      </c>
    </row>
    <row r="13">
      <c r="A13" s="48" t="inlineStr">
        <is>
          <t>Tăng/(giảm) các khoản phải trả</t>
        </is>
      </c>
      <c r="B13" s="49" t="n">
        <v>-243975167874</v>
      </c>
      <c r="C13" s="49" t="n">
        <v>924608516139</v>
      </c>
      <c r="D13" s="49" t="n">
        <v>44260251184</v>
      </c>
      <c r="E13" s="49" t="n">
        <v>734863589308</v>
      </c>
      <c r="F13" s="49" t="n">
        <v>-1584866701776</v>
      </c>
      <c r="G13" s="49" t="n">
        <v>4023222874211</v>
      </c>
      <c r="H13" s="49" t="n">
        <v>-1984736525485</v>
      </c>
      <c r="I13" s="49" t="n">
        <v>1394149750385</v>
      </c>
      <c r="J13" s="49" t="n">
        <v>-812631275870</v>
      </c>
      <c r="K13" s="49" t="n">
        <v>12796369447003</v>
      </c>
      <c r="L13" s="49" t="n">
        <v>-2632265270173</v>
      </c>
      <c r="M13" s="49" t="n">
        <v>11230394666327</v>
      </c>
    </row>
    <row r="14">
      <c r="A14" s="48" t="inlineStr">
        <is>
          <t>(Tăng)/giảm chi phí trả trước</t>
        </is>
      </c>
      <c r="B14" s="49" t="n">
        <v>-268670700316</v>
      </c>
      <c r="C14" s="49" t="n">
        <v>-250081285218</v>
      </c>
      <c r="D14" s="49" t="n">
        <v>16736976398</v>
      </c>
      <c r="E14" s="49" t="n">
        <v>1283788372</v>
      </c>
      <c r="F14" s="49" t="n">
        <v>46606159449</v>
      </c>
      <c r="G14" s="49" t="n">
        <v>129299221688</v>
      </c>
      <c r="H14" s="49" t="n">
        <v>48974724977</v>
      </c>
      <c r="I14" s="49" t="n">
        <v>-230901936807</v>
      </c>
      <c r="J14" s="49" t="n">
        <v>-253644124207</v>
      </c>
      <c r="K14" s="49" t="n">
        <v>-1247137898314</v>
      </c>
      <c r="L14" s="49" t="n">
        <v>101663240118</v>
      </c>
      <c r="M14" s="49" t="n">
        <v>-165216387471</v>
      </c>
    </row>
    <row r="15">
      <c r="A15" s="48" t="inlineStr">
        <is>
          <t>Tiền lãi vay đã trả</t>
        </is>
      </c>
      <c r="B15" s="49" t="n">
        <v>-111597863515</v>
      </c>
      <c r="C15" s="49" t="n">
        <v>-139451648027</v>
      </c>
      <c r="D15" s="49" t="n">
        <v>-131341967884</v>
      </c>
      <c r="E15" s="49" t="n">
        <v>-229376309960</v>
      </c>
      <c r="F15" s="49" t="n">
        <v>-567728987154</v>
      </c>
      <c r="G15" s="49" t="n">
        <v>-529644932828</v>
      </c>
      <c r="H15" s="49" t="n">
        <v>-599757525250</v>
      </c>
      <c r="I15" s="49" t="n">
        <v>-473975259473</v>
      </c>
      <c r="J15" s="49" t="n">
        <v>-667863337041</v>
      </c>
      <c r="K15" s="49" t="n">
        <v>-1142569855154</v>
      </c>
      <c r="L15" s="49" t="n">
        <v>-1339109587744</v>
      </c>
      <c r="M15" s="49" t="n">
        <v>-1425594052867</v>
      </c>
    </row>
    <row r="16">
      <c r="A16" s="48" t="inlineStr">
        <is>
          <t>Thuế thu nhập doanh nghiệp đã nộp</t>
        </is>
      </c>
      <c r="B16" s="49" t="n">
        <v>-331943891954</v>
      </c>
      <c r="C16" s="49" t="n">
        <v>-102996238868</v>
      </c>
      <c r="D16" s="49" t="n">
        <v>-411912798208</v>
      </c>
      <c r="E16" s="49" t="n">
        <v>-569580309365</v>
      </c>
      <c r="F16" s="49" t="n">
        <v>-12405917246</v>
      </c>
      <c r="G16" s="49" t="n">
        <v>-51647870077</v>
      </c>
      <c r="H16" s="49" t="n">
        <v>-1670270526989</v>
      </c>
      <c r="I16" s="49" t="n">
        <v>-5880614099</v>
      </c>
      <c r="J16" s="49" t="n">
        <v>-36294935712</v>
      </c>
      <c r="K16" s="49" t="n">
        <v>-282396590908</v>
      </c>
      <c r="L16" s="49" t="n">
        <v>-2210061924270</v>
      </c>
      <c r="M16" s="49" t="n">
        <v>-237746437207</v>
      </c>
    </row>
    <row r="17">
      <c r="A17" s="48" t="inlineStr">
        <is>
          <t>Tiền thu khác từ hoạt động kinh doanh</t>
        </is>
      </c>
      <c r="B17" s="49" t="n">
        <v>0</v>
      </c>
      <c r="C17" s="49" t="n">
        <v>0</v>
      </c>
      <c r="D17" s="49" t="n">
        <v>0</v>
      </c>
      <c r="E17" s="49" t="n">
        <v>0</v>
      </c>
      <c r="F17" s="49" t="n">
        <v>0</v>
      </c>
      <c r="G17" s="49" t="n">
        <v>447272727</v>
      </c>
      <c r="H17" s="49" t="n">
        <v>0</v>
      </c>
      <c r="I17" s="49" t="n">
        <v>0</v>
      </c>
      <c r="J17" s="49" t="n">
        <v>0</v>
      </c>
      <c r="K17" s="49" t="n">
        <v>439016917840</v>
      </c>
      <c r="L17" s="49" t="n">
        <v>0</v>
      </c>
      <c r="M17" s="49" t="n">
        <v>0</v>
      </c>
    </row>
    <row r="18">
      <c r="A18" s="48" t="inlineStr">
        <is>
          <t>Tiền chi khác cho hoạt động kinh doanh</t>
        </is>
      </c>
      <c r="B18" s="49" t="n">
        <v>-181620568095</v>
      </c>
      <c r="C18" s="49" t="n">
        <v>-26000040655</v>
      </c>
      <c r="D18" s="49" t="n">
        <v>-28524384634</v>
      </c>
      <c r="E18" s="49" t="n">
        <v>-67856393468</v>
      </c>
      <c r="F18" s="49" t="n">
        <v>-79428476117</v>
      </c>
      <c r="G18" s="49" t="n">
        <v>-194420019511</v>
      </c>
      <c r="H18" s="49" t="n">
        <v>-220131091954</v>
      </c>
      <c r="I18" s="49" t="n">
        <v>-67494643569</v>
      </c>
      <c r="J18" s="49" t="n">
        <v>-68517258315</v>
      </c>
      <c r="K18" s="49" t="n">
        <v>-190617586065</v>
      </c>
      <c r="L18" s="49" t="n">
        <v>-289234924371</v>
      </c>
      <c r="M18" s="49" t="n">
        <v>-245192384986</v>
      </c>
    </row>
    <row r="19">
      <c r="A19" s="48" t="inlineStr">
        <is>
          <t>Lưu chuyển tiền tệ ròng từ các hoạt động sản xuất kinh doanh</t>
        </is>
      </c>
      <c r="B19" s="49" t="n">
        <v>2754870075796</v>
      </c>
      <c r="C19" s="49" t="n">
        <v>1459330087913</v>
      </c>
      <c r="D19" s="49" t="n">
        <v>1658166580948</v>
      </c>
      <c r="E19" s="49" t="n">
        <v>1728078424799</v>
      </c>
      <c r="F19" s="49" t="n">
        <v>264607405102</v>
      </c>
      <c r="G19" s="49" t="n">
        <v>3095079901212</v>
      </c>
      <c r="H19" s="49" t="n">
        <v>-2777940446480</v>
      </c>
      <c r="I19" s="49" t="n">
        <v>3285102529955</v>
      </c>
      <c r="J19" s="49" t="n">
        <v>8294398995676</v>
      </c>
      <c r="K19" s="49" t="n">
        <v>8564297977440</v>
      </c>
      <c r="L19" s="49" t="n">
        <v>6816755450021</v>
      </c>
      <c r="M19" s="49" t="n">
        <v>5824941667264</v>
      </c>
    </row>
    <row r="20">
      <c r="A20" s="48" t="inlineStr">
        <is>
          <t>Tiền chi để mua sắm, xây dựng TSCĐ và các tài sản dài hạn khác</t>
        </is>
      </c>
      <c r="B20" s="49" t="n">
        <v>-2661214218378</v>
      </c>
      <c r="C20" s="49" t="n">
        <v>-6535623048148</v>
      </c>
      <c r="D20" s="49" t="n">
        <v>-10643470479000</v>
      </c>
      <c r="E20" s="49" t="n">
        <v>-7753757887855</v>
      </c>
      <c r="F20" s="49" t="n">
        <v>-9401555834547</v>
      </c>
      <c r="G20" s="49" t="n">
        <v>-7257089099480</v>
      </c>
      <c r="H20" s="49" t="n">
        <v>-6168853176586</v>
      </c>
      <c r="I20" s="49" t="n">
        <v>-4519331143893</v>
      </c>
      <c r="J20" s="49" t="n">
        <v>-13174576334243</v>
      </c>
      <c r="K20" s="49" t="n">
        <v>-1885559821997</v>
      </c>
      <c r="L20" s="49" t="n">
        <v>-5489839982929</v>
      </c>
      <c r="M20" s="49" t="n">
        <v>-7033737846145</v>
      </c>
    </row>
    <row r="21">
      <c r="A21" s="48" t="inlineStr">
        <is>
          <t>Tiền thu từ thanh lý, nhượng bán TSCĐ và các tài sản dài hạn khác</t>
        </is>
      </c>
      <c r="B21" s="49" t="n">
        <v>56838470987</v>
      </c>
      <c r="C21" s="49" t="n">
        <v>5500137417</v>
      </c>
      <c r="D21" s="49" t="n">
        <v>908642864</v>
      </c>
      <c r="E21" s="49" t="n">
        <v>44519888341</v>
      </c>
      <c r="F21" s="49" t="n">
        <v>-332578559029</v>
      </c>
      <c r="G21" s="49" t="n">
        <v>443699573180</v>
      </c>
      <c r="H21" s="49" t="n">
        <v>8330267880</v>
      </c>
      <c r="I21" s="49" t="n">
        <v>27600517030</v>
      </c>
      <c r="J21" s="49" t="n">
        <v>3219518312</v>
      </c>
      <c r="K21" s="49" t="n">
        <v>29666213081</v>
      </c>
      <c r="L21" s="49" t="n">
        <v>5137451465</v>
      </c>
      <c r="M21" s="49" t="n">
        <v>4953208163</v>
      </c>
    </row>
    <row r="22">
      <c r="A22" s="48" t="inlineStr">
        <is>
          <t>Tiền chi cho vay, mua các công cụ nợ của đơn vị khác</t>
        </is>
      </c>
      <c r="B22" s="49" t="n">
        <v>-2614873739992</v>
      </c>
      <c r="C22" s="49" t="n">
        <v>-3916356966921</v>
      </c>
      <c r="D22" s="49" t="n">
        <v>-3302730556489</v>
      </c>
      <c r="E22" s="49" t="n">
        <v>-1461540758141</v>
      </c>
      <c r="F22" s="49" t="n">
        <v>-6770711616439</v>
      </c>
      <c r="G22" s="49" t="n">
        <v>-6360476824332</v>
      </c>
      <c r="H22" s="49" t="n">
        <v>-5526332899179</v>
      </c>
      <c r="I22" s="49" t="n">
        <v>-9102740296773</v>
      </c>
      <c r="J22" s="49" t="n">
        <v>-5995439000000</v>
      </c>
      <c r="K22" s="49" t="n">
        <v>-9695300000000</v>
      </c>
      <c r="L22" s="49" t="n">
        <v>-15410488328272</v>
      </c>
      <c r="M22" s="49" t="n">
        <v>-19094908027888</v>
      </c>
    </row>
    <row r="23">
      <c r="A23" s="48" t="inlineStr">
        <is>
          <t>Tiền thu hồi cho vay, bán lại các công cụ nợ của đơn vị khác</t>
        </is>
      </c>
      <c r="B23" s="49" t="n">
        <v>5440337241859</v>
      </c>
      <c r="C23" s="49" t="n">
        <v>3253622924069</v>
      </c>
      <c r="D23" s="49" t="n">
        <v>5155733037056</v>
      </c>
      <c r="E23" s="49" t="n">
        <v>3593320000000</v>
      </c>
      <c r="F23" s="49" t="n">
        <v>5612320000000</v>
      </c>
      <c r="G23" s="49" t="n">
        <v>3871936250811</v>
      </c>
      <c r="H23" s="49" t="n">
        <v>8422939517832</v>
      </c>
      <c r="I23" s="49" t="n">
        <v>7723722972602</v>
      </c>
      <c r="J23" s="49" t="n">
        <v>4707217381781</v>
      </c>
      <c r="K23" s="49" t="n">
        <v>6932197909676</v>
      </c>
      <c r="L23" s="49" t="n">
        <v>9808255809184</v>
      </c>
      <c r="M23" s="49" t="n">
        <v>15873130453662</v>
      </c>
    </row>
    <row r="24">
      <c r="A24" s="48" t="inlineStr">
        <is>
          <t>Tiền chi đầu tư góp vốn vào đơn vị khác</t>
        </is>
      </c>
      <c r="B24" s="49" t="n">
        <v>-115947860804</v>
      </c>
      <c r="C24" s="49" t="n">
        <v>0</v>
      </c>
      <c r="D24" s="49" t="n">
        <v>0</v>
      </c>
      <c r="E24" s="49" t="n">
        <v>-138933689</v>
      </c>
      <c r="F24" s="49" t="n">
        <v>0</v>
      </c>
      <c r="G24" s="49" t="n">
        <v>0</v>
      </c>
      <c r="H24" s="49" t="n">
        <v>0</v>
      </c>
      <c r="I24" s="49" t="n">
        <v>0</v>
      </c>
      <c r="J24" s="49" t="n">
        <v>-70900000000</v>
      </c>
      <c r="K24" s="49" t="n">
        <v>-373200000000</v>
      </c>
      <c r="L24" s="49" t="n">
        <v>-1860000000000</v>
      </c>
      <c r="M24" s="49" t="n">
        <v>-1774697000000</v>
      </c>
    </row>
    <row r="25">
      <c r="A25" s="48" t="inlineStr">
        <is>
          <t>Tiền thu hồi đầu tư góp vốn vào đơn vị khác</t>
        </is>
      </c>
      <c r="B25" s="49" t="n">
        <v>0</v>
      </c>
      <c r="C25" s="49" t="n">
        <v>15000000000</v>
      </c>
      <c r="D25" s="49" t="n">
        <v>0</v>
      </c>
      <c r="E25" s="49" t="n">
        <v>2599680288</v>
      </c>
      <c r="F25" s="49" t="n">
        <v>0</v>
      </c>
      <c r="G25" s="49" t="n">
        <v>31246619001</v>
      </c>
      <c r="H25" s="49" t="n">
        <v>226687184000</v>
      </c>
      <c r="I25" s="49" t="n">
        <v>15000000000</v>
      </c>
      <c r="J25" s="49" t="n">
        <v>209046191384</v>
      </c>
      <c r="K25" s="49" t="n">
        <v>1155000000000</v>
      </c>
      <c r="L25" s="49" t="n">
        <v>9754502725420</v>
      </c>
      <c r="M25" s="49" t="n">
        <v>46272643836</v>
      </c>
    </row>
    <row r="26">
      <c r="A26" s="48" t="inlineStr">
        <is>
          <t>Tiền thu lãi cho vay, cổ tức và lợi nhuận được chia</t>
        </is>
      </c>
      <c r="B26" s="49" t="n">
        <v>344686537986</v>
      </c>
      <c r="C26" s="49" t="n">
        <v>220596558190</v>
      </c>
      <c r="D26" s="49" t="n">
        <v>257551741690</v>
      </c>
      <c r="E26" s="49" t="n">
        <v>123359849441</v>
      </c>
      <c r="F26" s="49" t="n">
        <v>305754643259</v>
      </c>
      <c r="G26" s="49" t="n">
        <v>187519990129</v>
      </c>
      <c r="H26" s="49" t="n">
        <v>308719460282</v>
      </c>
      <c r="I26" s="49" t="n">
        <v>315786623119</v>
      </c>
      <c r="J26" s="49" t="n">
        <v>383190902192</v>
      </c>
      <c r="K26" s="49" t="n">
        <v>229515144802</v>
      </c>
      <c r="L26" s="49" t="n">
        <v>271138307918</v>
      </c>
      <c r="M26" s="49" t="n">
        <v>457097668324</v>
      </c>
    </row>
    <row r="27">
      <c r="A27" s="48" t="inlineStr">
        <is>
          <t>Lưu chuyển tiền thuần từ hoạt động đầu tư</t>
        </is>
      </c>
      <c r="B27" s="49" t="n">
        <v>449826431658</v>
      </c>
      <c r="C27" s="49" t="n">
        <v>-6957260395393</v>
      </c>
      <c r="D27" s="49" t="n">
        <v>-8532007613879</v>
      </c>
      <c r="E27" s="49" t="n">
        <v>-5451638161615</v>
      </c>
      <c r="F27" s="49" t="n">
        <v>-10586771366756</v>
      </c>
      <c r="G27" s="49" t="n">
        <v>-9083163490691</v>
      </c>
      <c r="H27" s="49" t="n">
        <v>-2728509645771</v>
      </c>
      <c r="I27" s="49" t="n">
        <v>-5539961327915</v>
      </c>
      <c r="J27" s="49" t="n">
        <v>-13938241340574</v>
      </c>
      <c r="K27" s="49" t="n">
        <v>-3607680554438</v>
      </c>
      <c r="L27" s="49" t="n">
        <v>-2921294017214</v>
      </c>
      <c r="M27" s="49" t="n">
        <v>-11521888900048</v>
      </c>
    </row>
    <row r="28">
      <c r="A28" s="48" t="inlineStr">
        <is>
          <t>Tiền thu từ phát hành cổ phiếu, nhận vốn góp của chủ sở hữu</t>
        </is>
      </c>
      <c r="B28" s="49" t="n">
        <v>0</v>
      </c>
      <c r="C28" s="49" t="n">
        <v>11424719202</v>
      </c>
      <c r="D28" s="49" t="n">
        <v>0</v>
      </c>
      <c r="E28" s="49" t="n">
        <v>0</v>
      </c>
      <c r="F28" s="49" t="n">
        <v>90136000000</v>
      </c>
      <c r="G28" s="49" t="n">
        <v>103000000000</v>
      </c>
      <c r="H28" s="49" t="n">
        <v>100000000</v>
      </c>
      <c r="I28" s="49" t="n">
        <v>525100000000</v>
      </c>
      <c r="J28" s="49" t="n">
        <v>1260500000000</v>
      </c>
      <c r="K28" s="49" t="n">
        <v>-1098200000000</v>
      </c>
      <c r="L28" s="49" t="n">
        <v>906464079800</v>
      </c>
      <c r="M28" s="49" t="n">
        <v>19465212360</v>
      </c>
    </row>
    <row r="29">
      <c r="A29" s="48" t="inlineStr">
        <is>
          <t>Tiền chi trả vốn góp cho các chủ sở hữu, mua lại cổ phiếu của doanh nghiệp đã phát hành</t>
        </is>
      </c>
      <c r="B29" s="49" t="n">
        <v>0</v>
      </c>
      <c r="C29" s="49" t="n">
        <v>0</v>
      </c>
      <c r="D29" s="49" t="n">
        <v>0</v>
      </c>
      <c r="E29" s="49" t="n">
        <v>0</v>
      </c>
      <c r="F29" s="49" t="n">
        <v>0</v>
      </c>
      <c r="G29" s="49" t="n">
        <v>-17140000</v>
      </c>
      <c r="H29" s="49" t="n">
        <v>0</v>
      </c>
      <c r="I29" s="49" t="n">
        <v>-52020000</v>
      </c>
      <c r="J29" s="49" t="n">
        <v>-40275000000</v>
      </c>
      <c r="K29" s="49" t="n">
        <v>40272000000</v>
      </c>
      <c r="L29" s="49" t="n">
        <v>-133022500000</v>
      </c>
      <c r="M29" s="49" t="n">
        <v>-20000000</v>
      </c>
    </row>
    <row r="30">
      <c r="A30" s="48" t="inlineStr">
        <is>
          <t>Tiền thu được các khoản đi vay</t>
        </is>
      </c>
      <c r="B30" s="49" t="n">
        <v>8465066041528</v>
      </c>
      <c r="C30" s="49" t="n">
        <v>14031707569867</v>
      </c>
      <c r="D30" s="49" t="n">
        <v>15179506401865</v>
      </c>
      <c r="E30" s="49" t="n">
        <v>15795734202913</v>
      </c>
      <c r="F30" s="49" t="n">
        <v>45987162684520</v>
      </c>
      <c r="G30" s="49" t="n">
        <v>42414841815225</v>
      </c>
      <c r="H30" s="49" t="n">
        <v>42070537735752</v>
      </c>
      <c r="I30" s="49" t="n">
        <v>37133314442108</v>
      </c>
      <c r="J30" s="49" t="n">
        <v>37526149069159</v>
      </c>
      <c r="K30" s="49" t="n">
        <v>32818989148452</v>
      </c>
      <c r="L30" s="49" t="n">
        <v>37972026707821</v>
      </c>
      <c r="M30" s="49" t="n">
        <v>33108134858225</v>
      </c>
    </row>
    <row r="31">
      <c r="A31" s="48" t="inlineStr">
        <is>
          <t>Tiền trả nợ gốc vay</t>
        </is>
      </c>
      <c r="B31" s="49" t="n">
        <v>-9270797786046</v>
      </c>
      <c r="C31" s="49" t="n">
        <v>-9886721261520</v>
      </c>
      <c r="D31" s="49" t="n">
        <v>-9647874632159</v>
      </c>
      <c r="E31" s="49" t="n">
        <v>-13529615414961</v>
      </c>
      <c r="F31" s="49" t="n">
        <v>-40276725834290</v>
      </c>
      <c r="G31" s="49" t="n">
        <v>-38146312226161</v>
      </c>
      <c r="H31" s="49" t="n">
        <v>-35992323059515</v>
      </c>
      <c r="I31" s="49" t="n">
        <v>-32170574605521</v>
      </c>
      <c r="J31" s="49" t="n">
        <v>-34691683779555</v>
      </c>
      <c r="K31" s="49" t="n">
        <v>-37483382298841</v>
      </c>
      <c r="L31" s="49" t="n">
        <v>-39509669716860</v>
      </c>
      <c r="M31" s="49" t="n">
        <v>-25174836242420</v>
      </c>
    </row>
    <row r="32">
      <c r="A32" s="48" t="inlineStr">
        <is>
          <t>Tiền trả nợ gốc thuê tài chính</t>
        </is>
      </c>
      <c r="B32" s="49" t="n">
        <v>0</v>
      </c>
      <c r="C32" s="49" t="n">
        <v>0</v>
      </c>
      <c r="D32" s="49" t="n">
        <v>0</v>
      </c>
      <c r="E32" s="49" t="n">
        <v>0</v>
      </c>
      <c r="F32" s="49" t="n">
        <v>0</v>
      </c>
      <c r="G32" s="49" t="n">
        <v>0</v>
      </c>
      <c r="H32" s="49" t="n">
        <v>0</v>
      </c>
      <c r="I32" s="49" t="n">
        <v>0</v>
      </c>
      <c r="J32" s="49" t="n">
        <v>0</v>
      </c>
      <c r="K32" s="49" t="n">
        <v>0</v>
      </c>
      <c r="L32" s="49" t="n">
        <v>0</v>
      </c>
      <c r="M32" s="49" t="n">
        <v>0</v>
      </c>
    </row>
    <row r="33">
      <c r="A33" s="48" t="inlineStr">
        <is>
          <t>Cổ tức, lợi nhuận đã trả cho chủ sở hữu</t>
        </is>
      </c>
      <c r="B33" s="49" t="n">
        <v>-642223602</v>
      </c>
      <c r="C33" s="49" t="n">
        <v>-2474192297</v>
      </c>
      <c r="D33" s="49" t="n">
        <v>-1236393107</v>
      </c>
      <c r="E33" s="49" t="n">
        <v>-1565389423</v>
      </c>
      <c r="F33" s="49" t="n">
        <v>-1606676054</v>
      </c>
      <c r="G33" s="49" t="n">
        <v>-2343960741</v>
      </c>
      <c r="H33" s="49" t="n">
        <v>-22127134</v>
      </c>
      <c r="I33" s="49" t="n">
        <v>-3574672793</v>
      </c>
      <c r="J33" s="49" t="n">
        <v>-7647585893</v>
      </c>
      <c r="K33" s="49" t="n">
        <v>-25294401728</v>
      </c>
      <c r="L33" s="49" t="n">
        <v>-3593041781</v>
      </c>
      <c r="M33" s="49" t="n">
        <v>-3928401581790</v>
      </c>
    </row>
    <row r="34">
      <c r="A34" s="48" t="inlineStr">
        <is>
          <t>Tiền lãi đã nhận</t>
        </is>
      </c>
      <c r="B34" s="49" t="n">
        <v>0</v>
      </c>
      <c r="C34" s="49" t="n">
        <v>0</v>
      </c>
      <c r="D34" s="49" t="n">
        <v>0</v>
      </c>
      <c r="E34" s="49" t="n">
        <v>0</v>
      </c>
      <c r="F34" s="49" t="n">
        <v>0</v>
      </c>
      <c r="G34" s="49" t="n">
        <v>0</v>
      </c>
      <c r="H34" s="49" t="n">
        <v>0</v>
      </c>
      <c r="I34" s="49" t="n">
        <v>0</v>
      </c>
      <c r="J34" s="49" t="n">
        <v>0</v>
      </c>
      <c r="K34" s="49" t="n">
        <v>0</v>
      </c>
      <c r="L34" s="49" t="n">
        <v>0</v>
      </c>
      <c r="M34" s="49" t="n">
        <v>0</v>
      </c>
    </row>
    <row r="35">
      <c r="A35" s="48" t="inlineStr">
        <is>
          <t>Lưu chuyển tiền thuần từ hoạt động tài chính</t>
        </is>
      </c>
      <c r="B35" s="49" t="n">
        <v>-806373968120</v>
      </c>
      <c r="C35" s="49" t="n">
        <v>4153936835252</v>
      </c>
      <c r="D35" s="49" t="n">
        <v>5530395376599</v>
      </c>
      <c r="E35" s="49" t="n">
        <v>2264553398529</v>
      </c>
      <c r="F35" s="49" t="n">
        <v>5798966174176</v>
      </c>
      <c r="G35" s="49" t="n">
        <v>4369168488323</v>
      </c>
      <c r="H35" s="49" t="n">
        <v>6078292549103</v>
      </c>
      <c r="I35" s="49" t="n">
        <v>5484213143794</v>
      </c>
      <c r="J35" s="49" t="n">
        <v>4047042703711</v>
      </c>
      <c r="K35" s="49" t="n">
        <v>-5747615552117</v>
      </c>
      <c r="L35" s="49" t="n">
        <v>-767794471020</v>
      </c>
      <c r="M35" s="49" t="n">
        <v>4024342246375</v>
      </c>
    </row>
    <row r="36">
      <c r="A36" s="48" t="inlineStr">
        <is>
          <t>Lưu chuyển tiền thuần trong kỳ</t>
        </is>
      </c>
      <c r="B36" s="49" t="n">
        <v>2398322539334</v>
      </c>
      <c r="C36" s="49" t="n">
        <v>-1343993472228</v>
      </c>
      <c r="D36" s="49" t="n">
        <v>-1343445656332</v>
      </c>
      <c r="E36" s="49" t="n">
        <v>-1459006338287</v>
      </c>
      <c r="F36" s="49" t="n">
        <v>-4523197787478</v>
      </c>
      <c r="G36" s="49" t="n">
        <v>-1618915101156</v>
      </c>
      <c r="H36" s="49" t="n">
        <v>571842456852</v>
      </c>
      <c r="I36" s="49" t="n">
        <v>3229354345834</v>
      </c>
      <c r="J36" s="49" t="n">
        <v>-1596799641187</v>
      </c>
      <c r="K36" s="49" t="n">
        <v>-790998129115</v>
      </c>
      <c r="L36" s="49" t="n">
        <v>3127666961787</v>
      </c>
      <c r="M36" s="49" t="n">
        <v>-1672604986409</v>
      </c>
    </row>
    <row r="37">
      <c r="A37" s="48" t="inlineStr">
        <is>
          <t>Tiền và tương đương tiền đầu kỳ</t>
        </is>
      </c>
      <c r="B37" s="49" t="n">
        <v>4264641954689</v>
      </c>
      <c r="C37" s="49" t="n">
        <v>6662968459743</v>
      </c>
      <c r="D37" s="49" t="n">
        <v>5319038225154</v>
      </c>
      <c r="E37" s="49" t="n">
        <v>3976151668262</v>
      </c>
      <c r="F37" s="49" t="n">
        <v>13032037853283</v>
      </c>
      <c r="G37" s="49" t="n">
        <v>8500998079280</v>
      </c>
      <c r="H37" s="49" t="n">
        <v>6887646139852</v>
      </c>
      <c r="I37" s="49" t="n">
        <v>7459035818129</v>
      </c>
      <c r="J37" s="49" t="n">
        <v>10688024277258</v>
      </c>
      <c r="K37" s="49" t="n">
        <v>9092562739415</v>
      </c>
      <c r="L37" s="49" t="n">
        <v>8325103342897</v>
      </c>
      <c r="M37" s="49" t="n">
        <v>11455231038505</v>
      </c>
    </row>
    <row r="38">
      <c r="A38" s="48" t="inlineStr">
        <is>
          <t>Ảnh hưởng của thay đổi tỷ giá hối đoái quy đổi ngoại tệ</t>
        </is>
      </c>
      <c r="B38" s="49" t="n">
        <v>3965720</v>
      </c>
      <c r="C38" s="49" t="n">
        <v>63237639</v>
      </c>
      <c r="D38" s="49" t="n">
        <v>559099440</v>
      </c>
      <c r="E38" s="49" t="n">
        <v>-1528194518</v>
      </c>
      <c r="F38" s="49" t="n">
        <v>-7841986525</v>
      </c>
      <c r="G38" s="49" t="n">
        <v>5563161728</v>
      </c>
      <c r="H38" s="49" t="n">
        <v>-452778575</v>
      </c>
      <c r="I38" s="49" t="n">
        <v>-365886705</v>
      </c>
      <c r="J38" s="49" t="n">
        <v>1338103344</v>
      </c>
      <c r="K38" s="49" t="n">
        <v>-674306095</v>
      </c>
      <c r="L38" s="49" t="n">
        <v>2460733821</v>
      </c>
      <c r="M38" s="49" t="n">
        <v>-568691187</v>
      </c>
    </row>
    <row r="39">
      <c r="A39" s="48" t="inlineStr">
        <is>
          <t>Tiền và tương đương tiền cuối kỳ</t>
        </is>
      </c>
      <c r="B39" s="49" t="n">
        <v>6662968459743</v>
      </c>
      <c r="C39" s="49" t="n">
        <v>5319038225154</v>
      </c>
      <c r="D39" s="49" t="n">
        <v>3976151668262</v>
      </c>
      <c r="E39" s="49" t="n">
        <v>2515617135457</v>
      </c>
      <c r="F39" s="49" t="n">
        <v>8500998079280</v>
      </c>
      <c r="G39" s="49" t="n">
        <v>6887646139852</v>
      </c>
      <c r="H39" s="49" t="n">
        <v>7459035818129</v>
      </c>
      <c r="I39" s="49" t="n">
        <v>10688024277258</v>
      </c>
      <c r="J39" s="49" t="n">
        <v>9092562739415</v>
      </c>
      <c r="K39" s="49" t="n">
        <v>8300890304205</v>
      </c>
      <c r="L39" s="49" t="n">
        <v>11455231038505</v>
      </c>
      <c r="M39" s="49" t="n">
        <v>9782057360909</v>
      </c>
    </row>
    <row r="40">
      <c r="A40" s="48" t="inlineStr">
        <is>
          <t>Phân bổ lợi thế thương mại</t>
        </is>
      </c>
      <c r="B40" s="49" t="n">
        <v>0</v>
      </c>
      <c r="C40" s="49" t="n">
        <v>12308219836</v>
      </c>
      <c r="D40" s="49" t="n">
        <v>-12308219836</v>
      </c>
      <c r="E40" s="49" t="n">
        <v>0</v>
      </c>
      <c r="F40" s="49" t="n">
        <v>-6049970652</v>
      </c>
      <c r="G40" s="49" t="n">
        <v>12295891969</v>
      </c>
      <c r="H40" s="49" t="n">
        <v>0</v>
      </c>
      <c r="I40" s="49" t="n">
        <v>0</v>
      </c>
      <c r="J40" s="49" t="n">
        <v>0</v>
      </c>
      <c r="K40" s="49" t="n">
        <v>0</v>
      </c>
      <c r="L40" s="49" t="n">
        <v>0</v>
      </c>
      <c r="M40" s="49" t="n">
        <v>0</v>
      </c>
    </row>
    <row r="41">
      <c r="A41" s="48" t="inlineStr">
        <is>
          <t>Các khoản điều chỉnh khác</t>
        </is>
      </c>
      <c r="B41" s="49" t="n">
        <v>0</v>
      </c>
      <c r="C41" s="49" t="n">
        <v>0</v>
      </c>
      <c r="D41" s="49" t="n">
        <v>0</v>
      </c>
      <c r="E41" s="49" t="n">
        <v>0</v>
      </c>
      <c r="F41" s="49" t="n">
        <v>0</v>
      </c>
      <c r="G41" s="49" t="n">
        <v>0</v>
      </c>
      <c r="H41" s="49" t="n">
        <v>0</v>
      </c>
      <c r="I41" s="49" t="n">
        <v>0</v>
      </c>
      <c r="J41" s="49" t="n">
        <v>0</v>
      </c>
      <c r="K41" s="49" t="n">
        <v>0</v>
      </c>
      <c r="L41" s="49" t="n">
        <v>0</v>
      </c>
      <c r="M41" s="49" t="n">
        <v>0</v>
      </c>
    </row>
    <row r="42">
      <c r="A42" s="48" t="inlineStr">
        <is>
          <t>(Tăng)/giảm chứng khoán kinh doanh</t>
        </is>
      </c>
      <c r="B42" s="49" t="n">
        <v>0</v>
      </c>
      <c r="C42" s="49" t="n">
        <v>0</v>
      </c>
      <c r="D42" s="49" t="n">
        <v>0</v>
      </c>
      <c r="E42" s="49" t="n">
        <v>0</v>
      </c>
      <c r="F42" s="49" t="n">
        <v>0</v>
      </c>
      <c r="G42" s="49" t="n">
        <v>0</v>
      </c>
      <c r="H42" s="49" t="n">
        <v>0</v>
      </c>
      <c r="I42" s="49" t="n">
        <v>0</v>
      </c>
      <c r="J42" s="49" t="n">
        <v>0</v>
      </c>
      <c r="K42" s="49" t="n">
        <v>0</v>
      </c>
      <c r="L42" s="49" t="n">
        <v>0</v>
      </c>
      <c r="M42" s="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"/>
  <sheetViews>
    <sheetView showGridLines="0" tabSelected="1" workbookViewId="0">
      <selection activeCell="G7" sqref="G7"/>
    </sheetView>
  </sheetViews>
  <sheetFormatPr baseColWidth="8" defaultRowHeight="14.4"/>
  <cols>
    <col width="58" bestFit="1" customWidth="1" min="1" max="1"/>
    <col width="21.88671875" bestFit="1" customWidth="1" min="2" max="9"/>
  </cols>
  <sheetData>
    <row r="1">
      <c r="A1" s="14" t="inlineStr">
        <is>
          <t>Chỉ tiêu</t>
        </is>
      </c>
      <c r="B1" s="15">
        <f>balance_sheet!B1</f>
        <v/>
      </c>
      <c r="C1" s="15">
        <f>balance_sheet!C1</f>
        <v/>
      </c>
      <c r="D1" s="15">
        <f>balance_sheet!D1</f>
        <v/>
      </c>
      <c r="E1" s="15">
        <f>balance_sheet!E1</f>
        <v/>
      </c>
      <c r="F1" s="15">
        <f>balance_sheet!F1</f>
        <v/>
      </c>
      <c r="G1" s="15">
        <f>balance_sheet!G1</f>
        <v/>
      </c>
      <c r="H1" s="15">
        <f>balance_sheet!H1</f>
        <v/>
      </c>
      <c r="I1" s="15">
        <f>balance_sheet!I1</f>
        <v/>
      </c>
    </row>
    <row r="2">
      <c r="A2" s="14" t="inlineStr">
        <is>
          <t>ROE (LNST CĐ Cty mẹ / VCSH bình quân)</t>
        </is>
      </c>
      <c r="B2" s="50">
        <f>IFERROR(B$53/((B$41+#REF!)/2),"n/a")</f>
        <v/>
      </c>
      <c r="C2" s="50">
        <f>IFERROR(C$53/((C$41+B$41)/2),"n/a")</f>
        <v/>
      </c>
      <c r="D2" s="50">
        <f>IFERROR(D$53/((D$41+C$41)/2),"n/a")</f>
        <v/>
      </c>
      <c r="E2" s="50">
        <f>IFERROR(E$53/((E$41+D$41)/2),"n/a")</f>
        <v/>
      </c>
      <c r="F2" s="50">
        <f>IFERROR(F$53/((F$41+E$41)/2),"n/a")</f>
        <v/>
      </c>
      <c r="G2" s="50">
        <f>IFERROR(G$53/((G$41+F$41)/2),"n/a")</f>
        <v/>
      </c>
      <c r="H2" s="50">
        <f>IFERROR(H$53/((H$41+G$41)/2),"n/a")</f>
        <v/>
      </c>
      <c r="I2" s="50">
        <f>IFERROR(I$53/((I$41+H$41)/2),"n/a")</f>
        <v/>
      </c>
    </row>
    <row r="3">
      <c r="A3" s="14" t="inlineStr">
        <is>
          <t>ROA (LNST / Tổng tài sản bình quân)</t>
        </is>
      </c>
      <c r="B3" s="50">
        <f>IFERROR(B$52/((B$33+#REF!)/2),"n/a")</f>
        <v/>
      </c>
      <c r="C3" s="50">
        <f>IFERROR(C$52/((C$33+B$33)/2),"n/a")</f>
        <v/>
      </c>
      <c r="D3" s="50">
        <f>IFERROR(D$52/((D$33+C$33)/2),"n/a")</f>
        <v/>
      </c>
      <c r="E3" s="50">
        <f>IFERROR(E$52/((E$33+D$33)/2),"n/a")</f>
        <v/>
      </c>
      <c r="F3" s="50">
        <f>IFERROR(F$52/((F$33+E$33)/2),"n/a")</f>
        <v/>
      </c>
      <c r="G3" s="50">
        <f>IFERROR(G$52/((G$33+F$33)/2),"n/a")</f>
        <v/>
      </c>
      <c r="H3" s="50">
        <f>IFERROR(H$52/((H$33+G$33)/2),"n/a")</f>
        <v/>
      </c>
      <c r="I3" s="50">
        <f>IFERROR(I$52/((I$33+H$33)/2),"n/a")</f>
        <v/>
      </c>
    </row>
    <row r="4">
      <c r="A4" s="41" t="inlineStr">
        <is>
          <t>Tăng trưởng LN Cổ đông Cty mẹ QQ</t>
        </is>
      </c>
      <c r="B4" s="50">
        <f>IFERROR((B$53-#REF!)/ABS(#REF!),"n/a")</f>
        <v/>
      </c>
      <c r="C4" s="45">
        <f>IFERROR((C$53-B$53)/ABS(B$53),"n/a")</f>
        <v/>
      </c>
      <c r="D4" s="45">
        <f>IFERROR((D$53-C$53)/ABS(C$53),"n/a")</f>
        <v/>
      </c>
      <c r="E4" s="45">
        <f>IFERROR((E$53-D$53)/ABS(D$53),"n/a")</f>
        <v/>
      </c>
      <c r="F4" s="45">
        <f>IFERROR((F$53-E$53)/ABS(E$53),"n/a")</f>
        <v/>
      </c>
      <c r="G4" s="45">
        <f>IFERROR((G$53-F$53)/ABS(F$53),"n/a")</f>
        <v/>
      </c>
      <c r="H4" s="45">
        <f>IFERROR((H$53-G$53)/ABS(G$53),"n/a")</f>
        <v/>
      </c>
      <c r="I4" s="45">
        <f>IFERROR((I$53-H$53)/ABS(H$53),"n/a")</f>
        <v/>
      </c>
    </row>
    <row r="5">
      <c r="A5" s="41" t="inlineStr">
        <is>
          <t>Tăng trưởng LN Cổ đông Cty mẹ YY</t>
        </is>
      </c>
      <c r="B5" s="50" t="n"/>
      <c r="C5" s="50" t="n"/>
      <c r="D5" s="50" t="n"/>
      <c r="E5" s="50" t="n"/>
      <c r="F5" s="50">
        <f>IFERROR((F$53-B$53)/ABS(B$53),"n/a")</f>
        <v/>
      </c>
      <c r="G5" s="50">
        <f>IFERROR((G$53-C$53)/ABS(C$53),"n/a")</f>
        <v/>
      </c>
      <c r="H5" s="50">
        <f>IFERROR((H$53-D$53)/ABS(D$53),"n/a")</f>
        <v/>
      </c>
      <c r="I5" s="50">
        <f>IFERROR((I$53-E$53)/ABS(E$53),"n/a")</f>
        <v/>
      </c>
    </row>
    <row r="6">
      <c r="A6" s="41" t="inlineStr">
        <is>
          <t>Tăng trưởng Doanh thu thuần QQ</t>
        </is>
      </c>
      <c r="B6" s="50">
        <f>IFERROR((B$45-#REF!)/ABS(#REF!),"n/a")</f>
        <v/>
      </c>
      <c r="C6" s="45">
        <f>IFERROR((C$45-B$45)/ABS(B$45),"n/a")</f>
        <v/>
      </c>
      <c r="D6" s="45">
        <f>IFERROR((D$45-C$45)/ABS(C$45),"n/a")</f>
        <v/>
      </c>
      <c r="E6" s="45">
        <f>IFERROR((E$45-D$45)/ABS(D$45),"n/a")</f>
        <v/>
      </c>
      <c r="F6" s="45">
        <f>IFERROR((F$45-E$45)/ABS(E$45),"n/a")</f>
        <v/>
      </c>
      <c r="G6" s="45">
        <f>IFERROR((G$45-F$45)/ABS(F$45),"n/a")</f>
        <v/>
      </c>
      <c r="H6" s="45">
        <f>IFERROR((H$45-G$45)/ABS(G$45),"n/a")</f>
        <v/>
      </c>
      <c r="I6" s="45">
        <f>IFERROR((I$45-H$45)/ABS(H$45),"n/a")</f>
        <v/>
      </c>
    </row>
    <row r="7">
      <c r="A7" s="41" t="inlineStr">
        <is>
          <t>Tăng trưởng Doanh thu thuần YY</t>
        </is>
      </c>
      <c r="B7" s="50" t="n"/>
      <c r="C7" s="50" t="n"/>
      <c r="D7" s="50" t="n"/>
      <c r="E7" s="50" t="n"/>
      <c r="F7" s="50">
        <f>IFERROR((F$45-B$45)/ABS(B$45),"n/a")</f>
        <v/>
      </c>
      <c r="G7" s="50">
        <f>IFERROR((G$45-C$45)/ABS(C$45),"n/a")</f>
        <v/>
      </c>
      <c r="H7" s="50">
        <f>IFERROR((H$45-D$45)/ABS(D$45),"n/a")</f>
        <v/>
      </c>
      <c r="I7" s="50">
        <f>IFERROR((I$45-E$45)/ABS(E$45),"n/a")</f>
        <v/>
      </c>
    </row>
    <row r="8">
      <c r="A8" s="14" t="inlineStr">
        <is>
          <t>Biên lợi nhuận gộp</t>
        </is>
      </c>
      <c r="B8" s="50">
        <f>IFERROR(B$47/B$45,"n/a")</f>
        <v/>
      </c>
      <c r="C8" s="50">
        <f>IFERROR(C$47/C$45,"n/a")</f>
        <v/>
      </c>
      <c r="D8" s="50">
        <f>IFERROR(D$47/D$45,"n/a")</f>
        <v/>
      </c>
      <c r="E8" s="50">
        <f>IFERROR(E$47/E$45,"n/a")</f>
        <v/>
      </c>
      <c r="F8" s="50">
        <f>IFERROR(F$47/F$45,"n/a")</f>
        <v/>
      </c>
      <c r="G8" s="50">
        <f>IFERROR(G$47/G$45,"n/a")</f>
        <v/>
      </c>
      <c r="H8" s="50">
        <f>IFERROR(H$47/H$45,"n/a")</f>
        <v/>
      </c>
      <c r="I8" s="50">
        <f>IFERROR(I$47/I$45,"n/a")</f>
        <v/>
      </c>
    </row>
    <row r="9">
      <c r="A9" s="14" t="inlineStr">
        <is>
          <t>Biên lợi nhuận ròng</t>
        </is>
      </c>
      <c r="B9" s="50">
        <f>IFERROR(B$53/B$45,"n/a")</f>
        <v/>
      </c>
      <c r="C9" s="50">
        <f>IFERROR(C$53/C$45,"n/a")</f>
        <v/>
      </c>
      <c r="D9" s="50">
        <f>IFERROR(D$53/D$45,"n/a")</f>
        <v/>
      </c>
      <c r="E9" s="50">
        <f>IFERROR(E$53/E$45,"n/a")</f>
        <v/>
      </c>
      <c r="F9" s="50">
        <f>IFERROR(F$53/F$45,"n/a")</f>
        <v/>
      </c>
      <c r="G9" s="50">
        <f>IFERROR(G$53/G$45,"n/a")</f>
        <v/>
      </c>
      <c r="H9" s="50">
        <f>IFERROR(H$53/H$45,"n/a")</f>
        <v/>
      </c>
      <c r="I9" s="50">
        <f>IFERROR(I$53/I$45,"n/a")</f>
        <v/>
      </c>
    </row>
    <row r="10">
      <c r="A10" s="14" t="inlineStr">
        <is>
          <t>D/E (Nợ vay / Vốn chủ sở hữu)</t>
        </is>
      </c>
      <c r="B10" s="43">
        <f>IFERROR((B$36+B$38)/B$41,"n/a")</f>
        <v/>
      </c>
      <c r="C10" s="43">
        <f>IFERROR((C$36+C$38)/C$41,"n/a")</f>
        <v/>
      </c>
      <c r="D10" s="43">
        <f>IFERROR((D$36+D$38)/D$41,"n/a")</f>
        <v/>
      </c>
      <c r="E10" s="43">
        <f>IFERROR((E$36+E$38)/E$41,"n/a")</f>
        <v/>
      </c>
      <c r="F10" s="43">
        <f>IFERROR((F$36+F$38)/F$41,"n/a")</f>
        <v/>
      </c>
      <c r="G10" s="43">
        <f>IFERROR((G$36+G$38)/G$41,"n/a")</f>
        <v/>
      </c>
      <c r="H10" s="43">
        <f>IFERROR((H$36+H$38)/H$41,"n/a")</f>
        <v/>
      </c>
      <c r="I10" s="43">
        <f>IFERROR((I$36+I$38)/I$41,"n/a")</f>
        <v/>
      </c>
    </row>
    <row r="11">
      <c r="A11" s="16" t="inlineStr">
        <is>
          <t xml:space="preserve">     - Nợ vay dài hạn/Vốn chủ sở hữu</t>
        </is>
      </c>
      <c r="B11" s="43">
        <f>IFERROR(B$38/B$41,"n/a")</f>
        <v/>
      </c>
      <c r="C11" s="43">
        <f>IFERROR(C$38/C$41,"n/a")</f>
        <v/>
      </c>
      <c r="D11" s="43">
        <f>IFERROR(D$38/D$41,"n/a")</f>
        <v/>
      </c>
      <c r="E11" s="43">
        <f>IFERROR(E$38/E$41,"n/a")</f>
        <v/>
      </c>
      <c r="F11" s="43">
        <f>IFERROR(F$38/F$41,"n/a")</f>
        <v/>
      </c>
      <c r="G11" s="43">
        <f>IFERROR(G$38/G$41,"n/a")</f>
        <v/>
      </c>
      <c r="H11" s="43">
        <f>IFERROR(H$38/H$41,"n/a")</f>
        <v/>
      </c>
      <c r="I11" s="43">
        <f>IFERROR(I$38/I$41,"n/a")</f>
        <v/>
      </c>
    </row>
    <row r="12">
      <c r="A12" s="16" t="inlineStr">
        <is>
          <t xml:space="preserve">     - Nợ vay ngắn hạn/Vốn chủ sở hữu</t>
        </is>
      </c>
      <c r="B12" s="43">
        <f>IFERROR(B$36/B$41,"n/a")</f>
        <v/>
      </c>
      <c r="C12" s="43">
        <f>IFERROR(C$36/C$41,"n/a")</f>
        <v/>
      </c>
      <c r="D12" s="43">
        <f>IFERROR(D$36/D$41,"n/a")</f>
        <v/>
      </c>
      <c r="E12" s="43">
        <f>IFERROR(E$36/E$41,"n/a")</f>
        <v/>
      </c>
      <c r="F12" s="43">
        <f>IFERROR(F$36/F$41,"n/a")</f>
        <v/>
      </c>
      <c r="G12" s="43">
        <f>IFERROR(G$36/G$41,"n/a")</f>
        <v/>
      </c>
      <c r="H12" s="43">
        <f>IFERROR(H$36/H$41,"n/a")</f>
        <v/>
      </c>
      <c r="I12" s="43">
        <f>IFERROR(I$36/I$41,"n/a")</f>
        <v/>
      </c>
    </row>
    <row r="13">
      <c r="A13" s="14" t="inlineStr">
        <is>
          <t>Nợ phải trả/Vốn chủ sở hữu</t>
        </is>
      </c>
      <c r="B13" s="43">
        <f>IFERROR(B$40/B$41,"n/a")</f>
        <v/>
      </c>
      <c r="C13" s="43">
        <f>IFERROR(C$40/C$41,"n/a")</f>
        <v/>
      </c>
      <c r="D13" s="43">
        <f>IFERROR(D$40/D$41,"n/a")</f>
        <v/>
      </c>
      <c r="E13" s="43">
        <f>IFERROR(E$40/E$41,"n/a")</f>
        <v/>
      </c>
      <c r="F13" s="43">
        <f>IFERROR(F$40/F$41,"n/a")</f>
        <v/>
      </c>
      <c r="G13" s="43">
        <f>IFERROR(G$40/G$41,"n/a")</f>
        <v/>
      </c>
      <c r="H13" s="43">
        <f>IFERROR(H$40/H$41,"n/a")</f>
        <v/>
      </c>
      <c r="I13" s="43">
        <f>IFERROR(I$40/I$41,"n/a")</f>
        <v/>
      </c>
    </row>
    <row r="14">
      <c r="A14" s="16" t="inlineStr">
        <is>
          <t xml:space="preserve">     - Nợ dài hạn/Vốn chủ sở hữu</t>
        </is>
      </c>
      <c r="B14" s="43">
        <f>IFERROR(B$39/B$41,"n/a")</f>
        <v/>
      </c>
      <c r="C14" s="43">
        <f>IFERROR(C$39/C$41,"n/a")</f>
        <v/>
      </c>
      <c r="D14" s="43">
        <f>IFERROR(D$39/D$41,"n/a")</f>
        <v/>
      </c>
      <c r="E14" s="43">
        <f>IFERROR(E$39/E$41,"n/a")</f>
        <v/>
      </c>
      <c r="F14" s="43">
        <f>IFERROR(F$39/F$41,"n/a")</f>
        <v/>
      </c>
      <c r="G14" s="43">
        <f>IFERROR(G$39/G$41,"n/a")</f>
        <v/>
      </c>
      <c r="H14" s="43">
        <f>IFERROR(H$39/H$41,"n/a")</f>
        <v/>
      </c>
      <c r="I14" s="43">
        <f>IFERROR(I$39/I$41,"n/a")</f>
        <v/>
      </c>
    </row>
    <row r="15">
      <c r="A15" s="16" t="inlineStr">
        <is>
          <t xml:space="preserve">     - Nợ ngắn hạn/Vốn chủ sở hữu</t>
        </is>
      </c>
      <c r="B15" s="43">
        <f>IFERROR(B$37/B$41,"n/a")</f>
        <v/>
      </c>
      <c r="C15" s="43">
        <f>IFERROR(C$37/C$41,"n/a")</f>
        <v/>
      </c>
      <c r="D15" s="43">
        <f>IFERROR(D$37/D$41,"n/a")</f>
        <v/>
      </c>
      <c r="E15" s="43">
        <f>IFERROR(E$37/E$41,"n/a")</f>
        <v/>
      </c>
      <c r="F15" s="43">
        <f>IFERROR(F$37/F$41,"n/a")</f>
        <v/>
      </c>
      <c r="G15" s="43">
        <f>IFERROR(G$37/G$41,"n/a")</f>
        <v/>
      </c>
      <c r="H15" s="43">
        <f>IFERROR(H$37/H$41,"n/a")</f>
        <v/>
      </c>
      <c r="I15" s="43">
        <f>IFERROR(I$37/I$41,"n/a")</f>
        <v/>
      </c>
    </row>
    <row r="16">
      <c r="A16" s="14" t="inlineStr">
        <is>
          <t>Chi phí bán hàng, quản lý/LN gộp</t>
        </is>
      </c>
      <c r="B16" s="50">
        <f>IFERROR((ABS(B$48)+ABS(B$49))/B$47,"n/a")</f>
        <v/>
      </c>
      <c r="C16" s="50">
        <f>IFERROR((ABS(C$48)+ABS(C$49))/C$47,"n/a")</f>
        <v/>
      </c>
      <c r="D16" s="50">
        <f>IFERROR((ABS(D$48)+ABS(D$49))/D$47,"n/a")</f>
        <v/>
      </c>
      <c r="E16" s="50">
        <f>IFERROR((ABS(E$48)+ABS(E$49))/E$47,"n/a")</f>
        <v/>
      </c>
      <c r="F16" s="50">
        <f>IFERROR((ABS(F$48)+ABS(F$49))/F$47,"n/a")</f>
        <v/>
      </c>
      <c r="G16" s="50">
        <f>IFERROR((ABS(G$48)+ABS(G$49))/G$47,"n/a")</f>
        <v/>
      </c>
      <c r="H16" s="50">
        <f>IFERROR((ABS(H$48)+ABS(H$49))/H$47,"n/a")</f>
        <v/>
      </c>
      <c r="I16" s="50">
        <f>IFERROR((ABS(I$48)+ABS(I$49))/I$47,"n/a")</f>
        <v/>
      </c>
    </row>
    <row r="17">
      <c r="A17" s="14" t="inlineStr">
        <is>
          <t>Chi phí lãi vay/LN từ hoạt động kinh doanh</t>
        </is>
      </c>
      <c r="B17" s="50">
        <f>IFERROR(ABS(B$51)/B$50,"n/a")</f>
        <v/>
      </c>
      <c r="C17" s="50">
        <f>IFERROR(ABS(C$51)/C$50,"n/a")</f>
        <v/>
      </c>
      <c r="D17" s="50">
        <f>IFERROR(ABS(D$51)/D$50,"n/a")</f>
        <v/>
      </c>
      <c r="E17" s="50">
        <f>IFERROR(ABS(E$51)/E$50,"n/a")</f>
        <v/>
      </c>
      <c r="F17" s="50">
        <f>IFERROR(ABS(F$51)/F$50,"n/a")</f>
        <v/>
      </c>
      <c r="G17" s="50">
        <f>IFERROR(ABS(G$51)/G$50,"n/a")</f>
        <v/>
      </c>
      <c r="H17" s="50">
        <f>IFERROR(ABS(H$51)/H$50,"n/a")</f>
        <v/>
      </c>
      <c r="I17" s="50">
        <f>IFERROR(ABS(I$51)/I$50,"n/a")</f>
        <v/>
      </c>
    </row>
    <row r="18">
      <c r="A18" s="14" t="inlineStr">
        <is>
          <t>Số ngày phải trả (DPO)</t>
        </is>
      </c>
      <c r="B18" s="44">
        <f>IFERROR(((B$35+#REF!)/2)/ABS(B$46)*365,"n/a")</f>
        <v/>
      </c>
      <c r="C18" s="44">
        <f>IFERROR(((C$35+B$35)/2)/ABS(C$46)*365,"n/a")</f>
        <v/>
      </c>
      <c r="D18" s="44">
        <f>IFERROR(((D$35+C$35)/2)/ABS(D$46)*365,"n/a")</f>
        <v/>
      </c>
      <c r="E18" s="44">
        <f>IFERROR(((E$35+D$35)/2)/ABS(E$46)*365,"n/a")</f>
        <v/>
      </c>
      <c r="F18" s="44">
        <f>IFERROR(((F$35+E$35)/2)/ABS(F$46)*365,"n/a")</f>
        <v/>
      </c>
      <c r="G18" s="44">
        <f>IFERROR(((G$35+F$35)/2)/ABS(G$46)*365,"n/a")</f>
        <v/>
      </c>
      <c r="H18" s="44">
        <f>IFERROR(((H$35+G$35)/2)/ABS(H$46)*365,"n/a")</f>
        <v/>
      </c>
      <c r="I18" s="44">
        <f>IFERROR(((I$35+H$35)/2)/ABS(I$46)*365,"n/a")</f>
        <v/>
      </c>
    </row>
    <row r="19">
      <c r="A19" s="14" t="inlineStr">
        <is>
          <t>Số ngày phải thu (DSO)</t>
        </is>
      </c>
      <c r="B19" s="44">
        <f>IFERROR(((B$29+#REF!)/2)/B$45*365,"n/a")</f>
        <v/>
      </c>
      <c r="C19" s="44">
        <f>IFERROR(((C$29+B$29)/2)/C$45*365,"n/a")</f>
        <v/>
      </c>
      <c r="D19" s="44">
        <f>IFERROR(((D$29+C$29)/2)/D$45*365,"n/a")</f>
        <v/>
      </c>
      <c r="E19" s="44">
        <f>IFERROR(((E$29+D$29)/2)/E$45*365,"n/a")</f>
        <v/>
      </c>
      <c r="F19" s="44">
        <f>IFERROR(((F$29+E$29)/2)/F$45*365,"n/a")</f>
        <v/>
      </c>
      <c r="G19" s="44">
        <f>IFERROR(((G$29+F$29)/2)/G$45*365,"n/a")</f>
        <v/>
      </c>
      <c r="H19" s="44">
        <f>IFERROR(((H$29+G$29)/2)/H$45*365,"n/a")</f>
        <v/>
      </c>
      <c r="I19" s="44">
        <f>IFERROR(((I$29+H$29)/2)/I$45*365,"n/a")</f>
        <v/>
      </c>
    </row>
    <row r="20">
      <c r="A20" s="14" t="inlineStr">
        <is>
          <t>Số ngày tồn kho (DIO)</t>
        </is>
      </c>
      <c r="B20" s="44">
        <f>IFERROR(((B$30+#REF!)/2)/ABS(B$46)*365,"n/a")</f>
        <v/>
      </c>
      <c r="C20" s="44">
        <f>IFERROR(((C$30+B$30)/2)/ABS(C$46)*365,"n/a")</f>
        <v/>
      </c>
      <c r="D20" s="44">
        <f>IFERROR(((D$30+C$30)/2)/ABS(D$46)*365,"n/a")</f>
        <v/>
      </c>
      <c r="E20" s="44">
        <f>IFERROR(((E$30+D$30)/2)/ABS(E$46)*365,"n/a")</f>
        <v/>
      </c>
      <c r="F20" s="44">
        <f>IFERROR(((F$30+E$30)/2)/ABS(F$46)*365,"n/a")</f>
        <v/>
      </c>
      <c r="G20" s="44">
        <f>IFERROR(((G$30+F$30)/2)/ABS(G$46)*365,"n/a")</f>
        <v/>
      </c>
      <c r="H20" s="44">
        <f>IFERROR(((H$30+G$30)/2)/ABS(H$46)*365,"n/a")</f>
        <v/>
      </c>
      <c r="I20" s="44">
        <f>IFERROR(((I$30+H$30)/2)/ABS(I$46)*365,"n/a")</f>
        <v/>
      </c>
    </row>
    <row r="21">
      <c r="A21" s="14" t="inlineStr">
        <is>
          <t>Tiền và tương đương tiền/Tài sản</t>
        </is>
      </c>
      <c r="B21" s="50">
        <f>IFERROR(B$28/B$33,"n/a")</f>
        <v/>
      </c>
      <c r="C21" s="50">
        <f>IFERROR(C$28/C$33,"n/a")</f>
        <v/>
      </c>
      <c r="D21" s="50">
        <f>IFERROR(D$28/D$33,"n/a")</f>
        <v/>
      </c>
      <c r="E21" s="50">
        <f>IFERROR(E$28/E$33,"n/a")</f>
        <v/>
      </c>
      <c r="F21" s="50">
        <f>IFERROR(F$28/F$33,"n/a")</f>
        <v/>
      </c>
      <c r="G21" s="50">
        <f>IFERROR(G$28/G$33,"n/a")</f>
        <v/>
      </c>
      <c r="H21" s="50">
        <f>IFERROR(H$28/H$33,"n/a")</f>
        <v/>
      </c>
      <c r="I21" s="50">
        <f>IFERROR(I$28/I$33,"n/a")</f>
        <v/>
      </c>
    </row>
    <row r="22">
      <c r="A22" s="14" t="inlineStr">
        <is>
          <t>Hàng tồn kho/Tài sản</t>
        </is>
      </c>
      <c r="B22" s="50">
        <f>IFERROR(B$30/B$33,"n/a")</f>
        <v/>
      </c>
      <c r="C22" s="50">
        <f>IFERROR(C$30/C$33,"n/a")</f>
        <v/>
      </c>
      <c r="D22" s="50">
        <f>IFERROR(D$30/D$33,"n/a")</f>
        <v/>
      </c>
      <c r="E22" s="50">
        <f>IFERROR(E$30/E$33,"n/a")</f>
        <v/>
      </c>
      <c r="F22" s="50">
        <f>IFERROR(F$30/F$33,"n/a")</f>
        <v/>
      </c>
      <c r="G22" s="50">
        <f>IFERROR(G$30/G$33,"n/a")</f>
        <v/>
      </c>
      <c r="H22" s="50">
        <f>IFERROR(H$30/H$33,"n/a")</f>
        <v/>
      </c>
      <c r="I22" s="50">
        <f>IFERROR(I$30/I$33,"n/a")</f>
        <v/>
      </c>
    </row>
    <row r="24">
      <c r="A24" s="2" t="inlineStr">
        <is>
          <t>II. DỮ LIỆU TRÍCH XUẤT (tự động dò theo tên khoản mục)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4" t="inlineStr">
        <is>
          <t>Khoản mục</t>
        </is>
      </c>
      <c r="B25" s="5">
        <f>balance_sheet!B1</f>
        <v/>
      </c>
      <c r="C25" s="5">
        <f>balance_sheet!C1</f>
        <v/>
      </c>
      <c r="D25" s="5">
        <f>balance_sheet!D1</f>
        <v/>
      </c>
      <c r="E25" s="5">
        <f>balance_sheet!E1</f>
        <v/>
      </c>
      <c r="F25" s="5">
        <f>balance_sheet!F1</f>
        <v/>
      </c>
      <c r="G25" s="5">
        <f>balance_sheet!G1</f>
        <v/>
      </c>
      <c r="H25" s="5">
        <f>balance_sheet!H1</f>
        <v/>
      </c>
      <c r="I25" s="5">
        <f>balance_sheet!I1</f>
        <v/>
      </c>
    </row>
    <row r="26">
      <c r="A26" s="4" t="inlineStr">
        <is>
          <t>CĐKT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4" t="inlineStr">
        <is>
          <t>Tài sản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6" t="inlineStr">
        <is>
          <t>Tiền và tương đương tiền</t>
        </is>
      </c>
      <c r="B28" s="51">
        <f>IFERROR(INDEX(balance_sheet!$B:$XFD,MATCH("Tiền và tương đương tiền",balance_sheet!$A:$A,0),MATCH(B$25,balance_sheet!$B$1:$XFD$1,0)),"")</f>
        <v/>
      </c>
      <c r="C28" s="51">
        <f>IFERROR(INDEX(balance_sheet!$B:$XFD,MATCH("Tiền và tương đương tiền",balance_sheet!$A:$A,0),MATCH(C$25,balance_sheet!$B$1:$XFD$1,0)),"")</f>
        <v/>
      </c>
      <c r="D28" s="51">
        <f>IFERROR(INDEX(balance_sheet!$B:$XFD,MATCH("Tiền và tương đương tiền",balance_sheet!$A:$A,0),MATCH(D$25,balance_sheet!$B$1:$XFD$1,0)),"")</f>
        <v/>
      </c>
      <c r="E28" s="51">
        <f>IFERROR(INDEX(balance_sheet!$B:$XFD,MATCH("Tiền và tương đương tiền",balance_sheet!$A:$A,0),MATCH(E$25,balance_sheet!$B$1:$XFD$1,0)),"")</f>
        <v/>
      </c>
      <c r="F28" s="51">
        <f>IFERROR(INDEX(balance_sheet!$B:$XFD,MATCH("Tiền và tương đương tiền",balance_sheet!$A:$A,0),MATCH(F$25,balance_sheet!$B$1:$XFD$1,0)),"")</f>
        <v/>
      </c>
      <c r="G28" s="51">
        <f>IFERROR(INDEX(balance_sheet!$B:$XFD,MATCH("Tiền và tương đương tiền",balance_sheet!$A:$A,0),MATCH(G$25,balance_sheet!$B$1:$XFD$1,0)),"")</f>
        <v/>
      </c>
      <c r="H28" s="51">
        <f>IFERROR(INDEX(balance_sheet!$B:$XFD,MATCH("Tiền và tương đương tiền",balance_sheet!$A:$A,0),MATCH(H$25,balance_sheet!$B$1:$XFD$1,0)),"")</f>
        <v/>
      </c>
      <c r="I28" s="51">
        <f>IFERROR(INDEX(balance_sheet!$B:$XFD,MATCH("Tiền và tương đương tiền",balance_sheet!$A:$A,0),MATCH(I$25,balance_sheet!$B$1:$XFD$1,0)),"")</f>
        <v/>
      </c>
    </row>
    <row r="29">
      <c r="A29" s="6" t="inlineStr">
        <is>
          <t>Phải thu khách hàng</t>
        </is>
      </c>
      <c r="B29" s="51">
        <f>IFERROR(INDEX(balance_sheet!$B:$XFD,MATCH("Phải thu khách hàng",balance_sheet!$A:$A,0),MATCH(B$25,balance_sheet!$B$1:$XFD$1,0)),"")</f>
        <v/>
      </c>
      <c r="C29" s="51">
        <f>IFERROR(INDEX(balance_sheet!$B:$XFD,MATCH("Phải thu khách hàng",balance_sheet!$A:$A,0),MATCH(C$25,balance_sheet!$B$1:$XFD$1,0)),"")</f>
        <v/>
      </c>
      <c r="D29" s="51">
        <f>IFERROR(INDEX(balance_sheet!$B:$XFD,MATCH("Phải thu khách hàng",balance_sheet!$A:$A,0),MATCH(D$25,balance_sheet!$B$1:$XFD$1,0)),"")</f>
        <v/>
      </c>
      <c r="E29" s="51">
        <f>IFERROR(INDEX(balance_sheet!$B:$XFD,MATCH("Phải thu khách hàng",balance_sheet!$A:$A,0),MATCH(E$25,balance_sheet!$B$1:$XFD$1,0)),"")</f>
        <v/>
      </c>
      <c r="F29" s="51">
        <f>IFERROR(INDEX(balance_sheet!$B:$XFD,MATCH("Phải thu khách hàng",balance_sheet!$A:$A,0),MATCH(F$25,balance_sheet!$B$1:$XFD$1,0)),"")</f>
        <v/>
      </c>
      <c r="G29" s="51">
        <f>IFERROR(INDEX(balance_sheet!$B:$XFD,MATCH("Phải thu khách hàng",balance_sheet!$A:$A,0),MATCH(G$25,balance_sheet!$B$1:$XFD$1,0)),"")</f>
        <v/>
      </c>
      <c r="H29" s="51">
        <f>IFERROR(INDEX(balance_sheet!$B:$XFD,MATCH("Phải thu khách hàng",balance_sheet!$A:$A,0),MATCH(H$25,balance_sheet!$B$1:$XFD$1,0)),"")</f>
        <v/>
      </c>
      <c r="I29" s="51">
        <f>IFERROR(INDEX(balance_sheet!$B:$XFD,MATCH("Phải thu khách hàng",balance_sheet!$A:$A,0),MATCH(I$25,balance_sheet!$B$1:$XFD$1,0)),"")</f>
        <v/>
      </c>
    </row>
    <row r="30">
      <c r="A30" s="6" t="inlineStr">
        <is>
          <t>Hàng tồn kho, ròng</t>
        </is>
      </c>
      <c r="B30" s="51">
        <f>IFERROR(INDEX(balance_sheet!$B:$XFD,MATCH("Hàng tồn kho, ròng",balance_sheet!$A:$A,0),MATCH(B$25,balance_sheet!$B$1:$XFD$1,0)),"")</f>
        <v/>
      </c>
      <c r="C30" s="51">
        <f>IFERROR(INDEX(balance_sheet!$B:$XFD,MATCH("Hàng tồn kho, ròng",balance_sheet!$A:$A,0),MATCH(C$25,balance_sheet!$B$1:$XFD$1,0)),"")</f>
        <v/>
      </c>
      <c r="D30" s="51">
        <f>IFERROR(INDEX(balance_sheet!$B:$XFD,MATCH("Hàng tồn kho, ròng",balance_sheet!$A:$A,0),MATCH(D$25,balance_sheet!$B$1:$XFD$1,0)),"")</f>
        <v/>
      </c>
      <c r="E30" s="51">
        <f>IFERROR(INDEX(balance_sheet!$B:$XFD,MATCH("Hàng tồn kho, ròng",balance_sheet!$A:$A,0),MATCH(E$25,balance_sheet!$B$1:$XFD$1,0)),"")</f>
        <v/>
      </c>
      <c r="F30" s="51">
        <f>IFERROR(INDEX(balance_sheet!$B:$XFD,MATCH("Hàng tồn kho, ròng",balance_sheet!$A:$A,0),MATCH(F$25,balance_sheet!$B$1:$XFD$1,0)),"")</f>
        <v/>
      </c>
      <c r="G30" s="51">
        <f>IFERROR(INDEX(balance_sheet!$B:$XFD,MATCH("Hàng tồn kho, ròng",balance_sheet!$A:$A,0),MATCH(G$25,balance_sheet!$B$1:$XFD$1,0)),"")</f>
        <v/>
      </c>
      <c r="H30" s="51">
        <f>IFERROR(INDEX(balance_sheet!$B:$XFD,MATCH("Hàng tồn kho, ròng",balance_sheet!$A:$A,0),MATCH(H$25,balance_sheet!$B$1:$XFD$1,0)),"")</f>
        <v/>
      </c>
      <c r="I30" s="51">
        <f>IFERROR(INDEX(balance_sheet!$B:$XFD,MATCH("Hàng tồn kho, ròng",balance_sheet!$A:$A,0),MATCH(I$25,balance_sheet!$B$1:$XFD$1,0)),"")</f>
        <v/>
      </c>
    </row>
    <row r="31">
      <c r="A31" s="6" t="inlineStr">
        <is>
          <t>TÀI SẢN NGẮN HẠN</t>
        </is>
      </c>
      <c r="B31" s="51">
        <f>IFERROR(INDEX(balance_sheet!$B:$XFD,MATCH("TÀI SẢN NGẮN HẠN",balance_sheet!$A:$A,0),MATCH(B$25,balance_sheet!$B$1:$XFD$1,0)),"")</f>
        <v/>
      </c>
      <c r="C31" s="51">
        <f>IFERROR(INDEX(balance_sheet!$B:$XFD,MATCH("TÀI SẢN NGẮN HẠN",balance_sheet!$A:$A,0),MATCH(C$25,balance_sheet!$B$1:$XFD$1,0)),"")</f>
        <v/>
      </c>
      <c r="D31" s="51">
        <f>IFERROR(INDEX(balance_sheet!$B:$XFD,MATCH("TÀI SẢN NGẮN HẠN",balance_sheet!$A:$A,0),MATCH(D$25,balance_sheet!$B$1:$XFD$1,0)),"")</f>
        <v/>
      </c>
      <c r="E31" s="51">
        <f>IFERROR(INDEX(balance_sheet!$B:$XFD,MATCH("TÀI SẢN NGẮN HẠN",balance_sheet!$A:$A,0),MATCH(E$25,balance_sheet!$B$1:$XFD$1,0)),"")</f>
        <v/>
      </c>
      <c r="F31" s="51">
        <f>IFERROR(INDEX(balance_sheet!$B:$XFD,MATCH("TÀI SẢN NGẮN HẠN",balance_sheet!$A:$A,0),MATCH(F$25,balance_sheet!$B$1:$XFD$1,0)),"")</f>
        <v/>
      </c>
      <c r="G31" s="51">
        <f>IFERROR(INDEX(balance_sheet!$B:$XFD,MATCH("TÀI SẢN NGẮN HẠN",balance_sheet!$A:$A,0),MATCH(G$25,balance_sheet!$B$1:$XFD$1,0)),"")</f>
        <v/>
      </c>
      <c r="H31" s="51">
        <f>IFERROR(INDEX(balance_sheet!$B:$XFD,MATCH("TÀI SẢN NGẮN HẠN",balance_sheet!$A:$A,0),MATCH(H$25,balance_sheet!$B$1:$XFD$1,0)),"")</f>
        <v/>
      </c>
      <c r="I31" s="51">
        <f>IFERROR(INDEX(balance_sheet!$B:$XFD,MATCH("TÀI SẢN NGẮN HẠN",balance_sheet!$A:$A,0),MATCH(I$25,balance_sheet!$B$1:$XFD$1,0)),"")</f>
        <v/>
      </c>
    </row>
    <row r="32">
      <c r="A32" s="6" t="inlineStr">
        <is>
          <t>GTCL tài sản cố định vô hình</t>
        </is>
      </c>
      <c r="B32" s="51">
        <f>IFERROR(INDEX(balance_sheet!$B:$XFD,MATCH("GTCL tài sản cố định vô hình",balance_sheet!$A:$A,0),MATCH(B$25,balance_sheet!$B$1:$XFD$1,0)),"")</f>
        <v/>
      </c>
      <c r="C32" s="51">
        <f>IFERROR(INDEX(balance_sheet!$B:$XFD,MATCH("GTCL tài sản cố định vô hình",balance_sheet!$A:$A,0),MATCH(C$25,balance_sheet!$B$1:$XFD$1,0)),"")</f>
        <v/>
      </c>
      <c r="D32" s="51">
        <f>IFERROR(INDEX(balance_sheet!$B:$XFD,MATCH("GTCL tài sản cố định vô hình",balance_sheet!$A:$A,0),MATCH(D$25,balance_sheet!$B$1:$XFD$1,0)),"")</f>
        <v/>
      </c>
      <c r="E32" s="51">
        <f>IFERROR(INDEX(balance_sheet!$B:$XFD,MATCH("GTCL tài sản cố định vô hình",balance_sheet!$A:$A,0),MATCH(E$25,balance_sheet!$B$1:$XFD$1,0)),"")</f>
        <v/>
      </c>
      <c r="F32" s="51">
        <f>IFERROR(INDEX(balance_sheet!$B:$XFD,MATCH("GTCL tài sản cố định vô hình",balance_sheet!$A:$A,0),MATCH(F$25,balance_sheet!$B$1:$XFD$1,0)),"")</f>
        <v/>
      </c>
      <c r="G32" s="51">
        <f>IFERROR(INDEX(balance_sheet!$B:$XFD,MATCH("GTCL tài sản cố định vô hình",balance_sheet!$A:$A,0),MATCH(G$25,balance_sheet!$B$1:$XFD$1,0)),"")</f>
        <v/>
      </c>
      <c r="H32" s="51">
        <f>IFERROR(INDEX(balance_sheet!$B:$XFD,MATCH("GTCL tài sản cố định vô hình",balance_sheet!$A:$A,0),MATCH(H$25,balance_sheet!$B$1:$XFD$1,0)),"")</f>
        <v/>
      </c>
      <c r="I32" s="51">
        <f>IFERROR(INDEX(balance_sheet!$B:$XFD,MATCH("GTCL tài sản cố định vô hình",balance_sheet!$A:$A,0),MATCH(I$25,balance_sheet!$B$1:$XFD$1,0)),"")</f>
        <v/>
      </c>
    </row>
    <row r="33">
      <c r="A33" s="6" t="inlineStr">
        <is>
          <t>TỔNG CỘNG TÀI SẢN</t>
        </is>
      </c>
      <c r="B33" s="51">
        <f>IFERROR(INDEX(balance_sheet!$B:$XFD,MATCH("TỔNG CỘNG TÀI SẢN",balance_sheet!$A:$A,0),MATCH(B$25,balance_sheet!$B$1:$XFD$1,0)),"")</f>
        <v/>
      </c>
      <c r="C33" s="51">
        <f>IFERROR(INDEX(balance_sheet!$B:$XFD,MATCH("TỔNG CỘNG TÀI SẢN",balance_sheet!$A:$A,0),MATCH(C$25,balance_sheet!$B$1:$XFD$1,0)),"")</f>
        <v/>
      </c>
      <c r="D33" s="51">
        <f>IFERROR(INDEX(balance_sheet!$B:$XFD,MATCH("TỔNG CỘNG TÀI SẢN",balance_sheet!$A:$A,0),MATCH(D$25,balance_sheet!$B$1:$XFD$1,0)),"")</f>
        <v/>
      </c>
      <c r="E33" s="51">
        <f>IFERROR(INDEX(balance_sheet!$B:$XFD,MATCH("TỔNG CỘNG TÀI SẢN",balance_sheet!$A:$A,0),MATCH(E$25,balance_sheet!$B$1:$XFD$1,0)),"")</f>
        <v/>
      </c>
      <c r="F33" s="51">
        <f>IFERROR(INDEX(balance_sheet!$B:$XFD,MATCH("TỔNG CỘNG TÀI SẢN",balance_sheet!$A:$A,0),MATCH(F$25,balance_sheet!$B$1:$XFD$1,0)),"")</f>
        <v/>
      </c>
      <c r="G33" s="51">
        <f>IFERROR(INDEX(balance_sheet!$B:$XFD,MATCH("TỔNG CỘNG TÀI SẢN",balance_sheet!$A:$A,0),MATCH(G$25,balance_sheet!$B$1:$XFD$1,0)),"")</f>
        <v/>
      </c>
      <c r="H33" s="51">
        <f>IFERROR(INDEX(balance_sheet!$B:$XFD,MATCH("TỔNG CỘNG TÀI SẢN",balance_sheet!$A:$A,0),MATCH(H$25,balance_sheet!$B$1:$XFD$1,0)),"")</f>
        <v/>
      </c>
      <c r="I33" s="51">
        <f>IFERROR(INDEX(balance_sheet!$B:$XFD,MATCH("TỔNG CỘNG TÀI SẢN",balance_sheet!$A:$A,0),MATCH(I$25,balance_sheet!$B$1:$XFD$1,0)),"")</f>
        <v/>
      </c>
    </row>
    <row r="34">
      <c r="A34" s="4" t="inlineStr">
        <is>
          <t>Nguồn vốn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6" t="inlineStr">
        <is>
          <t>Phải trả người bán</t>
        </is>
      </c>
      <c r="B35" s="51">
        <f>IFERROR(INDEX(balance_sheet!$B:$XFD,MATCH("Phải trả người bán",balance_sheet!$A:$A,0),MATCH(B$25,balance_sheet!$B$1:$XFD$1,0)),"")</f>
        <v/>
      </c>
      <c r="C35" s="51">
        <f>IFERROR(INDEX(balance_sheet!$B:$XFD,MATCH("Phải trả người bán",balance_sheet!$A:$A,0),MATCH(C$25,balance_sheet!$B$1:$XFD$1,0)),"")</f>
        <v/>
      </c>
      <c r="D35" s="51">
        <f>IFERROR(INDEX(balance_sheet!$B:$XFD,MATCH("Phải trả người bán",balance_sheet!$A:$A,0),MATCH(D$25,balance_sheet!$B$1:$XFD$1,0)),"")</f>
        <v/>
      </c>
      <c r="E35" s="51">
        <f>IFERROR(INDEX(balance_sheet!$B:$XFD,MATCH("Phải trả người bán",balance_sheet!$A:$A,0),MATCH(E$25,balance_sheet!$B$1:$XFD$1,0)),"")</f>
        <v/>
      </c>
      <c r="F35" s="51">
        <f>IFERROR(INDEX(balance_sheet!$B:$XFD,MATCH("Phải trả người bán",balance_sheet!$A:$A,0),MATCH(F$25,balance_sheet!$B$1:$XFD$1,0)),"")</f>
        <v/>
      </c>
      <c r="G35" s="51">
        <f>IFERROR(INDEX(balance_sheet!$B:$XFD,MATCH("Phải trả người bán",balance_sheet!$A:$A,0),MATCH(G$25,balance_sheet!$B$1:$XFD$1,0)),"")</f>
        <v/>
      </c>
      <c r="H35" s="51">
        <f>IFERROR(INDEX(balance_sheet!$B:$XFD,MATCH("Phải trả người bán",balance_sheet!$A:$A,0),MATCH(H$25,balance_sheet!$B$1:$XFD$1,0)),"")</f>
        <v/>
      </c>
      <c r="I35" s="51">
        <f>IFERROR(INDEX(balance_sheet!$B:$XFD,MATCH("Phải trả người bán",balance_sheet!$A:$A,0),MATCH(I$25,balance_sheet!$B$1:$XFD$1,0)),"")</f>
        <v/>
      </c>
    </row>
    <row r="36">
      <c r="A36" s="6" t="inlineStr">
        <is>
          <t>Vay ngắn hạn</t>
        </is>
      </c>
      <c r="B36" s="51">
        <f>IFERROR(INDEX(balance_sheet!$B:$XFD,MATCH("Vay ngắn hạn",balance_sheet!$A:$A,0),MATCH(B$25,balance_sheet!$B$1:$XFD$1,0)),"")</f>
        <v/>
      </c>
      <c r="C36" s="51">
        <f>IFERROR(INDEX(balance_sheet!$B:$XFD,MATCH("Vay ngắn hạn",balance_sheet!$A:$A,0),MATCH(C$25,balance_sheet!$B$1:$XFD$1,0)),"")</f>
        <v/>
      </c>
      <c r="D36" s="51">
        <f>IFERROR(INDEX(balance_sheet!$B:$XFD,MATCH("Vay ngắn hạn",balance_sheet!$A:$A,0),MATCH(D$25,balance_sheet!$B$1:$XFD$1,0)),"")</f>
        <v/>
      </c>
      <c r="E36" s="51">
        <f>IFERROR(INDEX(balance_sheet!$B:$XFD,MATCH("Vay ngắn hạn",balance_sheet!$A:$A,0),MATCH(E$25,balance_sheet!$B$1:$XFD$1,0)),"")</f>
        <v/>
      </c>
      <c r="F36" s="51">
        <f>IFERROR(INDEX(balance_sheet!$B:$XFD,MATCH("Vay ngắn hạn",balance_sheet!$A:$A,0),MATCH(F$25,balance_sheet!$B$1:$XFD$1,0)),"")</f>
        <v/>
      </c>
      <c r="G36" s="51">
        <f>IFERROR(INDEX(balance_sheet!$B:$XFD,MATCH("Vay ngắn hạn",balance_sheet!$A:$A,0),MATCH(G$25,balance_sheet!$B$1:$XFD$1,0)),"")</f>
        <v/>
      </c>
      <c r="H36" s="51">
        <f>IFERROR(INDEX(balance_sheet!$B:$XFD,MATCH("Vay ngắn hạn",balance_sheet!$A:$A,0),MATCH(H$25,balance_sheet!$B$1:$XFD$1,0)),"")</f>
        <v/>
      </c>
      <c r="I36" s="51">
        <f>IFERROR(INDEX(balance_sheet!$B:$XFD,MATCH("Vay ngắn hạn",balance_sheet!$A:$A,0),MATCH(I$25,balance_sheet!$B$1:$XFD$1,0)),"")</f>
        <v/>
      </c>
    </row>
    <row r="37">
      <c r="A37" s="6" t="inlineStr">
        <is>
          <t>Nợ ngắn hạn</t>
        </is>
      </c>
      <c r="B37" s="51">
        <f>IFERROR(INDEX(balance_sheet!$B:$XFD,MATCH("Nợ ngắn hạn",balance_sheet!$A:$A,0),MATCH(B$25,balance_sheet!$B$1:$XFD$1,0)),"")</f>
        <v/>
      </c>
      <c r="C37" s="51">
        <f>IFERROR(INDEX(balance_sheet!$B:$XFD,MATCH("Nợ ngắn hạn",balance_sheet!$A:$A,0),MATCH(C$25,balance_sheet!$B$1:$XFD$1,0)),"")</f>
        <v/>
      </c>
      <c r="D37" s="51">
        <f>IFERROR(INDEX(balance_sheet!$B:$XFD,MATCH("Nợ ngắn hạn",balance_sheet!$A:$A,0),MATCH(D$25,balance_sheet!$B$1:$XFD$1,0)),"")</f>
        <v/>
      </c>
      <c r="E37" s="51">
        <f>IFERROR(INDEX(balance_sheet!$B:$XFD,MATCH("Nợ ngắn hạn",balance_sheet!$A:$A,0),MATCH(E$25,balance_sheet!$B$1:$XFD$1,0)),"")</f>
        <v/>
      </c>
      <c r="F37" s="51">
        <f>IFERROR(INDEX(balance_sheet!$B:$XFD,MATCH("Nợ ngắn hạn",balance_sheet!$A:$A,0),MATCH(F$25,balance_sheet!$B$1:$XFD$1,0)),"")</f>
        <v/>
      </c>
      <c r="G37" s="51">
        <f>IFERROR(INDEX(balance_sheet!$B:$XFD,MATCH("Nợ ngắn hạn",balance_sheet!$A:$A,0),MATCH(G$25,balance_sheet!$B$1:$XFD$1,0)),"")</f>
        <v/>
      </c>
      <c r="H37" s="51">
        <f>IFERROR(INDEX(balance_sheet!$B:$XFD,MATCH("Nợ ngắn hạn",balance_sheet!$A:$A,0),MATCH(H$25,balance_sheet!$B$1:$XFD$1,0)),"")</f>
        <v/>
      </c>
      <c r="I37" s="51">
        <f>IFERROR(INDEX(balance_sheet!$B:$XFD,MATCH("Nợ ngắn hạn",balance_sheet!$A:$A,0),MATCH(I$25,balance_sheet!$B$1:$XFD$1,0)),"")</f>
        <v/>
      </c>
    </row>
    <row r="38">
      <c r="A38" s="6" t="inlineStr">
        <is>
          <t>Vay dài hạn</t>
        </is>
      </c>
      <c r="B38" s="51">
        <f>IFERROR(INDEX(balance_sheet!$B:$XFD,MATCH("Vay dài hạn",balance_sheet!$A:$A,0),MATCH(B$25,balance_sheet!$B$1:$XFD$1,0)),"")</f>
        <v/>
      </c>
      <c r="C38" s="51">
        <f>IFERROR(INDEX(balance_sheet!$B:$XFD,MATCH("Vay dài hạn",balance_sheet!$A:$A,0),MATCH(C$25,balance_sheet!$B$1:$XFD$1,0)),"")</f>
        <v/>
      </c>
      <c r="D38" s="51">
        <f>IFERROR(INDEX(balance_sheet!$B:$XFD,MATCH("Vay dài hạn",balance_sheet!$A:$A,0),MATCH(D$25,balance_sheet!$B$1:$XFD$1,0)),"")</f>
        <v/>
      </c>
      <c r="E38" s="51">
        <f>IFERROR(INDEX(balance_sheet!$B:$XFD,MATCH("Vay dài hạn",balance_sheet!$A:$A,0),MATCH(E$25,balance_sheet!$B$1:$XFD$1,0)),"")</f>
        <v/>
      </c>
      <c r="F38" s="51">
        <f>IFERROR(INDEX(balance_sheet!$B:$XFD,MATCH("Vay dài hạn",balance_sheet!$A:$A,0),MATCH(F$25,balance_sheet!$B$1:$XFD$1,0)),"")</f>
        <v/>
      </c>
      <c r="G38" s="51">
        <f>IFERROR(INDEX(balance_sheet!$B:$XFD,MATCH("Vay dài hạn",balance_sheet!$A:$A,0),MATCH(G$25,balance_sheet!$B$1:$XFD$1,0)),"")</f>
        <v/>
      </c>
      <c r="H38" s="51">
        <f>IFERROR(INDEX(balance_sheet!$B:$XFD,MATCH("Vay dài hạn",balance_sheet!$A:$A,0),MATCH(H$25,balance_sheet!$B$1:$XFD$1,0)),"")</f>
        <v/>
      </c>
      <c r="I38" s="51">
        <f>IFERROR(INDEX(balance_sheet!$B:$XFD,MATCH("Vay dài hạn",balance_sheet!$A:$A,0),MATCH(I$25,balance_sheet!$B$1:$XFD$1,0)),"")</f>
        <v/>
      </c>
    </row>
    <row r="39">
      <c r="A39" s="6" t="inlineStr">
        <is>
          <t>Nợ dài hạn</t>
        </is>
      </c>
      <c r="B39" s="51">
        <f>IFERROR(INDEX(balance_sheet!$B:$XFD,MATCH("Nợ dài hạn",balance_sheet!$A:$A,0),MATCH(B$25,balance_sheet!$B$1:$XFD$1,0)),"")</f>
        <v/>
      </c>
      <c r="C39" s="51">
        <f>IFERROR(INDEX(balance_sheet!$B:$XFD,MATCH("Nợ dài hạn",balance_sheet!$A:$A,0),MATCH(C$25,balance_sheet!$B$1:$XFD$1,0)),"")</f>
        <v/>
      </c>
      <c r="D39" s="51">
        <f>IFERROR(INDEX(balance_sheet!$B:$XFD,MATCH("Nợ dài hạn",balance_sheet!$A:$A,0),MATCH(D$25,balance_sheet!$B$1:$XFD$1,0)),"")</f>
        <v/>
      </c>
      <c r="E39" s="51">
        <f>IFERROR(INDEX(balance_sheet!$B:$XFD,MATCH("Nợ dài hạn",balance_sheet!$A:$A,0),MATCH(E$25,balance_sheet!$B$1:$XFD$1,0)),"")</f>
        <v/>
      </c>
      <c r="F39" s="51">
        <f>IFERROR(INDEX(balance_sheet!$B:$XFD,MATCH("Nợ dài hạn",balance_sheet!$A:$A,0),MATCH(F$25,balance_sheet!$B$1:$XFD$1,0)),"")</f>
        <v/>
      </c>
      <c r="G39" s="51">
        <f>IFERROR(INDEX(balance_sheet!$B:$XFD,MATCH("Nợ dài hạn",balance_sheet!$A:$A,0),MATCH(G$25,balance_sheet!$B$1:$XFD$1,0)),"")</f>
        <v/>
      </c>
      <c r="H39" s="51">
        <f>IFERROR(INDEX(balance_sheet!$B:$XFD,MATCH("Nợ dài hạn",balance_sheet!$A:$A,0),MATCH(H$25,balance_sheet!$B$1:$XFD$1,0)),"")</f>
        <v/>
      </c>
      <c r="I39" s="51">
        <f>IFERROR(INDEX(balance_sheet!$B:$XFD,MATCH("Nợ dài hạn",balance_sheet!$A:$A,0),MATCH(I$25,balance_sheet!$B$1:$XFD$1,0)),"")</f>
        <v/>
      </c>
    </row>
    <row r="40">
      <c r="A40" s="6" t="inlineStr">
        <is>
          <t>NỢ PHẢI TRẢ</t>
        </is>
      </c>
      <c r="B40" s="51">
        <f>IFERROR(INDEX(balance_sheet!$B:$XFD,MATCH("NỢ PHẢI TRẢ",balance_sheet!$A:$A,0),MATCH(B$25,balance_sheet!$B$1:$XFD$1,0)),"")</f>
        <v/>
      </c>
      <c r="C40" s="51">
        <f>IFERROR(INDEX(balance_sheet!$B:$XFD,MATCH("NỢ PHẢI TRẢ",balance_sheet!$A:$A,0),MATCH(C$25,balance_sheet!$B$1:$XFD$1,0)),"")</f>
        <v/>
      </c>
      <c r="D40" s="51">
        <f>IFERROR(INDEX(balance_sheet!$B:$XFD,MATCH("NỢ PHẢI TRẢ",balance_sheet!$A:$A,0),MATCH(D$25,balance_sheet!$B$1:$XFD$1,0)),"")</f>
        <v/>
      </c>
      <c r="E40" s="51">
        <f>IFERROR(INDEX(balance_sheet!$B:$XFD,MATCH("NỢ PHẢI TRẢ",balance_sheet!$A:$A,0),MATCH(E$25,balance_sheet!$B$1:$XFD$1,0)),"")</f>
        <v/>
      </c>
      <c r="F40" s="51">
        <f>IFERROR(INDEX(balance_sheet!$B:$XFD,MATCH("NỢ PHẢI TRẢ",balance_sheet!$A:$A,0),MATCH(F$25,balance_sheet!$B$1:$XFD$1,0)),"")</f>
        <v/>
      </c>
      <c r="G40" s="51">
        <f>IFERROR(INDEX(balance_sheet!$B:$XFD,MATCH("NỢ PHẢI TRẢ",balance_sheet!$A:$A,0),MATCH(G$25,balance_sheet!$B$1:$XFD$1,0)),"")</f>
        <v/>
      </c>
      <c r="H40" s="51">
        <f>IFERROR(INDEX(balance_sheet!$B:$XFD,MATCH("NỢ PHẢI TRẢ",balance_sheet!$A:$A,0),MATCH(H$25,balance_sheet!$B$1:$XFD$1,0)),"")</f>
        <v/>
      </c>
      <c r="I40" s="51">
        <f>IFERROR(INDEX(balance_sheet!$B:$XFD,MATCH("NỢ PHẢI TRẢ",balance_sheet!$A:$A,0),MATCH(I$25,balance_sheet!$B$1:$XFD$1,0)),"")</f>
        <v/>
      </c>
    </row>
    <row r="41" ht="15" customFormat="1" customHeight="1" s="33">
      <c r="A41" s="4" t="inlineStr">
        <is>
          <t>Vốn chủ sở hữu</t>
        </is>
      </c>
      <c r="B41" s="52">
        <f>IFERROR(INDEX(balance_sheet!$B:$XFD,MATCH("Vốn chủ sở hữu",balance_sheet!$A:$A,0),MATCH(B$25,balance_sheet!$B$1:$XFD$1,0)),"")</f>
        <v/>
      </c>
      <c r="C41" s="52">
        <f>IFERROR(INDEX(balance_sheet!$B:$XFD,MATCH("Vốn chủ sở hữu",balance_sheet!$A:$A,0),MATCH(C$25,balance_sheet!$B$1:$XFD$1,0)),"")</f>
        <v/>
      </c>
      <c r="D41" s="52">
        <f>IFERROR(INDEX(balance_sheet!$B:$XFD,MATCH("Vốn chủ sở hữu",balance_sheet!$A:$A,0),MATCH(D$25,balance_sheet!$B$1:$XFD$1,0)),"")</f>
        <v/>
      </c>
      <c r="E41" s="52">
        <f>IFERROR(INDEX(balance_sheet!$B:$XFD,MATCH("Vốn chủ sở hữu",balance_sheet!$A:$A,0),MATCH(E$25,balance_sheet!$B$1:$XFD$1,0)),"")</f>
        <v/>
      </c>
      <c r="F41" s="52">
        <f>IFERROR(INDEX(balance_sheet!$B:$XFD,MATCH("Vốn chủ sở hữu",balance_sheet!$A:$A,0),MATCH(F$25,balance_sheet!$B$1:$XFD$1,0)),"")</f>
        <v/>
      </c>
      <c r="G41" s="52">
        <f>IFERROR(INDEX(balance_sheet!$B:$XFD,MATCH("Vốn chủ sở hữu",balance_sheet!$A:$A,0),MATCH(G$25,balance_sheet!$B$1:$XFD$1,0)),"")</f>
        <v/>
      </c>
      <c r="H41" s="52">
        <f>IFERROR(INDEX(balance_sheet!$B:$XFD,MATCH("Vốn chủ sở hữu",balance_sheet!$A:$A,0),MATCH(H$25,balance_sheet!$B$1:$XFD$1,0)),"")</f>
        <v/>
      </c>
      <c r="I41" s="52">
        <f>IFERROR(INDEX(balance_sheet!$B:$XFD,MATCH("Vốn chủ sở hữu",balance_sheet!$A:$A,0),MATCH(I$25,balance_sheet!$B$1:$XFD$1,0)),"")</f>
        <v/>
      </c>
    </row>
    <row r="42" ht="15" customFormat="1" customHeight="1" s="36">
      <c r="A42" s="34" t="inlineStr">
        <is>
          <t>Tăng VCSH/LN cổ đông cty mẹ</t>
        </is>
      </c>
      <c r="B42" s="35">
        <f>(B41-#REF!)/B53</f>
        <v/>
      </c>
      <c r="C42" s="35">
        <f>(C41-B41)/C53</f>
        <v/>
      </c>
      <c r="D42" s="35">
        <f>(D41-C41)/D53</f>
        <v/>
      </c>
      <c r="E42" s="35">
        <f>(E41-D41)/E53</f>
        <v/>
      </c>
      <c r="F42" s="35">
        <f>(F41-E41)/F53</f>
        <v/>
      </c>
      <c r="G42" s="35">
        <f>(G41-F41)/G53</f>
        <v/>
      </c>
      <c r="H42" s="35">
        <f>(H41-G41)/H53</f>
        <v/>
      </c>
      <c r="I42" s="35">
        <f>(I41-H41)/I53</f>
        <v/>
      </c>
    </row>
    <row r="43" ht="15" customFormat="1" customHeight="1" s="33">
      <c r="A43" s="4" t="inlineStr">
        <is>
          <t>Lợi ích cổ đông không kiểm soát</t>
        </is>
      </c>
      <c r="B43" s="52">
        <f>IFERROR(INDEX(balance_sheet!$B:$XFD,MATCH("Lợi ích cổ đông không kiểm soát",balance_sheet!$A:$A,0),MATCH(B$25,balance_sheet!$B$1:$XFD$1,0)),"")</f>
        <v/>
      </c>
      <c r="C43" s="52">
        <f>IFERROR(INDEX(balance_sheet!$B:$XFD,MATCH("Lợi ích cổ đông không kiểm soát",balance_sheet!$A:$A,0),MATCH(C$25,balance_sheet!$B$1:$XFD$1,0)),"")</f>
        <v/>
      </c>
      <c r="D43" s="52">
        <f>IFERROR(INDEX(balance_sheet!$B:$XFD,MATCH("Lợi ích cổ đông không kiểm soát",balance_sheet!$A:$A,0),MATCH(D$25,balance_sheet!$B$1:$XFD$1,0)),"")</f>
        <v/>
      </c>
      <c r="E43" s="52">
        <f>IFERROR(INDEX(balance_sheet!$B:$XFD,MATCH("Lợi ích cổ đông không kiểm soát",balance_sheet!$A:$A,0),MATCH(E$25,balance_sheet!$B$1:$XFD$1,0)),"")</f>
        <v/>
      </c>
      <c r="F43" s="52">
        <f>IFERROR(INDEX(balance_sheet!$B:$XFD,MATCH("Lợi ích cổ đông không kiểm soát",balance_sheet!$A:$A,0),MATCH(F$25,balance_sheet!$B$1:$XFD$1,0)),"")</f>
        <v/>
      </c>
      <c r="G43" s="52">
        <f>IFERROR(INDEX(balance_sheet!$B:$XFD,MATCH("Lợi ích cổ đông không kiểm soát",balance_sheet!$A:$A,0),MATCH(G$25,balance_sheet!$B$1:$XFD$1,0)),"")</f>
        <v/>
      </c>
      <c r="H43" s="52">
        <f>IFERROR(INDEX(balance_sheet!$B:$XFD,MATCH("Lợi ích cổ đông không kiểm soát",balance_sheet!$A:$A,0),MATCH(H$25,balance_sheet!$B$1:$XFD$1,0)),"")</f>
        <v/>
      </c>
      <c r="I43" s="52">
        <f>IFERROR(INDEX(balance_sheet!$B:$XFD,MATCH("Lợi ích cổ đông không kiểm soát",balance_sheet!$A:$A,0),MATCH(I$25,balance_sheet!$B$1:$XFD$1,0)),"")</f>
        <v/>
      </c>
    </row>
    <row r="44">
      <c r="A44" s="30" t="inlineStr">
        <is>
          <t>Kết quả hoạt động kinh doanh</t>
        </is>
      </c>
    </row>
    <row r="45" ht="15" customFormat="1" customHeight="1" s="33">
      <c r="A45" s="4" t="inlineStr">
        <is>
          <t>Doanh thu thuần</t>
        </is>
      </c>
      <c r="B45" s="52">
        <f>IFERROR(INDEX(income_statement!$B:$XFD,MATCH("Doanh thu thuần",income_statement!$A:$A,0),MATCH(B$25,income_statement!$B$1:$XFD$1,0)),"")</f>
        <v/>
      </c>
      <c r="C45" s="52">
        <f>IFERROR(INDEX(income_statement!$B:$XFD,MATCH("Doanh thu thuần",income_statement!$A:$A,0),MATCH(C$25,income_statement!$B$1:$XFD$1,0)),"")</f>
        <v/>
      </c>
      <c r="D45" s="52">
        <f>IFERROR(INDEX(income_statement!$B:$XFD,MATCH("Doanh thu thuần",income_statement!$A:$A,0),MATCH(D$25,income_statement!$B$1:$XFD$1,0)),"")</f>
        <v/>
      </c>
      <c r="E45" s="52">
        <f>IFERROR(INDEX(income_statement!$B:$XFD,MATCH("Doanh thu thuần",income_statement!$A:$A,0),MATCH(E$25,income_statement!$B$1:$XFD$1,0)),"")</f>
        <v/>
      </c>
      <c r="F45" s="52">
        <f>IFERROR(INDEX(income_statement!$B:$XFD,MATCH("Doanh thu thuần",income_statement!$A:$A,0),MATCH(F$25,income_statement!$B$1:$XFD$1,0)),"")</f>
        <v/>
      </c>
      <c r="G45" s="52">
        <f>IFERROR(INDEX(income_statement!$B:$XFD,MATCH("Doanh thu thuần",income_statement!$A:$A,0),MATCH(G$25,income_statement!$B$1:$XFD$1,0)),"")</f>
        <v/>
      </c>
      <c r="H45" s="52">
        <f>IFERROR(INDEX(income_statement!$B:$XFD,MATCH("Doanh thu thuần",income_statement!$A:$A,0),MATCH(H$25,income_statement!$B$1:$XFD$1,0)),"")</f>
        <v/>
      </c>
      <c r="I45" s="52">
        <f>IFERROR(INDEX(income_statement!$B:$XFD,MATCH("Doanh thu thuần",income_statement!$A:$A,0),MATCH(I$25,income_statement!$B$1:$XFD$1,0)),"")</f>
        <v/>
      </c>
    </row>
    <row r="46">
      <c r="A46" s="6" t="inlineStr">
        <is>
          <t>Giá vốn hàng bán</t>
        </is>
      </c>
      <c r="B46" s="51">
        <f>IFERROR(INDEX(income_statement!$B:$XFD,MATCH("Giá vốn hàng bán",income_statement!$A:$A,0),MATCH(B$25,income_statement!$B$1:$XFD$1,0)),"")</f>
        <v/>
      </c>
      <c r="C46" s="51">
        <f>IFERROR(INDEX(income_statement!$B:$XFD,MATCH("Giá vốn hàng bán",income_statement!$A:$A,0),MATCH(C$25,income_statement!$B$1:$XFD$1,0)),"")</f>
        <v/>
      </c>
      <c r="D46" s="51">
        <f>IFERROR(INDEX(income_statement!$B:$XFD,MATCH("Giá vốn hàng bán",income_statement!$A:$A,0),MATCH(D$25,income_statement!$B$1:$XFD$1,0)),"")</f>
        <v/>
      </c>
      <c r="E46" s="51">
        <f>IFERROR(INDEX(income_statement!$B:$XFD,MATCH("Giá vốn hàng bán",income_statement!$A:$A,0),MATCH(E$25,income_statement!$B$1:$XFD$1,0)),"")</f>
        <v/>
      </c>
      <c r="F46" s="51">
        <f>IFERROR(INDEX(income_statement!$B:$XFD,MATCH("Giá vốn hàng bán",income_statement!$A:$A,0),MATCH(F$25,income_statement!$B$1:$XFD$1,0)),"")</f>
        <v/>
      </c>
      <c r="G46" s="51">
        <f>IFERROR(INDEX(income_statement!$B:$XFD,MATCH("Giá vốn hàng bán",income_statement!$A:$A,0),MATCH(G$25,income_statement!$B$1:$XFD$1,0)),"")</f>
        <v/>
      </c>
      <c r="H46" s="51">
        <f>IFERROR(INDEX(income_statement!$B:$XFD,MATCH("Giá vốn hàng bán",income_statement!$A:$A,0),MATCH(H$25,income_statement!$B$1:$XFD$1,0)),"")</f>
        <v/>
      </c>
      <c r="I46" s="51">
        <f>IFERROR(INDEX(income_statement!$B:$XFD,MATCH("Giá vốn hàng bán",income_statement!$A:$A,0),MATCH(I$25,income_statement!$B$1:$XFD$1,0)),"")</f>
        <v/>
      </c>
    </row>
    <row r="47" ht="15" customFormat="1" customHeight="1" s="33">
      <c r="A47" s="4" t="inlineStr">
        <is>
          <t>Lợi nhuận gộp</t>
        </is>
      </c>
      <c r="B47" s="52">
        <f>IFERROR(INDEX(income_statement!$B:$XFD,MATCH("Lợi nhuận gộp",income_statement!$A:$A,0),MATCH(B$25,income_statement!$B$1:$XFD$1,0)),"")</f>
        <v/>
      </c>
      <c r="C47" s="52">
        <f>IFERROR(INDEX(income_statement!$B:$XFD,MATCH("Lợi nhuận gộp",income_statement!$A:$A,0),MATCH(C$25,income_statement!$B$1:$XFD$1,0)),"")</f>
        <v/>
      </c>
      <c r="D47" s="52">
        <f>IFERROR(INDEX(income_statement!$B:$XFD,MATCH("Lợi nhuận gộp",income_statement!$A:$A,0),MATCH(D$25,income_statement!$B$1:$XFD$1,0)),"")</f>
        <v/>
      </c>
      <c r="E47" s="52">
        <f>IFERROR(INDEX(income_statement!$B:$XFD,MATCH("Lợi nhuận gộp",income_statement!$A:$A,0),MATCH(E$25,income_statement!$B$1:$XFD$1,0)),"")</f>
        <v/>
      </c>
      <c r="F47" s="52">
        <f>IFERROR(INDEX(income_statement!$B:$XFD,MATCH("Lợi nhuận gộp",income_statement!$A:$A,0),MATCH(F$25,income_statement!$B$1:$XFD$1,0)),"")</f>
        <v/>
      </c>
      <c r="G47" s="52">
        <f>IFERROR(INDEX(income_statement!$B:$XFD,MATCH("Lợi nhuận gộp",income_statement!$A:$A,0),MATCH(G$25,income_statement!$B$1:$XFD$1,0)),"")</f>
        <v/>
      </c>
      <c r="H47" s="52">
        <f>IFERROR(INDEX(income_statement!$B:$XFD,MATCH("Lợi nhuận gộp",income_statement!$A:$A,0),MATCH(H$25,income_statement!$B$1:$XFD$1,0)),"")</f>
        <v/>
      </c>
      <c r="I47" s="52">
        <f>IFERROR(INDEX(income_statement!$B:$XFD,MATCH("Lợi nhuận gộp",income_statement!$A:$A,0),MATCH(I$25,income_statement!$B$1:$XFD$1,0)),"")</f>
        <v/>
      </c>
    </row>
    <row r="48">
      <c r="A48" s="6" t="inlineStr">
        <is>
          <t>Chi phí bán hàng</t>
        </is>
      </c>
      <c r="B48" s="51">
        <f>IFERROR(INDEX(income_statement!$B:$XFD,MATCH("Chi phí bán hàng",income_statement!$A:$A,0),MATCH(B$25,income_statement!$B$1:$XFD$1,0)),"")</f>
        <v/>
      </c>
      <c r="C48" s="51">
        <f>IFERROR(INDEX(income_statement!$B:$XFD,MATCH("Chi phí bán hàng",income_statement!$A:$A,0),MATCH(C$25,income_statement!$B$1:$XFD$1,0)),"")</f>
        <v/>
      </c>
      <c r="D48" s="51">
        <f>IFERROR(INDEX(income_statement!$B:$XFD,MATCH("Chi phí bán hàng",income_statement!$A:$A,0),MATCH(D$25,income_statement!$B$1:$XFD$1,0)),"")</f>
        <v/>
      </c>
      <c r="E48" s="51">
        <f>IFERROR(INDEX(income_statement!$B:$XFD,MATCH("Chi phí bán hàng",income_statement!$A:$A,0),MATCH(E$25,income_statement!$B$1:$XFD$1,0)),"")</f>
        <v/>
      </c>
      <c r="F48" s="51">
        <f>IFERROR(INDEX(income_statement!$B:$XFD,MATCH("Chi phí bán hàng",income_statement!$A:$A,0),MATCH(F$25,income_statement!$B$1:$XFD$1,0)),"")</f>
        <v/>
      </c>
      <c r="G48" s="51">
        <f>IFERROR(INDEX(income_statement!$B:$XFD,MATCH("Chi phí bán hàng",income_statement!$A:$A,0),MATCH(G$25,income_statement!$B$1:$XFD$1,0)),"")</f>
        <v/>
      </c>
      <c r="H48" s="51">
        <f>IFERROR(INDEX(income_statement!$B:$XFD,MATCH("Chi phí bán hàng",income_statement!$A:$A,0),MATCH(H$25,income_statement!$B$1:$XFD$1,0)),"")</f>
        <v/>
      </c>
      <c r="I48" s="51">
        <f>IFERROR(INDEX(income_statement!$B:$XFD,MATCH("Chi phí bán hàng",income_statement!$A:$A,0),MATCH(I$25,income_statement!$B$1:$XFD$1,0)),"")</f>
        <v/>
      </c>
    </row>
    <row r="49">
      <c r="A49" s="6" t="inlineStr">
        <is>
          <t>Chi phí quản lý doanh nghiệp</t>
        </is>
      </c>
      <c r="B49" s="51">
        <f>IFERROR(INDEX(income_statement!$B:$XFD,MATCH("Chi phí quản lý doanh nghiệp",income_statement!$A:$A,0),MATCH(B$25,income_statement!$B$1:$XFD$1,0)),"")</f>
        <v/>
      </c>
      <c r="C49" s="51">
        <f>IFERROR(INDEX(income_statement!$B:$XFD,MATCH("Chi phí quản lý doanh nghiệp",income_statement!$A:$A,0),MATCH(C$25,income_statement!$B$1:$XFD$1,0)),"")</f>
        <v/>
      </c>
      <c r="D49" s="51">
        <f>IFERROR(INDEX(income_statement!$B:$XFD,MATCH("Chi phí quản lý doanh nghiệp",income_statement!$A:$A,0),MATCH(D$25,income_statement!$B$1:$XFD$1,0)),"")</f>
        <v/>
      </c>
      <c r="E49" s="51">
        <f>IFERROR(INDEX(income_statement!$B:$XFD,MATCH("Chi phí quản lý doanh nghiệp",income_statement!$A:$A,0),MATCH(E$25,income_statement!$B$1:$XFD$1,0)),"")</f>
        <v/>
      </c>
      <c r="F49" s="51">
        <f>IFERROR(INDEX(income_statement!$B:$XFD,MATCH("Chi phí quản lý doanh nghiệp",income_statement!$A:$A,0),MATCH(F$25,income_statement!$B$1:$XFD$1,0)),"")</f>
        <v/>
      </c>
      <c r="G49" s="51">
        <f>IFERROR(INDEX(income_statement!$B:$XFD,MATCH("Chi phí quản lý doanh nghiệp",income_statement!$A:$A,0),MATCH(G$25,income_statement!$B$1:$XFD$1,0)),"")</f>
        <v/>
      </c>
      <c r="H49" s="51">
        <f>IFERROR(INDEX(income_statement!$B:$XFD,MATCH("Chi phí quản lý doanh nghiệp",income_statement!$A:$A,0),MATCH(H$25,income_statement!$B$1:$XFD$1,0)),"")</f>
        <v/>
      </c>
      <c r="I49" s="51">
        <f>IFERROR(INDEX(income_statement!$B:$XFD,MATCH("Chi phí quản lý doanh nghiệp",income_statement!$A:$A,0),MATCH(I$25,income_statement!$B$1:$XFD$1,0)),"")</f>
        <v/>
      </c>
    </row>
    <row r="50">
      <c r="A50" s="6" t="inlineStr">
        <is>
          <t>Lãi/(lỗ) từ hoạt động kinh doanh</t>
        </is>
      </c>
      <c r="B50" s="51">
        <f>IFERROR(INDEX(income_statement!$B:$XFD,MATCH("Lãi/(lỗ) từ hoạt động kinh doanh",income_statement!$A:$A,0),MATCH(B$25,income_statement!$B$1:$XFD$1,0)),"")</f>
        <v/>
      </c>
      <c r="C50" s="51">
        <f>IFERROR(INDEX(income_statement!$B:$XFD,MATCH("Lãi/(lỗ) từ hoạt động kinh doanh",income_statement!$A:$A,0),MATCH(C$25,income_statement!$B$1:$XFD$1,0)),"")</f>
        <v/>
      </c>
      <c r="D50" s="51">
        <f>IFERROR(INDEX(income_statement!$B:$XFD,MATCH("Lãi/(lỗ) từ hoạt động kinh doanh",income_statement!$A:$A,0),MATCH(D$25,income_statement!$B$1:$XFD$1,0)),"")</f>
        <v/>
      </c>
      <c r="E50" s="51">
        <f>IFERROR(INDEX(income_statement!$B:$XFD,MATCH("Lãi/(lỗ) từ hoạt động kinh doanh",income_statement!$A:$A,0),MATCH(E$25,income_statement!$B$1:$XFD$1,0)),"")</f>
        <v/>
      </c>
      <c r="F50" s="51">
        <f>IFERROR(INDEX(income_statement!$B:$XFD,MATCH("Lãi/(lỗ) từ hoạt động kinh doanh",income_statement!$A:$A,0),MATCH(F$25,income_statement!$B$1:$XFD$1,0)),"")</f>
        <v/>
      </c>
      <c r="G50" s="51">
        <f>IFERROR(INDEX(income_statement!$B:$XFD,MATCH("Lãi/(lỗ) từ hoạt động kinh doanh",income_statement!$A:$A,0),MATCH(G$25,income_statement!$B$1:$XFD$1,0)),"")</f>
        <v/>
      </c>
      <c r="H50" s="51">
        <f>IFERROR(INDEX(income_statement!$B:$XFD,MATCH("Lãi/(lỗ) từ hoạt động kinh doanh",income_statement!$A:$A,0),MATCH(H$25,income_statement!$B$1:$XFD$1,0)),"")</f>
        <v/>
      </c>
      <c r="I50" s="51">
        <f>IFERROR(INDEX(income_statement!$B:$XFD,MATCH("Lãi/(lỗ) từ hoạt động kinh doanh",income_statement!$A:$A,0),MATCH(I$25,income_statement!$B$1:$XFD$1,0)),"")</f>
        <v/>
      </c>
    </row>
    <row r="51">
      <c r="A51" s="6" t="inlineStr">
        <is>
          <t>Chi phí lãi vay</t>
        </is>
      </c>
      <c r="B51" s="51">
        <f>IFERROR(INDEX(income_statement!$B:$XFD,MATCH("Chi phí lãi vay",income_statement!$A:$A,0),MATCH(B$25,income_statement!$B$1:$XFD$1,0)),"")</f>
        <v/>
      </c>
      <c r="C51" s="51">
        <f>IFERROR(INDEX(income_statement!$B:$XFD,MATCH("Chi phí lãi vay",income_statement!$A:$A,0),MATCH(C$25,income_statement!$B$1:$XFD$1,0)),"")</f>
        <v/>
      </c>
      <c r="D51" s="51">
        <f>IFERROR(INDEX(income_statement!$B:$XFD,MATCH("Chi phí lãi vay",income_statement!$A:$A,0),MATCH(D$25,income_statement!$B$1:$XFD$1,0)),"")</f>
        <v/>
      </c>
      <c r="E51" s="51">
        <f>IFERROR(INDEX(income_statement!$B:$XFD,MATCH("Chi phí lãi vay",income_statement!$A:$A,0),MATCH(E$25,income_statement!$B$1:$XFD$1,0)),"")</f>
        <v/>
      </c>
      <c r="F51" s="51">
        <f>IFERROR(INDEX(income_statement!$B:$XFD,MATCH("Chi phí lãi vay",income_statement!$A:$A,0),MATCH(F$25,income_statement!$B$1:$XFD$1,0)),"")</f>
        <v/>
      </c>
      <c r="G51" s="51">
        <f>IFERROR(INDEX(income_statement!$B:$XFD,MATCH("Chi phí lãi vay",income_statement!$A:$A,0),MATCH(G$25,income_statement!$B$1:$XFD$1,0)),"")</f>
        <v/>
      </c>
      <c r="H51" s="51">
        <f>IFERROR(INDEX(income_statement!$B:$XFD,MATCH("Chi phí lãi vay",income_statement!$A:$A,0),MATCH(H$25,income_statement!$B$1:$XFD$1,0)),"")</f>
        <v/>
      </c>
      <c r="I51" s="51">
        <f>IFERROR(INDEX(income_statement!$B:$XFD,MATCH("Chi phí lãi vay",income_statement!$A:$A,0),MATCH(I$25,income_statement!$B$1:$XFD$1,0)),"")</f>
        <v/>
      </c>
    </row>
    <row r="52">
      <c r="A52" s="6" t="inlineStr">
        <is>
          <t>Lãi/(lỗ) thuần sau thuế</t>
        </is>
      </c>
      <c r="B52" s="51">
        <f>IFERROR(INDEX(income_statement!$B:$XFD,MATCH("Lãi/(lỗ) thuần sau thuế",income_statement!$A:$A,0),MATCH(B$25,income_statement!$B$1:$XFD$1,0)),"")</f>
        <v/>
      </c>
      <c r="C52" s="51">
        <f>IFERROR(INDEX(income_statement!$B:$XFD,MATCH("Lãi/(lỗ) thuần sau thuế",income_statement!$A:$A,0),MATCH(C$25,income_statement!$B$1:$XFD$1,0)),"")</f>
        <v/>
      </c>
      <c r="D52" s="51">
        <f>IFERROR(INDEX(income_statement!$B:$XFD,MATCH("Lãi/(lỗ) thuần sau thuế",income_statement!$A:$A,0),MATCH(D$25,income_statement!$B$1:$XFD$1,0)),"")</f>
        <v/>
      </c>
      <c r="E52" s="51">
        <f>IFERROR(INDEX(income_statement!$B:$XFD,MATCH("Lãi/(lỗ) thuần sau thuế",income_statement!$A:$A,0),MATCH(E$25,income_statement!$B$1:$XFD$1,0)),"")</f>
        <v/>
      </c>
      <c r="F52" s="51">
        <f>IFERROR(INDEX(income_statement!$B:$XFD,MATCH("Lãi/(lỗ) thuần sau thuế",income_statement!$A:$A,0),MATCH(F$25,income_statement!$B$1:$XFD$1,0)),"")</f>
        <v/>
      </c>
      <c r="G52" s="51">
        <f>IFERROR(INDEX(income_statement!$B:$XFD,MATCH("Lãi/(lỗ) thuần sau thuế",income_statement!$A:$A,0),MATCH(G$25,income_statement!$B$1:$XFD$1,0)),"")</f>
        <v/>
      </c>
      <c r="H52" s="51">
        <f>IFERROR(INDEX(income_statement!$B:$XFD,MATCH("Lãi/(lỗ) thuần sau thuế",income_statement!$A:$A,0),MATCH(H$25,income_statement!$B$1:$XFD$1,0)),"")</f>
        <v/>
      </c>
      <c r="I52" s="51">
        <f>IFERROR(INDEX(income_statement!$B:$XFD,MATCH("Lãi/(lỗ) thuần sau thuế",income_statement!$A:$A,0),MATCH(I$25,income_statement!$B$1:$XFD$1,0)),"")</f>
        <v/>
      </c>
    </row>
    <row r="53" ht="15" customFormat="1" customHeight="1" s="33">
      <c r="A53" s="4" t="inlineStr">
        <is>
          <t>Lợi nhuận của Cổ đông của Công ty mẹ</t>
        </is>
      </c>
      <c r="B53" s="52">
        <f>IFERROR(INDEX(income_statement!$B:$XFD,MATCH("Lợi nhuận của Cổ đông của Công ty mẹ",income_statement!$A:$A,0),MATCH(B$25,income_statement!$B$1:$XFD$1,0)),"")</f>
        <v/>
      </c>
      <c r="C53" s="52">
        <f>IFERROR(INDEX(income_statement!$B:$XFD,MATCH("Lợi nhuận của Cổ đông của Công ty mẹ",income_statement!$A:$A,0),MATCH(C$25,income_statement!$B$1:$XFD$1,0)),"")</f>
        <v/>
      </c>
      <c r="D53" s="52">
        <f>IFERROR(INDEX(income_statement!$B:$XFD,MATCH("Lợi nhuận của Cổ đông của Công ty mẹ",income_statement!$A:$A,0),MATCH(D$25,income_statement!$B$1:$XFD$1,0)),"")</f>
        <v/>
      </c>
      <c r="E53" s="52">
        <f>IFERROR(INDEX(income_statement!$B:$XFD,MATCH("Lợi nhuận của Cổ đông của Công ty mẹ",income_statement!$A:$A,0),MATCH(E$25,income_statement!$B$1:$XFD$1,0)),"")</f>
        <v/>
      </c>
      <c r="F53" s="52">
        <f>IFERROR(INDEX(income_statement!$B:$XFD,MATCH("Lợi nhuận của Cổ đông của Công ty mẹ",income_statement!$A:$A,0),MATCH(F$25,income_statement!$B$1:$XFD$1,0)),"")</f>
        <v/>
      </c>
      <c r="G53" s="52">
        <f>IFERROR(INDEX(income_statement!$B:$XFD,MATCH("Lợi nhuận của Cổ đông của Công ty mẹ",income_statement!$A:$A,0),MATCH(G$25,income_statement!$B$1:$XFD$1,0)),"")</f>
        <v/>
      </c>
      <c r="H53" s="52">
        <f>IFERROR(INDEX(income_statement!$B:$XFD,MATCH("Lợi nhuận của Cổ đông của Công ty mẹ",income_statement!$A:$A,0),MATCH(H$25,income_statement!$B$1:$XFD$1,0)),"")</f>
        <v/>
      </c>
      <c r="I53" s="52">
        <f>IFERROR(INDEX(income_statement!$B:$XFD,MATCH("Lợi nhuận của Cổ đông của Công ty mẹ",income_statement!$A:$A,0),MATCH(I$25,income_statement!$B$1:$XFD$1,0)),"")</f>
        <v/>
      </c>
    </row>
    <row r="54">
      <c r="A54" s="31" t="inlineStr">
        <is>
          <t>Lưu chuyển tiền tệ</t>
        </is>
      </c>
      <c r="B54" s="51" t="n"/>
      <c r="C54" s="51" t="n"/>
      <c r="D54" s="51" t="n"/>
      <c r="E54" s="51" t="n"/>
      <c r="F54" s="51" t="n"/>
      <c r="G54" s="51" t="n"/>
      <c r="H54" s="51" t="n"/>
      <c r="I54" s="51" t="n"/>
    </row>
    <row r="55">
      <c r="A55" s="6" t="inlineStr">
        <is>
          <t>Khấu hao TSCĐ và BĐSĐT</t>
        </is>
      </c>
      <c r="B55" s="51">
        <f>IFERROR(INDEX(cash_flow!$B:$XFD,MATCH("Khấu hao TSCĐ và BĐSĐT",cash_flow!$A:$A,0),MATCH(B$25,cash_flow!$B$1:$XFD$1,0)),"")</f>
        <v/>
      </c>
      <c r="C55" s="51">
        <f>IFERROR(INDEX(cash_flow!$B:$XFD,MATCH("Khấu hao TSCĐ và BĐSĐT",cash_flow!$A:$A,0),MATCH(C$25,cash_flow!$B$1:$XFD$1,0)),"")</f>
        <v/>
      </c>
      <c r="D55" s="51">
        <f>IFERROR(INDEX(cash_flow!$B:$XFD,MATCH("Khấu hao TSCĐ và BĐSĐT",cash_flow!$A:$A,0),MATCH(D$25,cash_flow!$B$1:$XFD$1,0)),"")</f>
        <v/>
      </c>
      <c r="E55" s="51">
        <f>IFERROR(INDEX(cash_flow!$B:$XFD,MATCH("Khấu hao TSCĐ và BĐSĐT",cash_flow!$A:$A,0),MATCH(E$25,cash_flow!$B$1:$XFD$1,0)),"")</f>
        <v/>
      </c>
      <c r="F55" s="51">
        <f>IFERROR(INDEX(cash_flow!$B:$XFD,MATCH("Khấu hao TSCĐ và BĐSĐT",cash_flow!$A:$A,0),MATCH(F$25,cash_flow!$B$1:$XFD$1,0)),"")</f>
        <v/>
      </c>
      <c r="G55" s="51">
        <f>IFERROR(INDEX(cash_flow!$B:$XFD,MATCH("Khấu hao TSCĐ và BĐSĐT",cash_flow!$A:$A,0),MATCH(G$25,cash_flow!$B$1:$XFD$1,0)),"")</f>
        <v/>
      </c>
      <c r="H55" s="51">
        <f>IFERROR(INDEX(cash_flow!$B:$XFD,MATCH("Khấu hao TSCĐ và BĐSĐT",cash_flow!$A:$A,0),MATCH(H$25,cash_flow!$B$1:$XFD$1,0)),"")</f>
        <v/>
      </c>
      <c r="I55" s="51">
        <f>IFERROR(INDEX(cash_flow!$B:$XFD,MATCH("Khấu hao TSCĐ và BĐSĐT",cash_flow!$A:$A,0),MATCH(I$25,cash_flow!$B$1:$XFD$1,0)),"")</f>
        <v/>
      </c>
    </row>
    <row r="56">
      <c r="A56" s="6" t="inlineStr">
        <is>
          <t>Tiền chi để mua sắm, xây dựng TSCĐ và các tài sản dài hạn khác</t>
        </is>
      </c>
      <c r="B56" s="51">
        <f>IFERROR(INDEX(cash_flow!$B:$XFD,MATCH("Tiền chi để mua sắm, xây dựng TSCĐ và các tài sản dài hạn khác",cash_flow!$A:$A,0),MATCH(B$25,cash_flow!$B$1:$XFD$1,0)),"")</f>
        <v/>
      </c>
      <c r="C56" s="51">
        <f>IFERROR(INDEX(cash_flow!$B:$XFD,MATCH("Tiền chi để mua sắm, xây dựng TSCĐ và các tài sản dài hạn khác",cash_flow!$A:$A,0),MATCH(C$25,cash_flow!$B$1:$XFD$1,0)),"")</f>
        <v/>
      </c>
      <c r="D56" s="51">
        <f>IFERROR(INDEX(cash_flow!$B:$XFD,MATCH("Tiền chi để mua sắm, xây dựng TSCĐ và các tài sản dài hạn khác",cash_flow!$A:$A,0),MATCH(D$25,cash_flow!$B$1:$XFD$1,0)),"")</f>
        <v/>
      </c>
      <c r="E56" s="51">
        <f>IFERROR(INDEX(cash_flow!$B:$XFD,MATCH("Tiền chi để mua sắm, xây dựng TSCĐ và các tài sản dài hạn khác",cash_flow!$A:$A,0),MATCH(E$25,cash_flow!$B$1:$XFD$1,0)),"")</f>
        <v/>
      </c>
      <c r="F56" s="51">
        <f>IFERROR(INDEX(cash_flow!$B:$XFD,MATCH("Tiền chi để mua sắm, xây dựng TSCĐ và các tài sản dài hạn khác",cash_flow!$A:$A,0),MATCH(F$25,cash_flow!$B$1:$XFD$1,0)),"")</f>
        <v/>
      </c>
      <c r="G56" s="51">
        <f>IFERROR(INDEX(cash_flow!$B:$XFD,MATCH("Tiền chi để mua sắm, xây dựng TSCĐ và các tài sản dài hạn khác",cash_flow!$A:$A,0),MATCH(G$25,cash_flow!$B$1:$XFD$1,0)),"")</f>
        <v/>
      </c>
      <c r="H56" s="51">
        <f>IFERROR(INDEX(cash_flow!$B:$XFD,MATCH("Tiền chi để mua sắm, xây dựng TSCĐ và các tài sản dài hạn khác",cash_flow!$A:$A,0),MATCH(H$25,cash_flow!$B$1:$XFD$1,0)),"")</f>
        <v/>
      </c>
      <c r="I56" s="51">
        <f>IFERROR(INDEX(cash_flow!$B:$XFD,MATCH("Tiền chi để mua sắm, xây dựng TSCĐ và các tài sản dài hạn khác",cash_flow!$A:$A,0),MATCH(I$25,cash_flow!$B$1:$XFD$1,0)),"")</f>
        <v/>
      </c>
    </row>
    <row r="57">
      <c r="A57" s="6" t="inlineStr">
        <is>
          <t>Lưu chuyển tiền tệ ròng từ các hoạt động sản xuất kinh doanh</t>
        </is>
      </c>
      <c r="B57" s="51">
        <f>IFERROR(INDEX(cash_flow!$B:$XFD,MATCH("Lưu chuyển tiền tệ ròng từ các hoạt động sản xuất kinh doanh",cash_flow!$A:$A,0),MATCH(B$25,cash_flow!$B$1:$XFD$1,0)),"")</f>
        <v/>
      </c>
      <c r="C57" s="51">
        <f>IFERROR(INDEX(cash_flow!$B:$XFD,MATCH("Lưu chuyển tiền tệ ròng từ các hoạt động sản xuất kinh doanh",cash_flow!$A:$A,0),MATCH(C$25,cash_flow!$B$1:$XFD$1,0)),"")</f>
        <v/>
      </c>
      <c r="D57" s="51">
        <f>IFERROR(INDEX(cash_flow!$B:$XFD,MATCH("Lưu chuyển tiền tệ ròng từ các hoạt động sản xuất kinh doanh",cash_flow!$A:$A,0),MATCH(D$25,cash_flow!$B$1:$XFD$1,0)),"")</f>
        <v/>
      </c>
      <c r="E57" s="51">
        <f>IFERROR(INDEX(cash_flow!$B:$XFD,MATCH("Lưu chuyển tiền tệ ròng từ các hoạt động sản xuất kinh doanh",cash_flow!$A:$A,0),MATCH(E$25,cash_flow!$B$1:$XFD$1,0)),"")</f>
        <v/>
      </c>
      <c r="F57" s="51">
        <f>IFERROR(INDEX(cash_flow!$B:$XFD,MATCH("Lưu chuyển tiền tệ ròng từ các hoạt động sản xuất kinh doanh",cash_flow!$A:$A,0),MATCH(F$25,cash_flow!$B$1:$XFD$1,0)),"")</f>
        <v/>
      </c>
      <c r="G57" s="51">
        <f>IFERROR(INDEX(cash_flow!$B:$XFD,MATCH("Lưu chuyển tiền tệ ròng từ các hoạt động sản xuất kinh doanh",cash_flow!$A:$A,0),MATCH(G$25,cash_flow!$B$1:$XFD$1,0)),"")</f>
        <v/>
      </c>
      <c r="H57" s="51">
        <f>IFERROR(INDEX(cash_flow!$B:$XFD,MATCH("Lưu chuyển tiền tệ ròng từ các hoạt động sản xuất kinh doanh",cash_flow!$A:$A,0),MATCH(H$25,cash_flow!$B$1:$XFD$1,0)),"")</f>
        <v/>
      </c>
      <c r="I57" s="51">
        <f>IFERROR(INDEX(cash_flow!$B:$XFD,MATCH("Lưu chuyển tiền tệ ròng từ các hoạt động sản xuất kinh doanh",cash_flow!$A:$A,0),MATCH(I$25,cash_flow!$B$1:$XFD$1,0)),"")</f>
        <v/>
      </c>
    </row>
    <row r="61">
      <c r="A61" s="8" t="inlineStr">
        <is>
          <t>CHỈ SỐ THÊM</t>
        </is>
      </c>
      <c r="B61" s="1" t="n">
        <v>2026</v>
      </c>
      <c r="C61" s="1" t="n">
        <v>2027</v>
      </c>
      <c r="D61" s="1" t="n">
        <v>2028</v>
      </c>
      <c r="E61" s="1" t="n">
        <v>2029</v>
      </c>
      <c r="F61" s="1" t="n">
        <v>2030</v>
      </c>
      <c r="G61" s="1" t="n">
        <v>2031</v>
      </c>
      <c r="H61" s="1" t="n">
        <v>2032</v>
      </c>
      <c r="I61" s="1" t="n">
        <v>2033</v>
      </c>
    </row>
    <row r="62">
      <c r="A62" s="8" t="inlineStr">
        <is>
          <t>Khả năng sinh lời &amp; hiệu quả sử dụng vốn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</row>
    <row r="63">
      <c r="A63" s="9" t="inlineStr">
        <is>
          <t>ROCE</t>
        </is>
      </c>
      <c r="B63" s="53">
        <f>IFERROR(B$65/(B$33-B$37),"n/a")</f>
        <v/>
      </c>
      <c r="C63" s="53">
        <f>IFERROR(C$65/(C$33-C$37),"n/a")</f>
        <v/>
      </c>
      <c r="D63" s="53">
        <f>IFERROR(D$65/(D$33-D$37),"n/a")</f>
        <v/>
      </c>
      <c r="E63" s="53">
        <f>IFERROR(E$65/(E$33-E$37),"n/a")</f>
        <v/>
      </c>
      <c r="F63" s="53">
        <f>IFERROR(F$65/(F$33-F$37),"n/a")</f>
        <v/>
      </c>
      <c r="G63" s="53">
        <f>IFERROR(G$65/(G$33-G$37),"n/a")</f>
        <v/>
      </c>
      <c r="H63" s="53">
        <f>IFERROR(H$65/(H$33-H$37),"n/a")</f>
        <v/>
      </c>
      <c r="I63" s="53">
        <f>IFERROR(I$65/(I$33-I$37),"n/a")</f>
        <v/>
      </c>
    </row>
    <row r="64">
      <c r="A64" s="9" t="inlineStr">
        <is>
          <t>CROIC</t>
        </is>
      </c>
      <c r="B64" s="53">
        <f>IFERROR(B$69/(B$33-B$37),"n/a")</f>
        <v/>
      </c>
      <c r="C64" s="53">
        <f>IFERROR(C$69/(C$33-C$37),"n/a")</f>
        <v/>
      </c>
      <c r="D64" s="53">
        <f>IFERROR(D$69/(D$33-D$37),"n/a")</f>
        <v/>
      </c>
      <c r="E64" s="53">
        <f>IFERROR(E$69/(E$33-E$37),"n/a")</f>
        <v/>
      </c>
      <c r="F64" s="53">
        <f>IFERROR(F$69/(F$33-F$37),"n/a")</f>
        <v/>
      </c>
      <c r="G64" s="53">
        <f>IFERROR(G$69/(G$33-G$37),"n/a")</f>
        <v/>
      </c>
      <c r="H64" s="53">
        <f>IFERROR(H$69/(H$33-H$37),"n/a")</f>
        <v/>
      </c>
      <c r="I64" s="53">
        <f>IFERROR(I$69/(I$33-I$37),"n/a")</f>
        <v/>
      </c>
    </row>
    <row r="65">
      <c r="A65" s="9" t="inlineStr">
        <is>
          <t>EBIT</t>
        </is>
      </c>
      <c r="B65" s="54">
        <f>IFERROR(B$50+ABS(B$51),"n/a")</f>
        <v/>
      </c>
      <c r="C65" s="54">
        <f>IFERROR(C$50+ABS(C$51),"n/a")</f>
        <v/>
      </c>
      <c r="D65" s="54">
        <f>IFERROR(D$50+ABS(D$51),"n/a")</f>
        <v/>
      </c>
      <c r="E65" s="54">
        <f>IFERROR(E$50+ABS(E$51),"n/a")</f>
        <v/>
      </c>
      <c r="F65" s="54">
        <f>IFERROR(F$50+ABS(F$51),"n/a")</f>
        <v/>
      </c>
      <c r="G65" s="54">
        <f>IFERROR(G$50+ABS(G$51),"n/a")</f>
        <v/>
      </c>
      <c r="H65" s="54">
        <f>IFERROR(H$50+ABS(H$51),"n/a")</f>
        <v/>
      </c>
      <c r="I65" s="54">
        <f>IFERROR(I$50+ABS(I$51),"n/a")</f>
        <v/>
      </c>
    </row>
    <row r="66">
      <c r="A66" s="9" t="inlineStr">
        <is>
          <t>EBIT/DT</t>
        </is>
      </c>
      <c r="B66" s="53">
        <f>IFERROR(B$65/B$45,"n/a")</f>
        <v/>
      </c>
      <c r="C66" s="53">
        <f>IFERROR(C$65/C$45,"n/a")</f>
        <v/>
      </c>
      <c r="D66" s="53">
        <f>IFERROR(D$65/D$45,"n/a")</f>
        <v/>
      </c>
      <c r="E66" s="53">
        <f>IFERROR(E$65/E$45,"n/a")</f>
        <v/>
      </c>
      <c r="F66" s="53">
        <f>IFERROR(F$65/F$45,"n/a")</f>
        <v/>
      </c>
      <c r="G66" s="53">
        <f>IFERROR(G$65/G$45,"n/a")</f>
        <v/>
      </c>
      <c r="H66" s="53">
        <f>IFERROR(H$65/H$45,"n/a")</f>
        <v/>
      </c>
      <c r="I66" s="53">
        <f>IFERROR(I$65/I$45,"n/a")</f>
        <v/>
      </c>
    </row>
    <row r="67">
      <c r="A67" s="9" t="inlineStr">
        <is>
          <t>DT/TS</t>
        </is>
      </c>
      <c r="B67" s="53">
        <f>IFERROR(B$45/B$33,"n/a")</f>
        <v/>
      </c>
      <c r="C67" s="53">
        <f>IFERROR(C$45/C$33,"n/a")</f>
        <v/>
      </c>
      <c r="D67" s="53">
        <f>IFERROR(D$45/D$33,"n/a")</f>
        <v/>
      </c>
      <c r="E67" s="53">
        <f>IFERROR(E$45/E$33,"n/a")</f>
        <v/>
      </c>
      <c r="F67" s="53">
        <f>IFERROR(F$45/F$33,"n/a")</f>
        <v/>
      </c>
      <c r="G67" s="53">
        <f>IFERROR(G$45/G$33,"n/a")</f>
        <v/>
      </c>
      <c r="H67" s="53">
        <f>IFERROR(H$45/H$33,"n/a")</f>
        <v/>
      </c>
      <c r="I67" s="53">
        <f>IFERROR(I$45/I$33,"n/a")</f>
        <v/>
      </c>
    </row>
    <row r="68">
      <c r="A68" s="8" t="inlineStr">
        <is>
          <t>Dòng tiền &amp; tái đầu tư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</row>
    <row r="69">
      <c r="A69" s="9" t="inlineStr">
        <is>
          <t>FCF</t>
        </is>
      </c>
      <c r="B69" s="54">
        <f>IFERROR(B$57-ABS(B$56),"n/a")</f>
        <v/>
      </c>
      <c r="C69" s="54">
        <f>IFERROR(C$57-ABS(C$56),"n/a")</f>
        <v/>
      </c>
      <c r="D69" s="54">
        <f>IFERROR(D$57-ABS(D$56),"n/a")</f>
        <v/>
      </c>
      <c r="E69" s="54">
        <f>IFERROR(E$57-ABS(E$56),"n/a")</f>
        <v/>
      </c>
      <c r="F69" s="54">
        <f>IFERROR(F$57-ABS(F$56),"n/a")</f>
        <v/>
      </c>
      <c r="G69" s="54">
        <f>IFERROR(G$57-ABS(G$56),"n/a")</f>
        <v/>
      </c>
      <c r="H69" s="54">
        <f>IFERROR(H$57-ABS(H$56),"n/a")</f>
        <v/>
      </c>
      <c r="I69" s="54">
        <f>IFERROR(I$57-ABS(I$56),"n/a")</f>
        <v/>
      </c>
    </row>
    <row r="70">
      <c r="A70" s="9" t="inlineStr">
        <is>
          <t>FCF/DT</t>
        </is>
      </c>
      <c r="B70" s="53">
        <f>IFERROR(B$69/B$45,"n/a")</f>
        <v/>
      </c>
      <c r="C70" s="53">
        <f>IFERROR(C$69/C$45,"n/a")</f>
        <v/>
      </c>
      <c r="D70" s="53">
        <f>IFERROR(D$69/D$45,"n/a")</f>
        <v/>
      </c>
      <c r="E70" s="53">
        <f>IFERROR(E$69/E$45,"n/a")</f>
        <v/>
      </c>
      <c r="F70" s="53">
        <f>IFERROR(F$69/F$45,"n/a")</f>
        <v/>
      </c>
      <c r="G70" s="53">
        <f>IFERROR(G$69/G$45,"n/a")</f>
        <v/>
      </c>
      <c r="H70" s="53">
        <f>IFERROR(H$69/H$45,"n/a")</f>
        <v/>
      </c>
      <c r="I70" s="53">
        <f>IFERROR(I$69/I$45,"n/a")</f>
        <v/>
      </c>
    </row>
    <row r="71">
      <c r="A71" s="9" t="inlineStr">
        <is>
          <t>FCF/Nợ ngắn hạn</t>
        </is>
      </c>
      <c r="B71" s="53">
        <f>IFERROR(B$69/B$37,"n/a")</f>
        <v/>
      </c>
      <c r="C71" s="53">
        <f>IFERROR(C$69/C$37,"n/a")</f>
        <v/>
      </c>
      <c r="D71" s="53">
        <f>IFERROR(D$69/D$37,"n/a")</f>
        <v/>
      </c>
      <c r="E71" s="53">
        <f>IFERROR(E$69/E$37,"n/a")</f>
        <v/>
      </c>
      <c r="F71" s="53">
        <f>IFERROR(F$69/F$37,"n/a")</f>
        <v/>
      </c>
      <c r="G71" s="53">
        <f>IFERROR(G$69/G$37,"n/a")</f>
        <v/>
      </c>
      <c r="H71" s="53">
        <f>IFERROR(H$69/H$37,"n/a")</f>
        <v/>
      </c>
      <c r="I71" s="53">
        <f>IFERROR(I$69/I$37,"n/a")</f>
        <v/>
      </c>
    </row>
    <row r="72">
      <c r="A72" s="9" t="inlineStr">
        <is>
          <t>Capex</t>
        </is>
      </c>
      <c r="B72" s="54">
        <f>IFERROR(ABS(B$56),"n/a")</f>
        <v/>
      </c>
      <c r="C72" s="54">
        <f>IFERROR(ABS(C$56),"n/a")</f>
        <v/>
      </c>
      <c r="D72" s="54">
        <f>IFERROR(ABS(D$56),"n/a")</f>
        <v/>
      </c>
      <c r="E72" s="54">
        <f>IFERROR(ABS(E$56),"n/a")</f>
        <v/>
      </c>
      <c r="F72" s="54">
        <f>IFERROR(ABS(F$56),"n/a")</f>
        <v/>
      </c>
      <c r="G72" s="54">
        <f>IFERROR(ABS(G$56),"n/a")</f>
        <v/>
      </c>
      <c r="H72" s="54">
        <f>IFERROR(ABS(H$56),"n/a")</f>
        <v/>
      </c>
      <c r="I72" s="54">
        <f>IFERROR(ABS(I$56),"n/a")</f>
        <v/>
      </c>
    </row>
    <row r="73">
      <c r="A73" s="9" t="inlineStr">
        <is>
          <t>Capex/TS</t>
        </is>
      </c>
      <c r="B73" s="53">
        <f>IFERROR(B$72/B$33,"n/a")</f>
        <v/>
      </c>
      <c r="C73" s="53">
        <f>IFERROR(C$72/C$33,"n/a")</f>
        <v/>
      </c>
      <c r="D73" s="53">
        <f>IFERROR(D$72/D$33,"n/a")</f>
        <v/>
      </c>
      <c r="E73" s="53">
        <f>IFERROR(E$72/E$33,"n/a")</f>
        <v/>
      </c>
      <c r="F73" s="53">
        <f>IFERROR(F$72/F$33,"n/a")</f>
        <v/>
      </c>
      <c r="G73" s="53">
        <f>IFERROR(G$72/G$33,"n/a")</f>
        <v/>
      </c>
      <c r="H73" s="53">
        <f>IFERROR(H$72/H$33,"n/a")</f>
        <v/>
      </c>
      <c r="I73" s="53">
        <f>IFERROR(I$72/I$33,"n/a")</f>
        <v/>
      </c>
    </row>
    <row r="74">
      <c r="A74" s="9" t="inlineStr">
        <is>
          <t>Capex/LNST</t>
        </is>
      </c>
      <c r="B74" s="53">
        <f>IFERROR(B$72/ABS(B$52),"n/a")</f>
        <v/>
      </c>
      <c r="C74" s="53">
        <f>IFERROR(C$72/ABS(C$52),"n/a")</f>
        <v/>
      </c>
      <c r="D74" s="53">
        <f>IFERROR(D$72/ABS(D$52),"n/a")</f>
        <v/>
      </c>
      <c r="E74" s="53">
        <f>IFERROR(E$72/ABS(E$52),"n/a")</f>
        <v/>
      </c>
      <c r="F74" s="53">
        <f>IFERROR(F$72/ABS(F$52),"n/a")</f>
        <v/>
      </c>
      <c r="G74" s="53">
        <f>IFERROR(G$72/ABS(G$52),"n/a")</f>
        <v/>
      </c>
      <c r="H74" s="53">
        <f>IFERROR(H$72/ABS(H$52),"n/a")</f>
        <v/>
      </c>
      <c r="I74" s="53">
        <f>IFERROR(I$72/ABS(I$52),"n/a")</f>
        <v/>
      </c>
    </row>
    <row r="75">
      <c r="A75" s="9" t="inlineStr">
        <is>
          <t>Chi phí khấu hao/Lợi nhuận gộp</t>
        </is>
      </c>
      <c r="B75" s="53">
        <f>IFERROR(ABS(B$55)/B$47,"n/a")</f>
        <v/>
      </c>
      <c r="C75" s="53">
        <f>IFERROR(ABS(C$55)/C$47,"n/a")</f>
        <v/>
      </c>
      <c r="D75" s="53">
        <f>IFERROR(ABS(D$55)/D$47,"n/a")</f>
        <v/>
      </c>
      <c r="E75" s="53">
        <f>IFERROR(ABS(E$55)/E$47,"n/a")</f>
        <v/>
      </c>
      <c r="F75" s="53">
        <f>IFERROR(ABS(F$55)/F$47,"n/a")</f>
        <v/>
      </c>
      <c r="G75" s="53">
        <f>IFERROR(ABS(G$55)/G$47,"n/a")</f>
        <v/>
      </c>
      <c r="H75" s="53">
        <f>IFERROR(ABS(H$55)/H$47,"n/a")</f>
        <v/>
      </c>
      <c r="I75" s="53">
        <f>IFERROR(ABS(I$55)/I$47,"n/a")</f>
        <v/>
      </c>
    </row>
    <row r="76">
      <c r="A76" s="9" t="inlineStr">
        <is>
          <t>EBIT/Chi phí lãi vay</t>
        </is>
      </c>
      <c r="B76" s="55">
        <f>IFERROR(B$65/ABS(B$51),"n/a")</f>
        <v/>
      </c>
      <c r="C76" s="55">
        <f>IFERROR(C$65/ABS(C$51),"n/a")</f>
        <v/>
      </c>
      <c r="D76" s="55">
        <f>IFERROR(D$65/ABS(D$51),"n/a")</f>
        <v/>
      </c>
      <c r="E76" s="55">
        <f>IFERROR(E$65/ABS(E$51),"n/a")</f>
        <v/>
      </c>
      <c r="F76" s="55">
        <f>IFERROR(F$65/ABS(F$51),"n/a")</f>
        <v/>
      </c>
      <c r="G76" s="55">
        <f>IFERROR(G$65/ABS(G$51),"n/a")</f>
        <v/>
      </c>
      <c r="H76" s="55">
        <f>IFERROR(H$65/ABS(H$51),"n/a")</f>
        <v/>
      </c>
      <c r="I76" s="55">
        <f>IFERROR(I$65/ABS(I$51),"n/a")</f>
        <v/>
      </c>
    </row>
    <row r="77">
      <c r="A77" s="8" t="inlineStr">
        <is>
          <t>Vốn lưu động &amp; hiệu quả hoạt động</t>
        </is>
      </c>
      <c r="B77" s="9" t="n"/>
      <c r="C77" s="9" t="n"/>
      <c r="D77" s="9" t="n"/>
      <c r="E77" s="9" t="n"/>
      <c r="F77" s="9" t="n"/>
      <c r="G77" s="9" t="n"/>
      <c r="H77" s="9" t="n"/>
      <c r="I77" s="9" t="n"/>
    </row>
    <row r="78">
      <c r="A78" s="9" t="inlineStr">
        <is>
          <t>Vòng quay tiền mặt</t>
        </is>
      </c>
      <c r="B78" s="13">
        <f>IFERROR(B$19+B$20-B$18,"n/a")</f>
        <v/>
      </c>
      <c r="C78" s="13">
        <f>IFERROR(C$19+C$20-C$18,"n/a")</f>
        <v/>
      </c>
      <c r="D78" s="13">
        <f>IFERROR(D$19+D$20-D$18,"n/a")</f>
        <v/>
      </c>
      <c r="E78" s="13">
        <f>IFERROR(E$19+E$20-E$18,"n/a")</f>
        <v/>
      </c>
      <c r="F78" s="13">
        <f>IFERROR(F$19+F$20-F$18,"n/a")</f>
        <v/>
      </c>
      <c r="G78" s="13">
        <f>IFERROR(G$19+G$20-G$18,"n/a")</f>
        <v/>
      </c>
      <c r="H78" s="13">
        <f>IFERROR(H$19+H$20-H$18,"n/a")</f>
        <v/>
      </c>
      <c r="I78" s="13">
        <f>IFERROR(I$19+I$20-I$18,"n/a")</f>
        <v/>
      </c>
    </row>
    <row r="79">
      <c r="A79" s="9" t="inlineStr">
        <is>
          <t>HTK/DT</t>
        </is>
      </c>
      <c r="B79" s="53">
        <f>IFERROR(B$30/B$45,"n/a")</f>
        <v/>
      </c>
      <c r="C79" s="53">
        <f>IFERROR(C$30/C$45,"n/a")</f>
        <v/>
      </c>
      <c r="D79" s="53">
        <f>IFERROR(D$30/D$45,"n/a")</f>
        <v/>
      </c>
      <c r="E79" s="53">
        <f>IFERROR(E$30/E$45,"n/a")</f>
        <v/>
      </c>
      <c r="F79" s="53">
        <f>IFERROR(F$30/F$45,"n/a")</f>
        <v/>
      </c>
      <c r="G79" s="53">
        <f>IFERROR(G$30/G$45,"n/a")</f>
        <v/>
      </c>
      <c r="H79" s="53">
        <f>IFERROR(H$30/H$45,"n/a")</f>
        <v/>
      </c>
      <c r="I79" s="53">
        <f>IFERROR(I$30/I$45,"n/a")</f>
        <v/>
      </c>
    </row>
    <row r="80">
      <c r="A80" s="9" t="inlineStr">
        <is>
          <t>HTK/TS</t>
        </is>
      </c>
      <c r="B80" s="53">
        <f>IFERROR(B$30/B$33,"n/a")</f>
        <v/>
      </c>
      <c r="C80" s="53">
        <f>IFERROR(C$30/C$33,"n/a")</f>
        <v/>
      </c>
      <c r="D80" s="53">
        <f>IFERROR(D$30/D$33,"n/a")</f>
        <v/>
      </c>
      <c r="E80" s="53">
        <f>IFERROR(E$30/E$33,"n/a")</f>
        <v/>
      </c>
      <c r="F80" s="53">
        <f>IFERROR(F$30/F$33,"n/a")</f>
        <v/>
      </c>
      <c r="G80" s="53">
        <f>IFERROR(G$30/G$33,"n/a")</f>
        <v/>
      </c>
      <c r="H80" s="53">
        <f>IFERROR(H$30/H$33,"n/a")</f>
        <v/>
      </c>
      <c r="I80" s="53">
        <f>IFERROR(I$30/I$33,"n/a")</f>
        <v/>
      </c>
    </row>
    <row r="81">
      <c r="A81" s="9" t="inlineStr">
        <is>
          <t>DT/TS</t>
        </is>
      </c>
      <c r="B81" s="53">
        <f>IFERROR(B$45/B$33,"n/a")</f>
        <v/>
      </c>
      <c r="C81" s="53">
        <f>IFERROR(C$45/C$33,"n/a")</f>
        <v/>
      </c>
      <c r="D81" s="53">
        <f>IFERROR(D$45/D$33,"n/a")</f>
        <v/>
      </c>
      <c r="E81" s="53">
        <f>IFERROR(E$45/E$33,"n/a")</f>
        <v/>
      </c>
      <c r="F81" s="53">
        <f>IFERROR(F$45/F$33,"n/a")</f>
        <v/>
      </c>
      <c r="G81" s="53">
        <f>IFERROR(G$45/G$33,"n/a")</f>
        <v/>
      </c>
      <c r="H81" s="53">
        <f>IFERROR(H$45/H$33,"n/a")</f>
        <v/>
      </c>
      <c r="I81" s="53">
        <f>IFERROR(I$45/I$33,"n/a")</f>
        <v/>
      </c>
    </row>
    <row r="82">
      <c r="A82" s="8" t="inlineStr">
        <is>
          <t>Khả năng thanh toán</t>
        </is>
      </c>
      <c r="B82" s="9" t="n"/>
      <c r="C82" s="9" t="n"/>
      <c r="D82" s="9" t="n"/>
      <c r="E82" s="9" t="n"/>
      <c r="F82" s="9" t="n"/>
      <c r="G82" s="9" t="n"/>
      <c r="H82" s="9" t="n"/>
      <c r="I82" s="9" t="n"/>
    </row>
    <row r="83">
      <c r="A83" s="9" t="inlineStr">
        <is>
          <t>(TS ngắn hạn − HTK)/Nợ ngắn hạn</t>
        </is>
      </c>
      <c r="B83" s="55">
        <f>IFERROR((B$31-B$30)/B$37,"n/a")</f>
        <v/>
      </c>
      <c r="C83" s="55">
        <f>IFERROR((C$31-C$30)/C$37,"n/a")</f>
        <v/>
      </c>
      <c r="D83" s="55">
        <f>IFERROR((D$31-D$30)/D$37,"n/a")</f>
        <v/>
      </c>
      <c r="E83" s="55">
        <f>IFERROR((E$31-E$30)/E$37,"n/a")</f>
        <v/>
      </c>
      <c r="F83" s="55">
        <f>IFERROR((F$31-F$30)/F$37,"n/a")</f>
        <v/>
      </c>
      <c r="G83" s="55">
        <f>IFERROR((G$31-G$30)/G$37,"n/a")</f>
        <v/>
      </c>
      <c r="H83" s="55">
        <f>IFERROR((H$31-H$30)/H$37,"n/a")</f>
        <v/>
      </c>
      <c r="I83" s="55">
        <f>IFERROR((I$31-I$30)/I$37,"n/a")</f>
        <v/>
      </c>
    </row>
    <row r="84">
      <c r="A84" s="9" t="inlineStr">
        <is>
          <t>TS ngắn hạn/Nợ ngắn hạn</t>
        </is>
      </c>
      <c r="B84" s="55">
        <f>IFERROR(B$31/B$37,"n/a")</f>
        <v/>
      </c>
      <c r="C84" s="55">
        <f>IFERROR(C$31/C$37,"n/a")</f>
        <v/>
      </c>
      <c r="D84" s="55">
        <f>IFERROR(D$31/D$37,"n/a")</f>
        <v/>
      </c>
      <c r="E84" s="55">
        <f>IFERROR(E$31/E$37,"n/a")</f>
        <v/>
      </c>
      <c r="F84" s="55">
        <f>IFERROR(F$31/F$37,"n/a")</f>
        <v/>
      </c>
      <c r="G84" s="55">
        <f>IFERROR(G$31/G$37,"n/a")</f>
        <v/>
      </c>
      <c r="H84" s="55">
        <f>IFERROR(H$31/H$37,"n/a")</f>
        <v/>
      </c>
      <c r="I84" s="55">
        <f>IFERROR(I$31/I$37,"n/a")</f>
        <v/>
      </c>
    </row>
    <row r="85">
      <c r="A85" s="8" t="inlineStr">
        <is>
          <t>Tài sản &amp; cơ cấu tài sản</t>
        </is>
      </c>
      <c r="B85" s="9" t="n"/>
      <c r="C85" s="9" t="n"/>
      <c r="D85" s="9" t="n"/>
      <c r="E85" s="9" t="n"/>
      <c r="F85" s="9" t="n"/>
      <c r="G85" s="9" t="n"/>
      <c r="H85" s="9" t="n"/>
      <c r="I85" s="9" t="n"/>
    </row>
    <row r="86">
      <c r="A86" s="9" t="inlineStr">
        <is>
          <t>TSCĐ vô hình</t>
        </is>
      </c>
      <c r="B86" s="54">
        <f>IFERROR(B$32,"n/a")</f>
        <v/>
      </c>
      <c r="C86" s="54">
        <f>IFERROR(C$32,"n/a")</f>
        <v/>
      </c>
      <c r="D86" s="54">
        <f>IFERROR(D$32,"n/a")</f>
        <v/>
      </c>
      <c r="E86" s="54">
        <f>IFERROR(E$32,"n/a")</f>
        <v/>
      </c>
      <c r="F86" s="54">
        <f>IFERROR(F$32,"n/a")</f>
        <v/>
      </c>
      <c r="G86" s="54">
        <f>IFERROR(G$32,"n/a")</f>
        <v/>
      </c>
      <c r="H86" s="54">
        <f>IFERROR(H$32,"n/a")</f>
        <v/>
      </c>
      <c r="I86" s="54">
        <f>IFERROR(I$32,"n/a")</f>
        <v/>
      </c>
    </row>
    <row r="87">
      <c r="A87" s="9" t="inlineStr">
        <is>
          <t>Tài sản vô hình/Giá trị sổ sách</t>
        </is>
      </c>
      <c r="B87" s="53">
        <f>IFERROR(B$32/B$41,"n/a")</f>
        <v/>
      </c>
      <c r="C87" s="53">
        <f>IFERROR(C$32/C$41,"n/a")</f>
        <v/>
      </c>
      <c r="D87" s="53">
        <f>IFERROR(D$32/D$41,"n/a")</f>
        <v/>
      </c>
      <c r="E87" s="53">
        <f>IFERROR(E$32/E$41,"n/a")</f>
        <v/>
      </c>
      <c r="F87" s="53">
        <f>IFERROR(F$32/F$41,"n/a")</f>
        <v/>
      </c>
      <c r="G87" s="53">
        <f>IFERROR(G$32/G$41,"n/a")</f>
        <v/>
      </c>
      <c r="H87" s="53">
        <f>IFERROR(H$32/H$41,"n/a")</f>
        <v/>
      </c>
      <c r="I87" s="53">
        <f>IFERROR(I$32/I$41,"n/a")</f>
        <v/>
      </c>
    </row>
  </sheetData>
  <conditionalFormatting sqref="B9:I9">
    <cfRule type="cellIs" priority="18" operator="greaterThanOrEqual" dxfId="5">
      <formula>0.1</formula>
    </cfRule>
  </conditionalFormatting>
  <conditionalFormatting sqref="B10:I10 B13:I13">
    <cfRule type="cellIs" priority="17" operator="lessThanOrEqual" dxfId="5">
      <formula>0.5</formula>
    </cfRule>
  </conditionalFormatting>
  <conditionalFormatting sqref="B16:I16">
    <cfRule type="cellIs" priority="15" operator="lessThanOrEqual" dxfId="5">
      <formula>0.3</formula>
    </cfRule>
    <cfRule type="cellIs" priority="16" operator="greaterThanOrEqual" dxfId="6">
      <formula>0.7</formula>
    </cfRule>
  </conditionalFormatting>
  <conditionalFormatting sqref="B21:I21">
    <cfRule type="cellIs" priority="13" operator="notBetween" dxfId="6">
      <formula>0.02</formula>
      <formula>0.3</formula>
    </cfRule>
    <cfRule type="cellIs" priority="14" operator="between" dxfId="5">
      <formula>0.02</formula>
      <formula>0.3</formula>
    </cfRule>
  </conditionalFormatting>
  <conditionalFormatting sqref="B8:I8">
    <cfRule type="cellIs" priority="5" operator="greaterThanOrEqual" dxfId="5">
      <formula>0.3</formula>
    </cfRule>
    <cfRule type="cellIs" priority="6" operator="lessThanOrEqual" dxfId="6">
      <formula>0.1</formula>
    </cfRule>
    <cfRule type="cellIs" priority="7" operator="between" dxfId="4">
      <formula>0.1</formula>
      <formula>0.3</formula>
    </cfRule>
  </conditionalFormatting>
  <conditionalFormatting sqref="C2:I2">
    <cfRule type="cellIs" priority="11" operator="greaterThanOrEqual" dxfId="5">
      <formula>0.15/4</formula>
    </cfRule>
    <cfRule type="cellIs" priority="12" operator="lessThan" dxfId="6">
      <formula>0.15/4</formula>
    </cfRule>
  </conditionalFormatting>
  <conditionalFormatting sqref="F5:I5 F7:I7">
    <cfRule type="cellIs" priority="8" operator="lessThan" dxfId="6">
      <formula>0.1</formula>
    </cfRule>
    <cfRule type="cellIs" priority="9" operator="greaterThanOrEqual" dxfId="5">
      <formula>0.15</formula>
    </cfRule>
    <cfRule type="cellIs" priority="10" operator="between" dxfId="4">
      <formula>0.1</formula>
      <formula>0.15</formula>
    </cfRule>
  </conditionalFormatting>
  <conditionalFormatting sqref="C4:I4">
    <cfRule type="cellIs" priority="3" operator="lessThan" dxfId="1">
      <formula>0.1/4</formula>
    </cfRule>
    <cfRule type="cellIs" priority="4" operator="greaterThan" dxfId="0">
      <formula>0.15/4</formula>
    </cfRule>
  </conditionalFormatting>
  <conditionalFormatting sqref="C6:I6">
    <cfRule type="cellIs" priority="1" operator="lessThan" dxfId="1">
      <formula>0.1/4</formula>
    </cfRule>
    <cfRule type="cellIs" priority="2" operator="greaterThan" dxfId="0">
      <formula>0.15/4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B10" sqref="B10"/>
    </sheetView>
  </sheetViews>
  <sheetFormatPr baseColWidth="8" defaultColWidth="11.21875" defaultRowHeight="13.2"/>
  <cols>
    <col width="8.21875" bestFit="1" customWidth="1" style="23" min="1" max="1"/>
    <col width="20" bestFit="1" customWidth="1" style="23" min="2" max="5"/>
    <col width="19.44140625" customWidth="1" style="23" min="6" max="8"/>
    <col width="9.21875" bestFit="1" customWidth="1" style="23" min="9" max="10"/>
    <col width="8.6640625" customWidth="1" style="23" min="11" max="17"/>
    <col width="11.21875" customWidth="1" style="23" min="18" max="18"/>
    <col width="11.21875" customWidth="1" style="23" min="19" max="16384"/>
  </cols>
  <sheetData>
    <row r="1" ht="15" customHeight="1">
      <c r="A1" s="17" t="n"/>
      <c r="B1" s="17" t="inlineStr">
        <is>
          <t>Q1/2026</t>
        </is>
      </c>
      <c r="C1" s="17" t="inlineStr">
        <is>
          <t>Q2/2026</t>
        </is>
      </c>
      <c r="D1" s="17" t="inlineStr">
        <is>
          <t>Q3/2026</t>
        </is>
      </c>
      <c r="E1" s="17" t="inlineStr">
        <is>
          <t>Q4/2026</t>
        </is>
      </c>
    </row>
    <row r="2" ht="15" customHeight="1">
      <c r="A2" s="17" t="inlineStr">
        <is>
          <t>Số CP</t>
        </is>
      </c>
      <c r="B2" s="19" t="n">
        <v>8442964520</v>
      </c>
      <c r="C2" s="19" t="n">
        <v>8442964520</v>
      </c>
      <c r="D2" s="19" t="n">
        <v>8442964520</v>
      </c>
      <c r="E2" s="19" t="n">
        <v>8442964520</v>
      </c>
      <c r="F2" s="24" t="n"/>
    </row>
    <row r="3" ht="15" customHeight="1">
      <c r="A3" s="17" t="inlineStr">
        <is>
          <t>Thị giá</t>
        </is>
      </c>
      <c r="B3" s="19" t="n">
        <v>22250</v>
      </c>
      <c r="C3" s="19" t="n">
        <v>22250</v>
      </c>
      <c r="D3" s="19" t="n">
        <v>22250</v>
      </c>
      <c r="E3" s="19" t="n">
        <v>22250</v>
      </c>
      <c r="F3" s="24" t="n"/>
    </row>
    <row r="4" ht="15" customHeight="1">
      <c r="A4" s="17" t="inlineStr">
        <is>
          <t>Vốn hoá</t>
        </is>
      </c>
      <c r="B4" s="19">
        <f>B2*B3</f>
        <v/>
      </c>
      <c r="C4" s="19">
        <f>C2*C3</f>
        <v/>
      </c>
      <c r="D4" s="19">
        <f>D2*D3</f>
        <v/>
      </c>
      <c r="E4" s="19">
        <f>E2*E3</f>
        <v/>
      </c>
      <c r="F4" s="24" t="n"/>
    </row>
    <row r="5" ht="15" customHeight="1"/>
    <row r="6" ht="15" customHeight="1">
      <c r="A6" s="17" t="inlineStr">
        <is>
          <t>VCSH</t>
        </is>
      </c>
      <c r="B6" s="18" t="n">
        <v>139782000000000</v>
      </c>
      <c r="C6" s="18" t="n">
        <v>141516000000000</v>
      </c>
      <c r="D6" s="18">
        <f>B6*(($E$6/$B$6)^(2/3))</f>
        <v/>
      </c>
      <c r="E6" s="18">
        <f>chi_so_tai_chinh!B41</f>
        <v/>
      </c>
      <c r="F6" s="25" t="n"/>
      <c r="G6" s="26" t="n"/>
    </row>
    <row r="7" ht="15" customHeight="1">
      <c r="A7" s="17" t="inlineStr">
        <is>
          <t>LICĐKKS</t>
        </is>
      </c>
      <c r="B7" s="19">
        <f>B6*0.35/100</f>
        <v/>
      </c>
      <c r="C7" s="19">
        <f>C6*0.35/100</f>
        <v/>
      </c>
      <c r="D7" s="19">
        <f>D6*0.35/100</f>
        <v/>
      </c>
      <c r="E7" s="19">
        <f>E6*0.35/100</f>
        <v/>
      </c>
      <c r="F7" s="27" t="n"/>
      <c r="G7" s="27" t="n"/>
    </row>
    <row r="8" ht="15" customHeight="1">
      <c r="A8" s="17" t="inlineStr">
        <is>
          <t>BV</t>
        </is>
      </c>
      <c r="B8" s="18">
        <f>B6-B7</f>
        <v/>
      </c>
      <c r="C8" s="18">
        <f>C6-C7</f>
        <v/>
      </c>
      <c r="D8" s="18">
        <f>D6-D7</f>
        <v/>
      </c>
      <c r="E8" s="18">
        <f>E6-E7</f>
        <v/>
      </c>
      <c r="H8" s="28" t="n"/>
      <c r="I8" s="28" t="n"/>
      <c r="J8" s="28" t="n"/>
    </row>
    <row r="9" ht="15" customHeight="1">
      <c r="A9" s="20" t="inlineStr">
        <is>
          <t>BVPS</t>
        </is>
      </c>
      <c r="B9" s="56">
        <f>B8/B2</f>
        <v/>
      </c>
      <c r="C9" s="56">
        <f>C8/C2</f>
        <v/>
      </c>
      <c r="D9" s="56">
        <f>D8/D2</f>
        <v/>
      </c>
      <c r="E9" s="56">
        <f>E8/E2</f>
        <v/>
      </c>
    </row>
    <row r="10" ht="15" customHeight="1">
      <c r="A10" s="20" t="inlineStr">
        <is>
          <t>PB</t>
        </is>
      </c>
      <c r="B10" s="22">
        <f>$E$3/B9</f>
        <v/>
      </c>
      <c r="C10" s="22">
        <f>$E$3/C9</f>
        <v/>
      </c>
      <c r="D10" s="22">
        <f>$E$3/D9</f>
        <v/>
      </c>
      <c r="E10" s="22">
        <f>$E$3/E9</f>
        <v/>
      </c>
    </row>
    <row r="11" ht="15" customHeight="1">
      <c r="M11" s="28" t="n"/>
      <c r="N11" s="28" t="n"/>
      <c r="O11" s="28" t="n"/>
      <c r="P11" s="28" t="n"/>
      <c r="Q11" s="28" t="n"/>
      <c r="R11" s="28" t="n"/>
    </row>
    <row r="14">
      <c r="I14" s="29" t="n"/>
      <c r="J14" s="29" t="n"/>
      <c r="K14" s="29" t="n"/>
      <c r="L14" s="29" t="n"/>
    </row>
    <row r="16">
      <c r="I16" s="29" t="n"/>
      <c r="J16" s="29" t="n"/>
      <c r="K16" s="29" t="n"/>
      <c r="L16" s="29" t="n"/>
    </row>
    <row r="19">
      <c r="M19" s="29" t="n"/>
      <c r="N19" s="29" t="n"/>
      <c r="O19" s="29" t="n"/>
      <c r="P19" s="29" t="n"/>
      <c r="Q19" s="29" t="n"/>
    </row>
    <row r="21">
      <c r="M21" s="29" t="n"/>
      <c r="N21" s="29" t="n"/>
      <c r="O21" s="29" t="n"/>
      <c r="P21" s="29" t="n"/>
      <c r="Q21" s="2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2026-08-21T13:08:27Z</dcterms:created>
  <dcterms:modified xsi:type="dcterms:W3CDTF">2026-10-28T04:39:05Z</dcterms:modified>
  <cp:lastModifiedBy>Administrator</cp:lastModifiedBy>
</cp:coreProperties>
</file>
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-* #,##0_-;\-* #,##0_-;_-* &quot;-&quot;_-;_-@_-"/>
    <numFmt numFmtId="166" formatCode="_(* #,##0_);_(* \(#,##0\);_(* &quot;-&quot;??_);_(@_)"/>
  </numFmts>
  <fonts count="16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0" fontId="6" fillId="3" borderId="3" pivotButton="0" quotePrefix="0" xfId="0"/>
    <xf numFmtId="10" fontId="7" fillId="4" borderId="3" pivotButton="0" quotePrefix="0" xfId="0"/>
    <xf numFmtId="9" fontId="7" fillId="4" borderId="3" pivotButton="0" quotePrefix="0" xfId="0"/>
    <xf numFmtId="9" fontId="7" fillId="5" borderId="3" pivotButton="0" quotePrefix="0" xfId="0"/>
    <xf numFmtId="0" fontId="8" fillId="3" borderId="3" pivotButton="0" quotePrefix="0" xfId="0"/>
    <xf numFmtId="10" fontId="7" fillId="3" borderId="3" pivotButton="0" quotePrefix="0" xfId="0"/>
    <xf numFmtId="0" fontId="4" fillId="6" borderId="3" pivotButton="0" quotePrefix="0" xfId="0"/>
    <xf numFmtId="0" fontId="7" fillId="6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3" fontId="4" fillId="0" borderId="3" applyAlignment="1" pivotButton="0" quotePrefix="0" xfId="0">
      <alignment horizontal="center"/>
    </xf>
    <xf numFmtId="3" fontId="7" fillId="0" borderId="0" pivotButton="0" quotePrefix="0" xfId="0"/>
    <xf numFmtId="0" fontId="5" fillId="0" borderId="3" pivotButton="0" quotePrefix="0" xfId="0"/>
    <xf numFmtId="3" fontId="9" fillId="0" borderId="3" pivotButton="0" quotePrefix="0" xfId="0"/>
    <xf numFmtId="3" fontId="10" fillId="0" borderId="3" pivotButton="0" quotePrefix="0" xfId="0"/>
    <xf numFmtId="3" fontId="10" fillId="0" borderId="0" pivotButton="0" quotePrefix="0" xfId="0"/>
    <xf numFmtId="0" fontId="11" fillId="0" borderId="3" pivotButton="0" quotePrefix="0" xfId="0"/>
    <xf numFmtId="3" fontId="12" fillId="0" borderId="3" pivotButton="0" quotePrefix="0" xfId="0"/>
    <xf numFmtId="3" fontId="11" fillId="0" borderId="0" pivotButton="0" quotePrefix="0" xfId="0"/>
    <xf numFmtId="3" fontId="13" fillId="0" borderId="3" pivotButton="0" quotePrefix="0" xfId="0"/>
    <xf numFmtId="0" fontId="14" fillId="0" borderId="3" pivotButton="0" quotePrefix="0" xfId="0"/>
    <xf numFmtId="9" fontId="14" fillId="0" borderId="3" pivotButton="0" quotePrefix="0" xfId="0"/>
    <xf numFmtId="3" fontId="14" fillId="0" borderId="0" pivotButton="0" quotePrefix="0" xfId="0"/>
    <xf numFmtId="3" fontId="15" fillId="0" borderId="0" pivotButton="0" quotePrefix="0" xfId="0"/>
    <xf numFmtId="0" fontId="7" fillId="0" borderId="3" pivotButton="0" quotePrefix="0" xfId="0"/>
    <xf numFmtId="3" fontId="7" fillId="0" borderId="3" pivotButton="0" quotePrefix="0" xfId="0"/>
    <xf numFmtId="43" fontId="7" fillId="0" borderId="0" pivotButton="0" quotePrefix="0" xfId="0"/>
    <xf numFmtId="165" fontId="7" fillId="0" borderId="3" pivotButton="0" quotePrefix="0" xfId="0"/>
    <xf numFmtId="9" fontId="7" fillId="0" borderId="0" pivotButton="0" quotePrefix="0" xfId="0"/>
    <xf numFmtId="41" fontId="7" fillId="0" borderId="3" pivotButton="0" quotePrefix="0" xfId="0"/>
    <xf numFmtId="166" fontId="11" fillId="0" borderId="3" pivotButton="0" quotePrefix="0" xfId="0"/>
    <xf numFmtId="43" fontId="11" fillId="0" borderId="3" pivotButton="0" quotePrefix="0" xfId="0"/>
    <xf numFmtId="9" fontId="7" fillId="0" borderId="3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3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  <c r="J2" s="4" t="n">
        <v>3782282000000</v>
      </c>
      <c r="K2" s="4" t="n">
        <v>3349166000000</v>
      </c>
      <c r="L2" s="4" t="n">
        <v>4223983000000</v>
      </c>
      <c r="M2" s="4" t="n">
        <v>5262525000000</v>
      </c>
      <c r="N2" s="4" t="n">
        <v>4421466000000</v>
      </c>
      <c r="O2" s="4" t="n">
        <v>4965786000000</v>
      </c>
      <c r="P2" s="4" t="n">
        <v>5741287000000</v>
      </c>
      <c r="Q2" s="4" t="n">
        <v>5051244000000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  <c r="J3" s="4" t="n">
        <v>4875798000000</v>
      </c>
      <c r="K3" s="4" t="n">
        <v>5430416000000</v>
      </c>
      <c r="L3" s="4" t="n">
        <v>5381759000000</v>
      </c>
      <c r="M3" s="4" t="n">
        <v>5343331000000</v>
      </c>
      <c r="N3" s="4" t="n">
        <v>5121088000000</v>
      </c>
      <c r="O3" s="4" t="n">
        <v>5616547000000</v>
      </c>
      <c r="P3" s="4" t="n">
        <v>5500662000000</v>
      </c>
      <c r="Q3" s="4" t="n">
        <v>5752320000000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  <c r="J4" s="4" t="n">
        <v>3268440000000</v>
      </c>
      <c r="K4" s="4" t="n">
        <v>3750696000000</v>
      </c>
      <c r="L4" s="4" t="n">
        <v>3772404000000</v>
      </c>
      <c r="M4" s="4" t="n">
        <v>3713430000000</v>
      </c>
      <c r="N4" s="4" t="n">
        <v>3536030000000</v>
      </c>
      <c r="O4" s="4" t="n">
        <v>3805533000000</v>
      </c>
      <c r="P4" s="4" t="n">
        <v>3717028000000</v>
      </c>
      <c r="Q4" s="4" t="n">
        <v>3940732000000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  <c r="J5" s="4" t="n">
        <v>8340941000000</v>
      </c>
      <c r="K5" s="4" t="n">
        <v>9014672000000</v>
      </c>
      <c r="L5" s="4" t="n">
        <v>9160651000000</v>
      </c>
      <c r="M5" s="4" t="n">
        <v>9174600000000</v>
      </c>
      <c r="N5" s="4" t="n">
        <v>9027999000000</v>
      </c>
      <c r="O5" s="4" t="n">
        <v>9423236000000</v>
      </c>
      <c r="P5" s="4" t="n">
        <v>9473484000000</v>
      </c>
      <c r="Q5" s="4" t="n">
        <v>9805329000000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  <c r="J6" s="4" t="n">
        <v>-5072501000000</v>
      </c>
      <c r="K6" s="4" t="n">
        <v>-5263976000000</v>
      </c>
      <c r="L6" s="4" t="n">
        <v>-5388247000000</v>
      </c>
      <c r="M6" s="4" t="n">
        <v>-5461170000000</v>
      </c>
      <c r="N6" s="4" t="n">
        <v>-5491969000000</v>
      </c>
      <c r="O6" s="4" t="n">
        <v>-5617703000000</v>
      </c>
      <c r="P6" s="4" t="n">
        <v>-5756456000000</v>
      </c>
      <c r="Q6" s="4" t="n">
        <v>-5864597000000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  <c r="J10" s="4" t="n">
        <v>1607358000000</v>
      </c>
      <c r="K10" s="4" t="n">
        <v>1679720000000</v>
      </c>
      <c r="L10" s="4" t="n">
        <v>1609355000000</v>
      </c>
      <c r="M10" s="4" t="n">
        <v>1629901000000</v>
      </c>
      <c r="N10" s="4" t="n">
        <v>1585058000000</v>
      </c>
      <c r="O10" s="4" t="n">
        <v>1811014000000</v>
      </c>
      <c r="P10" s="4" t="n">
        <v>1783634000000</v>
      </c>
      <c r="Q10" s="4" t="n">
        <v>1811588000000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  <c r="J11" s="4" t="n">
        <v>4679601000000</v>
      </c>
      <c r="K11" s="4" t="n">
        <v>4976669000000</v>
      </c>
      <c r="L11" s="4" t="n">
        <v>5006260000000</v>
      </c>
      <c r="M11" s="4" t="n">
        <v>5180623000000</v>
      </c>
      <c r="N11" s="4" t="n">
        <v>5257810000000</v>
      </c>
      <c r="O11" s="4" t="n">
        <v>5684904000000</v>
      </c>
      <c r="P11" s="4" t="n">
        <v>5762160000000</v>
      </c>
      <c r="Q11" s="4" t="n">
        <v>5929584000000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  <c r="J12" s="4" t="n">
        <v>-3072243000000</v>
      </c>
      <c r="K12" s="4" t="n">
        <v>-3296949000000</v>
      </c>
      <c r="L12" s="4" t="n">
        <v>-3396905000000</v>
      </c>
      <c r="M12" s="4" t="n">
        <v>-3550722000000</v>
      </c>
      <c r="N12" s="4" t="n">
        <v>-3672752000000</v>
      </c>
      <c r="O12" s="4" t="n">
        <v>-3873890000000</v>
      </c>
      <c r="P12" s="4" t="n">
        <v>-3978526000000</v>
      </c>
      <c r="Q12" s="4" t="n">
        <v>-4117996000000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  <c r="J13" s="4" t="n">
        <v>235660000000</v>
      </c>
      <c r="K13" s="4" t="n">
        <v>234115000000</v>
      </c>
      <c r="L13" s="4" t="n">
        <v>232570000000</v>
      </c>
      <c r="M13" s="4" t="n">
        <v>220898000000</v>
      </c>
      <c r="N13" s="4" t="n">
        <v>219370000000</v>
      </c>
      <c r="O13" s="4" t="n">
        <v>222813000000</v>
      </c>
      <c r="P13" s="4" t="n">
        <v>216314000000</v>
      </c>
      <c r="Q13" s="4" t="n">
        <v>214786000000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  <c r="J14" s="4" t="n">
        <v>260415000000</v>
      </c>
      <c r="K14" s="4" t="n">
        <v>260415000000</v>
      </c>
      <c r="L14" s="4" t="n">
        <v>260415000000</v>
      </c>
      <c r="M14" s="4" t="n">
        <v>250155000000</v>
      </c>
      <c r="N14" s="4" t="n">
        <v>250155000000</v>
      </c>
      <c r="O14" s="4" t="n">
        <v>255126000000</v>
      </c>
      <c r="P14" s="4" t="n">
        <v>250155000000</v>
      </c>
      <c r="Q14" s="4" t="n">
        <v>250155000000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  <c r="J15" s="4" t="n">
        <v>-24755000000</v>
      </c>
      <c r="K15" s="4" t="n">
        <v>-26300000000</v>
      </c>
      <c r="L15" s="4" t="n">
        <v>-27845000000</v>
      </c>
      <c r="M15" s="4" t="n">
        <v>-29257000000</v>
      </c>
      <c r="N15" s="4" t="n">
        <v>-30785000000</v>
      </c>
      <c r="O15" s="4" t="n">
        <v>-32313000000</v>
      </c>
      <c r="P15" s="4" t="n">
        <v>-33841000000</v>
      </c>
      <c r="Q15" s="4" t="n">
        <v>-35369000000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  <c r="J16" s="4" t="n">
        <v>578426000000</v>
      </c>
      <c r="K16" s="4" t="n">
        <v>609477000000</v>
      </c>
      <c r="L16" s="4" t="n">
        <v>696628000000</v>
      </c>
      <c r="M16" s="4" t="n">
        <v>582898000000</v>
      </c>
      <c r="N16" s="4" t="n">
        <v>1112379000000</v>
      </c>
      <c r="O16" s="4" t="n">
        <v>468396000000</v>
      </c>
      <c r="P16" s="4" t="n">
        <v>467906000000</v>
      </c>
      <c r="Q16" s="4" t="n">
        <v>435970000000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  <c r="J19" s="4" t="n">
        <v>742228000000</v>
      </c>
      <c r="K19" s="4" t="n">
        <v>775670000000</v>
      </c>
      <c r="L19" s="4" t="n">
        <v>820760000000</v>
      </c>
      <c r="M19" s="4" t="n">
        <v>707030000000</v>
      </c>
      <c r="N19" s="4" t="n">
        <v>1235723000000</v>
      </c>
      <c r="O19" s="4" t="n">
        <v>559624000000</v>
      </c>
      <c r="P19" s="4" t="n">
        <v>559134000000</v>
      </c>
      <c r="Q19" s="4" t="n">
        <v>527198000000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  <c r="J20" s="4" t="n">
        <v>-163802000000</v>
      </c>
      <c r="K20" s="4" t="n">
        <v>-166193000000</v>
      </c>
      <c r="L20" s="4" t="n">
        <v>-124132000000</v>
      </c>
      <c r="M20" s="4" t="n">
        <v>-124132000000</v>
      </c>
      <c r="N20" s="4" t="n">
        <v>-123344000000</v>
      </c>
      <c r="O20" s="4" t="n">
        <v>-91228000000</v>
      </c>
      <c r="P20" s="4" t="n">
        <v>-91228000000</v>
      </c>
      <c r="Q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  <c r="J21" s="4" t="n">
        <v>1028819208000000</v>
      </c>
      <c r="K21" s="4" t="n">
        <v>1128801062000000</v>
      </c>
      <c r="L21" s="4" t="n">
        <v>1156917195000000</v>
      </c>
      <c r="M21" s="4" t="n">
        <v>1289644328000000</v>
      </c>
      <c r="N21" s="4" t="n">
        <v>1328560306000000</v>
      </c>
      <c r="O21" s="4" t="n">
        <v>1615763927000000</v>
      </c>
      <c r="P21" s="4" t="n">
        <v>1611222764000000</v>
      </c>
      <c r="Q21" s="4" t="n">
        <v>1733012662000000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  <c r="J22" s="4" t="n">
        <v>918796010000000</v>
      </c>
      <c r="K22" s="4" t="n">
        <v>1011741481000000</v>
      </c>
      <c r="L22" s="4" t="n">
        <v>1033240647000000</v>
      </c>
      <c r="M22" s="4" t="n">
        <v>1161840678000000</v>
      </c>
      <c r="N22" s="4" t="n">
        <v>1195469561000000</v>
      </c>
      <c r="O22" s="4" t="n">
        <v>1473741402000000</v>
      </c>
      <c r="P22" s="4" t="n">
        <v>1461477439000000</v>
      </c>
      <c r="Q22" s="4" t="n">
        <v>1576250018000000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  <c r="J23" s="4" t="n">
        <v>110023198000000</v>
      </c>
      <c r="K23" s="4" t="n">
        <v>117059581000000</v>
      </c>
      <c r="L23" s="4" t="n">
        <v>123676548000000</v>
      </c>
      <c r="M23" s="4" t="n">
        <v>127803650000000</v>
      </c>
      <c r="N23" s="4" t="n">
        <v>133090745000000</v>
      </c>
      <c r="O23" s="4" t="n">
        <v>142022525000000</v>
      </c>
      <c r="P23" s="4" t="n">
        <v>149745325000000</v>
      </c>
      <c r="Q23" s="4" t="n">
        <v>156762644000000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  <c r="J24" s="4" t="n">
        <v>52870841000000</v>
      </c>
      <c r="K24" s="4" t="n">
        <v>53063241000000</v>
      </c>
      <c r="L24" s="4" t="n">
        <v>61022727000000</v>
      </c>
      <c r="M24" s="4" t="n">
        <v>61022727000000</v>
      </c>
      <c r="N24" s="4" t="n">
        <v>80549999000000</v>
      </c>
      <c r="O24" s="4" t="n">
        <v>80549999000000</v>
      </c>
      <c r="P24" s="4" t="n">
        <v>80549999000000</v>
      </c>
      <c r="Q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  <c r="J25" s="4" t="n">
        <v>1304334000000</v>
      </c>
      <c r="K25" s="4" t="n">
        <v>1304334000000</v>
      </c>
      <c r="L25" s="4" t="n">
        <v>1304334000000</v>
      </c>
      <c r="M25" s="4" t="n">
        <v>1304334000000</v>
      </c>
      <c r="N25" s="4" t="n">
        <v>1304334000000</v>
      </c>
      <c r="O25" s="4" t="n">
        <v>1304334000000</v>
      </c>
      <c r="P25" s="4" t="n">
        <v>1304334000000</v>
      </c>
      <c r="Q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  <c r="J26" s="4" t="n">
        <v>1928258000000</v>
      </c>
      <c r="K26" s="4" t="n">
        <v>1928258000000</v>
      </c>
      <c r="L26" s="4" t="n">
        <v>1928258000000</v>
      </c>
      <c r="M26" s="4" t="n">
        <v>1928354000000</v>
      </c>
      <c r="N26" s="4" t="n">
        <v>1996507000000</v>
      </c>
      <c r="O26" s="4" t="n">
        <v>2111211000000</v>
      </c>
      <c r="P26" s="4" t="n">
        <v>2111211000000</v>
      </c>
      <c r="Q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  <c r="J29" s="4" t="n">
        <v>72723000000</v>
      </c>
      <c r="K29" s="4" t="n">
        <v>137797000000</v>
      </c>
      <c r="L29" s="4" t="n">
        <v>148911000000</v>
      </c>
      <c r="M29" s="4" t="n">
        <v>188573000000</v>
      </c>
      <c r="N29" s="4" t="n">
        <v>206423000000</v>
      </c>
      <c r="O29" s="4" t="n">
        <v>202211000000</v>
      </c>
      <c r="P29" s="4" t="n">
        <v>205588000000</v>
      </c>
      <c r="Q29" s="4" t="n">
        <v>202898000000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  <c r="J30" s="4" t="n">
        <v>34476533000000</v>
      </c>
      <c r="K30" s="4" t="n">
        <v>40718224000000</v>
      </c>
      <c r="L30" s="4" t="n">
        <v>39322902000000</v>
      </c>
      <c r="M30" s="4" t="n">
        <v>38370327000000</v>
      </c>
      <c r="N30" s="4" t="n">
        <v>23859854000000</v>
      </c>
      <c r="O30" s="4" t="n">
        <v>32577391000000</v>
      </c>
      <c r="P30" s="4" t="n">
        <v>40061058000000</v>
      </c>
      <c r="Q30" s="4" t="n">
        <v>40020849000000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  <c r="J32" s="4" t="n">
        <v>1028819208000000</v>
      </c>
      <c r="K32" s="4" t="n">
        <v>1128801062000000</v>
      </c>
      <c r="L32" s="4" t="n">
        <v>1156917195000000</v>
      </c>
      <c r="M32" s="4" t="n">
        <v>1289644328000000</v>
      </c>
      <c r="N32" s="4" t="n">
        <v>1328560306000000</v>
      </c>
      <c r="O32" s="4" t="n">
        <v>1615763927000000</v>
      </c>
      <c r="P32" s="4" t="n">
        <v>1611222764000000</v>
      </c>
      <c r="Q32" s="4" t="n">
        <v>1733012662000000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  <c r="J33" s="4" t="n">
        <v>10684041000000</v>
      </c>
      <c r="K33" s="4" t="n">
        <v>29825253000000</v>
      </c>
      <c r="L33" s="4" t="n">
        <v>15521984000000</v>
      </c>
      <c r="M33" s="4" t="n">
        <v>15251535000000</v>
      </c>
      <c r="N33" s="4" t="n">
        <v>17507511000000</v>
      </c>
      <c r="O33" s="4" t="n">
        <v>68494426000000</v>
      </c>
      <c r="P33" s="4" t="n">
        <v>15156039000000</v>
      </c>
      <c r="Q33" s="4" t="n">
        <v>27417370000000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  <c r="J34" s="4" t="n">
        <v>77398096000000</v>
      </c>
      <c r="K34" s="4" t="n">
        <v>76785622000000</v>
      </c>
      <c r="L34" s="4" t="n">
        <v>64338554000000</v>
      </c>
      <c r="M34" s="4" t="n">
        <v>96081337000000</v>
      </c>
      <c r="N34" s="4" t="n">
        <v>108324759000000</v>
      </c>
      <c r="O34" s="4" t="n">
        <v>182923726000000</v>
      </c>
      <c r="P34" s="4" t="n">
        <v>165297962000000</v>
      </c>
      <c r="Q34" s="4" t="n">
        <v>174745578000000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  <c r="J35" s="4" t="n">
        <v>14324151000000</v>
      </c>
      <c r="K35" s="4" t="n">
        <v>7931834000000</v>
      </c>
      <c r="L35" s="4" t="n">
        <v>12509220000000</v>
      </c>
      <c r="M35" s="4" t="n">
        <v>4618286000000</v>
      </c>
      <c r="N35" s="4" t="n">
        <v>3195873000000</v>
      </c>
      <c r="O35" s="4" t="n">
        <v>4692622000000</v>
      </c>
      <c r="P35" s="4" t="n">
        <v>5093432000000</v>
      </c>
      <c r="Q35" s="4" t="n">
        <v>8888529000000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  <c r="J36" s="4" t="inlineStr"/>
      <c r="K36" s="4" t="inlineStr"/>
      <c r="L36" s="4" t="inlineStr"/>
      <c r="M36" s="4" t="inlineStr"/>
      <c r="N36" s="4" t="inlineStr"/>
      <c r="O36" s="4" t="inlineStr"/>
      <c r="P36" s="4" t="inlineStr"/>
      <c r="Q36" s="4" t="inlineStr"/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  <c r="J37" s="4" t="n">
        <v>-209000000</v>
      </c>
      <c r="K37" s="4" t="n">
        <v>-179000000</v>
      </c>
      <c r="L37" s="4" t="n">
        <v>-27979000000</v>
      </c>
      <c r="M37" s="4" t="n">
        <v>-32610000000</v>
      </c>
      <c r="N37" s="4" t="n">
        <v>-23700000000</v>
      </c>
      <c r="O37" s="4" t="n">
        <v>-39393000000</v>
      </c>
      <c r="P37" s="4" t="n">
        <v>-34663000000</v>
      </c>
      <c r="Q37" s="4" t="n">
        <v>-35170000000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  <c r="J38" s="4" t="n">
        <v>111681000000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  <c r="J39" s="4" t="n">
        <v>702019545000000</v>
      </c>
      <c r="K39" s="4" t="n">
        <v>776657846000000</v>
      </c>
      <c r="L39" s="4" t="n">
        <v>797536715000000</v>
      </c>
      <c r="M39" s="4" t="n">
        <v>879888513000000</v>
      </c>
      <c r="N39" s="4" t="n">
        <v>931498596000000</v>
      </c>
      <c r="O39" s="4" t="n">
        <v>1084019370000000</v>
      </c>
      <c r="P39" s="4" t="n">
        <v>1120562481000000</v>
      </c>
      <c r="Q39" s="4" t="n">
        <v>1227554477000000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  <c r="J40" s="4" t="inlineStr"/>
      <c r="K40" s="4" t="inlineStr"/>
      <c r="L40" s="4" t="inlineStr"/>
      <c r="M40" s="4" t="inlineStr"/>
      <c r="N40" s="4" t="inlineStr"/>
      <c r="O40" s="4" t="inlineStr"/>
      <c r="P40" s="4" t="inlineStr"/>
      <c r="Q40" s="4" t="inlineStr"/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  <c r="J41" s="4" t="n">
        <v>-10786657000000</v>
      </c>
      <c r="K41" s="4" t="n">
        <v>-11609861000000</v>
      </c>
      <c r="L41" s="4" t="n">
        <v>-11049736000000</v>
      </c>
      <c r="M41" s="4" t="n">
        <v>-12548304000000</v>
      </c>
      <c r="N41" s="4" t="n">
        <v>-13799595000000</v>
      </c>
      <c r="O41" s="4" t="n">
        <v>-13150593000000</v>
      </c>
      <c r="P41" s="4" t="n">
        <v>-14710330000000</v>
      </c>
      <c r="Q41" s="4" t="n">
        <v>-16662881000000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  <c r="J42" s="4" t="n">
        <v>197206164000000</v>
      </c>
      <c r="K42" s="4" t="n">
        <v>209637377000000</v>
      </c>
      <c r="L42" s="4" t="n">
        <v>240234807000000</v>
      </c>
      <c r="M42" s="4" t="n">
        <v>262474257000000</v>
      </c>
      <c r="N42" s="4" t="n">
        <v>235603615000000</v>
      </c>
      <c r="O42" s="4" t="n">
        <v>225574850000000</v>
      </c>
      <c r="P42" s="4" t="n">
        <v>262829936000000</v>
      </c>
      <c r="Q42" s="4" t="n">
        <v>247070731000000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  <c r="J43" s="4" t="n">
        <v>192578792000000</v>
      </c>
      <c r="K43" s="4" t="n">
        <v>205507956000000</v>
      </c>
      <c r="L43" s="4" t="n">
        <v>236771888000000</v>
      </c>
      <c r="M43" s="4" t="n">
        <v>258676335000000</v>
      </c>
      <c r="N43" s="4" t="n">
        <v>232242770000000</v>
      </c>
      <c r="O43" s="4" t="n">
        <v>221512464000000</v>
      </c>
      <c r="P43" s="4" t="n">
        <v>259054739000000</v>
      </c>
      <c r="Q43" s="4" t="n">
        <v>242744694000000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  <c r="J44" s="4" t="n">
        <v>5422262000000</v>
      </c>
      <c r="K44" s="4" t="n">
        <v>4612504000000</v>
      </c>
      <c r="L44" s="4" t="n">
        <v>3969626000000</v>
      </c>
      <c r="M44" s="4" t="n">
        <v>4255592000000</v>
      </c>
      <c r="N44" s="4" t="n">
        <v>4467417000000</v>
      </c>
      <c r="O44" s="4" t="n">
        <v>4295125000000</v>
      </c>
      <c r="P44" s="4" t="n">
        <v>4336559000000</v>
      </c>
      <c r="Q44" s="4" t="n">
        <v>4573649000000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  <c r="J45" s="4" t="n">
        <v>-794890000000</v>
      </c>
      <c r="K45" s="4" t="n">
        <v>-483083000000</v>
      </c>
      <c r="L45" s="4" t="n">
        <v>-506707000000</v>
      </c>
      <c r="M45" s="4" t="n">
        <v>-457670000000</v>
      </c>
      <c r="N45" s="4" t="n">
        <v>-1106572000000</v>
      </c>
      <c r="O45" s="4" t="n">
        <v>-232739000000</v>
      </c>
      <c r="P45" s="4" t="n">
        <v>-561362000000</v>
      </c>
      <c r="Q45" s="4" t="n">
        <v>-247612000000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  <c r="J46" s="4" t="n">
        <v>6453634000000</v>
      </c>
      <c r="K46" s="4" t="n">
        <v>5873749000000</v>
      </c>
      <c r="L46" s="4" t="n">
        <v>5725812000000</v>
      </c>
      <c r="M46" s="4" t="n">
        <v>6156656000000</v>
      </c>
      <c r="N46" s="4" t="n">
        <v>6040196000000</v>
      </c>
      <c r="O46" s="4" t="n">
        <v>7894091000000</v>
      </c>
      <c r="P46" s="4" t="n">
        <v>6622398000000</v>
      </c>
      <c r="Q46" s="4" t="n">
        <v>8297454000000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  <c r="J47" s="4" t="n">
        <v>5046988000000</v>
      </c>
      <c r="K47" s="4" t="n">
        <v>8156285000000</v>
      </c>
      <c r="L47" s="4" t="n">
        <v>5494421000000</v>
      </c>
      <c r="M47" s="4" t="n">
        <v>20894064000000</v>
      </c>
      <c r="N47" s="4" t="n">
        <v>23155328000000</v>
      </c>
      <c r="O47" s="4" t="n">
        <v>47474800000000</v>
      </c>
      <c r="P47" s="4" t="n">
        <v>28346499000000</v>
      </c>
      <c r="Q47" s="4" t="n">
        <v>22574102000000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  <c r="J48" s="4" t="n">
        <v>118559598000000</v>
      </c>
      <c r="K48" s="4" t="n">
        <v>110169585000000</v>
      </c>
      <c r="L48" s="4" t="n">
        <v>109015683000000</v>
      </c>
      <c r="M48" s="4" t="n">
        <v>130930943000000</v>
      </c>
      <c r="N48" s="4" t="n">
        <v>154325370000000</v>
      </c>
      <c r="O48" s="4" t="n">
        <v>248017489000000</v>
      </c>
      <c r="P48" s="4" t="n">
        <v>256891475000000</v>
      </c>
      <c r="Q48" s="4" t="n">
        <v>285608719000000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  <c r="J49" s="4" t="n">
        <v>627567353000000</v>
      </c>
      <c r="K49" s="4" t="n">
        <v>714154479000000</v>
      </c>
      <c r="L49" s="4" t="n">
        <v>722622450000000</v>
      </c>
      <c r="M49" s="4" t="n">
        <v>783291908000000</v>
      </c>
      <c r="N49" s="4" t="n">
        <v>788030328000000</v>
      </c>
      <c r="O49" s="4" t="n">
        <v>921368132000000</v>
      </c>
      <c r="P49" s="4" t="n">
        <v>905918332000000</v>
      </c>
      <c r="Q49" s="4" t="n">
        <v>963815357000000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  <c r="J50" s="4" t="n">
        <v>0</v>
      </c>
      <c r="K50" s="4" t="n">
        <v>191545000000</v>
      </c>
      <c r="L50" s="4" t="n">
        <v>526143000000</v>
      </c>
      <c r="M50" s="4" t="n">
        <v>842870000000</v>
      </c>
      <c r="N50" s="4" t="n">
        <v>1228245000000</v>
      </c>
      <c r="O50" s="4" t="n">
        <v>698507000000</v>
      </c>
      <c r="P50" s="4" t="n">
        <v>661326000000</v>
      </c>
      <c r="Q50" s="4" t="n">
        <v>571389000000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  <c r="J51" s="4" t="n">
        <v>3351982000000</v>
      </c>
      <c r="K51" s="4" t="n">
        <v>2793453000000</v>
      </c>
      <c r="L51" s="4" t="n">
        <v>3003072000000</v>
      </c>
      <c r="M51" s="4" t="n">
        <v>3282236000000</v>
      </c>
      <c r="N51" s="4" t="n">
        <v>4048717000000</v>
      </c>
      <c r="O51" s="4" t="n">
        <v>3912833000000</v>
      </c>
      <c r="P51" s="4" t="n">
        <v>3247015000000</v>
      </c>
      <c r="Q51" s="4" t="n">
        <v>2287529000000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  <c r="J52" s="4" t="n">
        <v>119550968000000</v>
      </c>
      <c r="K52" s="4" t="n">
        <v>128964033000000</v>
      </c>
      <c r="L52" s="4" t="n">
        <v>146597114000000</v>
      </c>
      <c r="M52" s="4" t="n">
        <v>170267177000000</v>
      </c>
      <c r="N52" s="4" t="n">
        <v>171610852000000</v>
      </c>
      <c r="O52" s="4" t="n">
        <v>187236104000000</v>
      </c>
      <c r="P52" s="4" t="n">
        <v>208816453000000</v>
      </c>
      <c r="Q52" s="4" t="n">
        <v>233503962000000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  <c r="J53" s="4" t="n">
        <v>44719121000000</v>
      </c>
      <c r="K53" s="4" t="n">
        <v>47312101000000</v>
      </c>
      <c r="L53" s="4" t="n">
        <v>45981764000000</v>
      </c>
      <c r="M53" s="4" t="n">
        <v>52331480000000</v>
      </c>
      <c r="N53" s="4" t="n">
        <v>53070721000000</v>
      </c>
      <c r="O53" s="4" t="n">
        <v>65033537000000</v>
      </c>
      <c r="P53" s="4" t="n">
        <v>57596339000000</v>
      </c>
      <c r="Q53" s="4" t="n">
        <v>67888960000000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  <c r="J54" s="4" t="n">
        <v>56103433000000</v>
      </c>
      <c r="K54" s="4" t="n">
        <v>56295833000000</v>
      </c>
      <c r="L54" s="4" t="n">
        <v>64255319000000</v>
      </c>
      <c r="M54" s="4" t="n">
        <v>64255415000000</v>
      </c>
      <c r="N54" s="4" t="n">
        <v>83850840000000</v>
      </c>
      <c r="O54" s="4" t="n">
        <v>83965544000000</v>
      </c>
      <c r="P54" s="4" t="n">
        <v>83965544000000</v>
      </c>
      <c r="Q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  <c r="J57" s="4" t="n">
        <v>15149208000000</v>
      </c>
      <c r="K57" s="4" t="n">
        <v>14996847000000</v>
      </c>
      <c r="L57" s="4" t="n">
        <v>14856157000000</v>
      </c>
      <c r="M57" s="4" t="n">
        <v>19829042000000</v>
      </c>
      <c r="N57" s="4" t="n">
        <v>19530424000000</v>
      </c>
      <c r="O57" s="4" t="n">
        <v>19390884000000</v>
      </c>
      <c r="P57" s="4" t="n">
        <v>19352028000000</v>
      </c>
      <c r="Q57" s="4" t="n">
        <v>25147692000000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  <c r="J58" s="4" t="n">
        <v>115383033000000</v>
      </c>
      <c r="K58" s="4" t="n">
        <v>135649614000000</v>
      </c>
      <c r="L58" s="4" t="n">
        <v>132304112000000</v>
      </c>
      <c r="M58" s="4" t="n">
        <v>141800858000000</v>
      </c>
      <c r="N58" s="4" t="n">
        <v>147983441000000</v>
      </c>
      <c r="O58" s="4" t="n">
        <v>190317517000000</v>
      </c>
      <c r="P58" s="4" t="n">
        <v>186067393000000</v>
      </c>
      <c r="Q58" s="4" t="n">
        <v>208475133000000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  <c r="J59" s="4" t="n">
        <v>242178000000</v>
      </c>
      <c r="K59" s="4" t="n">
        <v>238395000000</v>
      </c>
      <c r="L59" s="4" t="n">
        <v>237595000000</v>
      </c>
      <c r="M59" s="4" t="n">
        <v>1659555000000</v>
      </c>
      <c r="N59" s="4" t="n">
        <v>1660807000000</v>
      </c>
      <c r="O59" s="4" t="n">
        <v>1684717000000</v>
      </c>
      <c r="P59" s="4" t="n">
        <v>1681823000000</v>
      </c>
      <c r="Q59" s="4" t="n">
        <v>1690753000000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  <c r="J60" s="4" t="n">
        <v>1440982000000</v>
      </c>
      <c r="K60" s="4" t="n">
        <v>4416403000000</v>
      </c>
      <c r="L60" s="4" t="n">
        <v>2647481000000</v>
      </c>
      <c r="M60" s="4" t="n">
        <v>2161335000000</v>
      </c>
      <c r="N60" s="4" t="n">
        <v>1784842000000</v>
      </c>
      <c r="O60" s="4" t="n">
        <v>9738358000000</v>
      </c>
      <c r="P60" s="4" t="n">
        <v>1302737000000</v>
      </c>
      <c r="Q60" s="4" t="n">
        <v>1292442000000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  <c r="J61" s="4" t="n">
        <v>1203550000000</v>
      </c>
      <c r="K61" s="4" t="n">
        <v>4492239000000</v>
      </c>
      <c r="L61" s="4" t="n">
        <v>2017937000000</v>
      </c>
      <c r="M61" s="4" t="n">
        <v>1383768000000</v>
      </c>
      <c r="N61" s="4" t="n">
        <v>2610172000000</v>
      </c>
      <c r="O61" s="4" t="n">
        <v>8752345000000</v>
      </c>
      <c r="P61" s="4" t="n">
        <v>2160046000000</v>
      </c>
      <c r="Q61" s="4" t="n">
        <v>759384000000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  <c r="J62" s="4" t="n">
        <v>384138107000000</v>
      </c>
      <c r="K62" s="4" t="n">
        <v>254224568000000</v>
      </c>
      <c r="L62" s="4" t="n">
        <v>399965703000000</v>
      </c>
      <c r="M62" s="4" t="n">
        <v>460263013000000</v>
      </c>
      <c r="N62" s="4" t="n">
        <v>330756697000000</v>
      </c>
      <c r="O62" s="4" t="n">
        <v>600397724000000</v>
      </c>
      <c r="P62" s="4" t="n">
        <v>720517547000000</v>
      </c>
      <c r="Q62" s="4" t="n">
        <v>694989766000000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  <c r="J65" s="4" t="n">
        <v>28616360000000</v>
      </c>
      <c r="K65" s="4" t="n">
        <v>29138440000000</v>
      </c>
      <c r="L65" s="4" t="n">
        <v>27851432000000</v>
      </c>
      <c r="M65" s="4" t="n">
        <v>40189404000000</v>
      </c>
      <c r="N65" s="4" t="n">
        <v>48239630000000</v>
      </c>
      <c r="O65" s="4" t="n">
        <v>59728018000000</v>
      </c>
      <c r="P65" s="4" t="n">
        <v>71763365000000</v>
      </c>
      <c r="Q65" s="4" t="n">
        <v>77029906000000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  <c r="J66" s="4" t="n">
        <v>87041461000000</v>
      </c>
      <c r="K66" s="4" t="n">
        <v>72142229000000</v>
      </c>
      <c r="L66" s="4" t="n">
        <v>105315671000000</v>
      </c>
      <c r="M66" s="4" t="n">
        <v>127321731000000</v>
      </c>
      <c r="N66" s="4" t="n">
        <v>77829142000000</v>
      </c>
      <c r="O66" s="4" t="n">
        <v>127878633000000</v>
      </c>
      <c r="P66" s="4" t="n">
        <v>117681586000000</v>
      </c>
      <c r="Q66" s="4" t="n">
        <v>106250017000000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  <c r="J67" s="4" t="n">
        <v>4221301000000</v>
      </c>
      <c r="K67" s="4" t="n">
        <v>4910880000000</v>
      </c>
      <c r="L67" s="4" t="n">
        <v>5093259000000</v>
      </c>
      <c r="M67" s="4" t="n">
        <v>5160293000000</v>
      </c>
      <c r="N67" s="4" t="n">
        <v>5643204000000</v>
      </c>
      <c r="O67" s="4" t="n">
        <v>5886495000000</v>
      </c>
      <c r="P67" s="4" t="n">
        <v>6161107000000</v>
      </c>
      <c r="Q67" s="4" t="n">
        <v>7425661000000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  <c r="J68" s="4" t="n">
        <v>63104122000000</v>
      </c>
      <c r="K68" s="4" t="n">
        <v>63887837000000</v>
      </c>
      <c r="L68" s="4" t="n">
        <v>53258553000000</v>
      </c>
      <c r="M68" s="4" t="n">
        <v>83374784000000</v>
      </c>
      <c r="N68" s="4" t="n">
        <v>93652060000000</v>
      </c>
      <c r="O68" s="4" t="n">
        <v>165819028000000</v>
      </c>
      <c r="P68" s="4" t="n">
        <v>149138239000000</v>
      </c>
      <c r="Q68" s="4" t="n">
        <v>154948823000000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  <c r="J69" s="4" t="n">
        <v>14299814000000</v>
      </c>
      <c r="K69" s="4" t="n">
        <v>12903651000000</v>
      </c>
      <c r="L69" s="4" t="n">
        <v>11085993000000</v>
      </c>
      <c r="M69" s="4" t="n">
        <v>12714396000000</v>
      </c>
      <c r="N69" s="4" t="n">
        <v>14681089000000</v>
      </c>
      <c r="O69" s="4" t="n">
        <v>17113794000000</v>
      </c>
      <c r="P69" s="4" t="n">
        <v>16170508000000</v>
      </c>
      <c r="Q69" s="4" t="n">
        <v>19808571000000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  <c r="J70" s="4" t="n">
        <v>-5840000000</v>
      </c>
      <c r="K70" s="4" t="n">
        <v>-5866000000</v>
      </c>
      <c r="L70" s="4" t="n">
        <v>-5992000000</v>
      </c>
      <c r="M70" s="4" t="n">
        <v>-7843000000</v>
      </c>
      <c r="N70" s="4" t="n">
        <v>-8390000000</v>
      </c>
      <c r="O70" s="4" t="n">
        <v>-9096000000</v>
      </c>
      <c r="P70" s="4" t="n">
        <v>-10785000000</v>
      </c>
      <c r="Q70" s="4" t="n">
        <v>-11816000000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  <c r="J71" s="4" t="n">
        <v>1168180000000</v>
      </c>
      <c r="K71" s="4" t="n">
        <v>951509000000</v>
      </c>
      <c r="L71" s="4" t="n">
        <v>466382000000</v>
      </c>
      <c r="M71" s="4" t="n">
        <v>2589022000000</v>
      </c>
      <c r="N71" s="4" t="n">
        <v>2476050000000</v>
      </c>
      <c r="O71" s="4" t="n">
        <v>2443895000000</v>
      </c>
      <c r="P71" s="4" t="n">
        <v>2264075000000</v>
      </c>
      <c r="Q71" s="4" t="n">
        <v>2226067000000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  <c r="J72" s="4" t="n">
        <v>1203428000000</v>
      </c>
      <c r="K72" s="4" t="n">
        <v>1041362000000</v>
      </c>
      <c r="L72" s="4" t="n">
        <v>523636000000</v>
      </c>
      <c r="M72" s="4" t="n">
        <v>2660325000000</v>
      </c>
      <c r="N72" s="4" t="n">
        <v>2548681000000</v>
      </c>
      <c r="O72" s="4" t="n">
        <v>2465314000000</v>
      </c>
      <c r="P72" s="4" t="n">
        <v>2287269000000</v>
      </c>
      <c r="Q72" s="4" t="n">
        <v>2247703000000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  <c r="J73" s="4" t="n">
        <v>-35248000000</v>
      </c>
      <c r="K73" s="4" t="n">
        <v>-89853000000</v>
      </c>
      <c r="L73" s="4" t="n">
        <v>-57254000000</v>
      </c>
      <c r="M73" s="4" t="n">
        <v>-71303000000</v>
      </c>
      <c r="N73" s="4" t="n">
        <v>-72631000000</v>
      </c>
      <c r="O73" s="4" t="n">
        <v>-21419000000</v>
      </c>
      <c r="P73" s="4" t="n">
        <v>-23194000000</v>
      </c>
      <c r="Q73" s="4" t="n">
        <v>-21636000000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  <c r="J74" s="4" t="n">
        <v>12019533000000</v>
      </c>
      <c r="K74" s="4" t="n">
        <v>14360628000000</v>
      </c>
      <c r="L74" s="4" t="n">
        <v>10917644000000</v>
      </c>
      <c r="M74" s="4" t="n">
        <v>12561181000000</v>
      </c>
      <c r="N74" s="4" t="n">
        <v>15485596000000</v>
      </c>
      <c r="O74" s="4" t="n">
        <v>28125764000000</v>
      </c>
      <c r="P74" s="4" t="n">
        <v>20164815000000</v>
      </c>
      <c r="Q74" s="4" t="n">
        <v>25431187000000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  <c r="J75" s="4" t="n">
        <v>8867350000000</v>
      </c>
      <c r="K75" s="4" t="n">
        <v>8918622000000</v>
      </c>
      <c r="L75" s="4" t="n">
        <v>10315953000000</v>
      </c>
      <c r="M75" s="4" t="n">
        <v>11258139000000</v>
      </c>
      <c r="N75" s="4" t="n">
        <v>11433202000000</v>
      </c>
      <c r="O75" s="4" t="n">
        <v>13549018000000</v>
      </c>
      <c r="P75" s="4" t="n">
        <v>16082037000000</v>
      </c>
      <c r="Q75" s="4" t="n">
        <v>16654128000000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  <c r="J76" s="4" t="n">
        <v>35062000000</v>
      </c>
      <c r="K76" s="4" t="n">
        <v>38912000000</v>
      </c>
      <c r="L76" s="4" t="n">
        <v>39278000000</v>
      </c>
      <c r="M76" s="4" t="n">
        <v>38316000000</v>
      </c>
      <c r="N76" s="4" t="n">
        <v>41863000000</v>
      </c>
      <c r="O76" s="4" t="n">
        <v>34339000000</v>
      </c>
      <c r="P76" s="4" t="n">
        <v>37793000000</v>
      </c>
      <c r="Q76" s="4" t="n">
        <v>44326000000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  <c r="J77" s="4" t="inlineStr"/>
      <c r="K77" s="4" t="inlineStr"/>
      <c r="L77" s="4" t="inlineStr"/>
      <c r="M77" s="4" t="inlineStr"/>
      <c r="N77" s="4" t="inlineStr"/>
      <c r="O77" s="4" t="inlineStr"/>
      <c r="P77" s="4" t="inlineStr"/>
      <c r="Q77" s="4" t="inlineStr"/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  <c r="J78" s="4" t="n">
        <v>9523000000</v>
      </c>
      <c r="K78" s="4" t="n">
        <v>9523000000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0</v>
      </c>
      <c r="Q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  <c r="J79" s="4" t="n">
        <v>-153529000000</v>
      </c>
      <c r="K79" s="4" t="n">
        <v>-193424000000</v>
      </c>
      <c r="L79" s="4" t="n">
        <v>-146379000000</v>
      </c>
      <c r="M79" s="4" t="n">
        <v>-101652000000</v>
      </c>
      <c r="N79" s="4" t="n">
        <v>-97963000000</v>
      </c>
      <c r="O79" s="4" t="n">
        <v>-71730000000</v>
      </c>
      <c r="P79" s="4" t="n">
        <v>-69380000000</v>
      </c>
      <c r="Q79" s="4" t="n">
        <v>-73454000000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  <c r="J80" s="4" t="n">
        <v>83303955000000</v>
      </c>
      <c r="K80" s="4" t="n">
        <v>79515610000000</v>
      </c>
      <c r="L80" s="4" t="n">
        <v>75655540000000</v>
      </c>
      <c r="M80" s="4" t="n">
        <v>101565518000000</v>
      </c>
      <c r="N80" s="4" t="n">
        <v>99386298000000</v>
      </c>
      <c r="O80" s="4" t="n">
        <v>183635325000000</v>
      </c>
      <c r="P80" s="4" t="n">
        <v>184168441000000</v>
      </c>
      <c r="Q80" s="4" t="n">
        <v>186637834000000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  <c r="J81" s="4" t="n">
        <v>35255643000000</v>
      </c>
      <c r="K81" s="4" t="n">
        <v>30653975000000</v>
      </c>
      <c r="L81" s="4" t="n">
        <v>33360143000000</v>
      </c>
      <c r="M81" s="4" t="n">
        <v>29365425000000</v>
      </c>
      <c r="N81" s="4" t="n">
        <v>54939072000000</v>
      </c>
      <c r="O81" s="4" t="n">
        <v>64382164000000</v>
      </c>
      <c r="P81" s="4" t="n">
        <v>72723034000000</v>
      </c>
      <c r="Q81" s="4" t="n">
        <v>98970885000000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  <c r="J82" s="4" t="n">
        <v>8824156000000</v>
      </c>
      <c r="K82" s="4" t="n">
        <v>9899902000000</v>
      </c>
      <c r="L82" s="4" t="n">
        <v>11305751000000</v>
      </c>
      <c r="M82" s="4" t="n">
        <v>11038072000000</v>
      </c>
      <c r="N82" s="4" t="n">
        <v>10698135000000</v>
      </c>
      <c r="O82" s="4" t="n">
        <v>13245868000000</v>
      </c>
      <c r="P82" s="4" t="n">
        <v>16185467000000</v>
      </c>
      <c r="Q82" s="4" t="n">
        <v>19237642000000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  <c r="J84" s="4" t="n">
        <v>35893971000000</v>
      </c>
      <c r="K84" s="4" t="n">
        <v>37411147000000</v>
      </c>
      <c r="L84" s="4" t="n">
        <v>34674850000000</v>
      </c>
      <c r="M84" s="4" t="n">
        <v>41292416000000</v>
      </c>
      <c r="N84" s="4" t="n">
        <v>42370965000000</v>
      </c>
      <c r="O84" s="4" t="n">
        <v>51785481000000</v>
      </c>
      <c r="P84" s="4" t="n">
        <v>41408552000000</v>
      </c>
      <c r="Q84" s="4" t="n">
        <v>48645739000000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  <c r="J85" s="4" t="n">
        <v>994000000</v>
      </c>
      <c r="K85" s="4" t="n">
        <v>1052000000</v>
      </c>
      <c r="L85" s="4" t="n">
        <v>1163000000</v>
      </c>
      <c r="M85" s="4" t="n">
        <v>992000000</v>
      </c>
      <c r="N85" s="4" t="n">
        <v>1621000000</v>
      </c>
      <c r="O85" s="4" t="n">
        <v>2188000000</v>
      </c>
      <c r="P85" s="4" t="n">
        <v>2320000000</v>
      </c>
      <c r="Q85" s="4" t="n">
        <v>5579000000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  <c r="J2" s="4" t="n">
        <v>7307896000000</v>
      </c>
      <c r="K2" s="4" t="n">
        <v>8093120000000</v>
      </c>
      <c r="L2" s="4" t="n">
        <v>8386325000000</v>
      </c>
      <c r="M2" s="4" t="n">
        <v>7502991000000</v>
      </c>
      <c r="N2" s="4" t="n">
        <v>7249920000000</v>
      </c>
      <c r="O2" s="4" t="n">
        <v>11129122000000</v>
      </c>
      <c r="P2" s="4" t="n">
        <v>9628386000000</v>
      </c>
      <c r="Q2" s="4" t="n">
        <v>10559872000000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  <c r="J3" s="4" t="n">
        <v>-1465240000000</v>
      </c>
      <c r="K3" s="4" t="n">
        <v>-1715348000000</v>
      </c>
      <c r="L3" s="4" t="n">
        <v>-1708859000000</v>
      </c>
      <c r="M3" s="4" t="n">
        <v>-1496624000000</v>
      </c>
      <c r="N3" s="4" t="n">
        <v>-1452742000000</v>
      </c>
      <c r="O3" s="4" t="n">
        <v>-2218646000000</v>
      </c>
      <c r="P3" s="4" t="n">
        <v>-1929120000000</v>
      </c>
      <c r="Q3" s="4" t="n">
        <v>-2120910000000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  <c r="J4" s="4" t="n">
        <v>787000000</v>
      </c>
      <c r="K4" s="4" t="n">
        <v>3850000000</v>
      </c>
      <c r="L4" s="4" t="n">
        <v>-2587000000</v>
      </c>
      <c r="M4" s="4" t="n">
        <v>-1661000000</v>
      </c>
      <c r="N4" s="4" t="n">
        <v>3263000000</v>
      </c>
      <c r="O4" s="4" t="n">
        <v>-7524000000</v>
      </c>
      <c r="P4" s="4" t="n">
        <v>3454000000</v>
      </c>
      <c r="Q4" s="4" t="n">
        <v>6511000000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  <c r="J5" s="4" t="n">
        <v>-1464453000000</v>
      </c>
      <c r="K5" s="4" t="n">
        <v>-1711498000000</v>
      </c>
      <c r="L5" s="4" t="n">
        <v>-1711446000000</v>
      </c>
      <c r="M5" s="4" t="n">
        <v>-1498285000000</v>
      </c>
      <c r="N5" s="4" t="n">
        <v>-1449479000000</v>
      </c>
      <c r="O5" s="4" t="n">
        <v>-2226170000000</v>
      </c>
      <c r="P5" s="4" t="n">
        <v>-1925666000000</v>
      </c>
      <c r="Q5" s="4" t="n">
        <v>-2114399000000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  <c r="J6" s="4" t="n">
        <v>5843443000000</v>
      </c>
      <c r="K6" s="4" t="n">
        <v>6381622000000</v>
      </c>
      <c r="L6" s="4" t="n">
        <v>6674879000000</v>
      </c>
      <c r="M6" s="4" t="n">
        <v>6004706000000</v>
      </c>
      <c r="N6" s="4" t="n">
        <v>5800441000000</v>
      </c>
      <c r="O6" s="4" t="n">
        <v>8902952000000</v>
      </c>
      <c r="P6" s="4" t="n">
        <v>7702720000000</v>
      </c>
      <c r="Q6" s="4" t="n">
        <v>8445473000000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  <c r="J7" s="4" t="n">
        <v>-53287000000</v>
      </c>
      <c r="K7" s="4" t="n">
        <v>-97468000000</v>
      </c>
      <c r="L7" s="4" t="n">
        <v>-107139000000</v>
      </c>
      <c r="M7" s="4" t="n">
        <v>-127101000000</v>
      </c>
      <c r="N7" s="4" t="n">
        <v>-229417000000</v>
      </c>
      <c r="O7" s="4" t="n">
        <v>-140382000000</v>
      </c>
      <c r="P7" s="4" t="n">
        <v>-187207000000</v>
      </c>
      <c r="Q7" s="4" t="n">
        <v>-216411000000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  <c r="J8" s="4" t="n">
        <v>5790156000000</v>
      </c>
      <c r="K8" s="4" t="n">
        <v>6284154000000</v>
      </c>
      <c r="L8" s="4" t="n">
        <v>6567740000000</v>
      </c>
      <c r="M8" s="4" t="n">
        <v>5877605000000</v>
      </c>
      <c r="N8" s="4" t="n">
        <v>5571024000000</v>
      </c>
      <c r="O8" s="4" t="n">
        <v>8762570000000</v>
      </c>
      <c r="P8" s="4" t="n">
        <v>7515513000000</v>
      </c>
      <c r="Q8" s="4" t="n">
        <v>8229062000000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  <c r="J11" s="4" t="n">
        <v>17396620000000</v>
      </c>
      <c r="K11" s="4" t="n">
        <v>18452076000000</v>
      </c>
      <c r="L11" s="4" t="n">
        <v>19590312000000</v>
      </c>
      <c r="M11" s="4" t="n">
        <v>21099126000000</v>
      </c>
      <c r="N11" s="4" t="n">
        <v>22265897000000</v>
      </c>
      <c r="O11" s="4" t="n">
        <v>26132781000000</v>
      </c>
      <c r="P11" s="4" t="n">
        <v>28982071000000</v>
      </c>
      <c r="Q11" s="4" t="n">
        <v>34006838000000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  <c r="J12" s="4" t="n">
        <v>-6979985000000</v>
      </c>
      <c r="K12" s="4" t="n">
        <v>-7309898000000</v>
      </c>
      <c r="L12" s="4" t="n">
        <v>-7898128000000</v>
      </c>
      <c r="M12" s="4" t="n">
        <v>-8727009000000</v>
      </c>
      <c r="N12" s="4" t="n">
        <v>-9275373000000</v>
      </c>
      <c r="O12" s="4" t="n">
        <v>-11577489000000</v>
      </c>
      <c r="P12" s="4" t="n">
        <v>-14068954000000</v>
      </c>
      <c r="Q12" s="4" t="n">
        <v>-17113184000000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  <c r="J13" s="4" t="n">
        <v>10416635000000</v>
      </c>
      <c r="K13" s="4" t="n">
        <v>11142178000000</v>
      </c>
      <c r="L13" s="4" t="n">
        <v>11692184000000</v>
      </c>
      <c r="M13" s="4" t="n">
        <v>12372117000000</v>
      </c>
      <c r="N13" s="4" t="n">
        <v>12990524000000</v>
      </c>
      <c r="O13" s="4" t="n">
        <v>14555292000000</v>
      </c>
      <c r="P13" s="4" t="n">
        <v>14913117000000</v>
      </c>
      <c r="Q13" s="4" t="n">
        <v>16893654000000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  <c r="J14" s="4" t="n">
        <v>3436204000000</v>
      </c>
      <c r="K14" s="4" t="n">
        <v>4149237000000</v>
      </c>
      <c r="L14" s="4" t="n">
        <v>3611961000000</v>
      </c>
      <c r="M14" s="4" t="n">
        <v>4613875000000</v>
      </c>
      <c r="N14" s="4" t="n">
        <v>4234200000000</v>
      </c>
      <c r="O14" s="4" t="n">
        <v>5602200000000</v>
      </c>
      <c r="P14" s="4" t="n">
        <v>4583814000000</v>
      </c>
      <c r="Q14" s="4" t="n">
        <v>5249714000000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  <c r="J15" s="4" t="n">
        <v>-2548181000000</v>
      </c>
      <c r="K15" s="4" t="n">
        <v>-2968479000000</v>
      </c>
      <c r="L15" s="4" t="n">
        <v>-2376545000000</v>
      </c>
      <c r="M15" s="4" t="n">
        <v>-2698332000000</v>
      </c>
      <c r="N15" s="4" t="n">
        <v>-2907645000000</v>
      </c>
      <c r="O15" s="4" t="n">
        <v>-3501033000000</v>
      </c>
      <c r="P15" s="4" t="n">
        <v>-2875070000000</v>
      </c>
      <c r="Q15" s="4" t="n">
        <v>-3444039000000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  <c r="J16" s="4" t="n">
        <v>888023000000</v>
      </c>
      <c r="K16" s="4" t="n">
        <v>1180758000000</v>
      </c>
      <c r="L16" s="4" t="n">
        <v>1235416000000</v>
      </c>
      <c r="M16" s="4" t="n">
        <v>1915543000000</v>
      </c>
      <c r="N16" s="4" t="n">
        <v>1326555000000</v>
      </c>
      <c r="O16" s="4" t="n">
        <v>2101167000000</v>
      </c>
      <c r="P16" s="4" t="n">
        <v>1708744000000</v>
      </c>
      <c r="Q16" s="4" t="n">
        <v>1805675000000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  <c r="J17" s="4" t="n">
        <v>660609000000</v>
      </c>
      <c r="K17" s="4" t="n">
        <v>484636000000</v>
      </c>
      <c r="L17" s="4" t="n">
        <v>537800000000</v>
      </c>
      <c r="M17" s="4" t="n">
        <v>534121000000</v>
      </c>
      <c r="N17" s="4" t="n">
        <v>424608000000</v>
      </c>
      <c r="O17" s="4" t="n">
        <v>260393000000</v>
      </c>
      <c r="P17" s="4" t="n">
        <v>-31706000000</v>
      </c>
      <c r="Q17" s="4" t="n">
        <v>137240000000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  <c r="J18" s="4" t="n">
        <v>226010000000</v>
      </c>
      <c r="K18" s="4" t="n">
        <v>118195000000</v>
      </c>
      <c r="L18" s="4" t="n">
        <v>168718000000</v>
      </c>
      <c r="M18" s="4" t="n">
        <v>246982000000</v>
      </c>
      <c r="N18" s="4" t="n">
        <v>172422000000</v>
      </c>
      <c r="O18" s="4" t="n">
        <v>80262000000</v>
      </c>
      <c r="P18" s="4" t="n">
        <v>80813000000</v>
      </c>
      <c r="Q18" s="4" t="n">
        <v>168711000000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  <c r="J19" s="4" t="n">
        <v>-172432000000</v>
      </c>
      <c r="K19" s="4" t="n">
        <v>2412338000000</v>
      </c>
      <c r="L19" s="4" t="n">
        <v>509329000000</v>
      </c>
      <c r="M19" s="4" t="n">
        <v>785944000000</v>
      </c>
      <c r="N19" s="4" t="n">
        <v>-527544000000</v>
      </c>
      <c r="O19" s="4" t="n">
        <v>822364000000</v>
      </c>
      <c r="P19" s="4" t="n">
        <v>-331270000000</v>
      </c>
      <c r="Q19" s="4" t="n">
        <v>334857000000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  <c r="J20" s="4" t="n">
        <v>677927000000</v>
      </c>
      <c r="K20" s="4" t="n">
        <v>2580669000000</v>
      </c>
      <c r="L20" s="4" t="n">
        <v>1179210000000</v>
      </c>
      <c r="M20" s="4" t="n">
        <v>1898103000000</v>
      </c>
      <c r="N20" s="4" t="n">
        <v>1197659000000</v>
      </c>
      <c r="O20" s="4" t="n">
        <v>2738958000000</v>
      </c>
      <c r="P20" s="4" t="n">
        <v>1090478000000</v>
      </c>
      <c r="Q20" s="4" t="n">
        <v>1835146000000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  <c r="J21" s="4" t="n">
        <v>0</v>
      </c>
      <c r="K21" s="4" t="n">
        <v>-1377624000000</v>
      </c>
      <c r="L21" s="4" t="n">
        <v>0</v>
      </c>
      <c r="M21" s="4" t="n">
        <v>-534306000000</v>
      </c>
      <c r="N21" s="4" t="n">
        <v>0</v>
      </c>
      <c r="O21" s="4" t="n">
        <v>-1165150000000</v>
      </c>
      <c r="P21" s="4" t="n">
        <v>0</v>
      </c>
      <c r="Q21" s="4" t="n">
        <v>-765315000000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  <c r="J22" s="4" t="n">
        <v>677927000000</v>
      </c>
      <c r="K22" s="4" t="n">
        <v>1203045000000</v>
      </c>
      <c r="L22" s="4" t="n">
        <v>1179210000000</v>
      </c>
      <c r="M22" s="4" t="n">
        <v>1363797000000</v>
      </c>
      <c r="N22" s="4" t="n">
        <v>1197659000000</v>
      </c>
      <c r="O22" s="4" t="n">
        <v>1573808000000</v>
      </c>
      <c r="P22" s="4" t="n">
        <v>1090478000000</v>
      </c>
      <c r="Q22" s="4" t="n">
        <v>1069831000000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  <c r="J23" s="4" t="n">
        <v>6993000000</v>
      </c>
      <c r="K23" s="4" t="n">
        <v>22361000000</v>
      </c>
      <c r="L23" s="4" t="n">
        <v>40000000</v>
      </c>
      <c r="M23" s="4" t="n">
        <v>27174000000</v>
      </c>
      <c r="N23" s="4" t="n">
        <v>12470000000</v>
      </c>
      <c r="O23" s="4" t="n">
        <v>134660000000</v>
      </c>
      <c r="P23" s="4" t="n">
        <v>30000000</v>
      </c>
      <c r="Q23" s="4" t="n">
        <v>24346000000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  <c r="J24" s="4" t="n">
        <v>12703765000000</v>
      </c>
      <c r="K24" s="4" t="n">
        <v>16563511000000</v>
      </c>
      <c r="L24" s="4" t="n">
        <v>15322697000000</v>
      </c>
      <c r="M24" s="4" t="n">
        <v>17245678000000</v>
      </c>
      <c r="N24" s="4" t="n">
        <v>15596694000000</v>
      </c>
      <c r="O24" s="4" t="n">
        <v>19527946000000</v>
      </c>
      <c r="P24" s="4" t="n">
        <v>17430206000000</v>
      </c>
      <c r="Q24" s="4" t="n">
        <v>20434314000000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  <c r="J25" s="4" t="n">
        <v>-3755899000000</v>
      </c>
      <c r="K25" s="4" t="n">
        <v>-5246555000000</v>
      </c>
      <c r="L25" s="4" t="n">
        <v>-3949958000000</v>
      </c>
      <c r="M25" s="4" t="n">
        <v>-4956470000000</v>
      </c>
      <c r="N25" s="4" t="n">
        <v>-4545266000000</v>
      </c>
      <c r="O25" s="4" t="n">
        <v>-6229459000000</v>
      </c>
      <c r="P25" s="4" t="n">
        <v>-4347002000000</v>
      </c>
      <c r="Q25" s="4" t="n">
        <v>-5627359000000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  <c r="J26" s="4" t="n">
        <v>8947866000000</v>
      </c>
      <c r="K26" s="4" t="n">
        <v>11316956000000</v>
      </c>
      <c r="L26" s="4" t="n">
        <v>11372739000000</v>
      </c>
      <c r="M26" s="4" t="n">
        <v>12289208000000</v>
      </c>
      <c r="N26" s="4" t="n">
        <v>11051428000000</v>
      </c>
      <c r="O26" s="4" t="n">
        <v>13298487000000</v>
      </c>
      <c r="P26" s="4" t="n">
        <v>13083204000000</v>
      </c>
      <c r="Q26" s="4" t="n">
        <v>14806955000000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  <c r="J27" s="4" t="n">
        <v>-1639970000000</v>
      </c>
      <c r="K27" s="4" t="n">
        <v>-3223836000000</v>
      </c>
      <c r="L27" s="4" t="n">
        <v>-2986414000000</v>
      </c>
      <c r="M27" s="4" t="n">
        <v>-4786217000000</v>
      </c>
      <c r="N27" s="4" t="n">
        <v>-3801508000000</v>
      </c>
      <c r="O27" s="4" t="n">
        <v>-2169365000000</v>
      </c>
      <c r="P27" s="4" t="n">
        <v>-3454818000000</v>
      </c>
      <c r="Q27" s="4" t="n">
        <v>-4247083000000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2" customWidth="1" min="15" max="15"/>
    <col width="21" customWidth="1" min="16" max="16"/>
    <col width="22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  <c r="J2" s="4" t="n">
        <v>6610835000000</v>
      </c>
      <c r="K2" s="4" t="n">
        <v>12636013000000</v>
      </c>
      <c r="L2" s="4" t="n">
        <v>7431718000000</v>
      </c>
      <c r="M2" s="4" t="n">
        <v>11324348000000</v>
      </c>
      <c r="N2" s="4" t="n">
        <v>9900748000000</v>
      </c>
      <c r="O2" s="4" t="n">
        <v>11056679000000</v>
      </c>
      <c r="P2" s="4" t="n">
        <v>7697852000000</v>
      </c>
      <c r="Q2" s="4" t="n">
        <v>15569920000000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  <c r="J4" s="4" t="n">
        <v>-20490106000000</v>
      </c>
      <c r="K4" s="4" t="n">
        <v>15414261000000</v>
      </c>
      <c r="L4" s="4" t="n">
        <v>-26075011000000</v>
      </c>
      <c r="M4" s="4" t="n">
        <v>27591549000000</v>
      </c>
      <c r="N4" s="4" t="n">
        <v>10405047000000</v>
      </c>
      <c r="O4" s="4" t="n">
        <v>125435814000000</v>
      </c>
      <c r="P4" s="4" t="n">
        <v>-64971848000000</v>
      </c>
      <c r="Q4" s="4" t="n">
        <v>11770037000000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  <c r="J5" s="4" t="n">
        <v>-532734000000</v>
      </c>
      <c r="K5" s="4" t="n">
        <v>-910154000000</v>
      </c>
      <c r="L5" s="4" t="n">
        <v>-105862000000</v>
      </c>
      <c r="M5" s="4" t="n">
        <v>-367960000000</v>
      </c>
      <c r="N5" s="4" t="n">
        <v>-452322000000</v>
      </c>
      <c r="O5" s="4" t="n">
        <v>-854117000000</v>
      </c>
      <c r="P5" s="4" t="n">
        <v>-591985000000</v>
      </c>
      <c r="Q5" s="4" t="n">
        <v>-170606000000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  <c r="J6" s="4" t="n">
        <v>3036000000</v>
      </c>
      <c r="K6" s="4" t="n">
        <v>1713000000</v>
      </c>
      <c r="L6" s="4" t="n">
        <v>166000000</v>
      </c>
      <c r="M6" s="4" t="n">
        <v>3035000000</v>
      </c>
      <c r="N6" s="4" t="n">
        <v>227573000000</v>
      </c>
      <c r="O6" s="4" t="n">
        <v>515000000</v>
      </c>
      <c r="P6" s="4" t="n">
        <v>1895000000</v>
      </c>
      <c r="Q6" s="4" t="n">
        <v>5778000000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  <c r="J7" s="4" t="n">
        <v>0</v>
      </c>
      <c r="K7" s="4" t="n">
        <v>-37651000000</v>
      </c>
      <c r="L7" s="4" t="n">
        <v>-71299000000</v>
      </c>
      <c r="M7" s="4" t="n">
        <v>56245000000</v>
      </c>
      <c r="N7" s="4" t="n">
        <v>-506943000000</v>
      </c>
      <c r="O7" s="4" t="n">
        <v>499973000000</v>
      </c>
      <c r="P7" s="4" t="n">
        <v>0</v>
      </c>
      <c r="Q7" s="4" t="n">
        <v>-3300000000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  <c r="J8" s="4" t="n">
        <v>4337000000</v>
      </c>
      <c r="K8" s="4" t="n">
        <v>4209000000</v>
      </c>
      <c r="L8" s="4" t="n">
        <v>0</v>
      </c>
      <c r="M8" s="4" t="n">
        <v>57485000000</v>
      </c>
      <c r="N8" s="4" t="n">
        <v>-57485000000</v>
      </c>
      <c r="O8" s="4" t="n">
        <v>2409280000000</v>
      </c>
      <c r="P8" s="4" t="n">
        <v>490000000</v>
      </c>
      <c r="Q8" s="4" t="n">
        <v>1470000000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  <c r="J9" s="4" t="n">
        <v>-3507000000</v>
      </c>
      <c r="K9" s="4" t="n">
        <v>32861000000</v>
      </c>
      <c r="L9" s="4" t="n">
        <v>40000000</v>
      </c>
      <c r="M9" s="4" t="n">
        <v>27174000000</v>
      </c>
      <c r="N9" s="4" t="n">
        <v>12470000000</v>
      </c>
      <c r="O9" s="4" t="n">
        <v>19652000000</v>
      </c>
      <c r="P9" s="4" t="n">
        <v>30000000</v>
      </c>
      <c r="Q9" s="4" t="n">
        <v>24346000000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  <c r="J10" s="4" t="n">
        <v>-528868000000</v>
      </c>
      <c r="K10" s="4" t="n">
        <v>-909022000000</v>
      </c>
      <c r="L10" s="4" t="n">
        <v>-176955000000</v>
      </c>
      <c r="M10" s="4" t="n">
        <v>-224021000000</v>
      </c>
      <c r="N10" s="4" t="n">
        <v>-776707000000</v>
      </c>
      <c r="O10" s="4" t="n">
        <v>2082583000000</v>
      </c>
      <c r="P10" s="4" t="n">
        <v>-589570000000</v>
      </c>
      <c r="Q10" s="4" t="n">
        <v>-142312000000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  <c r="J11" s="4" t="n">
        <v>0</v>
      </c>
      <c r="K11" s="4" t="n">
        <v>995438000000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85922000000</v>
      </c>
      <c r="Q11" s="4" t="n">
        <v>1087532000000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  <c r="J12" s="4" t="n">
        <v>0</v>
      </c>
      <c r="K12" s="4" t="n">
        <v>-162709000000</v>
      </c>
      <c r="L12" s="4" t="n">
        <v>0</v>
      </c>
      <c r="M12" s="4" t="n">
        <v>0</v>
      </c>
      <c r="N12" s="4" t="n">
        <v>-2072592000000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  <c r="J13" s="4" t="n">
        <v>395103000000</v>
      </c>
      <c r="K13" s="4" t="n">
        <v>4992180000000</v>
      </c>
      <c r="L13" s="4" t="n">
        <v>2198563000000</v>
      </c>
      <c r="M13" s="4" t="n">
        <v>3500000000000</v>
      </c>
      <c r="N13" s="4" t="n">
        <v>2072408000000</v>
      </c>
      <c r="O13" s="4" t="n">
        <v>-3813554000000</v>
      </c>
      <c r="P13" s="4" t="n">
        <v>-3712641000000</v>
      </c>
      <c r="Q13" s="4" t="n">
        <v>5736532000000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  <c r="J14" s="4" t="n">
        <v>98166725000000</v>
      </c>
      <c r="K14" s="4" t="n">
        <v>77542854000000</v>
      </c>
      <c r="L14" s="4" t="n">
        <v>97040275000000</v>
      </c>
      <c r="M14" s="4" t="n">
        <v>72986872000000</v>
      </c>
      <c r="N14" s="4" t="n">
        <v>103854400000000</v>
      </c>
      <c r="O14" s="4" t="n">
        <v>115555146000000</v>
      </c>
      <c r="P14" s="4" t="n">
        <v>239259989000000</v>
      </c>
      <c r="Q14" s="4" t="n">
        <v>169985930000000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-2000000</v>
      </c>
      <c r="O15" s="4" t="n">
        <v>0</v>
      </c>
      <c r="P15" s="4" t="n">
        <v>0</v>
      </c>
      <c r="Q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  <c r="J16" s="4" t="n">
        <v>77542854000000</v>
      </c>
      <c r="K16" s="4" t="n">
        <v>97040273000000</v>
      </c>
      <c r="L16" s="4" t="n">
        <v>72986872000000</v>
      </c>
      <c r="M16" s="4" t="n">
        <v>103854400000000</v>
      </c>
      <c r="N16" s="4" t="n">
        <v>115555146000000</v>
      </c>
      <c r="O16" s="4" t="n">
        <v>239259989000000</v>
      </c>
      <c r="P16" s="4" t="n">
        <v>169985930000000</v>
      </c>
      <c r="Q16" s="4" t="n">
        <v>187350187000000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  <c r="J17" s="4" t="n">
        <v>-1524703000000</v>
      </c>
      <c r="K17" s="4" t="n">
        <v>-18509000000</v>
      </c>
      <c r="L17" s="4" t="n">
        <v>-3213906000000</v>
      </c>
      <c r="M17" s="4" t="n">
        <v>-912311000000</v>
      </c>
      <c r="N17" s="4" t="n">
        <v>-937586000000</v>
      </c>
      <c r="O17" s="4" t="n">
        <v>-1454104000000</v>
      </c>
      <c r="P17" s="4" t="n">
        <v>-3908383000000</v>
      </c>
      <c r="Q17" s="4" t="n">
        <v>-1897221000000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  <c r="J19" s="4" t="n">
        <v>-6396000000</v>
      </c>
      <c r="K19" s="4" t="n">
        <v>1401774000000</v>
      </c>
      <c r="L19" s="4" t="n">
        <v>1821992000000</v>
      </c>
      <c r="M19" s="4" t="n">
        <v>-1645199000000</v>
      </c>
      <c r="N19" s="4" t="n">
        <v>-1958140000000</v>
      </c>
      <c r="O19" s="4" t="n">
        <v>-2426067000000</v>
      </c>
      <c r="P19" s="4" t="n">
        <v>912902000000</v>
      </c>
      <c r="Q19" s="4" t="n">
        <v>-3655677000000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  <c r="J20" s="4" t="n">
        <v>-32249988000000</v>
      </c>
      <c r="K20" s="4" t="n">
        <v>-5727089000000</v>
      </c>
      <c r="L20" s="4" t="n">
        <v>-35198440000000</v>
      </c>
      <c r="M20" s="4" t="n">
        <v>-14299479000000</v>
      </c>
      <c r="N20" s="4" t="n">
        <v>27644153000000</v>
      </c>
      <c r="O20" s="4" t="n">
        <v>9405849000000</v>
      </c>
      <c r="P20" s="4" t="n">
        <v>-37984519000000</v>
      </c>
      <c r="Q20" s="4" t="n">
        <v>12277858000000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  <c r="J21" s="4" t="n">
        <v>-111681000000</v>
      </c>
      <c r="K21" s="4" t="n">
        <v>111681000000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  <c r="J22" s="4" t="n">
        <v>-27973034000000</v>
      </c>
      <c r="K22" s="4" t="n">
        <v>-74476235000000</v>
      </c>
      <c r="L22" s="4" t="n">
        <v>-20361143000000</v>
      </c>
      <c r="M22" s="4" t="n">
        <v>-84488487000000</v>
      </c>
      <c r="N22" s="4" t="n">
        <v>-51498439000000</v>
      </c>
      <c r="O22" s="4" t="n">
        <v>-152437407000000</v>
      </c>
      <c r="P22" s="4" t="n">
        <v>-36365066000000</v>
      </c>
      <c r="Q22" s="4" t="n">
        <v>-106952430000000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  <c r="J24" s="4" t="n">
        <v>-2080869000000</v>
      </c>
      <c r="K24" s="4" t="n">
        <v>-2337258000000</v>
      </c>
      <c r="L24" s="4" t="n">
        <v>-3591250000000</v>
      </c>
      <c r="M24" s="4" t="n">
        <v>-3282126000000</v>
      </c>
      <c r="N24" s="4" t="n">
        <v>-2580531000000</v>
      </c>
      <c r="O24" s="4" t="n">
        <v>-2866613000000</v>
      </c>
      <c r="P24" s="4" t="n">
        <v>-1892559000000</v>
      </c>
      <c r="Q24" s="4" t="n">
        <v>-2292201000000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  <c r="J25" s="4" t="n">
        <v>580625000000</v>
      </c>
      <c r="K25" s="4" t="n">
        <v>-2139712000000</v>
      </c>
      <c r="L25" s="4" t="n">
        <v>3504537000000</v>
      </c>
      <c r="M25" s="4" t="n">
        <v>-1980444000000</v>
      </c>
      <c r="N25" s="4" t="n">
        <v>-2356306000000</v>
      </c>
      <c r="O25" s="4" t="n">
        <v>-14562696000000</v>
      </c>
      <c r="P25" s="4" t="n">
        <v>9691642000000</v>
      </c>
      <c r="Q25" s="4" t="n">
        <v>-7312851000000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  <c r="J26" s="4" t="n">
        <v>-2357255000000</v>
      </c>
      <c r="K26" s="4" t="n">
        <v>3109297000000</v>
      </c>
      <c r="L26" s="4" t="n">
        <v>-2661864000000</v>
      </c>
      <c r="M26" s="4" t="n">
        <v>15399643000000</v>
      </c>
      <c r="N26" s="4" t="n">
        <v>2261264000000</v>
      </c>
      <c r="O26" s="4" t="n">
        <v>24319472000000</v>
      </c>
      <c r="P26" s="4" t="n">
        <v>-19128301000000</v>
      </c>
      <c r="Q26" s="4" t="n">
        <v>-5772397000000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  <c r="J27" s="4" t="n">
        <v>14385927000000</v>
      </c>
      <c r="K27" s="4" t="n">
        <v>-8390013000000</v>
      </c>
      <c r="L27" s="4" t="n">
        <v>-1153902000000</v>
      </c>
      <c r="M27" s="4" t="n">
        <v>21915260000000</v>
      </c>
      <c r="N27" s="4" t="n">
        <v>23394427000000</v>
      </c>
      <c r="O27" s="4" t="n">
        <v>93692119000000</v>
      </c>
      <c r="P27" s="4" t="n">
        <v>8873986000000</v>
      </c>
      <c r="Q27" s="4" t="n">
        <v>28717244000000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  <c r="J28" s="4" t="n">
        <v>8949715000000</v>
      </c>
      <c r="K28" s="4" t="n">
        <v>86587126000000</v>
      </c>
      <c r="L28" s="4" t="n">
        <v>8467971000000</v>
      </c>
      <c r="M28" s="4" t="n">
        <v>60669458000000</v>
      </c>
      <c r="N28" s="4" t="n">
        <v>4738420000000</v>
      </c>
      <c r="O28" s="4" t="n">
        <v>133337804000000</v>
      </c>
      <c r="P28" s="4" t="n">
        <v>-15449800000000</v>
      </c>
      <c r="Q28" s="4" t="n">
        <v>57897025000000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  <c r="J29" s="4" t="n">
        <v>-1076174000000</v>
      </c>
      <c r="K29" s="4" t="n">
        <v>191545000000</v>
      </c>
      <c r="L29" s="4" t="n">
        <v>334598000000</v>
      </c>
      <c r="M29" s="4" t="n">
        <v>316727000000</v>
      </c>
      <c r="N29" s="4" t="n">
        <v>385375000000</v>
      </c>
      <c r="O29" s="4" t="n">
        <v>-529738000000</v>
      </c>
      <c r="P29" s="4" t="n">
        <v>-37183000000</v>
      </c>
      <c r="Q29" s="4" t="n">
        <v>-89935000000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  <c r="J30" s="4" t="n">
        <v>52404000000</v>
      </c>
      <c r="K30" s="4" t="n">
        <v>-558529000000</v>
      </c>
      <c r="L30" s="4" t="n">
        <v>209619000000</v>
      </c>
      <c r="M30" s="4" t="n">
        <v>279164000000</v>
      </c>
      <c r="N30" s="4" t="n">
        <v>766481000000</v>
      </c>
      <c r="O30" s="4" t="n">
        <v>-135884000000</v>
      </c>
      <c r="P30" s="4" t="n">
        <v>-665818000000</v>
      </c>
      <c r="Q30" s="4" t="n">
        <v>-959486000000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  <c r="J31" s="4" t="n">
        <v>19756034000000</v>
      </c>
      <c r="K31" s="4" t="n">
        <v>5253611000000</v>
      </c>
      <c r="L31" s="4" t="n">
        <v>15434518000000</v>
      </c>
      <c r="M31" s="4" t="n">
        <v>20170063000000</v>
      </c>
      <c r="N31" s="4" t="n">
        <v>-2801325000000</v>
      </c>
      <c r="O31" s="4" t="n">
        <v>19438806000000</v>
      </c>
      <c r="P31" s="4" t="n">
        <v>25378912000000</v>
      </c>
      <c r="Q31" s="4" t="n">
        <v>20038509000000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  <c r="J33" s="4" t="n">
        <v>-4902492000000</v>
      </c>
      <c r="K33" s="4" t="n">
        <v>-92644000000</v>
      </c>
      <c r="L33" s="4" t="n">
        <v>-166948000000</v>
      </c>
      <c r="M33" s="4" t="n">
        <v>3243460000000</v>
      </c>
      <c r="N33" s="4" t="n">
        <v>2810161000000</v>
      </c>
      <c r="O33" s="4" t="n">
        <v>7285306000000</v>
      </c>
      <c r="P33" s="4" t="n">
        <v>-5957780000000</v>
      </c>
      <c r="Q33" s="4" t="n">
        <v>4391922000000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  <c r="J34" s="4" t="n">
        <v>-20422349000000</v>
      </c>
      <c r="K34" s="4" t="n">
        <v>15569567000000</v>
      </c>
      <c r="L34" s="4" t="n">
        <v>-25928594000000</v>
      </c>
      <c r="M34" s="4" t="n">
        <v>27622388000000</v>
      </c>
      <c r="N34" s="4" t="n">
        <v>10706288000000</v>
      </c>
      <c r="O34" s="4" t="n">
        <v>125577630000000</v>
      </c>
      <c r="P34" s="4" t="n">
        <v>-64925732000000</v>
      </c>
      <c r="Q34" s="4" t="n">
        <v>11857501000000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  <c r="J35" s="4" t="n">
        <v>-67757000000</v>
      </c>
      <c r="K35" s="4" t="n">
        <v>-155306000000</v>
      </c>
      <c r="L35" s="4" t="n">
        <v>-146417000000</v>
      </c>
      <c r="M35" s="4" t="n">
        <v>-30839000000</v>
      </c>
      <c r="N35" s="4" t="n">
        <v>-301241000000</v>
      </c>
      <c r="O35" s="4" t="n">
        <v>-141816000000</v>
      </c>
      <c r="P35" s="4" t="n">
        <v>-46116000000</v>
      </c>
      <c r="Q35" s="4" t="n">
        <v>-87464000000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-4971000000</v>
      </c>
      <c r="P38" s="4" t="n">
        <v>0</v>
      </c>
      <c r="Q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12251000000</v>
      </c>
      <c r="P39" s="4" t="n">
        <v>0</v>
      </c>
      <c r="Q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  <c r="J41" s="4" t="n">
        <v>395103000000</v>
      </c>
      <c r="K41" s="4" t="n">
        <v>4159451000000</v>
      </c>
      <c r="L41" s="4" t="n">
        <v>2198563000000</v>
      </c>
      <c r="M41" s="4" t="n">
        <v>3500000000000</v>
      </c>
      <c r="N41" s="4" t="n">
        <v>4145000000000</v>
      </c>
      <c r="O41" s="4" t="n">
        <v>2330000000000</v>
      </c>
      <c r="P41" s="4" t="n">
        <v>0</v>
      </c>
      <c r="Q41" s="4" t="n">
        <v>8050000000000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-6143554000000</v>
      </c>
      <c r="P42" s="4" t="n">
        <v>-3798563000000</v>
      </c>
      <c r="Q42" s="4" t="n">
        <v>-3401000000000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  <c r="J45" s="4" t="n">
        <v>16687157000000</v>
      </c>
      <c r="K45" s="4" t="n">
        <v>18355810000000</v>
      </c>
      <c r="L45" s="4" t="n">
        <v>18186686000000</v>
      </c>
      <c r="M45" s="4" t="n">
        <v>20202906000000</v>
      </c>
      <c r="N45" s="4" t="n">
        <v>22171247000000</v>
      </c>
      <c r="O45" s="4" t="n">
        <v>24515909000000</v>
      </c>
      <c r="P45" s="4" t="n">
        <v>26904675000000</v>
      </c>
      <c r="Q45" s="4" t="n">
        <v>33349292000000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  <c r="J46" s="4" t="n">
        <v>-6912776000000</v>
      </c>
      <c r="K46" s="4" t="n">
        <v>-6133012000000</v>
      </c>
      <c r="L46" s="4" t="n">
        <v>-6535062000000</v>
      </c>
      <c r="M46" s="4" t="n">
        <v>-8990917000000</v>
      </c>
      <c r="N46" s="4" t="n">
        <v>-9673463000000</v>
      </c>
      <c r="O46" s="4" t="n">
        <v>-9408496000000</v>
      </c>
      <c r="P46" s="4" t="n">
        <v>-11710034000000</v>
      </c>
      <c r="Q46" s="4" t="n">
        <v>-14282103000000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  <c r="J47" s="4" t="n">
        <v>888023000000</v>
      </c>
      <c r="K47" s="4" t="n">
        <v>1180758000000</v>
      </c>
      <c r="L47" s="4" t="n">
        <v>1235416000000</v>
      </c>
      <c r="M47" s="4" t="n">
        <v>1915543000000</v>
      </c>
      <c r="N47" s="4" t="n">
        <v>1326555000000</v>
      </c>
      <c r="O47" s="4" t="n">
        <v>2088916000000</v>
      </c>
      <c r="P47" s="4" t="n">
        <v>1708744000000</v>
      </c>
      <c r="Q47" s="4" t="n">
        <v>1968486000000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  <c r="J49" s="4" t="n">
        <v>664929000000</v>
      </c>
      <c r="K49" s="4" t="n">
        <v>2959020000000</v>
      </c>
      <c r="L49" s="4" t="n">
        <v>1274291000000</v>
      </c>
      <c r="M49" s="4" t="n">
        <v>1472901000000</v>
      </c>
      <c r="N49" s="4" t="n">
        <v>696540000000</v>
      </c>
      <c r="O49" s="4" t="n">
        <v>201571000000</v>
      </c>
      <c r="P49" s="4" t="n">
        <v>166721000000</v>
      </c>
      <c r="Q49" s="4" t="n">
        <v>471367000000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  <c r="J50" s="4" t="n">
        <v>156241000000</v>
      </c>
      <c r="K50" s="4" t="n">
        <v>508424000000</v>
      </c>
      <c r="L50" s="4" t="n">
        <v>175647000000</v>
      </c>
      <c r="M50" s="4" t="n">
        <v>345874000000</v>
      </c>
      <c r="N50" s="4" t="n">
        <v>76201000000</v>
      </c>
      <c r="O50" s="4" t="n">
        <v>343771000000</v>
      </c>
      <c r="P50" s="4" t="n">
        <v>354690000000</v>
      </c>
      <c r="Q50" s="4" t="n">
        <v>232753000000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  <c r="J51" s="4" t="n">
        <v>-3866686000000</v>
      </c>
      <c r="K51" s="4" t="n">
        <v>-4909386000000</v>
      </c>
      <c r="L51" s="4" t="n">
        <v>-4694751000000</v>
      </c>
      <c r="M51" s="4" t="n">
        <v>-3724536000000</v>
      </c>
      <c r="N51" s="4" t="n">
        <v>-4652631000000</v>
      </c>
      <c r="O51" s="4" t="n">
        <v>-6460410000000</v>
      </c>
      <c r="P51" s="4" t="n">
        <v>-6552454000000</v>
      </c>
      <c r="Q51" s="4" t="n">
        <v>-5103954000000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  <c r="J52" s="4" t="n">
        <v>518650000000</v>
      </c>
      <c r="K52" s="4" t="n">
        <v>692908000000</v>
      </c>
      <c r="L52" s="4" t="n">
        <v>1003397000000</v>
      </c>
      <c r="M52" s="4" t="n">
        <v>1014888000000</v>
      </c>
      <c r="N52" s="4" t="n">
        <v>893885000000</v>
      </c>
      <c r="O52" s="4" t="n">
        <v>1229522000000</v>
      </c>
      <c r="P52" s="4" t="n">
        <v>733893000000</v>
      </c>
      <c r="Q52" s="4" t="n">
        <v>831300000000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  <c r="J53" s="4" t="n">
        <v>664929000000</v>
      </c>
      <c r="K53" s="4" t="n">
        <v>2959020000000</v>
      </c>
      <c r="L53" s="4" t="n">
        <v>1274291000000</v>
      </c>
      <c r="M53" s="4" t="n">
        <v>1472901000000</v>
      </c>
      <c r="N53" s="4" t="n">
        <v>696540000000</v>
      </c>
      <c r="O53" s="4" t="n">
        <v>201571000000</v>
      </c>
      <c r="P53" s="4" t="n">
        <v>166721000000</v>
      </c>
      <c r="Q53" s="4" t="n">
        <v>471367000000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55.75" customWidth="1" min="1" max="1"/>
    <col width="7.875" customWidth="1" min="2" max="2"/>
    <col width="20.62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7" t="inlineStr">
        <is>
          <t>ROE</t>
        </is>
      </c>
      <c r="B2" s="8" t="n"/>
      <c r="C2" s="9">
        <f>IFERROR(C$61/AVERAGE(B$49,C$49),"n/a")</f>
        <v/>
      </c>
      <c r="D2" s="9">
        <f>IFERROR(D$61/AVERAGE(C$49,D$49),"n/a")</f>
        <v/>
      </c>
      <c r="E2" s="9">
        <f>IFERROR(E$61/AVERAGE(D$49,E$49),"n/a")</f>
        <v/>
      </c>
      <c r="F2" s="9">
        <f>IFERROR(F$61/AVERAGE(E$49,F$49),"n/a")</f>
        <v/>
      </c>
      <c r="G2" s="9">
        <f>IFERROR(G$61/AVERAGE(F$49,G$49),"n/a")</f>
        <v/>
      </c>
      <c r="H2" s="9">
        <f>IFERROR(H$61/AVERAGE(G$49,H$49),"n/a")</f>
        <v/>
      </c>
      <c r="I2" s="9">
        <f>IFERROR(I$61/AVERAGE(H$49,I$49),"n/a")</f>
        <v/>
      </c>
    </row>
    <row r="3">
      <c r="A3" s="7" t="inlineStr">
        <is>
          <t>Tăng trưởng LNST</t>
        </is>
      </c>
      <c r="B3" s="8" t="n"/>
      <c r="C3" s="10">
        <f>IFERROR((C$61-B$61)/ABS(B$61),"n/a")</f>
        <v/>
      </c>
      <c r="D3" s="10">
        <f>IFERROR((D$61-C$61)/ABS(C$61),"n/a")</f>
        <v/>
      </c>
      <c r="E3" s="10">
        <f>IFERROR((E$61-D$61)/ABS(D$61),"n/a")</f>
        <v/>
      </c>
      <c r="F3" s="10">
        <f>IFERROR((F$61-E$61)/ABS(E$61),"n/a")</f>
        <v/>
      </c>
      <c r="G3" s="10">
        <f>IFERROR((G$61-F$61)/ABS(F$61),"n/a")</f>
        <v/>
      </c>
      <c r="H3" s="10">
        <f>IFERROR((H$61-G$61)/ABS(G$61),"n/a")</f>
        <v/>
      </c>
      <c r="I3" s="10">
        <f>IFERROR((I$61-H$61)/ABS(H$61),"n/a")</f>
        <v/>
      </c>
    </row>
    <row r="4">
      <c r="A4" s="7" t="inlineStr">
        <is>
          <t>Tăng trưởng thu nhập hoạt động</t>
        </is>
      </c>
      <c r="B4" s="8" t="n"/>
      <c r="C4" s="11">
        <f>IFERROR((C$55-B$55)/ABS(B$55),"n/a")</f>
        <v/>
      </c>
      <c r="D4" s="11">
        <f>IFERROR((D$55-C$55)/ABS(C$55),"n/a")</f>
        <v/>
      </c>
      <c r="E4" s="11">
        <f>IFERROR((E$55-D$55)/ABS(D$55),"n/a")</f>
        <v/>
      </c>
      <c r="F4" s="11">
        <f>IFERROR((F$55-E$55)/ABS(E$55),"n/a")</f>
        <v/>
      </c>
      <c r="G4" s="11">
        <f>IFERROR((G$55-F$55)/ABS(F$55),"n/a")</f>
        <v/>
      </c>
      <c r="H4" s="11">
        <f>IFERROR((H$55-G$55)/ABS(G$55),"n/a")</f>
        <v/>
      </c>
      <c r="I4" s="11">
        <f>IFERROR((I$55-H$55)/ABS(H$55),"n/a")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IFERROR(B$55/AVERAGE(B$42,A42),"n/a")</f>
        <v/>
      </c>
      <c r="C6" s="8">
        <f>IFERROR(C$55/AVERAGE(C$42,B42),"n/a")</f>
        <v/>
      </c>
      <c r="D6" s="8">
        <f>IFERROR(D$55/AVERAGE(D$42,C42),"n/a")</f>
        <v/>
      </c>
      <c r="E6" s="8">
        <f>IFERROR(E$55/AVERAGE(E$42,D42),"n/a")</f>
        <v/>
      </c>
      <c r="F6" s="8">
        <f>IFERROR(F$55/AVERAGE(F$42,E42),"n/a")</f>
        <v/>
      </c>
      <c r="G6" s="8">
        <f>IFERROR(G$55/AVERAGE(G$42,F42),"n/a")</f>
        <v/>
      </c>
      <c r="H6" s="8">
        <f>IFERROR(H$55/AVERAGE(H$42,G42),"n/a")</f>
        <v/>
      </c>
      <c r="I6" s="8">
        <f>IFERROR(I$55/AVERAGE(I$42,H42),"n/a")</f>
        <v/>
      </c>
    </row>
    <row r="7">
      <c r="A7" s="7" t="inlineStr">
        <is>
          <t>CASA</t>
        </is>
      </c>
      <c r="B7" s="8" t="n"/>
      <c r="C7" s="8" t="n"/>
      <c r="D7" s="8" t="n"/>
      <c r="E7" s="8">
        <f>IFERROR((D$45+E$45+D$48+E$48)/(D$44+E$44),"n/a")</f>
        <v/>
      </c>
      <c r="F7" s="8">
        <f>IFERROR((E$45+F$45+E$48+F$48)/(E$44+F$44),"n/a")</f>
        <v/>
      </c>
      <c r="G7" s="8">
        <f>IFERROR((F$45+G$45+F$48+G$48)/(F$44+G$44),"n/a")</f>
        <v/>
      </c>
      <c r="H7" s="8">
        <f>IFERROR((G$45+H$45+G$48+H$48)/(G$44+H$44),"n/a")</f>
        <v/>
      </c>
      <c r="I7" s="8">
        <f>IFERROR((H$45+I$45+H$48+I$48)/(H$44+I$44),"n/a")</f>
        <v/>
      </c>
    </row>
    <row r="8">
      <c r="A8" s="7" t="inlineStr">
        <is>
          <t>NPL</t>
        </is>
      </c>
      <c r="B8" s="8" t="n"/>
      <c r="C8" s="8" t="n"/>
      <c r="D8" s="8" t="n"/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IFERROR(ABS(C$54)/AVERAGE(C$42,B42),"n/a")</f>
        <v/>
      </c>
      <c r="D9" s="13">
        <f>IFERROR(ABS(D$54)/AVERAGE(D$42,C42),"n/a")</f>
        <v/>
      </c>
      <c r="E9" s="13">
        <f>IFERROR(ABS(E$54)/AVERAGE(E$42,D42),"n/a")</f>
        <v/>
      </c>
      <c r="F9" s="13">
        <f>IFERROR(ABS(F$54)/AVERAGE(F$42,E42),"n/a")</f>
        <v/>
      </c>
      <c r="G9" s="13">
        <f>IFERROR(ABS(G$54)/AVERAGE(G$42,F42),"n/a")</f>
        <v/>
      </c>
      <c r="H9" s="13">
        <f>IFERROR(ABS(H$54)/AVERAGE(H$42,G42),"n/a")</f>
        <v/>
      </c>
      <c r="I9" s="13">
        <f>IFERROR(ABS(I$54)/AVERAGE(I$42,H42),"n/a")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IFERROR(ABS(B$58)/B$57,"n/a")</f>
        <v/>
      </c>
      <c r="C15" s="8">
        <f>IFERROR(ABS(C$58)/C$57,"n/a")</f>
        <v/>
      </c>
      <c r="D15" s="8">
        <f>IFERROR(ABS(D$58)/D$57,"n/a")</f>
        <v/>
      </c>
      <c r="E15" s="8">
        <f>IFERROR(ABS(E$58)/E$57,"n/a")</f>
        <v/>
      </c>
      <c r="F15" s="8">
        <f>IFERROR(ABS(F$58)/F$57,"n/a")</f>
        <v/>
      </c>
      <c r="G15" s="8">
        <f>IFERROR(ABS(G$58)/G$57,"n/a")</f>
        <v/>
      </c>
      <c r="H15" s="8">
        <f>IFERROR(ABS(H$58)/H$57,"n/a")</f>
        <v/>
      </c>
      <c r="I15" s="8">
        <f>IFERROR(ABS(I$58)/I$57,"n/a")</f>
        <v/>
      </c>
    </row>
    <row r="16">
      <c r="A16" s="12" t="inlineStr">
        <is>
          <t>VCSH/Tổng tài sản</t>
        </is>
      </c>
      <c r="B16" s="13">
        <f>IFERROR(B$49/B$24,"n/a")</f>
        <v/>
      </c>
      <c r="C16" s="13">
        <f>IFERROR(C$49/C$24,"n/a")</f>
        <v/>
      </c>
      <c r="D16" s="13">
        <f>IFERROR(D$49/D$24,"n/a")</f>
        <v/>
      </c>
      <c r="E16" s="13">
        <f>IFERROR(E$49/E$24,"n/a")</f>
        <v/>
      </c>
      <c r="F16" s="13">
        <f>IFERROR(F$49/F$24,"n/a")</f>
        <v/>
      </c>
      <c r="G16" s="13">
        <f>IFERROR(G$49/G$24,"n/a")</f>
        <v/>
      </c>
      <c r="H16" s="13">
        <f>IFERROR(H$49/H$24,"n/a")</f>
        <v/>
      </c>
      <c r="I16" s="13">
        <f>IFERROR(I$49/I$24,"n/a")</f>
        <v/>
      </c>
    </row>
    <row r="17">
      <c r="A17" s="12" t="inlineStr">
        <is>
          <t>Tỷ lệ lãi và phí phải thu/Thu nhập lãi</t>
        </is>
      </c>
      <c r="B17" s="13">
        <f>IFERROR(B59/B$53,"n/a")</f>
        <v/>
      </c>
      <c r="C17" s="13">
        <f>IFERROR(C59/C$53,"n/a")</f>
        <v/>
      </c>
      <c r="D17" s="13">
        <f>IFERROR(D59/D$53,"n/a")</f>
        <v/>
      </c>
      <c r="E17" s="13">
        <f>IFERROR(E59/E$53,"n/a")</f>
        <v/>
      </c>
      <c r="F17" s="13">
        <f>IFERROR(F59/F$53,"n/a")</f>
        <v/>
      </c>
      <c r="G17" s="13">
        <f>IFERROR(G59/G$53,"n/a")</f>
        <v/>
      </c>
      <c r="H17" s="13">
        <f>IFERROR(H59/H$53,"n/a")</f>
        <v/>
      </c>
      <c r="I17" s="13">
        <f>IFERROR(I59/I$53,"n/a")</f>
        <v/>
      </c>
    </row>
    <row r="18">
      <c r="A18" s="7" t="inlineStr">
        <is>
          <t>Thu nhập ngoài lãi/Thu nhập hoạt động</t>
        </is>
      </c>
      <c r="B18" s="8">
        <f>IFERROR(B$56/B$57,"n/a")</f>
        <v/>
      </c>
      <c r="C18" s="8">
        <f>IFERROR(C$56/C$57,"n/a")</f>
        <v/>
      </c>
      <c r="D18" s="8">
        <f>IFERROR(D$56/D$57,"n/a")</f>
        <v/>
      </c>
      <c r="E18" s="8">
        <f>IFERROR(E$56/E$57,"n/a")</f>
        <v/>
      </c>
      <c r="F18" s="8">
        <f>IFERROR(F$56/F$57,"n/a")</f>
        <v/>
      </c>
      <c r="G18" s="8">
        <f>IFERROR(G$56/G$57,"n/a")</f>
        <v/>
      </c>
      <c r="H18" s="8">
        <f>IFERROR(H$56/H$57,"n/a")</f>
        <v/>
      </c>
      <c r="I18" s="8">
        <f>IFERROR(I$56/I$57,"n/a")</f>
        <v/>
      </c>
    </row>
    <row r="19"/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cay các TCTC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/>
      <c r="C30" s="22" t="n"/>
      <c r="D30" s="22" t="n"/>
      <c r="E30" s="22" t="n">
        <v>349223000000000</v>
      </c>
      <c r="F30" s="22" t="n">
        <v>443975000000000</v>
      </c>
      <c r="G30" s="22" t="n">
        <v>587326000000000</v>
      </c>
      <c r="H30" s="22" t="n">
        <v>751876000000000</v>
      </c>
      <c r="I30" s="22" t="n">
        <v>1059782000000000</v>
      </c>
      <c r="J30" s="23" t="n"/>
    </row>
    <row r="31">
      <c r="A31" s="20" t="inlineStr">
        <is>
          <t>+ Nợ cần chú ý</t>
        </is>
      </c>
      <c r="B31" s="22" t="n"/>
      <c r="C31" s="22" t="n"/>
      <c r="D31" s="22" t="n"/>
      <c r="E31" s="22" t="n">
        <v>3913000000000</v>
      </c>
      <c r="F31" s="22" t="n">
        <v>7809000000000</v>
      </c>
      <c r="G31" s="22" t="n">
        <v>13918000000000</v>
      </c>
      <c r="H31" s="22" t="n">
        <v>12197000000000</v>
      </c>
      <c r="I31" s="22" t="n">
        <v>10210000000000</v>
      </c>
      <c r="J31" s="19" t="n"/>
    </row>
    <row r="32">
      <c r="A32" s="20" t="inlineStr">
        <is>
          <t>+ Nợ dưới tiêu chuẩn</t>
        </is>
      </c>
      <c r="B32" s="22" t="n"/>
      <c r="C32" s="22" t="n"/>
      <c r="D32" s="22" t="n"/>
      <c r="E32" s="22" t="n">
        <v>1433000000000</v>
      </c>
      <c r="F32" s="22" t="n">
        <v>1517000000000</v>
      </c>
      <c r="G32" s="22" t="n">
        <v>3211000000000</v>
      </c>
      <c r="H32" s="22" t="n">
        <v>3380000000000</v>
      </c>
      <c r="I32" s="22" t="n">
        <v>3276000000000</v>
      </c>
      <c r="J32" s="19" t="n"/>
    </row>
    <row r="33">
      <c r="A33" s="20" t="inlineStr">
        <is>
          <t>+ Nợ nghi ngờ</t>
        </is>
      </c>
      <c r="B33" s="22" t="n"/>
      <c r="C33" s="22" t="n"/>
      <c r="D33" s="22" t="n"/>
      <c r="E33" s="22" t="n">
        <v>1015000000000</v>
      </c>
      <c r="F33" s="22" t="n">
        <v>1221000000000</v>
      </c>
      <c r="G33" s="22" t="n">
        <v>3704000000000</v>
      </c>
      <c r="H33" s="22" t="n">
        <v>4599000000000</v>
      </c>
      <c r="I33" s="22" t="n">
        <v>4330000000000</v>
      </c>
      <c r="J33" s="19" t="n"/>
    </row>
    <row r="34">
      <c r="A34" s="20" t="inlineStr">
        <is>
          <t>+ Nợ có khả năng mất vốn</t>
        </is>
      </c>
      <c r="B34" s="22" t="n"/>
      <c r="C34" s="22" t="n"/>
      <c r="D34" s="22" t="n"/>
      <c r="E34" s="22" t="n">
        <v>819000000000</v>
      </c>
      <c r="F34" s="22" t="n">
        <v>2293000000000</v>
      </c>
      <c r="G34" s="22" t="n">
        <v>2890000000000</v>
      </c>
      <c r="H34" s="22" t="n">
        <v>4607000000000</v>
      </c>
      <c r="I34" s="22" t="n">
        <v>6421000000000</v>
      </c>
      <c r="J34" s="23" t="n"/>
    </row>
    <row r="35">
      <c r="A35" s="24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26" t="n"/>
    </row>
    <row r="36">
      <c r="A36" s="20" t="inlineStr">
        <is>
          <t>Cho vay KDBĐS</t>
        </is>
      </c>
      <c r="B36" s="22" t="n"/>
      <c r="C36" s="22" t="n"/>
      <c r="D36" s="22" t="n"/>
      <c r="E36" s="22" t="n">
        <v>12632000000000</v>
      </c>
      <c r="F36" s="22" t="n">
        <v>21358000000000</v>
      </c>
      <c r="G36" s="22" t="n">
        <v>43268000000000</v>
      </c>
      <c r="H36" s="22" t="n">
        <v>64141000000000</v>
      </c>
      <c r="I36" s="22" t="n">
        <v>121189000000000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19" t="n"/>
    </row>
    <row r="43">
      <c r="A43" s="16" t="inlineStr">
        <is>
          <t>Nguồn vốn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/>
      <c r="C45" s="22" t="n"/>
      <c r="D45" s="22" t="n"/>
      <c r="E45" s="22" t="n">
        <v>171396000000000</v>
      </c>
      <c r="F45" s="22" t="n">
        <v>166972000000000</v>
      </c>
      <c r="G45" s="22" t="n">
        <v>216092000000000</v>
      </c>
      <c r="H45" s="22" t="n">
        <v>271580000000000</v>
      </c>
      <c r="I45" s="22" t="n">
        <v>339353000000000</v>
      </c>
      <c r="J45" s="19" t="n"/>
    </row>
    <row r="46">
      <c r="A46" s="20" t="inlineStr">
        <is>
          <t>+ Tiền gửi có kỳ hạn</t>
        </is>
      </c>
      <c r="B46" s="22" t="n"/>
      <c r="C46" s="22" t="n"/>
      <c r="D46" s="22" t="n"/>
      <c r="E46" s="22" t="n">
        <v>197180000000000</v>
      </c>
      <c r="F46" s="22" t="n">
        <v>263452000000000</v>
      </c>
      <c r="G46" s="22" t="n">
        <v>339421000000000</v>
      </c>
      <c r="H46" s="22" t="n">
        <v>433477000000000</v>
      </c>
      <c r="I46" s="22" t="n">
        <v>573483000000000</v>
      </c>
      <c r="J46" s="19" t="n"/>
    </row>
    <row r="47">
      <c r="A47" s="20" t="inlineStr">
        <is>
          <t>+ Tiền gửi vốn chuyên dùng</t>
        </is>
      </c>
      <c r="B47" s="22" t="n"/>
      <c r="C47" s="22" t="n"/>
      <c r="D47" s="22" t="n"/>
      <c r="E47" s="22" t="n">
        <v>4389000000000</v>
      </c>
      <c r="F47" s="22" t="n">
        <v>2827000000000</v>
      </c>
      <c r="G47" s="22" t="n">
        <v>3264000000000</v>
      </c>
      <c r="H47" s="22" t="n">
        <v>1791000000000</v>
      </c>
      <c r="I47" s="22" t="n">
        <v>1226000000000</v>
      </c>
      <c r="J47" s="19" t="n"/>
    </row>
    <row r="48">
      <c r="A48" s="20" t="inlineStr">
        <is>
          <t>+ Tiền ký quỹ</t>
        </is>
      </c>
      <c r="B48" s="22" t="n"/>
      <c r="C48" s="22" t="n"/>
      <c r="D48" s="22" t="n"/>
      <c r="E48" s="22" t="n">
        <v>11728000000000</v>
      </c>
      <c r="F48" s="22" t="n">
        <v>10355000000000</v>
      </c>
      <c r="G48" s="22" t="n">
        <v>8755000000000</v>
      </c>
      <c r="H48" s="22" t="n">
        <v>7307000000000</v>
      </c>
      <c r="I48" s="22" t="n">
        <v>7307000000000</v>
      </c>
      <c r="J48" s="19" t="n"/>
    </row>
    <row r="49">
      <c r="A49" s="16" t="inlineStr">
        <is>
          <t>VỐN CHỦ SỞ HỮU</t>
        </is>
      </c>
      <c r="B49" s="27">
        <f>IFERROR(INDEX(balance_sheet!$B:$I,MATCH("VỐN CHỦ SỞ HỮU",balance_sheet!$A:$A,0),MATCH(B$21,balance_sheet!$B$1:$I$1,0)),"")</f>
        <v/>
      </c>
      <c r="C49" s="27">
        <f>IFERROR(INDEX(balance_sheet!$B:$I,MATCH("VỐN CHỦ SỞ HỮU",balance_sheet!$A:$A,0),MATCH(C$21,balance_sheet!$B$1:$I$1,0)),"")</f>
        <v/>
      </c>
      <c r="D49" s="27">
        <f>IFERROR(INDEX(balance_sheet!$B:$I,MATCH("VỐN CHỦ SỞ HỮU",balance_sheet!$A:$A,0),MATCH(D$21,balance_sheet!$B$1:$I$1,0)),"")</f>
        <v/>
      </c>
      <c r="E49" s="27">
        <f>IFERROR(INDEX(balance_sheet!$B:$I,MATCH("VỐN CHỦ SỞ HỮU",balance_sheet!$A:$A,0),MATCH(E$21,balance_sheet!$B$1:$I$1,0)),"")</f>
        <v/>
      </c>
      <c r="F49" s="27">
        <f>IFERROR(INDEX(balance_sheet!$B:$I,MATCH("VỐN CHỦ SỞ HỮU",balance_sheet!$A:$A,0),MATCH(F$21,balance_sheet!$B$1:$I$1,0)),"")</f>
        <v/>
      </c>
      <c r="G49" s="27">
        <f>IFERROR(INDEX(balance_sheet!$B:$I,MATCH("VỐN CHỦ SỞ HỮU",balance_sheet!$A:$A,0),MATCH(G$21,balance_sheet!$B$1:$I$1,0)),"")</f>
        <v/>
      </c>
      <c r="H49" s="27">
        <f>IFERROR(INDEX(balance_sheet!$B:$I,MATCH("VỐN CHỦ SỞ HỮU",balance_sheet!$A:$A,0),MATCH(H$21,balance_sheet!$B$1:$I$1,0)),"")</f>
        <v/>
      </c>
      <c r="I49" s="27">
        <f>IFERROR(INDEX(balance_sheet!$B:$I,MATCH("VỐN CHỦ SỞ HỮU",balance_sheet!$A:$A,0),MATCH(I$21,balance_sheet!$B$1:$I$1,0)),"")</f>
        <v/>
      </c>
      <c r="J49" s="27">
        <f>I49+0.9*J61</f>
        <v/>
      </c>
    </row>
    <row r="50">
      <c r="A50" s="28" t="inlineStr">
        <is>
          <t>Tăng VCSH/LN cty mẹ</t>
        </is>
      </c>
      <c r="B50" s="29" t="n"/>
      <c r="C50" s="29">
        <f>(C49-B49)/C61</f>
        <v/>
      </c>
      <c r="D50" s="29">
        <f>(D49-C49)/D61</f>
        <v/>
      </c>
      <c r="E50" s="29">
        <f>(E49-D49)/E61</f>
        <v/>
      </c>
      <c r="F50" s="29">
        <f>(F49-E49)/F61</f>
        <v/>
      </c>
      <c r="G50" s="29">
        <f>(G49-F49)/G61</f>
        <v/>
      </c>
      <c r="H50" s="29">
        <f>(H49-G49)/H61</f>
        <v/>
      </c>
      <c r="I50" s="29">
        <f>(I49-H49)/I61</f>
        <v/>
      </c>
      <c r="J50" s="30" t="n"/>
    </row>
    <row r="51">
      <c r="A51" s="16" t="inlineStr">
        <is>
          <t>Lợi ích của cổ đông thiểu số</t>
        </is>
      </c>
      <c r="B51" s="27">
        <f>IFERROR(INDEX(balance_sheet!$B:$I,MATCH("Lợi ích của cổ đông thiểu số",balance_sheet!$A:$A,0),MATCH(B$21,balance_sheet!$B$1:$I$1,0)),"")</f>
        <v/>
      </c>
      <c r="C51" s="27">
        <f>IFERROR(INDEX(balance_sheet!$B:$I,MATCH("Lợi ích của cổ đông thiểu số",balance_sheet!$A:$A,0),MATCH(C$21,balance_sheet!$B$1:$I$1,0)),"")</f>
        <v/>
      </c>
      <c r="D51" s="27">
        <f>IFERROR(INDEX(balance_sheet!$B:$I,MATCH("Lợi ích của cổ đông thiểu số",balance_sheet!$A:$A,0),MATCH(D$21,balance_sheet!$B$1:$I$1,0)),"")</f>
        <v/>
      </c>
      <c r="E51" s="27">
        <f>IFERROR(INDEX(balance_sheet!$B:$I,MATCH("Lợi ích của cổ đông thiểu số",balance_sheet!$A:$A,0),MATCH(E$21,balance_sheet!$B$1:$I$1,0)),"")</f>
        <v/>
      </c>
      <c r="F51" s="27">
        <f>IFERROR(INDEX(balance_sheet!$B:$I,MATCH("Lợi ích của cổ đông thiểu số",balance_sheet!$A:$A,0),MATCH(F$21,balance_sheet!$B$1:$I$1,0)),"")</f>
        <v/>
      </c>
      <c r="G51" s="27">
        <f>IFERROR(INDEX(balance_sheet!$B:$I,MATCH("Lợi ích của cổ đông thiểu số",balance_sheet!$A:$A,0),MATCH(G$21,balance_sheet!$B$1:$I$1,0)),"")</f>
        <v/>
      </c>
      <c r="H51" s="27">
        <f>IFERROR(INDEX(balance_sheet!$B:$I,MATCH("Lợi ích của cổ đông thiểu số",balance_sheet!$A:$A,0),MATCH(H$21,balance_sheet!$B$1:$I$1,0)),"")</f>
        <v/>
      </c>
      <c r="I51" s="27">
        <f>IFERROR(INDEX(balance_sheet!$B:$I,MATCH("Lợi ích của cổ đông thiểu số",balance_sheet!$A:$A,0),MATCH(I$21,balance_sheet!$B$1:$I$1,0)),"")</f>
        <v/>
      </c>
      <c r="J51" s="31" t="n"/>
    </row>
    <row r="52">
      <c r="A52" s="16" t="inlineStr">
        <is>
          <t>Kết quả hoạt động kinh doanh</t>
        </is>
      </c>
      <c r="B52" s="21" t="n"/>
      <c r="C52" s="21" t="n"/>
      <c r="D52" s="21" t="n"/>
      <c r="E52" s="21" t="n"/>
      <c r="F52" s="21" t="n"/>
      <c r="G52" s="21" t="n"/>
      <c r="H52" s="21" t="n"/>
      <c r="I52" s="21" t="n"/>
      <c r="J52" s="19" t="n"/>
    </row>
    <row r="53">
      <c r="A53" s="20" t="inlineStr">
        <is>
          <t>Thu nhập lãi</t>
        </is>
      </c>
      <c r="B53" s="21">
        <f>IFERROR(INDEX(income_statement!$B:$I,MATCH("Thu nhập lãi và các khoản thu nhập tương tự",income_statement!$A:$A,0),MATCH(B$21,income_statement!$B$1:$I$1,0)),"")</f>
        <v/>
      </c>
      <c r="C53" s="21">
        <f>IFERROR(INDEX(income_statement!$B:$I,MATCH("Thu nhập lãi và các khoản thu nhập tương tự",income_statement!$A:$A,0),MATCH(C$21,income_statement!$B$1:$I$1,0)),"")</f>
        <v/>
      </c>
      <c r="D53" s="21">
        <f>IFERROR(INDEX(income_statement!$B:$I,MATCH("Thu nhập lãi và các khoản thu nhập tương tự",income_statement!$A:$A,0),MATCH(D$21,income_statement!$B$1:$I$1,0)),"")</f>
        <v/>
      </c>
      <c r="E53" s="21">
        <f>IFERROR(INDEX(income_statement!$B:$I,MATCH("Thu nhập lãi và các khoản thu nhập tương tự",income_statement!$A:$A,0),MATCH(E$21,income_statement!$B$1:$I$1,0)),"")</f>
        <v/>
      </c>
      <c r="F53" s="21">
        <f>IFERROR(INDEX(income_statement!$B:$I,MATCH("Thu nhập lãi và các khoản thu nhập tương tự",income_statement!$A:$A,0),MATCH(F$21,income_statement!$B$1:$I$1,0)),"")</f>
        <v/>
      </c>
      <c r="G53" s="21">
        <f>IFERROR(INDEX(income_statement!$B:$I,MATCH("Thu nhập lãi và các khoản thu nhập tương tự",income_statement!$A:$A,0),MATCH(G$21,income_statement!$B$1:$I$1,0)),"")</f>
        <v/>
      </c>
      <c r="H53" s="21">
        <f>IFERROR(INDEX(income_statement!$B:$I,MATCH("Thu nhập lãi và các khoản thu nhập tương tự",income_statement!$A:$A,0),MATCH(H$21,income_statement!$B$1:$I$1,0)),"")</f>
        <v/>
      </c>
      <c r="I53" s="21">
        <f>IFERROR(INDEX(income_statement!$B:$I,MATCH("Thu nhập lãi và các khoản thu nhập tương tự",income_statement!$A:$A,0),MATCH(I$21,income_statement!$B$1:$I$1,0)),"")</f>
        <v/>
      </c>
      <c r="J53" s="19" t="n"/>
    </row>
    <row r="54">
      <c r="A54" s="20" t="inlineStr">
        <is>
          <t>Chi phí lãi</t>
        </is>
      </c>
      <c r="B54" s="21">
        <f>IFERROR(INDEX(income_statement!$B:$I,MATCH("Chi phí lãi và các chi phí tương tự",income_statement!$A:$A,0),MATCH(B$21,income_statement!$B$1:$I$1,0)),"")</f>
        <v/>
      </c>
      <c r="C54" s="21">
        <f>IFERROR(INDEX(income_statement!$B:$I,MATCH("Chi phí lãi và các chi phí tương tự",income_statement!$A:$A,0),MATCH(C$21,income_statement!$B$1:$I$1,0)),"")</f>
        <v/>
      </c>
      <c r="D54" s="21">
        <f>IFERROR(INDEX(income_statement!$B:$I,MATCH("Chi phí lãi và các chi phí tương tự",income_statement!$A:$A,0),MATCH(D$21,income_statement!$B$1:$I$1,0)),"")</f>
        <v/>
      </c>
      <c r="E54" s="21">
        <f>IFERROR(INDEX(income_statement!$B:$I,MATCH("Chi phí lãi và các chi phí tương tự",income_statement!$A:$A,0),MATCH(E$21,income_statement!$B$1:$I$1,0)),"")</f>
        <v/>
      </c>
      <c r="F54" s="21">
        <f>IFERROR(INDEX(income_statement!$B:$I,MATCH("Chi phí lãi và các chi phí tương tự",income_statement!$A:$A,0),MATCH(F$21,income_statement!$B$1:$I$1,0)),"")</f>
        <v/>
      </c>
      <c r="G54" s="21">
        <f>IFERROR(INDEX(income_statement!$B:$I,MATCH("Chi phí lãi và các chi phí tương tự",income_statement!$A:$A,0),MATCH(G$21,income_statement!$B$1:$I$1,0)),"")</f>
        <v/>
      </c>
      <c r="H54" s="21">
        <f>IFERROR(INDEX(income_statement!$B:$I,MATCH("Chi phí lãi và các chi phí tương tự",income_statement!$A:$A,0),MATCH(H$21,income_statement!$B$1:$I$1,0)),"")</f>
        <v/>
      </c>
      <c r="I54" s="21">
        <f>IFERROR(INDEX(income_statement!$B:$I,MATCH("Chi phí lãi và các chi phí tương tự",income_statement!$A:$A,0),MATCH(I$21,income_statement!$B$1:$I$1,0)),"")</f>
        <v/>
      </c>
      <c r="J54" s="19" t="n"/>
    </row>
    <row r="55">
      <c r="A55" s="16" t="inlineStr">
        <is>
          <t>Thu nhập lãi thuần</t>
        </is>
      </c>
      <c r="B55" s="27">
        <f>IFERROR(INDEX(income_statement!$B:$I,MATCH("Thu nhập lãi thuần",income_statement!$A:$A,0),MATCH(B$21,income_statement!$B$1:$I$1,0)),"")</f>
        <v/>
      </c>
      <c r="C55" s="27">
        <f>IFERROR(INDEX(income_statement!$B:$I,MATCH("Thu nhập lãi thuần",income_statement!$A:$A,0),MATCH(C$21,income_statement!$B$1:$I$1,0)),"")</f>
        <v/>
      </c>
      <c r="D55" s="27">
        <f>IFERROR(INDEX(income_statement!$B:$I,MATCH("Thu nhập lãi thuần",income_statement!$A:$A,0),MATCH(D$21,income_statement!$B$1:$I$1,0)),"")</f>
        <v/>
      </c>
      <c r="E55" s="27">
        <f>IFERROR(INDEX(income_statement!$B:$I,MATCH("Thu nhập lãi thuần",income_statement!$A:$A,0),MATCH(E$21,income_statement!$B$1:$I$1,0)),"")</f>
        <v/>
      </c>
      <c r="F55" s="27">
        <f>IFERROR(INDEX(income_statement!$B:$I,MATCH("Thu nhập lãi thuần",income_statement!$A:$A,0),MATCH(F$21,income_statement!$B$1:$I$1,0)),"")</f>
        <v/>
      </c>
      <c r="G55" s="27">
        <f>IFERROR(INDEX(income_statement!$B:$I,MATCH("Thu nhập lãi thuần",income_statement!$A:$A,0),MATCH(G$21,income_statement!$B$1:$I$1,0)),"")</f>
        <v/>
      </c>
      <c r="H55" s="27">
        <f>IFERROR(INDEX(income_statement!$B:$I,MATCH("Thu nhập lãi thuần",income_statement!$A:$A,0),MATCH(H$21,income_statement!$B$1:$I$1,0)),"")</f>
        <v/>
      </c>
      <c r="I55" s="27">
        <f>IFERROR(INDEX(income_statement!$B:$I,MATCH("Thu nhập lãi thuần",income_statement!$A:$A,0),MATCH(I$21,income_statement!$B$1:$I$1,0)),"")</f>
        <v/>
      </c>
      <c r="J55" s="31" t="n"/>
    </row>
    <row r="56">
      <c r="A56" s="20" t="inlineStr">
        <is>
          <t>Thu nhập ngoài lãi</t>
        </is>
      </c>
      <c r="B56" s="25">
        <f>IF(OR(B$57="",B$55=""),"",B$57-B$55)</f>
        <v/>
      </c>
      <c r="C56" s="25">
        <f>IF(OR(C$57="",C$55=""),"",C$57-C$55)</f>
        <v/>
      </c>
      <c r="D56" s="25">
        <f>IF(OR(D$57="",D$55=""),"",D$57-D$55)</f>
        <v/>
      </c>
      <c r="E56" s="25">
        <f>IF(OR(E$57="",E$55=""),"",E$57-E$55)</f>
        <v/>
      </c>
      <c r="F56" s="25">
        <f>IF(OR(F$57="",F$55=""),"",F$57-F$55)</f>
        <v/>
      </c>
      <c r="G56" s="25">
        <f>IF(OR(G$57="",G$55=""),"",G$57-G$55)</f>
        <v/>
      </c>
      <c r="H56" s="25">
        <f>IF(OR(H$57="",H$55=""),"",H$57-H$55)</f>
        <v/>
      </c>
      <c r="I56" s="25">
        <f>IF(OR(I$57="",I$55=""),"",I$57-I$55)</f>
        <v/>
      </c>
      <c r="J56" s="19" t="n"/>
    </row>
    <row r="57">
      <c r="A57" s="20" t="inlineStr">
        <is>
          <t>Tổng thu nhập hoạt động</t>
        </is>
      </c>
      <c r="B57" s="21">
        <f>IFERROR(INDEX(income_statement!$B:$I,MATCH("Tổng thu nhập hoạt động",income_statement!$A:$A,0),MATCH(B$21,income_statement!$B$1:$I$1,0)),"")</f>
        <v/>
      </c>
      <c r="C57" s="21">
        <f>IFERROR(INDEX(income_statement!$B:$I,MATCH("Tổng thu nhập hoạt động",income_statement!$A:$A,0),MATCH(C$21,income_statement!$B$1:$I$1,0)),"")</f>
        <v/>
      </c>
      <c r="D57" s="21">
        <f>IFERROR(INDEX(income_statement!$B:$I,MATCH("Tổng thu nhập hoạt động",income_statement!$A:$A,0),MATCH(D$21,income_statement!$B$1:$I$1,0)),"")</f>
        <v/>
      </c>
      <c r="E57" s="21">
        <f>IFERROR(INDEX(income_statement!$B:$I,MATCH("Tổng thu nhập hoạt động",income_statement!$A:$A,0),MATCH(E$21,income_statement!$B$1:$I$1,0)),"")</f>
        <v/>
      </c>
      <c r="F57" s="21">
        <f>IFERROR(INDEX(income_statement!$B:$I,MATCH("Tổng thu nhập hoạt động",income_statement!$A:$A,0),MATCH(F$21,income_statement!$B$1:$I$1,0)),"")</f>
        <v/>
      </c>
      <c r="G57" s="21">
        <f>IFERROR(INDEX(income_statement!$B:$I,MATCH("Tổng thu nhập hoạt động",income_statement!$A:$A,0),MATCH(G$21,income_statement!$B$1:$I$1,0)),"")</f>
        <v/>
      </c>
      <c r="H57" s="21">
        <f>IFERROR(INDEX(income_statement!$B:$I,MATCH("Tổng thu nhập hoạt động",income_statement!$A:$A,0),MATCH(H$21,income_statement!$B$1:$I$1,0)),"")</f>
        <v/>
      </c>
      <c r="I57" s="21">
        <f>IFERROR(INDEX(income_statement!$B:$I,MATCH("Tổng thu nhập hoạt động",income_statement!$A:$A,0),MATCH(I$21,income_statement!$B$1:$I$1,0)),"")</f>
        <v/>
      </c>
      <c r="J57" s="19" t="n"/>
    </row>
    <row r="58">
      <c r="A58" s="20" t="inlineStr">
        <is>
          <t>Chi phí hoạt động</t>
        </is>
      </c>
      <c r="B58" s="21">
        <f>IFERROR(INDEX(income_statement!$B:$I,MATCH("Chi phí quản lý doanh nghiệp",income_statement!$A:$A,0),MATCH(B$21,income_statement!$B$1:$I$1,0)),"")</f>
        <v/>
      </c>
      <c r="C58" s="21">
        <f>IFERROR(INDEX(income_statement!$B:$I,MATCH("Chi phí quản lý doanh nghiệp",income_statement!$A:$A,0),MATCH(C$21,income_statement!$B$1:$I$1,0)),"")</f>
        <v/>
      </c>
      <c r="D58" s="21">
        <f>IFERROR(INDEX(income_statement!$B:$I,MATCH("Chi phí quản lý doanh nghiệp",income_statement!$A:$A,0),MATCH(D$21,income_statement!$B$1:$I$1,0)),"")</f>
        <v/>
      </c>
      <c r="E58" s="21">
        <f>IFERROR(INDEX(income_statement!$B:$I,MATCH("Chi phí quản lý doanh nghiệp",income_statement!$A:$A,0),MATCH(E$21,income_statement!$B$1:$I$1,0)),"")</f>
        <v/>
      </c>
      <c r="F58" s="21">
        <f>IFERROR(INDEX(income_statement!$B:$I,MATCH("Chi phí quản lý doanh nghiệp",income_statement!$A:$A,0),MATCH(F$21,income_statement!$B$1:$I$1,0)),"")</f>
        <v/>
      </c>
      <c r="G58" s="21">
        <f>IFERROR(INDEX(income_statement!$B:$I,MATCH("Chi phí quản lý doanh nghiệp",income_statement!$A:$A,0),MATCH(G$21,income_statement!$B$1:$I$1,0)),"")</f>
        <v/>
      </c>
      <c r="H58" s="21">
        <f>IFERROR(INDEX(income_statement!$B:$I,MATCH("Chi phí quản lý doanh nghiệp",income_statement!$A:$A,0),MATCH(H$21,income_statement!$B$1:$I$1,0)),"")</f>
        <v/>
      </c>
      <c r="I58" s="21">
        <f>IFERROR(INDEX(income_statement!$B:$I,MATCH("Chi phí quản lý doanh nghiệp",income_statement!$A:$A,0),MATCH(I$21,income_statement!$B$1:$I$1,0)),"")</f>
        <v/>
      </c>
      <c r="J58" s="19" t="n"/>
    </row>
    <row r="59">
      <c r="A59" s="20" t="inlineStr">
        <is>
          <t>Lãi và phí phải thu</t>
        </is>
      </c>
      <c r="B59" s="21">
        <f>IFERROR(INDEX(balance_sheet!$B:$I,MATCH("Các khoản lãi và phí phải thu",balance_sheet!$A:$A,0),MATCH(B$21,balance_sheet!$B$1:$I$1,0)),"")</f>
        <v/>
      </c>
      <c r="C59" s="21">
        <f>IFERROR(INDEX(balance_sheet!$B:$I,MATCH("Các khoản lãi và phí phải thu",balance_sheet!$A:$A,0),MATCH(C$21,balance_sheet!$B$1:$I$1,0)),"")</f>
        <v/>
      </c>
      <c r="D59" s="21">
        <f>IFERROR(INDEX(balance_sheet!$B:$I,MATCH("Các khoản lãi và phí phải thu",balance_sheet!$A:$A,0),MATCH(D$21,balance_sheet!$B$1:$I$1,0)),"")</f>
        <v/>
      </c>
      <c r="E59" s="21">
        <f>IFERROR(INDEX(balance_sheet!$B:$I,MATCH("Các khoản lãi và phí phải thu",balance_sheet!$A:$A,0),MATCH(E$21,balance_sheet!$B$1:$I$1,0)),"")</f>
        <v/>
      </c>
      <c r="F59" s="21">
        <f>IFERROR(INDEX(balance_sheet!$B:$I,MATCH("Các khoản lãi và phí phải thu",balance_sheet!$A:$A,0),MATCH(F$21,balance_sheet!$B$1:$I$1,0)),"")</f>
        <v/>
      </c>
      <c r="G59" s="21">
        <f>IFERROR(INDEX(balance_sheet!$B:$I,MATCH("Các khoản lãi và phí phải thu",balance_sheet!$A:$A,0),MATCH(G$21,balance_sheet!$B$1:$I$1,0)),"")</f>
        <v/>
      </c>
      <c r="H59" s="21">
        <f>IFERROR(INDEX(balance_sheet!$B:$I,MATCH("Các khoản lãi và phí phải thu",balance_sheet!$A:$A,0),MATCH(H$21,balance_sheet!$B$1:$I$1,0)),"")</f>
        <v/>
      </c>
      <c r="I59" s="21">
        <f>IFERROR(INDEX(balance_sheet!$B:$I,MATCH("Các khoản lãi và phí phải thu",balance_sheet!$A:$A,0),MATCH(I$21,balance_sheet!$B$1:$I$1,0)),"")</f>
        <v/>
      </c>
      <c r="J59" s="19" t="n"/>
    </row>
    <row r="60">
      <c r="A60" s="20" t="inlineStr">
        <is>
          <t>LNST</t>
        </is>
      </c>
      <c r="B60" s="21">
        <f>IFERROR(INDEX(income_statement!$B:$I,MATCH("Lợi nhuận sau thuế",income_statement!$A:$A,0),MATCH(B$21,income_statement!$B$1:$I$1,0)),"")</f>
        <v/>
      </c>
      <c r="C60" s="21">
        <f>IFERROR(INDEX(income_statement!$B:$I,MATCH("Lợi nhuận sau thuế",income_statement!$A:$A,0),MATCH(C$21,income_statement!$B$1:$I$1,0)),"")</f>
        <v/>
      </c>
      <c r="D60" s="21">
        <f>IFERROR(INDEX(income_statement!$B:$I,MATCH("Lợi nhuận sau thuế",income_statement!$A:$A,0),MATCH(D$21,income_statement!$B$1:$I$1,0)),"")</f>
        <v/>
      </c>
      <c r="E60" s="21">
        <f>IFERROR(INDEX(income_statement!$B:$I,MATCH("Lợi nhuận sau thuế",income_statement!$A:$A,0),MATCH(E$21,income_statement!$B$1:$I$1,0)),"")</f>
        <v/>
      </c>
      <c r="F60" s="21">
        <f>IFERROR(INDEX(income_statement!$B:$I,MATCH("Lợi nhuận sau thuế",income_statement!$A:$A,0),MATCH(F$21,income_statement!$B$1:$I$1,0)),"")</f>
        <v/>
      </c>
      <c r="G60" s="21">
        <f>IFERROR(INDEX(income_statement!$B:$I,MATCH("Lợi nhuận sau thuế",income_statement!$A:$A,0),MATCH(G$21,income_statement!$B$1:$I$1,0)),"")</f>
        <v/>
      </c>
      <c r="H60" s="21">
        <f>IFERROR(INDEX(income_statement!$B:$I,MATCH("Lợi nhuận sau thuế",income_statement!$A:$A,0),MATCH(H$21,income_statement!$B$1:$I$1,0)),"")</f>
        <v/>
      </c>
      <c r="I60" s="21">
        <f>IFERROR(INDEX(income_statement!$B:$I,MATCH("Lợi nhuận sau thuế",income_statement!$A:$A,0),MATCH(I$21,income_statement!$B$1:$I$1,0)),"")</f>
        <v/>
      </c>
      <c r="J60" s="19" t="n"/>
    </row>
    <row r="61">
      <c r="A61" s="20" t="inlineStr">
        <is>
          <t>LNST CĐ Công ty mẹ</t>
        </is>
      </c>
      <c r="B61" s="21">
        <f>IFERROR(INDEX(income_statement!$B:$I,MATCH("Cổ đông của Công ty mẹ",income_statement!$A:$A,0),MATCH(B$21,income_statement!$B$1:$I$1,0)),"")</f>
        <v/>
      </c>
      <c r="C61" s="21">
        <f>IFERROR(INDEX(income_statement!$B:$I,MATCH("Cổ đông của Công ty mẹ",income_statement!$A:$A,0),MATCH(C$21,income_statement!$B$1:$I$1,0)),"")</f>
        <v/>
      </c>
      <c r="D61" s="21">
        <f>IFERROR(INDEX(income_statement!$B:$I,MATCH("Cổ đông của Công ty mẹ",income_statement!$A:$A,0),MATCH(D$21,income_statement!$B$1:$I$1,0)),"")</f>
        <v/>
      </c>
      <c r="E61" s="21">
        <f>IFERROR(INDEX(income_statement!$B:$I,MATCH("Cổ đông của Công ty mẹ",income_statement!$A:$A,0),MATCH(E$21,income_statement!$B$1:$I$1,0)),"")</f>
        <v/>
      </c>
      <c r="F61" s="21">
        <f>IFERROR(INDEX(income_statement!$B:$I,MATCH("Cổ đông của Công ty mẹ",income_statement!$A:$A,0),MATCH(F$21,income_statement!$B$1:$I$1,0)),"")</f>
        <v/>
      </c>
      <c r="G61" s="21">
        <f>IFERROR(INDEX(income_statement!$B:$I,MATCH("Cổ đông của Công ty mẹ",income_statement!$A:$A,0),MATCH(G$21,income_statement!$B$1:$I$1,0)),"")</f>
        <v/>
      </c>
      <c r="H61" s="21">
        <f>IFERROR(INDEX(income_statement!$B:$I,MATCH("Cổ đông của Công ty mẹ",income_statement!$A:$A,0),MATCH(H$21,income_statement!$B$1:$I$1,0)),"")</f>
        <v/>
      </c>
      <c r="I61" s="21">
        <f>IFERROR(INDEX(income_statement!$B:$I,MATCH("Cổ đông của Công ty mẹ",income_statement!$A:$A,0),MATCH(I$21,income_statement!$B$1:$I$1,0)),"")</f>
        <v/>
      </c>
      <c r="J61" s="21" t="n">
        <v>30415000000000</v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7" customWidth="1" min="1" max="1"/>
    <col width="17.5" customWidth="1" min="2" max="2"/>
    <col width="10.125" customWidth="1" min="7" max="7"/>
    <col width="8.875" customWidth="1" min="10" max="10"/>
  </cols>
  <sheetData>
    <row r="1">
      <c r="A1" s="32" t="n"/>
      <c r="B1" s="32" t="inlineStr">
        <is>
          <t>Q4/2025</t>
        </is>
      </c>
      <c r="C1" s="32" t="inlineStr">
        <is>
          <t>Q1/2026</t>
        </is>
      </c>
      <c r="D1" s="32" t="inlineStr">
        <is>
          <t>Q2/2026</t>
        </is>
      </c>
      <c r="E1" s="32" t="inlineStr">
        <is>
          <t>Q3/2026</t>
        </is>
      </c>
      <c r="F1" s="32" t="inlineStr">
        <is>
          <t>Q4/2026</t>
        </is>
      </c>
    </row>
    <row r="2">
      <c r="A2" s="32" t="inlineStr">
        <is>
          <t>Số CP</t>
        </is>
      </c>
      <c r="B2" s="33" t="n">
        <v>8054999909</v>
      </c>
      <c r="C2" s="33" t="n">
        <v>8054999909</v>
      </c>
      <c r="D2" s="33" t="n">
        <v>8054999909</v>
      </c>
      <c r="E2" s="33" t="n">
        <v>8054999909</v>
      </c>
      <c r="F2" s="33" t="n">
        <v>8054999909</v>
      </c>
    </row>
    <row r="3">
      <c r="A3" s="32" t="inlineStr">
        <is>
          <t>Thị giá</t>
        </is>
      </c>
      <c r="B3" s="33">
        <f>[1]Sheet1!$G$2</f>
        <v/>
      </c>
      <c r="C3" s="33">
        <f>[1]Sheet1!$G$2</f>
        <v/>
      </c>
      <c r="D3" s="33">
        <f>[1]Sheet1!$G$2</f>
        <v/>
      </c>
      <c r="E3" s="33">
        <f>[1]Sheet1!$G$2</f>
        <v/>
      </c>
      <c r="F3" s="33">
        <f>[1]Sheet1!$G$2</f>
        <v/>
      </c>
    </row>
    <row r="4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  <c r="F4" s="33">
        <f>F2*F3</f>
        <v/>
      </c>
    </row>
    <row r="5"/>
    <row r="6">
      <c r="A6" s="32" t="inlineStr">
        <is>
          <t>VCSH</t>
        </is>
      </c>
      <c r="B6" s="33">
        <f>chi_so_tai_chinh!I49</f>
        <v/>
      </c>
      <c r="C6" s="33">
        <f>B$6*(($F$6/$B$6)^(1/4))</f>
        <v/>
      </c>
      <c r="D6" s="33">
        <f>B$6*(($F$6/$B$6)^(2/4))</f>
        <v/>
      </c>
      <c r="E6" s="33">
        <f>B$6*(($F$6/$B$6)^(3/4))</f>
        <v/>
      </c>
      <c r="F6" s="33">
        <f>chi_so_tai_chinh!J49</f>
        <v/>
      </c>
      <c r="G6" s="34" t="n"/>
      <c r="H6" s="34" t="n"/>
      <c r="I6" s="34" t="n"/>
    </row>
    <row r="7">
      <c r="A7" s="32" t="inlineStr">
        <is>
          <t>LICĐKKS</t>
        </is>
      </c>
      <c r="B7" s="35">
        <f>chi_so_tai_chinh!I51</f>
        <v/>
      </c>
      <c r="C7" s="35">
        <f>C6*0.05</f>
        <v/>
      </c>
      <c r="D7" s="35">
        <f>D6*0.05</f>
        <v/>
      </c>
      <c r="E7" s="35">
        <f>E6*0.05</f>
        <v/>
      </c>
      <c r="F7" s="35">
        <f>F6*0.05</f>
        <v/>
      </c>
      <c r="G7" s="36" t="n"/>
      <c r="H7" s="36" t="n"/>
      <c r="I7" s="36" t="n"/>
    </row>
    <row r="8">
      <c r="A8" s="32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F8" s="37">
        <f>F6-F7</f>
        <v/>
      </c>
    </row>
    <row r="9">
      <c r="A9" s="24" t="inlineStr">
        <is>
          <t>BVPS</t>
        </is>
      </c>
      <c r="B9" s="38">
        <f>B8/B2</f>
        <v/>
      </c>
      <c r="C9" s="38">
        <f>C8/C2</f>
        <v/>
      </c>
      <c r="D9" s="38">
        <f>D8/D2</f>
        <v/>
      </c>
      <c r="E9" s="38">
        <f>E8/E2</f>
        <v/>
      </c>
      <c r="F9" s="38">
        <f>F8/F2</f>
        <v/>
      </c>
    </row>
    <row r="10">
      <c r="A10" s="24" t="inlineStr">
        <is>
          <t>PB</t>
        </is>
      </c>
      <c r="B10" s="39">
        <f>$F$3/B9</f>
        <v/>
      </c>
      <c r="C10" s="39">
        <f>$F$3/C9</f>
        <v/>
      </c>
      <c r="D10" s="39">
        <f>$F$3/D9</f>
        <v/>
      </c>
      <c r="E10" s="39">
        <f>$F$3/E9</f>
        <v/>
      </c>
      <c r="F10" s="39">
        <f>$F$3/F9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4.5" customWidth="1" min="1" max="1"/>
    <col width="11.375" customWidth="1" min="2" max="2"/>
    <col width="12.25" customWidth="1" min="3" max="3"/>
    <col width="15" customWidth="1" min="6" max="6"/>
    <col width="12.125" customWidth="1" min="7" max="7"/>
    <col width="9" customWidth="1" min="8" max="8"/>
  </cols>
  <sheetData>
    <row r="1">
      <c r="A1" s="32" t="inlineStr">
        <is>
          <t>Chỉ tiêu</t>
        </is>
      </c>
      <c r="B1" s="32" t="n">
        <v>2022</v>
      </c>
      <c r="C1" s="32" t="n">
        <v>2023</v>
      </c>
      <c r="D1" s="32" t="n">
        <v>2024</v>
      </c>
      <c r="E1" s="32" t="n">
        <v>2025</v>
      </c>
    </row>
    <row r="2">
      <c r="A2" s="32" t="inlineStr">
        <is>
          <t>Lợi nhuận trước thuế kế hoạch</t>
        </is>
      </c>
      <c r="B2" s="33" t="n">
        <v>20300000</v>
      </c>
      <c r="C2" s="33" t="n">
        <v>26138350</v>
      </c>
      <c r="D2" s="33" t="n">
        <v>28410000</v>
      </c>
      <c r="E2" s="33" t="n">
        <v>32000000</v>
      </c>
    </row>
    <row r="3">
      <c r="A3" s="32" t="inlineStr">
        <is>
          <t>Lợi nhuận trước thuế thu nhập doanh nghiệp</t>
        </is>
      </c>
      <c r="B3" s="33">
        <f>[2]KQHĐKD!C18*1000</f>
        <v/>
      </c>
      <c r="C3" s="33">
        <f>[2]KQHĐKD!D18*1000</f>
        <v/>
      </c>
      <c r="D3" s="33">
        <f>[2]KQHĐKD!E18*1000</f>
        <v/>
      </c>
      <c r="E3" s="33" t="n"/>
    </row>
    <row r="4">
      <c r="A4" s="32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 t="n"/>
    </row>
    <row r="5"/>
    <row r="6">
      <c r="A6" s="32" t="inlineStr">
        <is>
          <t>Trung vị %thực hiện LN trước thuế</t>
        </is>
      </c>
      <c r="B6" s="40">
        <f>MEDIAN(B4:D4)</f>
        <v/>
      </c>
    </row>
    <row r="7"/>
    <row r="8">
      <c r="A8" s="32" t="inlineStr">
        <is>
          <t>Tỷ lệ hoàn thành LNST trên 95%</t>
        </is>
      </c>
      <c r="B8" s="40">
        <f>COUNTIF(B4:D4,"&gt;=95%")/COUNT(B4:D4)</f>
        <v/>
      </c>
    </row>
  </sheetData>
  <conditionalFormatting sqref="B6">
    <cfRule type="cellIs" priority="2" operator="greaterThanOrEqual" dxfId="1">
      <formula>1</formula>
    </cfRule>
  </conditionalFormatting>
  <conditionalFormatting sqref="B4:E4">
    <cfRule type="cellIs" priority="3" operator="greaterThanOrEqual" dxfId="1">
      <formula>1</formula>
    </cfRule>
  </conditionalFormatting>
  <conditionalFormatting sqref="B8">
    <cfRule type="cellIs" priority="1" operator="greaterThanOrEqual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2026-09-23T03:42:33Z</dcterms:created>
  <dcterms:modified xsi:type="dcterms:W3CDTF">2026-09-23T03:42:34Z</dcterms:modified>
</cp:coreProperties>
</file>
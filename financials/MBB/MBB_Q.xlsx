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50" windowWidth="12000" windowHeight="6450" tabRatio="600" firstSheet="2" activeTab="3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;\(#,##0\);&quot;-&quot;"/>
    <numFmt numFmtId="165" formatCode="0.0%"/>
    <numFmt numFmtId="166" formatCode="#,##0;(#,##0);&quot;-&quot;"/>
  </numFmts>
  <fonts count="18">
    <font>
      <name val="Arial"/>
      <family val="2"/>
      <color theme="1"/>
      <sz val="11"/>
      <scheme val="minor"/>
    </font>
    <font>
      <name val="Tahoma"/>
      <family val="2"/>
      <sz val="10"/>
    </font>
    <font>
      <name val="Tahoma"/>
      <family val="2"/>
      <i val="1"/>
      <color rgb="FF808080"/>
      <sz val="10"/>
    </font>
    <font>
      <name val="Tahoma"/>
      <family val="2"/>
      <color rgb="FF000000"/>
      <sz val="10"/>
    </font>
    <font>
      <name val="Tahoma"/>
      <family val="2"/>
      <color rgb="FF008000"/>
      <sz val="10"/>
    </font>
    <font>
      <name val="Tahoma"/>
      <family val="2"/>
      <i val="1"/>
      <sz val="10"/>
    </font>
    <font>
      <name val="Tahoma"/>
      <family val="2"/>
      <i val="1"/>
      <color rgb="FF7030A0"/>
      <sz val="10"/>
    </font>
    <font>
      <name val="Arial"/>
      <family val="2"/>
      <color theme="1"/>
      <sz val="11"/>
      <scheme val="minor"/>
    </font>
    <font>
      <name val="Tahoma"/>
      <family val="2"/>
      <color theme="1"/>
      <sz val="10"/>
    </font>
    <font>
      <name val="Tahoma"/>
      <family val="2"/>
      <color rgb="FF7030A0"/>
      <sz val="10"/>
    </font>
    <font>
      <name val="Tahoma"/>
      <family val="2"/>
      <b val="1"/>
      <sz val="10"/>
    </font>
    <font>
      <name val="Tahoma"/>
      <family val="2"/>
      <b val="1"/>
      <color rgb="FF008000"/>
      <sz val="10"/>
    </font>
    <font>
      <name val="Tahoma"/>
      <family val="2"/>
      <b val="1"/>
      <color theme="1"/>
      <sz val="10"/>
    </font>
    <font>
      <name val="Tahoma"/>
      <family val="2"/>
      <b val="1"/>
      <color rgb="FF7030A0"/>
      <sz val="10"/>
    </font>
    <font>
      <name val="Tahoma"/>
      <family val="2"/>
      <b val="1"/>
      <color rgb="FFFFFFFF"/>
      <sz val="11"/>
    </font>
    <font>
      <name val="Tahoma"/>
      <family val="2"/>
      <sz val="10"/>
    </font>
    <font>
      <name val="Tahoma"/>
      <b val="1"/>
      <color rgb="00FFFFFF"/>
    </font>
    <font>
      <name val="Tahoma"/>
      <sz val="10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816888943144"/>
        <bgColor rgb="FFF7CAAC"/>
      </patternFill>
    </fill>
    <fill>
      <patternFill patternType="solid">
        <fgColor theme="5" tint="0.7999816888943144"/>
        <bgColor rgb="FFFBE4D5"/>
      </patternFill>
    </fill>
    <fill>
      <patternFill patternType="solid">
        <fgColor rgb="FF1F4E78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7" fillId="0" borderId="0"/>
    <xf numFmtId="9" fontId="7" fillId="0" borderId="0"/>
  </cellStyleXfs>
  <cellXfs count="36">
    <xf numFmtId="0" fontId="0" fillId="0" borderId="0" pivotButton="0" quotePrefix="0" xfId="0"/>
    <xf numFmtId="0" fontId="1" fillId="3" borderId="1" pivotButton="0" quotePrefix="0" xfId="0"/>
    <xf numFmtId="10" fontId="3" fillId="3" borderId="1" pivotButton="0" quotePrefix="0" xfId="0"/>
    <xf numFmtId="0" fontId="5" fillId="3" borderId="1" pivotButton="0" quotePrefix="0" xfId="0"/>
    <xf numFmtId="0" fontId="1" fillId="0" borderId="1" pivotButton="0" quotePrefix="0" xfId="0"/>
    <xf numFmtId="0" fontId="1" fillId="0" borderId="1" pivotButton="0" quotePrefix="1" xfId="0"/>
    <xf numFmtId="0" fontId="8" fillId="0" borderId="0" pivotButton="0" quotePrefix="0" xfId="0"/>
    <xf numFmtId="0" fontId="9" fillId="0" borderId="1" pivotButton="0" quotePrefix="0" xfId="0"/>
    <xf numFmtId="0" fontId="10" fillId="3" borderId="1" pivotButton="0" quotePrefix="0" xfId="0"/>
    <xf numFmtId="1" fontId="10" fillId="3" borderId="1" applyAlignment="1" pivotButton="0" quotePrefix="0" xfId="0">
      <alignment horizontal="center"/>
    </xf>
    <xf numFmtId="9" fontId="8" fillId="4" borderId="1" pivotButton="0" quotePrefix="0" xfId="0"/>
    <xf numFmtId="9" fontId="8" fillId="5" borderId="1" pivotButton="0" quotePrefix="0" xfId="0"/>
    <xf numFmtId="10" fontId="8" fillId="3" borderId="1" pivotButton="0" quotePrefix="0" xfId="0"/>
    <xf numFmtId="0" fontId="10" fillId="2" borderId="1" pivotButton="0" quotePrefix="0" xfId="0"/>
    <xf numFmtId="0" fontId="8" fillId="2" borderId="1" pivotButton="0" quotePrefix="0" xfId="0"/>
    <xf numFmtId="0" fontId="10" fillId="0" borderId="1" pivotButton="0" quotePrefix="0" xfId="0"/>
    <xf numFmtId="1" fontId="10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3" fontId="10" fillId="0" borderId="1" applyAlignment="1" pivotButton="0" quotePrefix="0" xfId="0">
      <alignment horizontal="center"/>
    </xf>
    <xf numFmtId="3" fontId="4" fillId="0" borderId="1" pivotButton="0" quotePrefix="0" xfId="0"/>
    <xf numFmtId="3" fontId="2" fillId="0" borderId="1" pivotButton="0" quotePrefix="0" xfId="0"/>
    <xf numFmtId="3" fontId="6" fillId="0" borderId="1" pivotButton="0" quotePrefix="0" xfId="0"/>
    <xf numFmtId="3" fontId="11" fillId="0" borderId="1" pivotButton="0" quotePrefix="0" xfId="0"/>
    <xf numFmtId="0" fontId="13" fillId="0" borderId="1" pivotButton="0" quotePrefix="0" xfId="0"/>
    <xf numFmtId="0" fontId="13" fillId="0" borderId="0" pivotButton="0" quotePrefix="0" xfId="0"/>
    <xf numFmtId="9" fontId="13" fillId="0" borderId="1" pivotButton="0" quotePrefix="0" xfId="1"/>
    <xf numFmtId="0" fontId="14" fillId="6" borderId="2" applyAlignment="1" pivotButton="0" quotePrefix="0" xfId="0">
      <alignment horizontal="left"/>
    </xf>
    <xf numFmtId="0" fontId="14" fillId="6" borderId="2" applyAlignment="1" pivotButton="0" quotePrefix="0" xfId="0">
      <alignment horizontal="center"/>
    </xf>
    <xf numFmtId="0" fontId="15" fillId="0" borderId="2" pivotButton="0" quotePrefix="0" xfId="0"/>
    <xf numFmtId="164" fontId="15" fillId="0" borderId="2" pivotButton="0" quotePrefix="0" xfId="0"/>
    <xf numFmtId="165" fontId="3" fillId="3" borderId="1" pivotButton="0" quotePrefix="0" xfId="0"/>
    <xf numFmtId="0" fontId="16" fillId="7" borderId="3" applyAlignment="1" pivotButton="0" quotePrefix="0" xfId="0">
      <alignment horizontal="left"/>
    </xf>
    <xf numFmtId="0" fontId="16" fillId="7" borderId="3" applyAlignment="1" pivotButton="0" quotePrefix="0" xfId="0">
      <alignment horizontal="center"/>
    </xf>
    <xf numFmtId="0" fontId="17" fillId="0" borderId="3" pivotButton="0" quotePrefix="0" xfId="0"/>
    <xf numFmtId="166" fontId="17" fillId="0" borderId="3" pivotButton="0" quotePrefix="0" xfId="0"/>
  </cellXfs>
  <cellStyles count="2">
    <cellStyle name="Normal" xfId="0" builtinId="0"/>
    <cellStyle name="Percent" xfId="1" builtinId="5"/>
  </cellStyles>
  <dxfs count="10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3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</cols>
  <sheetData>
    <row r="1">
      <c r="A1" s="32" t="inlineStr">
        <is>
          <t>item</t>
        </is>
      </c>
      <c r="B1" s="33" t="inlineStr">
        <is>
          <t>2018</t>
        </is>
      </c>
      <c r="C1" s="33" t="inlineStr">
        <is>
          <t>2019</t>
        </is>
      </c>
      <c r="D1" s="33" t="inlineStr">
        <is>
          <t>2020</t>
        </is>
      </c>
      <c r="E1" s="33" t="inlineStr">
        <is>
          <t>2021</t>
        </is>
      </c>
      <c r="F1" s="33" t="inlineStr">
        <is>
          <t>2022</t>
        </is>
      </c>
      <c r="G1" s="33" t="inlineStr">
        <is>
          <t>2023</t>
        </is>
      </c>
      <c r="H1" s="33" t="inlineStr">
        <is>
          <t>2024</t>
        </is>
      </c>
      <c r="I1" s="33" t="inlineStr">
        <is>
          <t>2025</t>
        </is>
      </c>
      <c r="J1" s="33" t="inlineStr">
        <is>
          <t>2018-Q1</t>
        </is>
      </c>
      <c r="K1" s="33" t="inlineStr">
        <is>
          <t>2018-Q2</t>
        </is>
      </c>
      <c r="L1" s="33" t="inlineStr">
        <is>
          <t>2018-Q3</t>
        </is>
      </c>
      <c r="M1" s="33" t="inlineStr">
        <is>
          <t>2018-Q4</t>
        </is>
      </c>
      <c r="N1" s="33" t="inlineStr">
        <is>
          <t>2024-Q3</t>
        </is>
      </c>
      <c r="O1" s="33" t="inlineStr">
        <is>
          <t>2024-Q4</t>
        </is>
      </c>
      <c r="P1" s="33" t="inlineStr">
        <is>
          <t>2025-Q1</t>
        </is>
      </c>
      <c r="Q1" s="33" t="inlineStr">
        <is>
          <t>2025-Q2</t>
        </is>
      </c>
      <c r="R1" s="33" t="inlineStr">
        <is>
          <t>2025-Q3</t>
        </is>
      </c>
      <c r="S1" s="33" t="inlineStr">
        <is>
          <t>2025-Q4</t>
        </is>
      </c>
      <c r="T1" s="33" t="inlineStr">
        <is>
          <t>2026-Q1</t>
        </is>
      </c>
      <c r="U1" s="33" t="inlineStr">
        <is>
          <t>2026-Q2</t>
        </is>
      </c>
    </row>
    <row r="2">
      <c r="A2" s="34" t="inlineStr">
        <is>
          <t>Tiền mặt, vàng bạc, đá quý</t>
        </is>
      </c>
      <c r="B2" s="35" t="n">
        <v>1736571000000</v>
      </c>
      <c r="C2" s="35" t="n">
        <v>2344291000000</v>
      </c>
      <c r="D2" s="35" t="n">
        <v>3109230000000</v>
      </c>
      <c r="E2" s="35" t="n">
        <v>3475341000000</v>
      </c>
      <c r="F2" s="35" t="n">
        <v>3744100000000</v>
      </c>
      <c r="G2" s="35" t="n">
        <v>3675394000000</v>
      </c>
      <c r="H2" s="35" t="n">
        <v>3349166000000</v>
      </c>
      <c r="I2" s="35" t="n">
        <v>4965786000000</v>
      </c>
      <c r="J2" s="35" t="n">
        <v>2048473000000</v>
      </c>
      <c r="K2" s="35" t="n">
        <v>1946454000000</v>
      </c>
      <c r="L2" s="35" t="n">
        <v>1919151000000</v>
      </c>
      <c r="M2" s="35" t="n">
        <v>1736571000000</v>
      </c>
      <c r="N2" s="35" t="n">
        <v>3782282000000</v>
      </c>
      <c r="O2" s="35" t="n">
        <v>3349166000000</v>
      </c>
      <c r="P2" s="35" t="n">
        <v>4223983000000</v>
      </c>
      <c r="Q2" s="35" t="n">
        <v>5262525000000</v>
      </c>
      <c r="R2" s="35" t="n">
        <v>4421466000000</v>
      </c>
      <c r="S2" s="35" t="n">
        <v>4965786000000</v>
      </c>
      <c r="T2" s="35" t="n">
        <v>5741287000000</v>
      </c>
      <c r="U2" s="35" t="n">
        <v>5051244000000</v>
      </c>
    </row>
    <row r="3">
      <c r="A3" s="34" t="inlineStr">
        <is>
          <t>Tài sản cố định</t>
        </is>
      </c>
      <c r="B3" s="35" t="n">
        <v>2699314000000</v>
      </c>
      <c r="C3" s="35" t="n">
        <v>2798062000000</v>
      </c>
      <c r="D3" s="35" t="n">
        <v>4310919000000</v>
      </c>
      <c r="E3" s="35" t="n">
        <v>4678447000000</v>
      </c>
      <c r="F3" s="35" t="n">
        <v>5073508000000</v>
      </c>
      <c r="G3" s="35" t="n">
        <v>4854186000000</v>
      </c>
      <c r="H3" s="35" t="n">
        <v>5430416000000</v>
      </c>
      <c r="I3" s="35" t="n">
        <v>5616547000000</v>
      </c>
      <c r="J3" s="35" t="n">
        <v>2570955000000</v>
      </c>
      <c r="K3" s="35" t="n">
        <v>2538054000000</v>
      </c>
      <c r="L3" s="35" t="n">
        <v>2616548000000</v>
      </c>
      <c r="M3" s="35" t="n">
        <v>2699314000000</v>
      </c>
      <c r="N3" s="35" t="n">
        <v>4875798000000</v>
      </c>
      <c r="O3" s="35" t="n">
        <v>5430416000000</v>
      </c>
      <c r="P3" s="35" t="n">
        <v>5381759000000</v>
      </c>
      <c r="Q3" s="35" t="n">
        <v>5343331000000</v>
      </c>
      <c r="R3" s="35" t="n">
        <v>5121088000000</v>
      </c>
      <c r="S3" s="35" t="n">
        <v>5616547000000</v>
      </c>
      <c r="T3" s="35" t="n">
        <v>5500662000000</v>
      </c>
      <c r="U3" s="35" t="n">
        <v>5752320000000</v>
      </c>
    </row>
    <row r="4">
      <c r="A4" s="34" t="inlineStr">
        <is>
          <t>Tài sản cố định hữu hình</t>
        </is>
      </c>
      <c r="B4" s="35" t="n">
        <v>1586152000000</v>
      </c>
      <c r="C4" s="35" t="n">
        <v>1642003000000</v>
      </c>
      <c r="D4" s="35" t="n">
        <v>3088524000000</v>
      </c>
      <c r="E4" s="35" t="n">
        <v>3213906000000</v>
      </c>
      <c r="F4" s="35" t="n">
        <v>3457561000000</v>
      </c>
      <c r="G4" s="35" t="n">
        <v>3194404000000</v>
      </c>
      <c r="H4" s="35" t="n">
        <v>3750696000000</v>
      </c>
      <c r="I4" s="35" t="n">
        <v>3805533000000</v>
      </c>
      <c r="J4" s="35" t="n">
        <v>1552171000000</v>
      </c>
      <c r="K4" s="35" t="n">
        <v>1518666000000</v>
      </c>
      <c r="L4" s="35" t="n">
        <v>1583487000000</v>
      </c>
      <c r="M4" s="35" t="n">
        <v>1586152000000</v>
      </c>
      <c r="N4" s="35" t="n">
        <v>3268440000000</v>
      </c>
      <c r="O4" s="35" t="n">
        <v>3750696000000</v>
      </c>
      <c r="P4" s="35" t="n">
        <v>3772404000000</v>
      </c>
      <c r="Q4" s="35" t="n">
        <v>3713430000000</v>
      </c>
      <c r="R4" s="35" t="n">
        <v>3536030000000</v>
      </c>
      <c r="S4" s="35" t="n">
        <v>3805533000000</v>
      </c>
      <c r="T4" s="35" t="n">
        <v>3717028000000</v>
      </c>
      <c r="U4" s="35" t="n">
        <v>3940732000000</v>
      </c>
    </row>
    <row r="5">
      <c r="A5" s="34" t="inlineStr">
        <is>
          <t>Nguyên giá TSCĐ hữu hình</t>
        </is>
      </c>
      <c r="B5" s="35" t="n">
        <v>3268459000000</v>
      </c>
      <c r="C5" s="35" t="n">
        <v>3585813000000</v>
      </c>
      <c r="D5" s="35" t="n">
        <v>5387069000000</v>
      </c>
      <c r="E5" s="35" t="n">
        <v>6083517000000</v>
      </c>
      <c r="F5" s="35" t="n">
        <v>7110562000000</v>
      </c>
      <c r="G5" s="35" t="n">
        <v>7732608000000</v>
      </c>
      <c r="H5" s="35" t="n">
        <v>9014672000000</v>
      </c>
      <c r="I5" s="35" t="n">
        <v>9423236000000</v>
      </c>
      <c r="J5" s="35" t="n">
        <v>3104721000000</v>
      </c>
      <c r="K5" s="35" t="n">
        <v>3092406000000</v>
      </c>
      <c r="L5" s="35" t="n">
        <v>3218607000000</v>
      </c>
      <c r="M5" s="35" t="n">
        <v>3268459000000</v>
      </c>
      <c r="N5" s="35" t="n">
        <v>8340941000000</v>
      </c>
      <c r="O5" s="35" t="n">
        <v>9014672000000</v>
      </c>
      <c r="P5" s="35" t="n">
        <v>9160651000000</v>
      </c>
      <c r="Q5" s="35" t="n">
        <v>9174600000000</v>
      </c>
      <c r="R5" s="35" t="n">
        <v>9027999000000</v>
      </c>
      <c r="S5" s="35" t="n">
        <v>9423236000000</v>
      </c>
      <c r="T5" s="35" t="n">
        <v>9473484000000</v>
      </c>
      <c r="U5" s="35" t="n">
        <v>9805329000000</v>
      </c>
    </row>
    <row r="6">
      <c r="A6" s="34" t="inlineStr">
        <is>
          <t>Hao mòn TSCĐ hữu hình</t>
        </is>
      </c>
      <c r="B6" s="35" t="n">
        <v>-1682307000000</v>
      </c>
      <c r="C6" s="35" t="n">
        <v>-1943810000000</v>
      </c>
      <c r="D6" s="35" t="n">
        <v>-2298545000000</v>
      </c>
      <c r="E6" s="35" t="n">
        <v>-2869611000000</v>
      </c>
      <c r="F6" s="35" t="n">
        <v>-3653001000000</v>
      </c>
      <c r="G6" s="35" t="n">
        <v>-4538204000000</v>
      </c>
      <c r="H6" s="35" t="n">
        <v>-5263976000000</v>
      </c>
      <c r="I6" s="35" t="n">
        <v>-5617703000000</v>
      </c>
      <c r="J6" s="35" t="n">
        <v>-1552550000000</v>
      </c>
      <c r="K6" s="35" t="n">
        <v>-1573740000000</v>
      </c>
      <c r="L6" s="35" t="n">
        <v>-1635120000000</v>
      </c>
      <c r="M6" s="35" t="n">
        <v>-1682307000000</v>
      </c>
      <c r="N6" s="35" t="n">
        <v>-5072501000000</v>
      </c>
      <c r="O6" s="35" t="n">
        <v>-5263976000000</v>
      </c>
      <c r="P6" s="35" t="n">
        <v>-5388247000000</v>
      </c>
      <c r="Q6" s="35" t="n">
        <v>-5461170000000</v>
      </c>
      <c r="R6" s="35" t="n">
        <v>-5491969000000</v>
      </c>
      <c r="S6" s="35" t="n">
        <v>-5617703000000</v>
      </c>
      <c r="T6" s="35" t="n">
        <v>-5756456000000</v>
      </c>
      <c r="U6" s="35" t="n">
        <v>-5864597000000</v>
      </c>
    </row>
    <row r="7">
      <c r="A7" s="34" t="inlineStr">
        <is>
          <t>Tài sản cố định thuê tài chính</t>
        </is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</row>
    <row r="8">
      <c r="A8" s="34" t="inlineStr">
        <is>
          <t>Nguyên giá TSCĐ thuê tài chính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</row>
    <row r="9">
      <c r="A9" s="34" t="inlineStr">
        <is>
          <t>Hao mòn TSCĐ thuê tài chính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</row>
    <row r="10">
      <c r="A10" s="34" t="inlineStr">
        <is>
          <t>Tài sản cố định vô hình</t>
        </is>
      </c>
      <c r="B10" s="35" t="n">
        <v>1113162000000</v>
      </c>
      <c r="C10" s="35" t="n">
        <v>1156059000000</v>
      </c>
      <c r="D10" s="35" t="n">
        <v>1222395000000</v>
      </c>
      <c r="E10" s="35" t="n">
        <v>1464541000000</v>
      </c>
      <c r="F10" s="35" t="n">
        <v>1615947000000</v>
      </c>
      <c r="G10" s="35" t="n">
        <v>1659782000000</v>
      </c>
      <c r="H10" s="35" t="n">
        <v>1679720000000</v>
      </c>
      <c r="I10" s="35" t="n">
        <v>1811014000000</v>
      </c>
      <c r="J10" s="35" t="n">
        <v>1018784000000</v>
      </c>
      <c r="K10" s="35" t="n">
        <v>1019388000000</v>
      </c>
      <c r="L10" s="35" t="n">
        <v>1033061000000</v>
      </c>
      <c r="M10" s="35" t="n">
        <v>1113162000000</v>
      </c>
      <c r="N10" s="35" t="n">
        <v>1607358000000</v>
      </c>
      <c r="O10" s="35" t="n">
        <v>1679720000000</v>
      </c>
      <c r="P10" s="35" t="n">
        <v>1609355000000</v>
      </c>
      <c r="Q10" s="35" t="n">
        <v>1629901000000</v>
      </c>
      <c r="R10" s="35" t="n">
        <v>1585058000000</v>
      </c>
      <c r="S10" s="35" t="n">
        <v>1811014000000</v>
      </c>
      <c r="T10" s="35" t="n">
        <v>1783634000000</v>
      </c>
      <c r="U10" s="35" t="n">
        <v>1811588000000</v>
      </c>
    </row>
    <row r="11">
      <c r="A11" s="34" t="inlineStr">
        <is>
          <t>Nguyên giá TSCĐ vô hình</t>
        </is>
      </c>
      <c r="B11" s="35" t="n">
        <v>1823153000000</v>
      </c>
      <c r="C11" s="35" t="n">
        <v>1980168000000</v>
      </c>
      <c r="D11" s="35" t="n">
        <v>2277564000000</v>
      </c>
      <c r="E11" s="35" t="n">
        <v>2923616000000</v>
      </c>
      <c r="F11" s="35" t="n">
        <v>3565092000000</v>
      </c>
      <c r="G11" s="35" t="n">
        <v>4196144000000</v>
      </c>
      <c r="H11" s="35" t="n">
        <v>4976669000000</v>
      </c>
      <c r="I11" s="35" t="n">
        <v>5684904000000</v>
      </c>
      <c r="J11" s="35" t="n">
        <v>1629653000000</v>
      </c>
      <c r="K11" s="35" t="n">
        <v>1661526000000</v>
      </c>
      <c r="L11" s="35" t="n">
        <v>1710000000000</v>
      </c>
      <c r="M11" s="35" t="n">
        <v>1823153000000</v>
      </c>
      <c r="N11" s="35" t="n">
        <v>4679601000000</v>
      </c>
      <c r="O11" s="35" t="n">
        <v>4976669000000</v>
      </c>
      <c r="P11" s="35" t="n">
        <v>5006260000000</v>
      </c>
      <c r="Q11" s="35" t="n">
        <v>5180623000000</v>
      </c>
      <c r="R11" s="35" t="n">
        <v>5257810000000</v>
      </c>
      <c r="S11" s="35" t="n">
        <v>5684904000000</v>
      </c>
      <c r="T11" s="35" t="n">
        <v>5762160000000</v>
      </c>
      <c r="U11" s="35" t="n">
        <v>5929584000000</v>
      </c>
    </row>
    <row r="12">
      <c r="A12" s="34" t="inlineStr">
        <is>
          <t>Hao mòn TSCĐ vô hình</t>
        </is>
      </c>
      <c r="B12" s="35" t="n">
        <v>-709991000000</v>
      </c>
      <c r="C12" s="35" t="n">
        <v>-824109000000</v>
      </c>
      <c r="D12" s="35" t="n">
        <v>-1055169000000</v>
      </c>
      <c r="E12" s="35" t="n">
        <v>-1459075000000</v>
      </c>
      <c r="F12" s="35" t="n">
        <v>-1949145000000</v>
      </c>
      <c r="G12" s="35" t="n">
        <v>-2536362000000</v>
      </c>
      <c r="H12" s="35" t="n">
        <v>-3296949000000</v>
      </c>
      <c r="I12" s="35" t="n">
        <v>-3873890000000</v>
      </c>
      <c r="J12" s="35" t="n">
        <v>-610869000000</v>
      </c>
      <c r="K12" s="35" t="n">
        <v>-642138000000</v>
      </c>
      <c r="L12" s="35" t="n">
        <v>-676939000000</v>
      </c>
      <c r="M12" s="35" t="n">
        <v>-709991000000</v>
      </c>
      <c r="N12" s="35" t="n">
        <v>-3072243000000</v>
      </c>
      <c r="O12" s="35" t="n">
        <v>-3296949000000</v>
      </c>
      <c r="P12" s="35" t="n">
        <v>-3396905000000</v>
      </c>
      <c r="Q12" s="35" t="n">
        <v>-3550722000000</v>
      </c>
      <c r="R12" s="35" t="n">
        <v>-3672752000000</v>
      </c>
      <c r="S12" s="35" t="n">
        <v>-3873890000000</v>
      </c>
      <c r="T12" s="35" t="n">
        <v>-3978526000000</v>
      </c>
      <c r="U12" s="35" t="n">
        <v>-4117996000000</v>
      </c>
    </row>
    <row r="13">
      <c r="A13" s="34" t="inlineStr">
        <is>
          <t>Bất động sản đầu tư</t>
        </is>
      </c>
      <c r="B13" s="35" t="n">
        <v>30813000000</v>
      </c>
      <c r="C13" s="35" t="n">
        <v>30813000000</v>
      </c>
      <c r="D13" s="35" t="n">
        <v>247898000000</v>
      </c>
      <c r="E13" s="35" t="n">
        <v>268999000000</v>
      </c>
      <c r="F13" s="35" t="n">
        <v>236177000000</v>
      </c>
      <c r="G13" s="35" t="n">
        <v>240294000000</v>
      </c>
      <c r="H13" s="35" t="n">
        <v>234115000000</v>
      </c>
      <c r="I13" s="35" t="n">
        <v>222813000000</v>
      </c>
      <c r="J13" s="35" t="n">
        <v>92037000000</v>
      </c>
      <c r="K13" s="35" t="n">
        <v>88979000000</v>
      </c>
      <c r="L13" s="35" t="n">
        <v>88245000000</v>
      </c>
      <c r="M13" s="35" t="n">
        <v>30813000000</v>
      </c>
      <c r="N13" s="35" t="n">
        <v>235660000000</v>
      </c>
      <c r="O13" s="35" t="n">
        <v>234115000000</v>
      </c>
      <c r="P13" s="35" t="n">
        <v>232570000000</v>
      </c>
      <c r="Q13" s="35" t="n">
        <v>220898000000</v>
      </c>
      <c r="R13" s="35" t="n">
        <v>219370000000</v>
      </c>
      <c r="S13" s="35" t="n">
        <v>222813000000</v>
      </c>
      <c r="T13" s="35" t="n">
        <v>216314000000</v>
      </c>
      <c r="U13" s="35" t="n">
        <v>214786000000</v>
      </c>
    </row>
    <row r="14">
      <c r="A14" s="34" t="inlineStr">
        <is>
          <t>Nguyên giá bất động sản đầu tư</t>
        </is>
      </c>
      <c r="B14" s="35" t="n">
        <v>30813000000</v>
      </c>
      <c r="C14" s="35" t="n">
        <v>30813000000</v>
      </c>
      <c r="D14" s="35" t="n">
        <v>249674000000</v>
      </c>
      <c r="E14" s="35" t="n">
        <v>285300000000</v>
      </c>
      <c r="F14" s="35" t="n">
        <v>250155000000</v>
      </c>
      <c r="G14" s="35" t="n">
        <v>260415000000</v>
      </c>
      <c r="H14" s="35" t="n">
        <v>260415000000</v>
      </c>
      <c r="I14" s="35" t="n">
        <v>255126000000</v>
      </c>
      <c r="J14" s="35" t="n">
        <v>100296000000</v>
      </c>
      <c r="K14" s="35" t="n">
        <v>97751000000</v>
      </c>
      <c r="L14" s="35" t="n">
        <v>97751000000</v>
      </c>
      <c r="M14" s="35" t="n">
        <v>30813000000</v>
      </c>
      <c r="N14" s="35" t="n">
        <v>260415000000</v>
      </c>
      <c r="O14" s="35" t="n">
        <v>260415000000</v>
      </c>
      <c r="P14" s="35" t="n">
        <v>260415000000</v>
      </c>
      <c r="Q14" s="35" t="n">
        <v>250155000000</v>
      </c>
      <c r="R14" s="35" t="n">
        <v>250155000000</v>
      </c>
      <c r="S14" s="35" t="n">
        <v>255126000000</v>
      </c>
      <c r="T14" s="35" t="n">
        <v>250155000000</v>
      </c>
      <c r="U14" s="35" t="n">
        <v>250155000000</v>
      </c>
    </row>
    <row r="15">
      <c r="A15" s="34" t="inlineStr">
        <is>
          <t>Hao mòn bất động sản đầu tư</t>
        </is>
      </c>
      <c r="B15" s="35" t="n">
        <v>0</v>
      </c>
      <c r="C15" s="35" t="n">
        <v>0</v>
      </c>
      <c r="D15" s="35" t="n">
        <v>-1776000000</v>
      </c>
      <c r="E15" s="35" t="n">
        <v>-16301000000</v>
      </c>
      <c r="F15" s="35" t="n">
        <v>-13978000000</v>
      </c>
      <c r="G15" s="35" t="n">
        <v>-20121000000</v>
      </c>
      <c r="H15" s="35" t="n">
        <v>-26300000000</v>
      </c>
      <c r="I15" s="35" t="n">
        <v>-32313000000</v>
      </c>
      <c r="J15" s="35" t="n">
        <v>-8259000000</v>
      </c>
      <c r="K15" s="35" t="n">
        <v>-8772000000</v>
      </c>
      <c r="L15" s="35" t="n">
        <v>-9506000000</v>
      </c>
      <c r="M15" s="35" t="n">
        <v>0</v>
      </c>
      <c r="N15" s="35" t="n">
        <v>-24755000000</v>
      </c>
      <c r="O15" s="35" t="n">
        <v>-26300000000</v>
      </c>
      <c r="P15" s="35" t="n">
        <v>-27845000000</v>
      </c>
      <c r="Q15" s="35" t="n">
        <v>-29257000000</v>
      </c>
      <c r="R15" s="35" t="n">
        <v>-30785000000</v>
      </c>
      <c r="S15" s="35" t="n">
        <v>-32313000000</v>
      </c>
      <c r="T15" s="35" t="n">
        <v>-33841000000</v>
      </c>
      <c r="U15" s="35" t="n">
        <v>-35369000000</v>
      </c>
    </row>
    <row r="16">
      <c r="A16" s="34" t="inlineStr">
        <is>
          <t>Góp vốn, đầu tư dài hạn</t>
        </is>
      </c>
      <c r="B16" s="35" t="n">
        <v>728043000000</v>
      </c>
      <c r="C16" s="35" t="n">
        <v>887017000000</v>
      </c>
      <c r="D16" s="35" t="n">
        <v>885231000000</v>
      </c>
      <c r="E16" s="35" t="n">
        <v>803208000000</v>
      </c>
      <c r="F16" s="35" t="n">
        <v>625267000000</v>
      </c>
      <c r="G16" s="35" t="n">
        <v>615785000000</v>
      </c>
      <c r="H16" s="35" t="n">
        <v>609477000000</v>
      </c>
      <c r="I16" s="35" t="n">
        <v>468396000000</v>
      </c>
      <c r="J16" s="35" t="n">
        <v>1238181000000</v>
      </c>
      <c r="K16" s="35" t="n">
        <v>1201931000000</v>
      </c>
      <c r="L16" s="35" t="n">
        <v>765618000000</v>
      </c>
      <c r="M16" s="35" t="n">
        <v>497353000000</v>
      </c>
      <c r="N16" s="35" t="n">
        <v>578426000000</v>
      </c>
      <c r="O16" s="35" t="n">
        <v>609477000000</v>
      </c>
      <c r="P16" s="35" t="n">
        <v>696628000000</v>
      </c>
      <c r="Q16" s="35" t="n">
        <v>582898000000</v>
      </c>
      <c r="R16" s="35" t="n">
        <v>1112379000000</v>
      </c>
      <c r="S16" s="35" t="n">
        <v>468396000000</v>
      </c>
      <c r="T16" s="35" t="n">
        <v>467906000000</v>
      </c>
      <c r="U16" s="35" t="n">
        <v>435970000000</v>
      </c>
    </row>
    <row r="17">
      <c r="A17" s="34" t="inlineStr">
        <is>
          <t>Đầu tư vào công ty con</t>
        </is>
      </c>
      <c r="B17" s="35" t="n">
        <v>0</v>
      </c>
      <c r="C17" s="35" t="n">
        <v>0</v>
      </c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0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35" t="n">
        <v>0</v>
      </c>
      <c r="O17" s="35" t="n">
        <v>0</v>
      </c>
      <c r="P17" s="35" t="n">
        <v>0</v>
      </c>
      <c r="Q17" s="35" t="n">
        <v>0</v>
      </c>
      <c r="R17" s="35" t="n">
        <v>0</v>
      </c>
      <c r="S17" s="35" t="n">
        <v>0</v>
      </c>
      <c r="T17" s="35" t="n">
        <v>0</v>
      </c>
      <c r="U17" s="35" t="n">
        <v>0</v>
      </c>
    </row>
    <row r="18">
      <c r="A18" s="34" t="inlineStr">
        <is>
          <t>Đầu tư vào công ty liên doanh</t>
        </is>
      </c>
      <c r="B18" s="35" t="n">
        <v>0</v>
      </c>
      <c r="C18" s="35" t="n">
        <v>0</v>
      </c>
      <c r="D18" s="35" t="n">
        <v>0</v>
      </c>
      <c r="E18" s="35" t="n">
        <v>0</v>
      </c>
      <c r="F18" s="35" t="n">
        <v>0</v>
      </c>
      <c r="G18" s="35" t="n">
        <v>0</v>
      </c>
      <c r="H18" s="35" t="n">
        <v>0</v>
      </c>
      <c r="I18" s="35" t="n">
        <v>0</v>
      </c>
      <c r="J18" s="35" t="n">
        <v>50061000000</v>
      </c>
      <c r="K18" s="35" t="n">
        <v>48293000000</v>
      </c>
      <c r="L18" s="35" t="n">
        <v>32856000000</v>
      </c>
      <c r="M18" s="35" t="n">
        <v>0</v>
      </c>
      <c r="N18" s="35" t="n">
        <v>0</v>
      </c>
      <c r="O18" s="35" t="n">
        <v>0</v>
      </c>
      <c r="P18" s="35" t="n">
        <v>0</v>
      </c>
      <c r="Q18" s="35" t="n">
        <v>0</v>
      </c>
      <c r="R18" s="35" t="n">
        <v>0</v>
      </c>
      <c r="S18" s="35" t="n">
        <v>0</v>
      </c>
      <c r="T18" s="35" t="n">
        <v>0</v>
      </c>
      <c r="U18" s="35" t="n">
        <v>0</v>
      </c>
    </row>
    <row r="19">
      <c r="A19" s="34" t="inlineStr">
        <is>
          <t>Đầu tư dài hạn khác</t>
        </is>
      </c>
      <c r="B19" s="35" t="n">
        <v>931653000000</v>
      </c>
      <c r="C19" s="35" t="n">
        <v>1037453000000</v>
      </c>
      <c r="D19" s="35" t="n">
        <v>1026562000000</v>
      </c>
      <c r="E19" s="35" t="n">
        <v>940840000000</v>
      </c>
      <c r="F19" s="35" t="n">
        <v>768763000000</v>
      </c>
      <c r="G19" s="35" t="n">
        <v>779587000000</v>
      </c>
      <c r="H19" s="35" t="n">
        <v>775670000000</v>
      </c>
      <c r="I19" s="35" t="n">
        <v>559624000000</v>
      </c>
      <c r="J19" s="35" t="n">
        <v>1311135000000</v>
      </c>
      <c r="K19" s="35" t="n">
        <v>1287059000000</v>
      </c>
      <c r="L19" s="35" t="n">
        <v>866183000000</v>
      </c>
      <c r="M19" s="35" t="n">
        <v>582628000000</v>
      </c>
      <c r="N19" s="35" t="n">
        <v>742228000000</v>
      </c>
      <c r="O19" s="35" t="n">
        <v>775670000000</v>
      </c>
      <c r="P19" s="35" t="n">
        <v>820760000000</v>
      </c>
      <c r="Q19" s="35" t="n">
        <v>707030000000</v>
      </c>
      <c r="R19" s="35" t="n">
        <v>1235723000000</v>
      </c>
      <c r="S19" s="35" t="n">
        <v>559624000000</v>
      </c>
      <c r="T19" s="35" t="n">
        <v>559134000000</v>
      </c>
      <c r="U19" s="35" t="n">
        <v>527198000000</v>
      </c>
    </row>
    <row r="20">
      <c r="A20" s="34" t="inlineStr">
        <is>
          <t>Dự phòng giảm giá đầu tư dài hạn</t>
        </is>
      </c>
      <c r="B20" s="35" t="n">
        <v>-203610000000</v>
      </c>
      <c r="C20" s="35" t="n">
        <v>-150436000000</v>
      </c>
      <c r="D20" s="35" t="n">
        <v>-141331000000</v>
      </c>
      <c r="E20" s="35" t="n">
        <v>-137632000000</v>
      </c>
      <c r="F20" s="35" t="n">
        <v>-143496000000</v>
      </c>
      <c r="G20" s="35" t="n">
        <v>-163802000000</v>
      </c>
      <c r="H20" s="35" t="n">
        <v>-166193000000</v>
      </c>
      <c r="I20" s="35" t="n">
        <v>-91228000000</v>
      </c>
      <c r="J20" s="35" t="n">
        <v>-123015000000</v>
      </c>
      <c r="K20" s="35" t="n">
        <v>-133421000000</v>
      </c>
      <c r="L20" s="35" t="n">
        <v>-133421000000</v>
      </c>
      <c r="M20" s="35" t="n">
        <v>-85275000000</v>
      </c>
      <c r="N20" s="35" t="n">
        <v>-163802000000</v>
      </c>
      <c r="O20" s="35" t="n">
        <v>-166193000000</v>
      </c>
      <c r="P20" s="35" t="n">
        <v>-124132000000</v>
      </c>
      <c r="Q20" s="35" t="n">
        <v>-124132000000</v>
      </c>
      <c r="R20" s="35" t="n">
        <v>-123344000000</v>
      </c>
      <c r="S20" s="35" t="n">
        <v>-91228000000</v>
      </c>
      <c r="T20" s="35" t="n">
        <v>-91228000000</v>
      </c>
      <c r="U20" s="35" t="n">
        <v>-91228000000</v>
      </c>
    </row>
    <row r="21">
      <c r="A21" s="34" t="inlineStr">
        <is>
          <t>TỔNG TÀI SẢN</t>
        </is>
      </c>
      <c r="B21" s="35" t="n">
        <v>362325062000000</v>
      </c>
      <c r="C21" s="35" t="n">
        <v>411487575000000</v>
      </c>
      <c r="D21" s="35" t="n">
        <v>494982162000000</v>
      </c>
      <c r="E21" s="35" t="n">
        <v>607140419000000</v>
      </c>
      <c r="F21" s="35" t="n">
        <v>728532373000000</v>
      </c>
      <c r="G21" s="35" t="n">
        <v>944953640000000</v>
      </c>
      <c r="H21" s="35" t="n">
        <v>1128801062000000</v>
      </c>
      <c r="I21" s="35" t="n">
        <v>1615763927000000</v>
      </c>
      <c r="J21" s="35" t="n">
        <v>316345493000000</v>
      </c>
      <c r="K21" s="35" t="n">
        <v>333203019000000</v>
      </c>
      <c r="L21" s="35" t="n">
        <v>343850297000000</v>
      </c>
      <c r="M21" s="35" t="n">
        <v>362361094000000</v>
      </c>
      <c r="N21" s="35" t="n">
        <v>1028819208000000</v>
      </c>
      <c r="O21" s="35" t="n">
        <v>1128801062000000</v>
      </c>
      <c r="P21" s="35" t="n">
        <v>1156917195000000</v>
      </c>
      <c r="Q21" s="35" t="n">
        <v>1289644328000000</v>
      </c>
      <c r="R21" s="35" t="n">
        <v>1328560306000000</v>
      </c>
      <c r="S21" s="35" t="n">
        <v>1615763927000000</v>
      </c>
      <c r="T21" s="35" t="n">
        <v>1611222764000000</v>
      </c>
      <c r="U21" s="35" t="n">
        <v>1733012662000000</v>
      </c>
    </row>
    <row r="22">
      <c r="A22" s="34" t="inlineStr">
        <is>
          <t>TỔNG NỢ PHẢI TRẢ</t>
        </is>
      </c>
      <c r="B22" s="35" t="n">
        <v>328152204000000</v>
      </c>
      <c r="C22" s="35" t="n">
        <v>371601761000000</v>
      </c>
      <c r="D22" s="35" t="n">
        <v>444882667000000</v>
      </c>
      <c r="E22" s="35" t="n">
        <v>544654396000000</v>
      </c>
      <c r="F22" s="35" t="n">
        <v>648919154000000</v>
      </c>
      <c r="G22" s="35" t="n">
        <v>848242481000000</v>
      </c>
      <c r="H22" s="35" t="n">
        <v>1011741481000000</v>
      </c>
      <c r="I22" s="35" t="n">
        <v>1473741402000000</v>
      </c>
      <c r="J22" s="35" t="n">
        <v>285315862000000</v>
      </c>
      <c r="K22" s="35" t="n">
        <v>301872094000000</v>
      </c>
      <c r="L22" s="35" t="n">
        <v>310642655000000</v>
      </c>
      <c r="M22" s="35" t="n">
        <v>328188236000000</v>
      </c>
      <c r="N22" s="35" t="n">
        <v>918796010000000</v>
      </c>
      <c r="O22" s="35" t="n">
        <v>1011741481000000</v>
      </c>
      <c r="P22" s="35" t="n">
        <v>1033240647000000</v>
      </c>
      <c r="Q22" s="35" t="n">
        <v>1161840678000000</v>
      </c>
      <c r="R22" s="35" t="n">
        <v>1195469561000000</v>
      </c>
      <c r="S22" s="35" t="n">
        <v>1473741402000000</v>
      </c>
      <c r="T22" s="35" t="n">
        <v>1461477439000000</v>
      </c>
      <c r="U22" s="35" t="n">
        <v>1576250018000000</v>
      </c>
    </row>
    <row r="23">
      <c r="A23" s="34" t="inlineStr">
        <is>
          <t>VỐN CHỦ SỞ HỮU</t>
        </is>
      </c>
      <c r="B23" s="35" t="n">
        <v>34172858000000</v>
      </c>
      <c r="C23" s="35" t="n">
        <v>39885814000000</v>
      </c>
      <c r="D23" s="35" t="n">
        <v>50099495000000</v>
      </c>
      <c r="E23" s="35" t="n">
        <v>62486023000000</v>
      </c>
      <c r="F23" s="35" t="n">
        <v>79613219000000</v>
      </c>
      <c r="G23" s="35" t="n">
        <v>96711159000000</v>
      </c>
      <c r="H23" s="35" t="n">
        <v>117059581000000</v>
      </c>
      <c r="I23" s="35" t="n">
        <v>142022525000000</v>
      </c>
      <c r="J23" s="35" t="n">
        <v>31029631000000</v>
      </c>
      <c r="K23" s="35" t="n">
        <v>31330925000000</v>
      </c>
      <c r="L23" s="35" t="n">
        <v>33207642000000</v>
      </c>
      <c r="M23" s="35" t="n">
        <v>34172858000000</v>
      </c>
      <c r="N23" s="35" t="n">
        <v>110023198000000</v>
      </c>
      <c r="O23" s="35" t="n">
        <v>117059581000000</v>
      </c>
      <c r="P23" s="35" t="n">
        <v>123676548000000</v>
      </c>
      <c r="Q23" s="35" t="n">
        <v>127803650000000</v>
      </c>
      <c r="R23" s="35" t="n">
        <v>133090745000000</v>
      </c>
      <c r="S23" s="35" t="n">
        <v>142022525000000</v>
      </c>
      <c r="T23" s="35" t="n">
        <v>149745325000000</v>
      </c>
      <c r="U23" s="35" t="n">
        <v>156762644000000</v>
      </c>
    </row>
    <row r="24">
      <c r="A24" s="34" t="inlineStr">
        <is>
          <t>Vốn điều lệ</t>
        </is>
      </c>
      <c r="B24" s="35" t="n">
        <v>21604514000000</v>
      </c>
      <c r="C24" s="35" t="n">
        <v>23727323000000</v>
      </c>
      <c r="D24" s="35" t="n">
        <v>27987569000000</v>
      </c>
      <c r="E24" s="35" t="n">
        <v>37783218000000</v>
      </c>
      <c r="F24" s="35" t="n">
        <v>45339861000000</v>
      </c>
      <c r="G24" s="35" t="n">
        <v>52140841000000</v>
      </c>
      <c r="H24" s="35" t="n">
        <v>53063241000000</v>
      </c>
      <c r="I24" s="35" t="n">
        <v>80549999000000</v>
      </c>
      <c r="J24" s="35" t="n">
        <v>18155054000000</v>
      </c>
      <c r="K24" s="35" t="n">
        <v>18155054000000</v>
      </c>
      <c r="L24" s="35" t="n">
        <v>21604514000000</v>
      </c>
      <c r="M24" s="35" t="n">
        <v>21604514000000</v>
      </c>
      <c r="N24" s="35" t="n">
        <v>52870841000000</v>
      </c>
      <c r="O24" s="35" t="n">
        <v>53063241000000</v>
      </c>
      <c r="P24" s="35" t="n">
        <v>61022727000000</v>
      </c>
      <c r="Q24" s="35" t="n">
        <v>61022727000000</v>
      </c>
      <c r="R24" s="35" t="n">
        <v>80549999000000</v>
      </c>
      <c r="S24" s="35" t="n">
        <v>80549999000000</v>
      </c>
      <c r="T24" s="35" t="n">
        <v>80549999000000</v>
      </c>
      <c r="U24" s="35" t="n">
        <v>80549999000000</v>
      </c>
    </row>
    <row r="25">
      <c r="A25" s="34" t="inlineStr">
        <is>
          <t>Thặng dư vốn cổ phần</t>
        </is>
      </c>
      <c r="B25" s="35" t="n">
        <v>0</v>
      </c>
      <c r="C25" s="35" t="n">
        <v>0</v>
      </c>
      <c r="D25" s="35" t="n">
        <v>1177563000000</v>
      </c>
      <c r="E25" s="35" t="n">
        <v>869327000000</v>
      </c>
      <c r="F25" s="35" t="n">
        <v>869327000000</v>
      </c>
      <c r="G25" s="35" t="n">
        <v>869327000000</v>
      </c>
      <c r="H25" s="35" t="n">
        <v>1304334000000</v>
      </c>
      <c r="I25" s="35" t="n">
        <v>1304334000000</v>
      </c>
      <c r="J25" s="35" t="n">
        <v>828197000000</v>
      </c>
      <c r="K25" s="35" t="n">
        <v>828197000000</v>
      </c>
      <c r="L25" s="35" t="n">
        <v>0</v>
      </c>
      <c r="M25" s="35" t="n">
        <v>0</v>
      </c>
      <c r="N25" s="35" t="n">
        <v>1304334000000</v>
      </c>
      <c r="O25" s="35" t="n">
        <v>1304334000000</v>
      </c>
      <c r="P25" s="35" t="n">
        <v>1304334000000</v>
      </c>
      <c r="Q25" s="35" t="n">
        <v>1304334000000</v>
      </c>
      <c r="R25" s="35" t="n">
        <v>1304334000000</v>
      </c>
      <c r="S25" s="35" t="n">
        <v>1304334000000</v>
      </c>
      <c r="T25" s="35" t="n">
        <v>1304334000000</v>
      </c>
      <c r="U25" s="35" t="n">
        <v>1304334000000</v>
      </c>
    </row>
    <row r="26">
      <c r="A26" s="34" t="inlineStr">
        <is>
          <t>Vốn khác</t>
        </is>
      </c>
      <c r="B26" s="35" t="n">
        <v>27834000000</v>
      </c>
      <c r="C26" s="35" t="n">
        <v>27834000000</v>
      </c>
      <c r="D26" s="35" t="n">
        <v>124945000000</v>
      </c>
      <c r="E26" s="35" t="n">
        <v>665811000000</v>
      </c>
      <c r="F26" s="35" t="n">
        <v>1387521000000</v>
      </c>
      <c r="G26" s="35" t="n">
        <v>1928258000000</v>
      </c>
      <c r="H26" s="35" t="n">
        <v>1928258000000</v>
      </c>
      <c r="I26" s="35" t="n">
        <v>2111211000000</v>
      </c>
      <c r="J26" s="35" t="n">
        <v>0</v>
      </c>
      <c r="K26" s="35" t="n">
        <v>0</v>
      </c>
      <c r="L26" s="35" t="n">
        <v>0</v>
      </c>
      <c r="M26" s="35" t="n">
        <v>27834000000</v>
      </c>
      <c r="N26" s="35" t="n">
        <v>1928258000000</v>
      </c>
      <c r="O26" s="35" t="n">
        <v>1928258000000</v>
      </c>
      <c r="P26" s="35" t="n">
        <v>1928258000000</v>
      </c>
      <c r="Q26" s="35" t="n">
        <v>1928354000000</v>
      </c>
      <c r="R26" s="35" t="n">
        <v>1996507000000</v>
      </c>
      <c r="S26" s="35" t="n">
        <v>2111211000000</v>
      </c>
      <c r="T26" s="35" t="n">
        <v>2111211000000</v>
      </c>
      <c r="U26" s="35" t="n">
        <v>2111211000000</v>
      </c>
    </row>
    <row r="27">
      <c r="A27" s="34" t="inlineStr">
        <is>
          <t>Cổ phiếu Quỹ</t>
        </is>
      </c>
      <c r="B27" s="35" t="n">
        <v>0</v>
      </c>
      <c r="C27" s="35" t="n">
        <v>-1036712000000</v>
      </c>
      <c r="D27" s="35" t="n">
        <v>-564397000000</v>
      </c>
      <c r="E27" s="35" t="n">
        <v>0</v>
      </c>
      <c r="F27" s="35" t="n">
        <v>0</v>
      </c>
      <c r="G27" s="35" t="n">
        <v>0</v>
      </c>
      <c r="H27" s="35" t="n">
        <v>0</v>
      </c>
      <c r="I27" s="35" t="n">
        <v>0</v>
      </c>
      <c r="J27" s="35" t="n">
        <v>0</v>
      </c>
      <c r="K27" s="35" t="n">
        <v>0</v>
      </c>
      <c r="L27" s="35" t="n">
        <v>0</v>
      </c>
      <c r="M27" s="35" t="n">
        <v>0</v>
      </c>
      <c r="N27" s="35" t="n">
        <v>0</v>
      </c>
      <c r="O27" s="35" t="n">
        <v>0</v>
      </c>
      <c r="P27" s="35" t="n">
        <v>0</v>
      </c>
      <c r="Q27" s="35" t="n">
        <v>0</v>
      </c>
      <c r="R27" s="35" t="n">
        <v>0</v>
      </c>
      <c r="S27" s="35" t="n">
        <v>0</v>
      </c>
      <c r="T27" s="35" t="n">
        <v>0</v>
      </c>
      <c r="U27" s="35" t="n">
        <v>0</v>
      </c>
    </row>
    <row r="28">
      <c r="A28" s="34" t="inlineStr">
        <is>
          <t>Chênh lệch đánh giá lại tài sản</t>
        </is>
      </c>
      <c r="B28" s="35" t="n">
        <v>0</v>
      </c>
      <c r="C28" s="35" t="n">
        <v>0</v>
      </c>
      <c r="D28" s="35" t="n">
        <v>0</v>
      </c>
      <c r="E28" s="35" t="n">
        <v>0</v>
      </c>
      <c r="F28" s="35" t="n">
        <v>0</v>
      </c>
      <c r="G28" s="35" t="n">
        <v>0</v>
      </c>
      <c r="H28" s="35" t="n">
        <v>0</v>
      </c>
      <c r="I28" s="35" t="n">
        <v>0</v>
      </c>
      <c r="J28" s="35" t="n">
        <v>0</v>
      </c>
      <c r="K28" s="35" t="n">
        <v>0</v>
      </c>
      <c r="L28" s="35" t="n">
        <v>0</v>
      </c>
      <c r="M28" s="35" t="n">
        <v>0</v>
      </c>
      <c r="N28" s="35" t="n">
        <v>0</v>
      </c>
      <c r="O28" s="35" t="n">
        <v>0</v>
      </c>
      <c r="P28" s="35" t="n">
        <v>0</v>
      </c>
      <c r="Q28" s="35" t="n">
        <v>0</v>
      </c>
      <c r="R28" s="35" t="n">
        <v>0</v>
      </c>
      <c r="S28" s="35" t="n">
        <v>0</v>
      </c>
      <c r="T28" s="35" t="n">
        <v>0</v>
      </c>
      <c r="U28" s="35" t="n">
        <v>0</v>
      </c>
    </row>
    <row r="29">
      <c r="A29" s="34" t="inlineStr">
        <is>
          <t>Chênh lệch tỷ giá hối đoái</t>
        </is>
      </c>
      <c r="B29" s="35" t="n">
        <v>0</v>
      </c>
      <c r="C29" s="35" t="n">
        <v>0</v>
      </c>
      <c r="D29" s="35" t="n">
        <v>0</v>
      </c>
      <c r="E29" s="35" t="n">
        <v>0</v>
      </c>
      <c r="F29" s="35" t="n">
        <v>0</v>
      </c>
      <c r="G29" s="35" t="n">
        <v>45939000000</v>
      </c>
      <c r="H29" s="35" t="n">
        <v>137797000000</v>
      </c>
      <c r="I29" s="35" t="n">
        <v>202211000000</v>
      </c>
      <c r="J29" s="35" t="n">
        <v>0</v>
      </c>
      <c r="K29" s="35" t="n">
        <v>0</v>
      </c>
      <c r="L29" s="35" t="n">
        <v>0</v>
      </c>
      <c r="M29" s="35" t="n">
        <v>0</v>
      </c>
      <c r="N29" s="35" t="n">
        <v>72723000000</v>
      </c>
      <c r="O29" s="35" t="n">
        <v>137797000000</v>
      </c>
      <c r="P29" s="35" t="n">
        <v>148911000000</v>
      </c>
      <c r="Q29" s="35" t="n">
        <v>188573000000</v>
      </c>
      <c r="R29" s="35" t="n">
        <v>206423000000</v>
      </c>
      <c r="S29" s="35" t="n">
        <v>202211000000</v>
      </c>
      <c r="T29" s="35" t="n">
        <v>205588000000</v>
      </c>
      <c r="U29" s="35" t="n">
        <v>202898000000</v>
      </c>
    </row>
    <row r="30">
      <c r="A30" s="34" t="inlineStr">
        <is>
          <t>Lợi nhuận chưa phân phối</t>
        </is>
      </c>
      <c r="B30" s="35" t="n">
        <v>7123671000000</v>
      </c>
      <c r="C30" s="35" t="n">
        <v>10342490000000</v>
      </c>
      <c r="D30" s="35" t="n">
        <v>12955988000000</v>
      </c>
      <c r="E30" s="35" t="n">
        <v>12915149000000</v>
      </c>
      <c r="F30" s="35" t="n">
        <v>19063767000000</v>
      </c>
      <c r="G30" s="35" t="n">
        <v>25559753000000</v>
      </c>
      <c r="H30" s="35" t="n">
        <v>40718224000000</v>
      </c>
      <c r="I30" s="35" t="n">
        <v>32577391000000</v>
      </c>
      <c r="J30" s="35" t="n">
        <v>6311447000000</v>
      </c>
      <c r="K30" s="35" t="n">
        <v>6671807000000</v>
      </c>
      <c r="L30" s="35" t="n">
        <v>5792385000000</v>
      </c>
      <c r="M30" s="35" t="n">
        <v>7123671000000</v>
      </c>
      <c r="N30" s="35" t="n">
        <v>34476533000000</v>
      </c>
      <c r="O30" s="35" t="n">
        <v>40718224000000</v>
      </c>
      <c r="P30" s="35" t="n">
        <v>39322902000000</v>
      </c>
      <c r="Q30" s="35" t="n">
        <v>38370327000000</v>
      </c>
      <c r="R30" s="35" t="n">
        <v>23859854000000</v>
      </c>
      <c r="S30" s="35" t="n">
        <v>32577391000000</v>
      </c>
      <c r="T30" s="35" t="n">
        <v>40061058000000</v>
      </c>
      <c r="U30" s="35" t="n">
        <v>40020849000000</v>
      </c>
    </row>
    <row r="31">
      <c r="A31" s="34" t="inlineStr">
        <is>
          <t>Lợi ích của cổ đông thiểu số (trước 2015)</t>
        </is>
      </c>
      <c r="B31" s="35" t="n">
        <v>0</v>
      </c>
      <c r="C31" s="35" t="n">
        <v>0</v>
      </c>
      <c r="D31" s="35" t="n">
        <v>0</v>
      </c>
      <c r="E31" s="35" t="n">
        <v>0</v>
      </c>
      <c r="F31" s="35" t="n">
        <v>0</v>
      </c>
      <c r="G31" s="35" t="n">
        <v>0</v>
      </c>
      <c r="H31" s="35" t="n">
        <v>0</v>
      </c>
      <c r="I31" s="35" t="n">
        <v>0</v>
      </c>
      <c r="J31" s="35" t="n">
        <v>0</v>
      </c>
      <c r="K31" s="35" t="n">
        <v>0</v>
      </c>
      <c r="L31" s="35" t="n">
        <v>0</v>
      </c>
      <c r="M31" s="35" t="n">
        <v>0</v>
      </c>
      <c r="N31" s="35" t="n">
        <v>0</v>
      </c>
      <c r="O31" s="35" t="n">
        <v>0</v>
      </c>
      <c r="P31" s="35" t="n">
        <v>0</v>
      </c>
      <c r="Q31" s="35" t="n">
        <v>0</v>
      </c>
      <c r="R31" s="35" t="n">
        <v>0</v>
      </c>
      <c r="S31" s="35" t="n">
        <v>0</v>
      </c>
      <c r="T31" s="35" t="n">
        <v>0</v>
      </c>
      <c r="U31" s="35" t="n">
        <v>0</v>
      </c>
    </row>
    <row r="32">
      <c r="A32" s="34" t="inlineStr">
        <is>
          <t>NỢ PHẢI TRẢ VÀ VỐN CHỦ SỞ HỮU</t>
        </is>
      </c>
      <c r="B32" s="35" t="n">
        <v>362325062000000</v>
      </c>
      <c r="C32" s="35" t="n">
        <v>411487575000000</v>
      </c>
      <c r="D32" s="35" t="n">
        <v>494982162000000</v>
      </c>
      <c r="E32" s="35" t="n">
        <v>607140419000000</v>
      </c>
      <c r="F32" s="35" t="n">
        <v>728532373000000</v>
      </c>
      <c r="G32" s="35" t="n">
        <v>944953640000000</v>
      </c>
      <c r="H32" s="35" t="n">
        <v>1128801062000000</v>
      </c>
      <c r="I32" s="35" t="n">
        <v>1615763927000000</v>
      </c>
      <c r="J32" s="35" t="n">
        <v>316345493000000</v>
      </c>
      <c r="K32" s="35" t="n">
        <v>333203019000000</v>
      </c>
      <c r="L32" s="35" t="n">
        <v>343850297000000</v>
      </c>
      <c r="M32" s="35" t="n">
        <v>362361094000000</v>
      </c>
      <c r="N32" s="35" t="n">
        <v>1028819208000000</v>
      </c>
      <c r="O32" s="35" t="n">
        <v>1128801062000000</v>
      </c>
      <c r="P32" s="35" t="n">
        <v>1156917195000000</v>
      </c>
      <c r="Q32" s="35" t="n">
        <v>1289644328000000</v>
      </c>
      <c r="R32" s="35" t="n">
        <v>1328560306000000</v>
      </c>
      <c r="S32" s="35" t="n">
        <v>1615763927000000</v>
      </c>
      <c r="T32" s="35" t="n">
        <v>1611222764000000</v>
      </c>
      <c r="U32" s="35" t="n">
        <v>1733012662000000</v>
      </c>
    </row>
    <row r="33">
      <c r="A33" s="34" t="inlineStr">
        <is>
          <t>Tiền gửi tại Ngân hàng nhà nước Việt Nam</t>
        </is>
      </c>
      <c r="B33" s="35" t="n">
        <v>10548084000000</v>
      </c>
      <c r="C33" s="35" t="n">
        <v>14347180000000</v>
      </c>
      <c r="D33" s="35" t="n">
        <v>17296506000000</v>
      </c>
      <c r="E33" s="35" t="n">
        <v>38051039000000</v>
      </c>
      <c r="F33" s="35" t="n">
        <v>39654541000000</v>
      </c>
      <c r="G33" s="35" t="n">
        <v>66321652000000</v>
      </c>
      <c r="H33" s="35" t="n">
        <v>29825253000000</v>
      </c>
      <c r="I33" s="35" t="n">
        <v>68494426000000</v>
      </c>
      <c r="J33" s="35" t="n">
        <v>4826686000000</v>
      </c>
      <c r="K33" s="35" t="n">
        <v>6866616000000</v>
      </c>
      <c r="L33" s="35" t="n">
        <v>8988483000000</v>
      </c>
      <c r="M33" s="35" t="n">
        <v>10548084000000</v>
      </c>
      <c r="N33" s="35" t="n">
        <v>10684041000000</v>
      </c>
      <c r="O33" s="35" t="n">
        <v>29825253000000</v>
      </c>
      <c r="P33" s="35" t="n">
        <v>15521984000000</v>
      </c>
      <c r="Q33" s="35" t="n">
        <v>15251535000000</v>
      </c>
      <c r="R33" s="35" t="n">
        <v>17507511000000</v>
      </c>
      <c r="S33" s="35" t="n">
        <v>68494426000000</v>
      </c>
      <c r="T33" s="35" t="n">
        <v>15156039000000</v>
      </c>
      <c r="U33" s="35" t="n">
        <v>27417370000000</v>
      </c>
    </row>
    <row r="34">
      <c r="A34" s="34" t="inlineStr">
        <is>
          <t>Tiền gửi tại các TCTD khác và cho vay các TCTD khác</t>
        </is>
      </c>
      <c r="B34" s="35" t="n">
        <v>45061628000000</v>
      </c>
      <c r="C34" s="35" t="n">
        <v>39691364000000</v>
      </c>
      <c r="D34" s="35" t="n">
        <v>47888802000000</v>
      </c>
      <c r="E34" s="35" t="n">
        <v>35983193000000</v>
      </c>
      <c r="F34" s="35" t="n">
        <v>32937210000000</v>
      </c>
      <c r="G34" s="35" t="n">
        <v>46343813000000</v>
      </c>
      <c r="H34" s="35" t="n">
        <v>76785622000000</v>
      </c>
      <c r="I34" s="35" t="n">
        <v>182923726000000</v>
      </c>
      <c r="J34" s="35" t="n">
        <v>37657981000000</v>
      </c>
      <c r="K34" s="35" t="n">
        <v>48793974000000</v>
      </c>
      <c r="L34" s="35" t="n">
        <v>44647498000000</v>
      </c>
      <c r="M34" s="35" t="n">
        <v>45061628000000</v>
      </c>
      <c r="N34" s="35" t="n">
        <v>77398096000000</v>
      </c>
      <c r="O34" s="35" t="n">
        <v>76785622000000</v>
      </c>
      <c r="P34" s="35" t="n">
        <v>64338554000000</v>
      </c>
      <c r="Q34" s="35" t="n">
        <v>96081337000000</v>
      </c>
      <c r="R34" s="35" t="n">
        <v>108324759000000</v>
      </c>
      <c r="S34" s="35" t="n">
        <v>182923726000000</v>
      </c>
      <c r="T34" s="35" t="n">
        <v>165297962000000</v>
      </c>
      <c r="U34" s="35" t="n">
        <v>174745578000000</v>
      </c>
    </row>
    <row r="35">
      <c r="A35" s="34" t="inlineStr">
        <is>
          <t>Chứng khoán kinh doanh</t>
        </is>
      </c>
      <c r="B35" s="35" t="n">
        <v>684035000000</v>
      </c>
      <c r="C35" s="35" t="n">
        <v>1196887000000</v>
      </c>
      <c r="D35" s="35" t="n">
        <v>3102030000000</v>
      </c>
      <c r="E35" s="35" t="n">
        <v>7582673000000</v>
      </c>
      <c r="F35" s="35" t="n">
        <v>4107470000000</v>
      </c>
      <c r="G35" s="35" t="n">
        <v>44251400000000</v>
      </c>
      <c r="H35" s="35" t="n">
        <v>7931834000000</v>
      </c>
      <c r="I35" s="35" t="n">
        <v>4692622000000</v>
      </c>
      <c r="J35" s="35" t="n">
        <v>3461998000000</v>
      </c>
      <c r="K35" s="35" t="n">
        <v>3604722000000</v>
      </c>
      <c r="L35" s="35" t="n">
        <v>953306000000</v>
      </c>
      <c r="M35" s="35" t="n">
        <v>684035000000</v>
      </c>
      <c r="N35" s="35" t="n">
        <v>14324151000000</v>
      </c>
      <c r="O35" s="35" t="n">
        <v>7931834000000</v>
      </c>
      <c r="P35" s="35" t="n">
        <v>12509220000000</v>
      </c>
      <c r="Q35" s="35" t="n">
        <v>4618286000000</v>
      </c>
      <c r="R35" s="35" t="n">
        <v>3195873000000</v>
      </c>
      <c r="S35" s="35" t="n">
        <v>4692622000000</v>
      </c>
      <c r="T35" s="35" t="n">
        <v>5093432000000</v>
      </c>
      <c r="U35" s="35" t="n">
        <v>8888529000000</v>
      </c>
    </row>
    <row r="36">
      <c r="A36" s="34" t="inlineStr">
        <is>
          <t>Chứng khoán kinh doanh</t>
        </is>
      </c>
      <c r="B36" s="35" t="n"/>
      <c r="C36" s="35" t="n"/>
      <c r="D36" s="35" t="n"/>
      <c r="E36" s="35" t="n"/>
      <c r="F36" s="35" t="n">
        <v>4107470000000</v>
      </c>
      <c r="G36" s="35" t="n">
        <v>44251400000000</v>
      </c>
      <c r="H36" s="35" t="n">
        <v>7931834000000</v>
      </c>
      <c r="I36" s="35" t="n">
        <v>4692622000000</v>
      </c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</row>
    <row r="37">
      <c r="A37" s="34" t="inlineStr">
        <is>
          <t>Dự phòng giảm giá chứng khoán kinh doanh</t>
        </is>
      </c>
      <c r="B37" s="35" t="n">
        <v>-106363000000</v>
      </c>
      <c r="C37" s="35" t="n">
        <v>-29078000000</v>
      </c>
      <c r="D37" s="35" t="n">
        <v>-16803000000</v>
      </c>
      <c r="E37" s="35" t="n">
        <v>-7399000000</v>
      </c>
      <c r="F37" s="35" t="n">
        <v>-1920000000</v>
      </c>
      <c r="G37" s="35" t="n">
        <v>-612000000</v>
      </c>
      <c r="H37" s="35" t="n">
        <v>-179000000</v>
      </c>
      <c r="I37" s="35" t="n">
        <v>-39393000000</v>
      </c>
      <c r="J37" s="35" t="n">
        <v>-51288000000</v>
      </c>
      <c r="K37" s="35" t="n">
        <v>-92015000000</v>
      </c>
      <c r="L37" s="35" t="n">
        <v>-48329000000</v>
      </c>
      <c r="M37" s="35" t="n">
        <v>-106363000000</v>
      </c>
      <c r="N37" s="35" t="n">
        <v>-209000000</v>
      </c>
      <c r="O37" s="35" t="n">
        <v>-179000000</v>
      </c>
      <c r="P37" s="35" t="n">
        <v>-27979000000</v>
      </c>
      <c r="Q37" s="35" t="n">
        <v>-32610000000</v>
      </c>
      <c r="R37" s="35" t="n">
        <v>-23700000000</v>
      </c>
      <c r="S37" s="35" t="n">
        <v>-39393000000</v>
      </c>
      <c r="T37" s="35" t="n">
        <v>-34663000000</v>
      </c>
      <c r="U37" s="35" t="n">
        <v>-35170000000</v>
      </c>
    </row>
    <row r="38">
      <c r="A38" s="34" t="inlineStr">
        <is>
          <t>Các công cụ tài chính phái sinh và các tài sản tài chính khác</t>
        </is>
      </c>
      <c r="B38" s="35" t="n">
        <v>0</v>
      </c>
      <c r="C38" s="35" t="n">
        <v>14836000000</v>
      </c>
      <c r="D38" s="35" t="n">
        <v>37106000000</v>
      </c>
      <c r="E38" s="35" t="n">
        <v>274294000000</v>
      </c>
      <c r="F38" s="35" t="n">
        <v>69503000000</v>
      </c>
      <c r="G38" s="35" t="n">
        <v>141294000000</v>
      </c>
      <c r="H38" s="35" t="n">
        <v>0</v>
      </c>
      <c r="I38" s="35" t="n">
        <v>0</v>
      </c>
      <c r="J38" s="35" t="n">
        <v>146897000000</v>
      </c>
      <c r="K38" s="35" t="n">
        <v>0</v>
      </c>
      <c r="L38" s="35" t="n">
        <v>0</v>
      </c>
      <c r="M38" s="35" t="n">
        <v>36032000000</v>
      </c>
      <c r="N38" s="35" t="n">
        <v>111681000000</v>
      </c>
      <c r="O38" s="35" t="n">
        <v>0</v>
      </c>
      <c r="P38" s="35" t="n">
        <v>0</v>
      </c>
      <c r="Q38" s="35" t="n">
        <v>0</v>
      </c>
      <c r="R38" s="35" t="n">
        <v>0</v>
      </c>
      <c r="S38" s="35" t="n">
        <v>0</v>
      </c>
      <c r="T38" s="35" t="n">
        <v>0</v>
      </c>
      <c r="U38" s="35" t="n">
        <v>0</v>
      </c>
    </row>
    <row r="39">
      <c r="A39" s="34" t="inlineStr">
        <is>
          <t>Cho vay khách hàng</t>
        </is>
      </c>
      <c r="B39" s="35" t="n">
        <v>214685958000000</v>
      </c>
      <c r="C39" s="35" t="n">
        <v>250330623000000</v>
      </c>
      <c r="D39" s="35" t="n">
        <v>298296983000000</v>
      </c>
      <c r="E39" s="35" t="n">
        <v>363554778000000</v>
      </c>
      <c r="F39" s="35" t="n">
        <v>460574482000000</v>
      </c>
      <c r="G39" s="35" t="n">
        <v>611048830000000</v>
      </c>
      <c r="H39" s="35" t="n">
        <v>776657846000000</v>
      </c>
      <c r="I39" s="35" t="n">
        <v>1084019370000000</v>
      </c>
      <c r="J39" s="35" t="n">
        <v>193745724000000</v>
      </c>
      <c r="K39" s="35" t="n">
        <v>204829117000000</v>
      </c>
      <c r="L39" s="35" t="n">
        <v>204884876000000</v>
      </c>
      <c r="M39" s="35" t="n">
        <v>214685958000000</v>
      </c>
      <c r="N39" s="35" t="n">
        <v>702019545000000</v>
      </c>
      <c r="O39" s="35" t="n">
        <v>776657846000000</v>
      </c>
      <c r="P39" s="35" t="n">
        <v>797536715000000</v>
      </c>
      <c r="Q39" s="35" t="n">
        <v>879888513000000</v>
      </c>
      <c r="R39" s="35" t="n">
        <v>931498596000000</v>
      </c>
      <c r="S39" s="35" t="n">
        <v>1084019370000000</v>
      </c>
      <c r="T39" s="35" t="n">
        <v>1120562481000000</v>
      </c>
      <c r="U39" s="35" t="n">
        <v>1227554477000000</v>
      </c>
    </row>
    <row r="40">
      <c r="A40" s="34" t="inlineStr">
        <is>
          <t>Cho vay khách hàng</t>
        </is>
      </c>
      <c r="B40" s="35" t="n"/>
      <c r="C40" s="35" t="n"/>
      <c r="D40" s="35" t="n"/>
      <c r="E40" s="35" t="n"/>
      <c r="F40" s="35" t="n">
        <v>460574482000000</v>
      </c>
      <c r="G40" s="35" t="n">
        <v>611048830000000</v>
      </c>
      <c r="H40" s="35" t="n">
        <v>776657846000000</v>
      </c>
      <c r="I40" s="35" t="n">
        <v>1084019370000000</v>
      </c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</row>
    <row r="41">
      <c r="A41" s="34" t="inlineStr">
        <is>
          <t>Dự phòng rủi ro cho vay khách hàng</t>
        </is>
      </c>
      <c r="B41" s="35" t="n">
        <v>-3211005000000</v>
      </c>
      <c r="C41" s="35" t="n">
        <v>-3200913000000</v>
      </c>
      <c r="D41" s="35" t="n">
        <v>-4354219000000</v>
      </c>
      <c r="E41" s="35" t="n">
        <v>-8757684000000</v>
      </c>
      <c r="F41" s="35" t="n">
        <v>-11975860000000</v>
      </c>
      <c r="G41" s="35" t="n">
        <v>-11469563000000</v>
      </c>
      <c r="H41" s="35" t="n">
        <v>-11609861000000</v>
      </c>
      <c r="I41" s="35" t="n">
        <v>-13150593000000</v>
      </c>
      <c r="J41" s="35" t="n">
        <v>-2483862000000</v>
      </c>
      <c r="K41" s="35" t="n">
        <v>-2801694000000</v>
      </c>
      <c r="L41" s="35" t="n">
        <v>-3409900000000</v>
      </c>
      <c r="M41" s="35" t="n">
        <v>-3211005000000</v>
      </c>
      <c r="N41" s="35" t="n">
        <v>-10786657000000</v>
      </c>
      <c r="O41" s="35" t="n">
        <v>-11609861000000</v>
      </c>
      <c r="P41" s="35" t="n">
        <v>-11049736000000</v>
      </c>
      <c r="Q41" s="35" t="n">
        <v>-12548304000000</v>
      </c>
      <c r="R41" s="35" t="n">
        <v>-13799595000000</v>
      </c>
      <c r="S41" s="35" t="n">
        <v>-13150593000000</v>
      </c>
      <c r="T41" s="35" t="n">
        <v>-14710330000000</v>
      </c>
      <c r="U41" s="35" t="n">
        <v>-16662881000000</v>
      </c>
    </row>
    <row r="42">
      <c r="A42" s="34" t="inlineStr">
        <is>
          <t>Chứng khoán đầu tư</t>
        </is>
      </c>
      <c r="B42" s="35" t="n">
        <v>73731314000000</v>
      </c>
      <c r="C42" s="35" t="n">
        <v>85628999000000</v>
      </c>
      <c r="D42" s="35" t="n">
        <v>99713646000000</v>
      </c>
      <c r="E42" s="35" t="n">
        <v>128806244000000</v>
      </c>
      <c r="F42" s="35" t="n">
        <v>159580028000000</v>
      </c>
      <c r="G42" s="35" t="n">
        <v>147923205000000</v>
      </c>
      <c r="H42" s="35" t="n">
        <v>209637377000000</v>
      </c>
      <c r="I42" s="35" t="n">
        <v>225574850000000</v>
      </c>
      <c r="J42" s="35" t="n">
        <v>51337599000000</v>
      </c>
      <c r="K42" s="35" t="n">
        <v>52503841000000</v>
      </c>
      <c r="L42" s="35" t="n">
        <v>64526475000000</v>
      </c>
      <c r="M42" s="35" t="n">
        <v>73833564000000</v>
      </c>
      <c r="N42" s="35" t="n">
        <v>197206164000000</v>
      </c>
      <c r="O42" s="35" t="n">
        <v>209637377000000</v>
      </c>
      <c r="P42" s="35" t="n">
        <v>240234807000000</v>
      </c>
      <c r="Q42" s="35" t="n">
        <v>262474257000000</v>
      </c>
      <c r="R42" s="35" t="n">
        <v>235603615000000</v>
      </c>
      <c r="S42" s="35" t="n">
        <v>225574850000000</v>
      </c>
      <c r="T42" s="35" t="n">
        <v>262829936000000</v>
      </c>
      <c r="U42" s="35" t="n">
        <v>247070731000000</v>
      </c>
    </row>
    <row r="43">
      <c r="A43" s="34" t="inlineStr">
        <is>
          <t>Chứng khoán đầu tư sẵn sàng để bán</t>
        </is>
      </c>
      <c r="B43" s="35" t="n">
        <v>70467404000000</v>
      </c>
      <c r="C43" s="35" t="n">
        <v>82723727000000</v>
      </c>
      <c r="D43" s="35" t="n">
        <v>96775364000000</v>
      </c>
      <c r="E43" s="35" t="n">
        <v>124551916000000</v>
      </c>
      <c r="F43" s="35" t="n">
        <v>154506192000000</v>
      </c>
      <c r="G43" s="35" t="n">
        <v>143010711000000</v>
      </c>
      <c r="H43" s="35" t="n">
        <v>205507956000000</v>
      </c>
      <c r="I43" s="35" t="n">
        <v>221512464000000</v>
      </c>
      <c r="J43" s="35" t="n">
        <v>47298022000000</v>
      </c>
      <c r="K43" s="35" t="n">
        <v>48725373000000</v>
      </c>
      <c r="L43" s="35" t="n">
        <v>58934176000000</v>
      </c>
      <c r="M43" s="35" t="n">
        <v>70687988000000</v>
      </c>
      <c r="N43" s="35" t="n">
        <v>192578792000000</v>
      </c>
      <c r="O43" s="35" t="n">
        <v>205507956000000</v>
      </c>
      <c r="P43" s="35" t="n">
        <v>236771888000000</v>
      </c>
      <c r="Q43" s="35" t="n">
        <v>258676335000000</v>
      </c>
      <c r="R43" s="35" t="n">
        <v>232242770000000</v>
      </c>
      <c r="S43" s="35" t="n">
        <v>221512464000000</v>
      </c>
      <c r="T43" s="35" t="n">
        <v>259054739000000</v>
      </c>
      <c r="U43" s="35" t="n">
        <v>242744694000000</v>
      </c>
    </row>
    <row r="44">
      <c r="A44" s="34" t="inlineStr">
        <is>
          <t>Chứng khoán đầu tư giữ đến ngày đáo hạn</t>
        </is>
      </c>
      <c r="B44" s="35" t="n">
        <v>3522144000000</v>
      </c>
      <c r="C44" s="35" t="n">
        <v>3196877000000</v>
      </c>
      <c r="D44" s="35" t="n">
        <v>3374241000000</v>
      </c>
      <c r="E44" s="35" t="n">
        <v>4677084000000</v>
      </c>
      <c r="F44" s="35" t="n">
        <v>5475361000000</v>
      </c>
      <c r="G44" s="35" t="n">
        <v>5387952000000</v>
      </c>
      <c r="H44" s="35" t="n">
        <v>4612504000000</v>
      </c>
      <c r="I44" s="35" t="n">
        <v>4295125000000</v>
      </c>
      <c r="J44" s="35" t="n">
        <v>4373482000000</v>
      </c>
      <c r="K44" s="35" t="n">
        <v>4157952000000</v>
      </c>
      <c r="L44" s="35" t="n">
        <v>6036833000000</v>
      </c>
      <c r="M44" s="35" t="n">
        <v>3522144000000</v>
      </c>
      <c r="N44" s="35" t="n">
        <v>5422262000000</v>
      </c>
      <c r="O44" s="35" t="n">
        <v>4612504000000</v>
      </c>
      <c r="P44" s="35" t="n">
        <v>3969626000000</v>
      </c>
      <c r="Q44" s="35" t="n">
        <v>4255592000000</v>
      </c>
      <c r="R44" s="35" t="n">
        <v>4467417000000</v>
      </c>
      <c r="S44" s="35" t="n">
        <v>4295125000000</v>
      </c>
      <c r="T44" s="35" t="n">
        <v>4336559000000</v>
      </c>
      <c r="U44" s="35" t="n">
        <v>4573649000000</v>
      </c>
    </row>
    <row r="45">
      <c r="A45" s="34" t="inlineStr">
        <is>
          <t>Dự phòng giảm giá chứng khoán đầu tư</t>
        </is>
      </c>
      <c r="B45" s="35" t="n">
        <v>-258234000000</v>
      </c>
      <c r="C45" s="35" t="n">
        <v>-291605000000</v>
      </c>
      <c r="D45" s="35" t="n">
        <v>-435959000000</v>
      </c>
      <c r="E45" s="35" t="n">
        <v>-422756000000</v>
      </c>
      <c r="F45" s="35" t="n">
        <v>-401525000000</v>
      </c>
      <c r="G45" s="35" t="n">
        <v>-475458000000</v>
      </c>
      <c r="H45" s="35" t="n">
        <v>-483083000000</v>
      </c>
      <c r="I45" s="35" t="n">
        <v>-232739000000</v>
      </c>
      <c r="J45" s="35" t="n">
        <v>-333905000000</v>
      </c>
      <c r="K45" s="35" t="n">
        <v>-379484000000</v>
      </c>
      <c r="L45" s="35" t="n">
        <v>-444534000000</v>
      </c>
      <c r="M45" s="35" t="n">
        <v>-376568000000</v>
      </c>
      <c r="N45" s="35" t="n">
        <v>-794890000000</v>
      </c>
      <c r="O45" s="35" t="n">
        <v>-483083000000</v>
      </c>
      <c r="P45" s="35" t="n">
        <v>-506707000000</v>
      </c>
      <c r="Q45" s="35" t="n">
        <v>-457670000000</v>
      </c>
      <c r="R45" s="35" t="n">
        <v>-1106572000000</v>
      </c>
      <c r="S45" s="35" t="n">
        <v>-232739000000</v>
      </c>
      <c r="T45" s="35" t="n">
        <v>-561362000000</v>
      </c>
      <c r="U45" s="35" t="n">
        <v>-247612000000</v>
      </c>
    </row>
    <row r="46">
      <c r="A46" s="34" t="inlineStr">
        <is>
          <t>Tài sản Có khác</t>
        </is>
      </c>
      <c r="B46" s="35" t="n">
        <v>2267608000000</v>
      </c>
      <c r="C46" s="35" t="n">
        <v>2475062000000</v>
      </c>
      <c r="D46" s="35" t="n">
        <v>2280224000000</v>
      </c>
      <c r="E46" s="35" t="n">
        <v>3961963000000</v>
      </c>
      <c r="F46" s="35" t="n">
        <v>6174673000000</v>
      </c>
      <c r="G46" s="35" t="n">
        <v>6406669000000</v>
      </c>
      <c r="H46" s="35" t="n">
        <v>5873749000000</v>
      </c>
      <c r="I46" s="35" t="n">
        <v>7894091000000</v>
      </c>
      <c r="J46" s="35" t="n">
        <v>1384752000000</v>
      </c>
      <c r="K46" s="35" t="n">
        <v>1379112000000</v>
      </c>
      <c r="L46" s="35" t="n">
        <v>1506635000000</v>
      </c>
      <c r="M46" s="35" t="n">
        <v>2396048000000</v>
      </c>
      <c r="N46" s="35" t="n">
        <v>6453634000000</v>
      </c>
      <c r="O46" s="35" t="n">
        <v>5873749000000</v>
      </c>
      <c r="P46" s="35" t="n">
        <v>5725812000000</v>
      </c>
      <c r="Q46" s="35" t="n">
        <v>6156656000000</v>
      </c>
      <c r="R46" s="35" t="n">
        <v>6040196000000</v>
      </c>
      <c r="S46" s="35" t="n">
        <v>7894091000000</v>
      </c>
      <c r="T46" s="35" t="n">
        <v>6622398000000</v>
      </c>
      <c r="U46" s="35" t="n">
        <v>8297454000000</v>
      </c>
    </row>
    <row r="47">
      <c r="A47" s="34" t="inlineStr">
        <is>
          <t>Các khoản nợ chính phủ và NHNN Việt Nam</t>
        </is>
      </c>
      <c r="B47" s="35" t="n">
        <v>2632894000000</v>
      </c>
      <c r="C47" s="35" t="n">
        <v>16836000000</v>
      </c>
      <c r="D47" s="35" t="n">
        <v>15383000000</v>
      </c>
      <c r="E47" s="35" t="n">
        <v>262281000000</v>
      </c>
      <c r="F47" s="35" t="n">
        <v>31788000000</v>
      </c>
      <c r="G47" s="35" t="n">
        <v>8738000000</v>
      </c>
      <c r="H47" s="35" t="n">
        <v>8156285000000</v>
      </c>
      <c r="I47" s="35" t="n">
        <v>47474800000000</v>
      </c>
      <c r="J47" s="35" t="n">
        <v>4435673000000</v>
      </c>
      <c r="K47" s="35" t="n">
        <v>2981880000000</v>
      </c>
      <c r="L47" s="35" t="n">
        <v>2078022000000</v>
      </c>
      <c r="M47" s="35" t="n">
        <v>2632894000000</v>
      </c>
      <c r="N47" s="35" t="n">
        <v>5046988000000</v>
      </c>
      <c r="O47" s="35" t="n">
        <v>8156285000000</v>
      </c>
      <c r="P47" s="35" t="n">
        <v>5494421000000</v>
      </c>
      <c r="Q47" s="35" t="n">
        <v>20894064000000</v>
      </c>
      <c r="R47" s="35" t="n">
        <v>23155328000000</v>
      </c>
      <c r="S47" s="35" t="n">
        <v>47474800000000</v>
      </c>
      <c r="T47" s="35" t="n">
        <v>28346499000000</v>
      </c>
      <c r="U47" s="35" t="n">
        <v>22574102000000</v>
      </c>
    </row>
    <row r="48">
      <c r="A48" s="34" t="inlineStr">
        <is>
          <t>Tiền gửi và vay các Tổ chức tín dụng khác</t>
        </is>
      </c>
      <c r="B48" s="35" t="n">
        <v>60470881000000</v>
      </c>
      <c r="C48" s="35" t="n">
        <v>50314052000000</v>
      </c>
      <c r="D48" s="35" t="n">
        <v>50876472000000</v>
      </c>
      <c r="E48" s="35" t="n">
        <v>59560384000000</v>
      </c>
      <c r="F48" s="35" t="n">
        <v>65116779000000</v>
      </c>
      <c r="G48" s="35" t="n">
        <v>99810466000000</v>
      </c>
      <c r="H48" s="35" t="n">
        <v>110169585000000</v>
      </c>
      <c r="I48" s="35" t="n">
        <v>248017489000000</v>
      </c>
      <c r="J48" s="35" t="n">
        <v>36415087000000</v>
      </c>
      <c r="K48" s="35" t="n">
        <v>46107597000000</v>
      </c>
      <c r="L48" s="35" t="n">
        <v>58694829000000</v>
      </c>
      <c r="M48" s="35" t="n">
        <v>60470881000000</v>
      </c>
      <c r="N48" s="35" t="n">
        <v>118559598000000</v>
      </c>
      <c r="O48" s="35" t="n">
        <v>110169585000000</v>
      </c>
      <c r="P48" s="35" t="n">
        <v>109015683000000</v>
      </c>
      <c r="Q48" s="35" t="n">
        <v>130930943000000</v>
      </c>
      <c r="R48" s="35" t="n">
        <v>154325370000000</v>
      </c>
      <c r="S48" s="35" t="n">
        <v>248017489000000</v>
      </c>
      <c r="T48" s="35" t="n">
        <v>256891475000000</v>
      </c>
      <c r="U48" s="35" t="n">
        <v>285608719000000</v>
      </c>
    </row>
    <row r="49">
      <c r="A49" s="34" t="inlineStr">
        <is>
          <t>Tiền gửi của khách hàng</t>
        </is>
      </c>
      <c r="B49" s="35" t="n">
        <v>239964318000000</v>
      </c>
      <c r="C49" s="35" t="n">
        <v>272709512000000</v>
      </c>
      <c r="D49" s="35" t="n">
        <v>310960354000000</v>
      </c>
      <c r="E49" s="35" t="n">
        <v>384692155000000</v>
      </c>
      <c r="F49" s="35" t="n">
        <v>443605638000000</v>
      </c>
      <c r="G49" s="35" t="n">
        <v>567532577000000</v>
      </c>
      <c r="H49" s="35" t="n">
        <v>714154479000000</v>
      </c>
      <c r="I49" s="35" t="n">
        <v>921368132000000</v>
      </c>
      <c r="J49" s="35" t="n">
        <v>227017855000000</v>
      </c>
      <c r="K49" s="35" t="n">
        <v>234796072000000</v>
      </c>
      <c r="L49" s="35" t="n">
        <v>232638438000000</v>
      </c>
      <c r="M49" s="35" t="n">
        <v>239964318000000</v>
      </c>
      <c r="N49" s="35" t="n">
        <v>627567353000000</v>
      </c>
      <c r="O49" s="35" t="n">
        <v>714154479000000</v>
      </c>
      <c r="P49" s="35" t="n">
        <v>722622450000000</v>
      </c>
      <c r="Q49" s="35" t="n">
        <v>783291908000000</v>
      </c>
      <c r="R49" s="35" t="n">
        <v>788030328000000</v>
      </c>
      <c r="S49" s="35" t="n">
        <v>921368132000000</v>
      </c>
      <c r="T49" s="35" t="n">
        <v>905918332000000</v>
      </c>
      <c r="U49" s="35" t="n">
        <v>963815357000000</v>
      </c>
    </row>
    <row r="50">
      <c r="A50" s="34" t="inlineStr">
        <is>
          <t>Các công cụ tài chính phái sinh và các khoản nợ tài chính khác</t>
        </is>
      </c>
      <c r="B50" s="35" t="n">
        <v>5634000000</v>
      </c>
      <c r="C50" s="35" t="n">
        <v>0</v>
      </c>
      <c r="D50" s="35" t="n">
        <v>0</v>
      </c>
      <c r="E50" s="35" t="n">
        <v>0</v>
      </c>
      <c r="F50" s="35" t="n">
        <v>0</v>
      </c>
      <c r="G50" s="35" t="n">
        <v>0</v>
      </c>
      <c r="H50" s="35" t="n">
        <v>191545000000</v>
      </c>
      <c r="I50" s="35" t="n">
        <v>698507000000</v>
      </c>
      <c r="J50" s="35" t="n">
        <v>0</v>
      </c>
      <c r="K50" s="35" t="n">
        <v>144000000</v>
      </c>
      <c r="L50" s="35" t="n">
        <v>11437000000</v>
      </c>
      <c r="M50" s="35" t="n">
        <v>41666000000</v>
      </c>
      <c r="N50" s="35" t="n">
        <v>0</v>
      </c>
      <c r="O50" s="35" t="n">
        <v>191545000000</v>
      </c>
      <c r="P50" s="35" t="n">
        <v>526143000000</v>
      </c>
      <c r="Q50" s="35" t="n">
        <v>842870000000</v>
      </c>
      <c r="R50" s="35" t="n">
        <v>1228245000000</v>
      </c>
      <c r="S50" s="35" t="n">
        <v>698507000000</v>
      </c>
      <c r="T50" s="35" t="n">
        <v>661326000000</v>
      </c>
      <c r="U50" s="35" t="n">
        <v>571389000000</v>
      </c>
    </row>
    <row r="51">
      <c r="A51" s="34" t="inlineStr">
        <is>
          <t>Vốn tài trợ, uỷ thác đầu tư của Chính phủ và các tổ chức tín dụng khác</t>
        </is>
      </c>
      <c r="B51" s="35" t="n">
        <v>319963000000</v>
      </c>
      <c r="C51" s="35" t="n">
        <v>302126000000</v>
      </c>
      <c r="D51" s="35" t="n">
        <v>207341000000</v>
      </c>
      <c r="E51" s="35" t="n">
        <v>1998703000000</v>
      </c>
      <c r="F51" s="35" t="n">
        <v>2002722000000</v>
      </c>
      <c r="G51" s="35" t="n">
        <v>2799863000000</v>
      </c>
      <c r="H51" s="35" t="n">
        <v>2793453000000</v>
      </c>
      <c r="I51" s="35" t="n">
        <v>3912833000000</v>
      </c>
      <c r="J51" s="35" t="n">
        <v>266287000000</v>
      </c>
      <c r="K51" s="35" t="n">
        <v>275621000000</v>
      </c>
      <c r="L51" s="35" t="n">
        <v>285402000000</v>
      </c>
      <c r="M51" s="35" t="n">
        <v>319963000000</v>
      </c>
      <c r="N51" s="35" t="n">
        <v>3351982000000</v>
      </c>
      <c r="O51" s="35" t="n">
        <v>2793453000000</v>
      </c>
      <c r="P51" s="35" t="n">
        <v>3003072000000</v>
      </c>
      <c r="Q51" s="35" t="n">
        <v>3282236000000</v>
      </c>
      <c r="R51" s="35" t="n">
        <v>4048717000000</v>
      </c>
      <c r="S51" s="35" t="n">
        <v>3912833000000</v>
      </c>
      <c r="T51" s="35" t="n">
        <v>3247015000000</v>
      </c>
      <c r="U51" s="35" t="n">
        <v>2287529000000</v>
      </c>
    </row>
    <row r="52">
      <c r="A52" s="34" t="inlineStr">
        <is>
          <t>Phát hành giấy tờ có giá</t>
        </is>
      </c>
      <c r="B52" s="35" t="n">
        <v>11157638000000</v>
      </c>
      <c r="C52" s="35" t="n">
        <v>26288629000000</v>
      </c>
      <c r="D52" s="35" t="n">
        <v>50923563000000</v>
      </c>
      <c r="E52" s="35" t="n">
        <v>66886924000000</v>
      </c>
      <c r="F52" s="35" t="n">
        <v>96578125000000</v>
      </c>
      <c r="G52" s="35" t="n">
        <v>126463110000000</v>
      </c>
      <c r="H52" s="35" t="n">
        <v>128964033000000</v>
      </c>
      <c r="I52" s="35" t="n">
        <v>187236104000000</v>
      </c>
      <c r="J52" s="35" t="n">
        <v>6124181000000</v>
      </c>
      <c r="K52" s="35" t="n">
        <v>6087975000000</v>
      </c>
      <c r="L52" s="35" t="n">
        <v>6094172000000</v>
      </c>
      <c r="M52" s="35" t="n">
        <v>11157638000000</v>
      </c>
      <c r="N52" s="35" t="n">
        <v>119550968000000</v>
      </c>
      <c r="O52" s="35" t="n">
        <v>128964033000000</v>
      </c>
      <c r="P52" s="35" t="n">
        <v>146597114000000</v>
      </c>
      <c r="Q52" s="35" t="n">
        <v>170267177000000</v>
      </c>
      <c r="R52" s="35" t="n">
        <v>171610852000000</v>
      </c>
      <c r="S52" s="35" t="n">
        <v>187236104000000</v>
      </c>
      <c r="T52" s="35" t="n">
        <v>208816453000000</v>
      </c>
      <c r="U52" s="35" t="n">
        <v>233503962000000</v>
      </c>
    </row>
    <row r="53">
      <c r="A53" s="34" t="inlineStr">
        <is>
          <t>Các khoản nợ khác</t>
        </is>
      </c>
      <c r="B53" s="35" t="n">
        <v>13600876000000</v>
      </c>
      <c r="C53" s="35" t="n">
        <v>21970606000000</v>
      </c>
      <c r="D53" s="35" t="n">
        <v>31899554000000</v>
      </c>
      <c r="E53" s="35" t="n">
        <v>31253949000000</v>
      </c>
      <c r="F53" s="35" t="n">
        <v>41584102000000</v>
      </c>
      <c r="G53" s="35" t="n">
        <v>51627727000000</v>
      </c>
      <c r="H53" s="35" t="n">
        <v>47312101000000</v>
      </c>
      <c r="I53" s="35" t="n">
        <v>65033537000000</v>
      </c>
      <c r="J53" s="35" t="n">
        <v>11056779000000</v>
      </c>
      <c r="K53" s="35" t="n">
        <v>11622805000000</v>
      </c>
      <c r="L53" s="35" t="n">
        <v>10840355000000</v>
      </c>
      <c r="M53" s="35" t="n">
        <v>13600876000000</v>
      </c>
      <c r="N53" s="35" t="n">
        <v>44719121000000</v>
      </c>
      <c r="O53" s="35" t="n">
        <v>47312101000000</v>
      </c>
      <c r="P53" s="35" t="n">
        <v>45981764000000</v>
      </c>
      <c r="Q53" s="35" t="n">
        <v>52331480000000</v>
      </c>
      <c r="R53" s="35" t="n">
        <v>53070721000000</v>
      </c>
      <c r="S53" s="35" t="n">
        <v>65033537000000</v>
      </c>
      <c r="T53" s="35" t="n">
        <v>57596339000000</v>
      </c>
      <c r="U53" s="35" t="n">
        <v>67888960000000</v>
      </c>
    </row>
    <row r="54">
      <c r="A54" s="34" t="inlineStr">
        <is>
          <t>Vốn của tổ chức tín dụng</t>
        </is>
      </c>
      <c r="B54" s="35" t="n">
        <v>21632348000000</v>
      </c>
      <c r="C54" s="35" t="n">
        <v>22718445000000</v>
      </c>
      <c r="D54" s="35" t="n">
        <v>28725680000000</v>
      </c>
      <c r="E54" s="35" t="n">
        <v>39318356000000</v>
      </c>
      <c r="F54" s="35" t="n">
        <v>47596709000000</v>
      </c>
      <c r="G54" s="35" t="n">
        <v>54938426000000</v>
      </c>
      <c r="H54" s="35" t="n">
        <v>56295833000000</v>
      </c>
      <c r="I54" s="35" t="n">
        <v>83965544000000</v>
      </c>
      <c r="J54" s="35" t="n">
        <v>18983251000000</v>
      </c>
      <c r="K54" s="35" t="n">
        <v>18983251000000</v>
      </c>
      <c r="L54" s="35" t="n">
        <v>21604514000000</v>
      </c>
      <c r="M54" s="35" t="n">
        <v>21632348000000</v>
      </c>
      <c r="N54" s="35" t="n">
        <v>56103433000000</v>
      </c>
      <c r="O54" s="35" t="n">
        <v>56295833000000</v>
      </c>
      <c r="P54" s="35" t="n">
        <v>64255319000000</v>
      </c>
      <c r="Q54" s="35" t="n">
        <v>64255415000000</v>
      </c>
      <c r="R54" s="35" t="n">
        <v>83850840000000</v>
      </c>
      <c r="S54" s="35" t="n">
        <v>83965544000000</v>
      </c>
      <c r="T54" s="35" t="n">
        <v>83965544000000</v>
      </c>
      <c r="U54" s="35" t="n">
        <v>83965544000000</v>
      </c>
    </row>
    <row r="55">
      <c r="A55" s="34" t="inlineStr">
        <is>
          <t>Vốn đầu tư XDCB</t>
        </is>
      </c>
      <c r="B55" s="35" t="n">
        <v>0</v>
      </c>
      <c r="C55" s="35" t="n">
        <v>0</v>
      </c>
      <c r="D55" s="35" t="n">
        <v>0</v>
      </c>
      <c r="E55" s="35" t="n">
        <v>0</v>
      </c>
      <c r="F55" s="35" t="n">
        <v>0</v>
      </c>
      <c r="G55" s="35" t="n">
        <v>0</v>
      </c>
      <c r="H55" s="35" t="n">
        <v>0</v>
      </c>
      <c r="I55" s="35" t="n">
        <v>0</v>
      </c>
      <c r="J55" s="35" t="n">
        <v>0</v>
      </c>
      <c r="K55" s="35" t="n">
        <v>0</v>
      </c>
      <c r="L55" s="35" t="n">
        <v>0</v>
      </c>
      <c r="M55" s="35" t="n">
        <v>0</v>
      </c>
      <c r="N55" s="35" t="n">
        <v>0</v>
      </c>
      <c r="O55" s="35" t="n">
        <v>0</v>
      </c>
      <c r="P55" s="35" t="n">
        <v>0</v>
      </c>
      <c r="Q55" s="35" t="n">
        <v>0</v>
      </c>
      <c r="R55" s="35" t="n">
        <v>0</v>
      </c>
      <c r="S55" s="35" t="n">
        <v>0</v>
      </c>
      <c r="T55" s="35" t="n">
        <v>0</v>
      </c>
      <c r="U55" s="35" t="n">
        <v>0</v>
      </c>
    </row>
    <row r="56">
      <c r="A56" s="34" t="inlineStr">
        <is>
          <t>Cổ phiếu ưu đãi</t>
        </is>
      </c>
      <c r="B56" s="35" t="n">
        <v>0</v>
      </c>
      <c r="C56" s="35" t="n">
        <v>0</v>
      </c>
      <c r="D56" s="35" t="n">
        <v>0</v>
      </c>
      <c r="E56" s="35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0</v>
      </c>
      <c r="O56" s="35" t="n">
        <v>0</v>
      </c>
      <c r="P56" s="35" t="n">
        <v>0</v>
      </c>
      <c r="Q56" s="35" t="n">
        <v>0</v>
      </c>
      <c r="R56" s="35" t="n">
        <v>0</v>
      </c>
      <c r="S56" s="35" t="n">
        <v>0</v>
      </c>
      <c r="T56" s="35" t="n">
        <v>0</v>
      </c>
      <c r="U56" s="35" t="n">
        <v>0</v>
      </c>
    </row>
    <row r="57">
      <c r="A57" s="34" t="inlineStr">
        <is>
          <t>Quỹ của tổ chức tín dụng</t>
        </is>
      </c>
      <c r="B57" s="35" t="n">
        <v>3887135000000</v>
      </c>
      <c r="C57" s="35" t="n">
        <v>4936914000000</v>
      </c>
      <c r="D57" s="35" t="n">
        <v>6224836000000</v>
      </c>
      <c r="E57" s="35" t="n">
        <v>7341330000000</v>
      </c>
      <c r="F57" s="35" t="n">
        <v>9288618000000</v>
      </c>
      <c r="G57" s="35" t="n">
        <v>12193931000000</v>
      </c>
      <c r="H57" s="35" t="n">
        <v>14996847000000</v>
      </c>
      <c r="I57" s="35" t="n">
        <v>19390884000000</v>
      </c>
      <c r="J57" s="35" t="n">
        <v>4162854000000</v>
      </c>
      <c r="K57" s="35" t="n">
        <v>4086992000000</v>
      </c>
      <c r="L57" s="35" t="n">
        <v>4046701000000</v>
      </c>
      <c r="M57" s="35" t="n">
        <v>3887135000000</v>
      </c>
      <c r="N57" s="35" t="n">
        <v>15149208000000</v>
      </c>
      <c r="O57" s="35" t="n">
        <v>14996847000000</v>
      </c>
      <c r="P57" s="35" t="n">
        <v>14856157000000</v>
      </c>
      <c r="Q57" s="35" t="n">
        <v>19829042000000</v>
      </c>
      <c r="R57" s="35" t="n">
        <v>19530424000000</v>
      </c>
      <c r="S57" s="35" t="n">
        <v>19390884000000</v>
      </c>
      <c r="T57" s="35" t="n">
        <v>19352028000000</v>
      </c>
      <c r="U57" s="35" t="n">
        <v>25147692000000</v>
      </c>
    </row>
    <row r="58">
      <c r="A58" s="34" t="inlineStr">
        <is>
          <t>Bảo lãnh khác</t>
        </is>
      </c>
      <c r="B58" s="35" t="n">
        <v>71203920000000</v>
      </c>
      <c r="C58" s="35" t="n">
        <v>76678646000000</v>
      </c>
      <c r="D58" s="35" t="n">
        <v>84636987000000</v>
      </c>
      <c r="E58" s="35" t="n">
        <v>102801455000000</v>
      </c>
      <c r="F58" s="35" t="n">
        <v>118000076000000</v>
      </c>
      <c r="G58" s="35" t="n">
        <v>121825142000000</v>
      </c>
      <c r="H58" s="35" t="n">
        <v>135649614000000</v>
      </c>
      <c r="I58" s="35" t="n">
        <v>190317517000000</v>
      </c>
      <c r="J58" s="35" t="n">
        <v>59677934000000</v>
      </c>
      <c r="K58" s="35" t="n">
        <v>61852391000000</v>
      </c>
      <c r="L58" s="35" t="n">
        <v>66331991000000</v>
      </c>
      <c r="M58" s="35" t="n">
        <v>71203920000000</v>
      </c>
      <c r="N58" s="35" t="n">
        <v>115383033000000</v>
      </c>
      <c r="O58" s="35" t="n">
        <v>135649614000000</v>
      </c>
      <c r="P58" s="35" t="n">
        <v>132304112000000</v>
      </c>
      <c r="Q58" s="35" t="n">
        <v>141800858000000</v>
      </c>
      <c r="R58" s="35" t="n">
        <v>147983441000000</v>
      </c>
      <c r="S58" s="35" t="n">
        <v>190317517000000</v>
      </c>
      <c r="T58" s="35" t="n">
        <v>186067393000000</v>
      </c>
      <c r="U58" s="35" t="n">
        <v>208475133000000</v>
      </c>
    </row>
    <row r="59">
      <c r="A59" s="34" t="inlineStr">
        <is>
          <t>Cam kết giao dịch hối đoái</t>
        </is>
      </c>
      <c r="B59" s="35" t="n">
        <v>0</v>
      </c>
      <c r="C59" s="35" t="n">
        <v>0</v>
      </c>
      <c r="D59" s="35" t="n">
        <v>0</v>
      </c>
      <c r="E59" s="35" t="n">
        <v>163039000000</v>
      </c>
      <c r="F59" s="35" t="n">
        <v>146170000000</v>
      </c>
      <c r="G59" s="35" t="n">
        <v>154358000000</v>
      </c>
      <c r="H59" s="35" t="n">
        <v>238395000000</v>
      </c>
      <c r="I59" s="35" t="n">
        <v>1684717000000</v>
      </c>
      <c r="J59" s="35" t="n">
        <v>52856000000</v>
      </c>
      <c r="K59" s="35" t="n">
        <v>0</v>
      </c>
      <c r="L59" s="35" t="n">
        <v>834848000000</v>
      </c>
      <c r="M59" s="35" t="n">
        <v>89264000000</v>
      </c>
      <c r="N59" s="35" t="n">
        <v>242178000000</v>
      </c>
      <c r="O59" s="35" t="n">
        <v>238395000000</v>
      </c>
      <c r="P59" s="35" t="n">
        <v>237595000000</v>
      </c>
      <c r="Q59" s="35" t="n">
        <v>1659555000000</v>
      </c>
      <c r="R59" s="35" t="n">
        <v>1660807000000</v>
      </c>
      <c r="S59" s="35" t="n">
        <v>1684717000000</v>
      </c>
      <c r="T59" s="35" t="n">
        <v>1681823000000</v>
      </c>
      <c r="U59" s="35" t="n">
        <v>1690753000000</v>
      </c>
    </row>
    <row r="60">
      <c r="A60" s="34" t="inlineStr">
        <is>
          <t>Cam kết mua ngoại tệ</t>
        </is>
      </c>
      <c r="B60" s="35" t="n">
        <v>9019360000000</v>
      </c>
      <c r="C60" s="35" t="n">
        <v>5949719000000</v>
      </c>
      <c r="D60" s="35" t="n">
        <v>765136000000</v>
      </c>
      <c r="E60" s="35" t="n">
        <v>1734746000000</v>
      </c>
      <c r="F60" s="35" t="n">
        <v>1462863000000</v>
      </c>
      <c r="G60" s="35" t="n">
        <v>1945064000000</v>
      </c>
      <c r="H60" s="35" t="n">
        <v>4416403000000</v>
      </c>
      <c r="I60" s="35" t="n">
        <v>9738358000000</v>
      </c>
      <c r="J60" s="35" t="n">
        <v>4715600000000</v>
      </c>
      <c r="K60" s="35" t="n">
        <v>6686621000000</v>
      </c>
      <c r="L60" s="35" t="n">
        <v>7242185000000</v>
      </c>
      <c r="M60" s="35" t="n">
        <v>9019360000000</v>
      </c>
      <c r="N60" s="35" t="n">
        <v>1440982000000</v>
      </c>
      <c r="O60" s="35" t="n">
        <v>4416403000000</v>
      </c>
      <c r="P60" s="35" t="n">
        <v>2647481000000</v>
      </c>
      <c r="Q60" s="35" t="n">
        <v>2161335000000</v>
      </c>
      <c r="R60" s="35" t="n">
        <v>1784842000000</v>
      </c>
      <c r="S60" s="35" t="n">
        <v>9738358000000</v>
      </c>
      <c r="T60" s="35" t="n">
        <v>1302737000000</v>
      </c>
      <c r="U60" s="35" t="n">
        <v>1292442000000</v>
      </c>
    </row>
    <row r="61">
      <c r="A61" s="34" t="inlineStr">
        <is>
          <t>Cam kết bán ngoại tệ</t>
        </is>
      </c>
      <c r="B61" s="35" t="n">
        <v>11102468000000</v>
      </c>
      <c r="C61" s="35" t="n">
        <v>6416536000000</v>
      </c>
      <c r="D61" s="35" t="n">
        <v>621915000000</v>
      </c>
      <c r="E61" s="35" t="n">
        <v>2196936000000</v>
      </c>
      <c r="F61" s="35" t="n">
        <v>1339219000000</v>
      </c>
      <c r="G61" s="35" t="n">
        <v>1423038000000</v>
      </c>
      <c r="H61" s="35" t="n">
        <v>4492239000000</v>
      </c>
      <c r="I61" s="35" t="n">
        <v>8752345000000</v>
      </c>
      <c r="J61" s="35" t="n">
        <v>11982897000000</v>
      </c>
      <c r="K61" s="35" t="n">
        <v>12078531000000</v>
      </c>
      <c r="L61" s="35" t="n">
        <v>10627616000000</v>
      </c>
      <c r="M61" s="35" t="n">
        <v>11102468000000</v>
      </c>
      <c r="N61" s="35" t="n">
        <v>1203550000000</v>
      </c>
      <c r="O61" s="35" t="n">
        <v>4492239000000</v>
      </c>
      <c r="P61" s="35" t="n">
        <v>2017937000000</v>
      </c>
      <c r="Q61" s="35" t="n">
        <v>1383768000000</v>
      </c>
      <c r="R61" s="35" t="n">
        <v>2610172000000</v>
      </c>
      <c r="S61" s="35" t="n">
        <v>8752345000000</v>
      </c>
      <c r="T61" s="35" t="n">
        <v>2160046000000</v>
      </c>
      <c r="U61" s="35" t="n">
        <v>759384000000</v>
      </c>
    </row>
    <row r="62">
      <c r="A62" s="34" t="inlineStr">
        <is>
          <t>Cam kết giao dịch hoán đổi</t>
        </is>
      </c>
      <c r="B62" s="35" t="n">
        <v>104553370000000</v>
      </c>
      <c r="C62" s="35" t="n">
        <v>143357209000000</v>
      </c>
      <c r="D62" s="35" t="n">
        <v>237449368000000</v>
      </c>
      <c r="E62" s="35" t="n">
        <v>244548126000000</v>
      </c>
      <c r="F62" s="35" t="n">
        <v>199858184000000</v>
      </c>
      <c r="G62" s="35" t="n">
        <v>391347692000000</v>
      </c>
      <c r="H62" s="35" t="n">
        <v>254224568000000</v>
      </c>
      <c r="I62" s="35" t="n">
        <v>600397724000000</v>
      </c>
      <c r="J62" s="35" t="n">
        <v>56115315000000</v>
      </c>
      <c r="K62" s="35" t="n">
        <v>52013756000000</v>
      </c>
      <c r="L62" s="35" t="n">
        <v>69298205000000</v>
      </c>
      <c r="M62" s="35" t="n">
        <v>104553370000000</v>
      </c>
      <c r="N62" s="35" t="n">
        <v>384138107000000</v>
      </c>
      <c r="O62" s="35" t="n">
        <v>254224568000000</v>
      </c>
      <c r="P62" s="35" t="n">
        <v>399965703000000</v>
      </c>
      <c r="Q62" s="35" t="n">
        <v>460263013000000</v>
      </c>
      <c r="R62" s="35" t="n">
        <v>330756697000000</v>
      </c>
      <c r="S62" s="35" t="n">
        <v>600397724000000</v>
      </c>
      <c r="T62" s="35" t="n">
        <v>720517547000000</v>
      </c>
      <c r="U62" s="35" t="n">
        <v>694989766000000</v>
      </c>
    </row>
    <row r="63">
      <c r="A63" s="34" t="inlineStr">
        <is>
          <t>Cam kết giao dịch tương lai</t>
        </is>
      </c>
      <c r="B63" s="35" t="n">
        <v>0</v>
      </c>
      <c r="C63" s="35" t="n">
        <v>0</v>
      </c>
      <c r="D63" s="35" t="n">
        <v>0</v>
      </c>
      <c r="E63" s="35" t="n">
        <v>0</v>
      </c>
      <c r="F63" s="35" t="n">
        <v>0</v>
      </c>
      <c r="G63" s="35" t="n">
        <v>0</v>
      </c>
      <c r="H63" s="35" t="n">
        <v>0</v>
      </c>
      <c r="I63" s="35" t="n">
        <v>0</v>
      </c>
      <c r="J63" s="35" t="n">
        <v>0</v>
      </c>
      <c r="K63" s="35" t="n">
        <v>0</v>
      </c>
      <c r="L63" s="35" t="n">
        <v>0</v>
      </c>
      <c r="M63" s="35" t="n">
        <v>0</v>
      </c>
      <c r="N63" s="35" t="n">
        <v>0</v>
      </c>
      <c r="O63" s="35" t="n">
        <v>0</v>
      </c>
      <c r="P63" s="35" t="n">
        <v>0</v>
      </c>
      <c r="Q63" s="35" t="n">
        <v>0</v>
      </c>
      <c r="R63" s="35" t="n">
        <v>0</v>
      </c>
      <c r="S63" s="35" t="n">
        <v>0</v>
      </c>
      <c r="T63" s="35" t="n">
        <v>0</v>
      </c>
      <c r="U63" s="35" t="n">
        <v>0</v>
      </c>
    </row>
    <row r="64">
      <c r="A64" s="34" t="inlineStr">
        <is>
          <t>Cam kết cho vay không hủy ngang</t>
        </is>
      </c>
      <c r="B64" s="35" t="n">
        <v>0</v>
      </c>
      <c r="C64" s="35" t="n">
        <v>0</v>
      </c>
      <c r="D64" s="35" t="n">
        <v>0</v>
      </c>
      <c r="E64" s="35" t="n">
        <v>0</v>
      </c>
      <c r="F64" s="35" t="n">
        <v>0</v>
      </c>
      <c r="G64" s="35" t="n">
        <v>0</v>
      </c>
      <c r="H64" s="35" t="n">
        <v>0</v>
      </c>
      <c r="I64" s="35" t="n">
        <v>0</v>
      </c>
      <c r="J64" s="35" t="n">
        <v>0</v>
      </c>
      <c r="K64" s="35" t="n">
        <v>0</v>
      </c>
      <c r="L64" s="35" t="n">
        <v>0</v>
      </c>
      <c r="M64" s="35" t="n">
        <v>0</v>
      </c>
      <c r="N64" s="35" t="n">
        <v>0</v>
      </c>
      <c r="O64" s="35" t="n">
        <v>0</v>
      </c>
      <c r="P64" s="35" t="n">
        <v>0</v>
      </c>
      <c r="Q64" s="35" t="n">
        <v>0</v>
      </c>
      <c r="R64" s="35" t="n">
        <v>0</v>
      </c>
      <c r="S64" s="35" t="n">
        <v>0</v>
      </c>
      <c r="T64" s="35" t="n">
        <v>0</v>
      </c>
      <c r="U64" s="35" t="n">
        <v>0</v>
      </c>
    </row>
    <row r="65">
      <c r="A65" s="34" t="inlineStr">
        <is>
          <t>Cam kết trong nghiệp vụ L/C</t>
        </is>
      </c>
      <c r="B65" s="35" t="n">
        <v>24623727000000</v>
      </c>
      <c r="C65" s="35" t="n">
        <v>21340471000000</v>
      </c>
      <c r="D65" s="35" t="n">
        <v>29182376000000</v>
      </c>
      <c r="E65" s="35" t="n">
        <v>34857504000000</v>
      </c>
      <c r="F65" s="35" t="n">
        <v>28829163000000</v>
      </c>
      <c r="G65" s="35" t="n">
        <v>23214316000000</v>
      </c>
      <c r="H65" s="35" t="n">
        <v>29138440000000</v>
      </c>
      <c r="I65" s="35" t="n">
        <v>59728018000000</v>
      </c>
      <c r="J65" s="35" t="n">
        <v>0</v>
      </c>
      <c r="K65" s="35" t="n">
        <v>27426439000000</v>
      </c>
      <c r="L65" s="35" t="n">
        <v>27046489000000</v>
      </c>
      <c r="M65" s="35" t="n">
        <v>24623727000000</v>
      </c>
      <c r="N65" s="35" t="n">
        <v>28616360000000</v>
      </c>
      <c r="O65" s="35" t="n">
        <v>29138440000000</v>
      </c>
      <c r="P65" s="35" t="n">
        <v>27851432000000</v>
      </c>
      <c r="Q65" s="35" t="n">
        <v>40189404000000</v>
      </c>
      <c r="R65" s="35" t="n">
        <v>48239630000000</v>
      </c>
      <c r="S65" s="35" t="n">
        <v>59728018000000</v>
      </c>
      <c r="T65" s="35" t="n">
        <v>71763365000000</v>
      </c>
      <c r="U65" s="35" t="n">
        <v>77029906000000</v>
      </c>
    </row>
    <row r="66">
      <c r="A66" s="34" t="inlineStr">
        <is>
          <t>Cam kết khác</t>
        </is>
      </c>
      <c r="B66" s="35" t="n">
        <v>20325895000000</v>
      </c>
      <c r="C66" s="35" t="n">
        <v>42304723000000</v>
      </c>
      <c r="D66" s="35" t="n">
        <v>72544232000000</v>
      </c>
      <c r="E66" s="35" t="n">
        <v>61205263000000</v>
      </c>
      <c r="F66" s="35" t="n">
        <v>50621181000000</v>
      </c>
      <c r="G66" s="35" t="n">
        <v>81444110000000</v>
      </c>
      <c r="H66" s="35" t="n">
        <v>72142229000000</v>
      </c>
      <c r="I66" s="35" t="n">
        <v>127878633000000</v>
      </c>
      <c r="J66" s="35" t="n">
        <v>21355775000000</v>
      </c>
      <c r="K66" s="35" t="n">
        <v>19226390000000</v>
      </c>
      <c r="L66" s="35" t="n">
        <v>16444419000000</v>
      </c>
      <c r="M66" s="35" t="n">
        <v>20325895000000</v>
      </c>
      <c r="N66" s="35" t="n">
        <v>87041461000000</v>
      </c>
      <c r="O66" s="35" t="n">
        <v>72142229000000</v>
      </c>
      <c r="P66" s="35" t="n">
        <v>105315671000000</v>
      </c>
      <c r="Q66" s="35" t="n">
        <v>127321731000000</v>
      </c>
      <c r="R66" s="35" t="n">
        <v>77829142000000</v>
      </c>
      <c r="S66" s="35" t="n">
        <v>127878633000000</v>
      </c>
      <c r="T66" s="35" t="n">
        <v>117681586000000</v>
      </c>
      <c r="U66" s="35" t="n">
        <v>106250017000000</v>
      </c>
    </row>
    <row r="67">
      <c r="A67" s="34" t="inlineStr">
        <is>
          <t>Lợi ích của cổ đông thiểu số</t>
        </is>
      </c>
      <c r="B67" s="35" t="n">
        <v>1529704000000</v>
      </c>
      <c r="C67" s="35" t="n">
        <v>1887965000000</v>
      </c>
      <c r="D67" s="35" t="n">
        <v>2192991000000</v>
      </c>
      <c r="E67" s="35" t="n">
        <v>2911188000000</v>
      </c>
      <c r="F67" s="35" t="n">
        <v>3664125000000</v>
      </c>
      <c r="G67" s="35" t="n">
        <v>3973110000000</v>
      </c>
      <c r="H67" s="35" t="n">
        <v>4910880000000</v>
      </c>
      <c r="I67" s="35" t="n">
        <v>5886495000000</v>
      </c>
      <c r="J67" s="35" t="n">
        <v>1572079000000</v>
      </c>
      <c r="K67" s="35" t="n">
        <v>1588875000000</v>
      </c>
      <c r="L67" s="35" t="n">
        <v>1764042000000</v>
      </c>
      <c r="M67" s="35" t="n">
        <v>1529704000000</v>
      </c>
      <c r="N67" s="35" t="n">
        <v>4221301000000</v>
      </c>
      <c r="O67" s="35" t="n">
        <v>4910880000000</v>
      </c>
      <c r="P67" s="35" t="n">
        <v>5093259000000</v>
      </c>
      <c r="Q67" s="35" t="n">
        <v>5160293000000</v>
      </c>
      <c r="R67" s="35" t="n">
        <v>5643204000000</v>
      </c>
      <c r="S67" s="35" t="n">
        <v>5886495000000</v>
      </c>
      <c r="T67" s="35" t="n">
        <v>6161107000000</v>
      </c>
      <c r="U67" s="35" t="n">
        <v>7425661000000</v>
      </c>
    </row>
    <row r="68">
      <c r="A68" s="34" t="inlineStr">
        <is>
          <t>Tiền gửi tại các TCTD khác</t>
        </is>
      </c>
      <c r="B68" s="35" t="n">
        <v>35363429000000</v>
      </c>
      <c r="C68" s="35" t="n">
        <v>29338805000000</v>
      </c>
      <c r="D68" s="35" t="n">
        <v>41939499000000</v>
      </c>
      <c r="E68" s="35" t="n">
        <v>24155189000000</v>
      </c>
      <c r="F68" s="35" t="n">
        <v>24835507000000</v>
      </c>
      <c r="G68" s="35" t="n">
        <v>39119633000000</v>
      </c>
      <c r="H68" s="35" t="n">
        <v>63887837000000</v>
      </c>
      <c r="I68" s="35" t="n">
        <v>165819028000000</v>
      </c>
      <c r="J68" s="35" t="n">
        <v>27685161000000</v>
      </c>
      <c r="K68" s="35" t="n">
        <v>33047639000000</v>
      </c>
      <c r="L68" s="35" t="n">
        <v>30622575000000</v>
      </c>
      <c r="M68" s="35" t="n">
        <v>35363429000000</v>
      </c>
      <c r="N68" s="35" t="n">
        <v>63104122000000</v>
      </c>
      <c r="O68" s="35" t="n">
        <v>63887837000000</v>
      </c>
      <c r="P68" s="35" t="n">
        <v>53258553000000</v>
      </c>
      <c r="Q68" s="35" t="n">
        <v>83374784000000</v>
      </c>
      <c r="R68" s="35" t="n">
        <v>93652060000000</v>
      </c>
      <c r="S68" s="35" t="n">
        <v>165819028000000</v>
      </c>
      <c r="T68" s="35" t="n">
        <v>149138239000000</v>
      </c>
      <c r="U68" s="35" t="n">
        <v>154948823000000</v>
      </c>
    </row>
    <row r="69">
      <c r="A69" s="34" t="inlineStr">
        <is>
          <t>Cho vay các TCTD khác</t>
        </is>
      </c>
      <c r="B69" s="35" t="n">
        <v>9894199000000</v>
      </c>
      <c r="C69" s="35" t="n">
        <v>10548559000000</v>
      </c>
      <c r="D69" s="35" t="n">
        <v>5949303000000</v>
      </c>
      <c r="E69" s="35" t="n">
        <v>11908860000000</v>
      </c>
      <c r="F69" s="35" t="n">
        <v>8102398000000</v>
      </c>
      <c r="G69" s="35" t="n">
        <v>7229607000000</v>
      </c>
      <c r="H69" s="35" t="n">
        <v>12903651000000</v>
      </c>
      <c r="I69" s="35" t="n">
        <v>17113794000000</v>
      </c>
      <c r="J69" s="35" t="n">
        <v>10168820000000</v>
      </c>
      <c r="K69" s="35" t="n">
        <v>15942335000000</v>
      </c>
      <c r="L69" s="35" t="n">
        <v>14220923000000</v>
      </c>
      <c r="M69" s="35" t="n">
        <v>9894199000000</v>
      </c>
      <c r="N69" s="35" t="n">
        <v>14299814000000</v>
      </c>
      <c r="O69" s="35" t="n">
        <v>12903651000000</v>
      </c>
      <c r="P69" s="35" t="n">
        <v>11085993000000</v>
      </c>
      <c r="Q69" s="35" t="n">
        <v>12714396000000</v>
      </c>
      <c r="R69" s="35" t="n">
        <v>14681089000000</v>
      </c>
      <c r="S69" s="35" t="n">
        <v>17113794000000</v>
      </c>
      <c r="T69" s="35" t="n">
        <v>16170508000000</v>
      </c>
      <c r="U69" s="35" t="n">
        <v>19808571000000</v>
      </c>
    </row>
    <row r="70">
      <c r="A70" s="34" t="inlineStr">
        <is>
          <t>Dự phòng rủi ro</t>
        </is>
      </c>
      <c r="B70" s="35" t="n">
        <v>-196000000000</v>
      </c>
      <c r="C70" s="35" t="n">
        <v>-196000000000</v>
      </c>
      <c r="D70" s="35" t="n">
        <v>0</v>
      </c>
      <c r="E70" s="35" t="n">
        <v>-80856000000</v>
      </c>
      <c r="F70" s="35" t="n">
        <v>-695000000</v>
      </c>
      <c r="G70" s="35" t="n">
        <v>-5427000000</v>
      </c>
      <c r="H70" s="35" t="n">
        <v>-5866000000</v>
      </c>
      <c r="I70" s="35" t="n">
        <v>-9096000000</v>
      </c>
      <c r="J70" s="35" t="n">
        <v>-196000000000</v>
      </c>
      <c r="K70" s="35" t="n">
        <v>-196000000000</v>
      </c>
      <c r="L70" s="35" t="n">
        <v>-196000000000</v>
      </c>
      <c r="M70" s="35" t="n">
        <v>-196000000000</v>
      </c>
      <c r="N70" s="35" t="n">
        <v>-5840000000</v>
      </c>
      <c r="O70" s="35" t="n">
        <v>-5866000000</v>
      </c>
      <c r="P70" s="35" t="n">
        <v>-5992000000</v>
      </c>
      <c r="Q70" s="35" t="n">
        <v>-7843000000</v>
      </c>
      <c r="R70" s="35" t="n">
        <v>-8390000000</v>
      </c>
      <c r="S70" s="35" t="n">
        <v>-9096000000</v>
      </c>
      <c r="T70" s="35" t="n">
        <v>-10785000000</v>
      </c>
      <c r="U70" s="35" t="n">
        <v>-11816000000</v>
      </c>
    </row>
    <row r="71">
      <c r="A71" s="34" t="inlineStr">
        <is>
          <t>Hoạt động mua nợ</t>
        </is>
      </c>
      <c r="B71" s="35" t="n">
        <v>0</v>
      </c>
      <c r="C71" s="35" t="n">
        <v>0</v>
      </c>
      <c r="D71" s="35" t="n">
        <v>0</v>
      </c>
      <c r="E71" s="35" t="n">
        <v>1766000000</v>
      </c>
      <c r="F71" s="35" t="n">
        <v>1006733000000</v>
      </c>
      <c r="G71" s="35" t="n">
        <v>1789868000000</v>
      </c>
      <c r="H71" s="35" t="n">
        <v>951509000000</v>
      </c>
      <c r="I71" s="35" t="n">
        <v>2443895000000</v>
      </c>
      <c r="J71" s="35" t="n">
        <v>0</v>
      </c>
      <c r="K71" s="35" t="n">
        <v>0</v>
      </c>
      <c r="L71" s="35" t="n">
        <v>0</v>
      </c>
      <c r="M71" s="35" t="n">
        <v>0</v>
      </c>
      <c r="N71" s="35" t="n">
        <v>1168180000000</v>
      </c>
      <c r="O71" s="35" t="n">
        <v>951509000000</v>
      </c>
      <c r="P71" s="35" t="n">
        <v>466382000000</v>
      </c>
      <c r="Q71" s="35" t="n">
        <v>2589022000000</v>
      </c>
      <c r="R71" s="35" t="n">
        <v>2476050000000</v>
      </c>
      <c r="S71" s="35" t="n">
        <v>2443895000000</v>
      </c>
      <c r="T71" s="35" t="n">
        <v>2264075000000</v>
      </c>
      <c r="U71" s="35" t="n">
        <v>2226067000000</v>
      </c>
    </row>
    <row r="72">
      <c r="A72" s="34" t="inlineStr">
        <is>
          <t>Mua nợ</t>
        </is>
      </c>
      <c r="B72" s="35" t="n">
        <v>0</v>
      </c>
      <c r="C72" s="35" t="n">
        <v>0</v>
      </c>
      <c r="D72" s="35" t="n">
        <v>0</v>
      </c>
      <c r="E72" s="35" t="n">
        <v>3585000000</v>
      </c>
      <c r="F72" s="35" t="n">
        <v>1019898000000</v>
      </c>
      <c r="G72" s="35" t="n">
        <v>1848863000000</v>
      </c>
      <c r="H72" s="35" t="n">
        <v>1041362000000</v>
      </c>
      <c r="I72" s="35" t="n">
        <v>2465314000000</v>
      </c>
      <c r="J72" s="35" t="n">
        <v>0</v>
      </c>
      <c r="K72" s="35" t="n">
        <v>0</v>
      </c>
      <c r="L72" s="35" t="n">
        <v>0</v>
      </c>
      <c r="M72" s="35" t="n">
        <v>0</v>
      </c>
      <c r="N72" s="35" t="n">
        <v>1203428000000</v>
      </c>
      <c r="O72" s="35" t="n">
        <v>1041362000000</v>
      </c>
      <c r="P72" s="35" t="n">
        <v>523636000000</v>
      </c>
      <c r="Q72" s="35" t="n">
        <v>2660325000000</v>
      </c>
      <c r="R72" s="35" t="n">
        <v>2548681000000</v>
      </c>
      <c r="S72" s="35" t="n">
        <v>2465314000000</v>
      </c>
      <c r="T72" s="35" t="n">
        <v>2287269000000</v>
      </c>
      <c r="U72" s="35" t="n">
        <v>2247703000000</v>
      </c>
    </row>
    <row r="73">
      <c r="A73" s="34" t="inlineStr">
        <is>
          <t>Dự phòng rủi ro hoạt động mua nợ</t>
        </is>
      </c>
      <c r="B73" s="35" t="n">
        <v>0</v>
      </c>
      <c r="C73" s="35" t="n">
        <v>0</v>
      </c>
      <c r="D73" s="35" t="n">
        <v>0</v>
      </c>
      <c r="E73" s="35" t="n">
        <v>-1819000000</v>
      </c>
      <c r="F73" s="35" t="n">
        <v>-13165000000</v>
      </c>
      <c r="G73" s="35" t="n">
        <v>-58995000000</v>
      </c>
      <c r="H73" s="35" t="n">
        <v>-89853000000</v>
      </c>
      <c r="I73" s="35" t="n">
        <v>-21419000000</v>
      </c>
      <c r="J73" s="35" t="n">
        <v>0</v>
      </c>
      <c r="K73" s="35" t="n">
        <v>0</v>
      </c>
      <c r="L73" s="35" t="n">
        <v>0</v>
      </c>
      <c r="M73" s="35" t="n">
        <v>0</v>
      </c>
      <c r="N73" s="35" t="n">
        <v>-35248000000</v>
      </c>
      <c r="O73" s="35" t="n">
        <v>-89853000000</v>
      </c>
      <c r="P73" s="35" t="n">
        <v>-57254000000</v>
      </c>
      <c r="Q73" s="35" t="n">
        <v>-71303000000</v>
      </c>
      <c r="R73" s="35" t="n">
        <v>-72631000000</v>
      </c>
      <c r="S73" s="35" t="n">
        <v>-21419000000</v>
      </c>
      <c r="T73" s="35" t="n">
        <v>-23194000000</v>
      </c>
      <c r="U73" s="35" t="n">
        <v>-21636000000</v>
      </c>
    </row>
    <row r="74">
      <c r="A74" s="34" t="inlineStr">
        <is>
          <t>Các khoản phải thu</t>
        </is>
      </c>
      <c r="B74" s="35" t="n">
        <v>10325119000000</v>
      </c>
      <c r="C74" s="35" t="n">
        <v>11471145000000</v>
      </c>
      <c r="D74" s="35" t="n">
        <v>18445213000000</v>
      </c>
      <c r="E74" s="35" t="n">
        <v>23923205000000</v>
      </c>
      <c r="F74" s="35" t="n">
        <v>20160561000000</v>
      </c>
      <c r="G74" s="35" t="n">
        <v>14289084000000</v>
      </c>
      <c r="H74" s="35" t="n">
        <v>14360628000000</v>
      </c>
      <c r="I74" s="35" t="n">
        <v>28125764000000</v>
      </c>
      <c r="J74" s="35" t="n">
        <v>18644223000000</v>
      </c>
      <c r="K74" s="35" t="n">
        <v>10305563000000</v>
      </c>
      <c r="L74" s="35" t="n">
        <v>13553792000000</v>
      </c>
      <c r="M74" s="35" t="n">
        <v>10325119000000</v>
      </c>
      <c r="N74" s="35" t="n">
        <v>12019533000000</v>
      </c>
      <c r="O74" s="35" t="n">
        <v>14360628000000</v>
      </c>
      <c r="P74" s="35" t="n">
        <v>10917644000000</v>
      </c>
      <c r="Q74" s="35" t="n">
        <v>12561181000000</v>
      </c>
      <c r="R74" s="35" t="n">
        <v>15485596000000</v>
      </c>
      <c r="S74" s="35" t="n">
        <v>28125764000000</v>
      </c>
      <c r="T74" s="35" t="n">
        <v>20164815000000</v>
      </c>
      <c r="U74" s="35" t="n">
        <v>25431187000000</v>
      </c>
    </row>
    <row r="75">
      <c r="A75" s="34" t="inlineStr">
        <is>
          <t>Các khoản lãi và phí phải thu</t>
        </is>
      </c>
      <c r="B75" s="35" t="n">
        <v>3429433000000</v>
      </c>
      <c r="C75" s="35" t="n">
        <v>3771711000000</v>
      </c>
      <c r="D75" s="35" t="n">
        <v>3782321000000</v>
      </c>
      <c r="E75" s="35" t="n">
        <v>4599328000000</v>
      </c>
      <c r="F75" s="35" t="n">
        <v>6786414000000</v>
      </c>
      <c r="G75" s="35" t="n">
        <v>8668557000000</v>
      </c>
      <c r="H75" s="35" t="n">
        <v>8918622000000</v>
      </c>
      <c r="I75" s="35" t="n">
        <v>13549018000000</v>
      </c>
      <c r="J75" s="35" t="n">
        <v>2616003000000</v>
      </c>
      <c r="K75" s="35" t="n">
        <v>2882720000000</v>
      </c>
      <c r="L75" s="35" t="n">
        <v>3538265000000</v>
      </c>
      <c r="M75" s="35" t="n">
        <v>3429433000000</v>
      </c>
      <c r="N75" s="35" t="n">
        <v>8867350000000</v>
      </c>
      <c r="O75" s="35" t="n">
        <v>8918622000000</v>
      </c>
      <c r="P75" s="35" t="n">
        <v>10315953000000</v>
      </c>
      <c r="Q75" s="35" t="n">
        <v>11258139000000</v>
      </c>
      <c r="R75" s="35" t="n">
        <v>11433202000000</v>
      </c>
      <c r="S75" s="35" t="n">
        <v>13549018000000</v>
      </c>
      <c r="T75" s="35" t="n">
        <v>16082037000000</v>
      </c>
      <c r="U75" s="35" t="n">
        <v>16654128000000</v>
      </c>
    </row>
    <row r="76">
      <c r="A76" s="34" t="inlineStr">
        <is>
          <t>Tài sản thuế TNDN hoãn lại</t>
        </is>
      </c>
      <c r="B76" s="35" t="n">
        <v>15777000000</v>
      </c>
      <c r="C76" s="35" t="n">
        <v>3699000000</v>
      </c>
      <c r="D76" s="35" t="n">
        <v>3436000000</v>
      </c>
      <c r="E76" s="35" t="n">
        <v>537000000</v>
      </c>
      <c r="F76" s="35" t="n">
        <v>10986000000</v>
      </c>
      <c r="G76" s="35" t="n">
        <v>28710000000</v>
      </c>
      <c r="H76" s="35" t="n">
        <v>38912000000</v>
      </c>
      <c r="I76" s="35" t="n">
        <v>34339000000</v>
      </c>
      <c r="J76" s="35" t="n">
        <v>13168000000</v>
      </c>
      <c r="K76" s="35" t="n">
        <v>15659000000</v>
      </c>
      <c r="L76" s="35" t="n">
        <v>12002000000</v>
      </c>
      <c r="M76" s="35" t="n">
        <v>15777000000</v>
      </c>
      <c r="N76" s="35" t="n">
        <v>35062000000</v>
      </c>
      <c r="O76" s="35" t="n">
        <v>38912000000</v>
      </c>
      <c r="P76" s="35" t="n">
        <v>39278000000</v>
      </c>
      <c r="Q76" s="35" t="n">
        <v>38316000000</v>
      </c>
      <c r="R76" s="35" t="n">
        <v>41863000000</v>
      </c>
      <c r="S76" s="35" t="n">
        <v>34339000000</v>
      </c>
      <c r="T76" s="35" t="n">
        <v>37793000000</v>
      </c>
      <c r="U76" s="35" t="n">
        <v>44326000000</v>
      </c>
    </row>
    <row r="77">
      <c r="A77" s="34" t="inlineStr">
        <is>
          <t>Tài sản Có khác</t>
        </is>
      </c>
      <c r="B77" s="35" t="n"/>
      <c r="C77" s="35" t="n"/>
      <c r="D77" s="35" t="n"/>
      <c r="E77" s="35" t="n"/>
      <c r="F77" s="35" t="n">
        <v>6174673000000</v>
      </c>
      <c r="G77" s="35" t="n">
        <v>6406669000000</v>
      </c>
      <c r="H77" s="35" t="n">
        <v>5873749000000</v>
      </c>
      <c r="I77" s="35" t="n">
        <v>7894091000000</v>
      </c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</row>
    <row r="78">
      <c r="A78" s="34" t="inlineStr">
        <is>
          <t>Trong đó: Lợi thế thương mại</t>
        </is>
      </c>
      <c r="B78" s="35" t="n">
        <v>66658000000</v>
      </c>
      <c r="C78" s="35" t="n">
        <v>57135000000</v>
      </c>
      <c r="D78" s="35" t="n">
        <v>47613000000</v>
      </c>
      <c r="E78" s="35" t="n">
        <v>38090000000</v>
      </c>
      <c r="F78" s="35" t="n">
        <v>28568000000</v>
      </c>
      <c r="G78" s="35" t="n">
        <v>19045000000</v>
      </c>
      <c r="H78" s="35" t="n">
        <v>9523000000</v>
      </c>
      <c r="I78" s="35" t="n">
        <v>0</v>
      </c>
      <c r="J78" s="35" t="n">
        <v>65982000000</v>
      </c>
      <c r="K78" s="35" t="n">
        <v>66658000000</v>
      </c>
      <c r="L78" s="35" t="n">
        <v>66658000000</v>
      </c>
      <c r="M78" s="35" t="n">
        <v>66658000000</v>
      </c>
      <c r="N78" s="35" t="n">
        <v>9523000000</v>
      </c>
      <c r="O78" s="35" t="n">
        <v>9523000000</v>
      </c>
      <c r="P78" s="35" t="n">
        <v>0</v>
      </c>
      <c r="Q78" s="35" t="n">
        <v>0</v>
      </c>
      <c r="R78" s="35" t="n">
        <v>0</v>
      </c>
      <c r="S78" s="35" t="n">
        <v>0</v>
      </c>
      <c r="T78" s="35" t="n">
        <v>0</v>
      </c>
      <c r="U78" s="35" t="n">
        <v>0</v>
      </c>
    </row>
    <row r="79">
      <c r="A79" s="34" t="inlineStr">
        <is>
          <t>Các khoản dự phòng rủi ro cho các tài sản Có nội bảng khác</t>
        </is>
      </c>
      <c r="B79" s="35" t="n">
        <v>-301267000000</v>
      </c>
      <c r="C79" s="35" t="n">
        <v>-274123000000</v>
      </c>
      <c r="D79" s="35" t="n">
        <v>-46361000000</v>
      </c>
      <c r="E79" s="35" t="n">
        <v>-59513000000</v>
      </c>
      <c r="F79" s="35" t="n">
        <v>-231500000000</v>
      </c>
      <c r="G79" s="35" t="n">
        <v>-174926000000</v>
      </c>
      <c r="H79" s="35" t="n">
        <v>-193424000000</v>
      </c>
      <c r="I79" s="35" t="n">
        <v>-71730000000</v>
      </c>
      <c r="J79" s="35" t="n">
        <v>-904034000000</v>
      </c>
      <c r="K79" s="35" t="n">
        <v>-860014000000</v>
      </c>
      <c r="L79" s="35" t="n">
        <v>-692368000000</v>
      </c>
      <c r="M79" s="35" t="n">
        <v>-301267000000</v>
      </c>
      <c r="N79" s="35" t="n">
        <v>-153529000000</v>
      </c>
      <c r="O79" s="35" t="n">
        <v>-193424000000</v>
      </c>
      <c r="P79" s="35" t="n">
        <v>-146379000000</v>
      </c>
      <c r="Q79" s="35" t="n">
        <v>-101652000000</v>
      </c>
      <c r="R79" s="35" t="n">
        <v>-97963000000</v>
      </c>
      <c r="S79" s="35" t="n">
        <v>-71730000000</v>
      </c>
      <c r="T79" s="35" t="n">
        <v>-69380000000</v>
      </c>
      <c r="U79" s="35" t="n">
        <v>-73454000000</v>
      </c>
    </row>
    <row r="80">
      <c r="A80" s="34" t="inlineStr">
        <is>
          <t>Tiền gửi của các tổ chức tín dụng khác</t>
        </is>
      </c>
      <c r="B80" s="35" t="n">
        <v>40692932000000</v>
      </c>
      <c r="C80" s="35" t="n">
        <v>29550155000000</v>
      </c>
      <c r="D80" s="35" t="n">
        <v>24984148000000</v>
      </c>
      <c r="E80" s="35" t="n">
        <v>13870641000000</v>
      </c>
      <c r="F80" s="35" t="n">
        <v>33059306000000</v>
      </c>
      <c r="G80" s="35" t="n">
        <v>68812883000000</v>
      </c>
      <c r="H80" s="35" t="n">
        <v>79515610000000</v>
      </c>
      <c r="I80" s="35" t="n">
        <v>183635325000000</v>
      </c>
      <c r="J80" s="35" t="n">
        <v>28691852000000</v>
      </c>
      <c r="K80" s="35" t="n">
        <v>37500079000000</v>
      </c>
      <c r="L80" s="35" t="n">
        <v>43480340000000</v>
      </c>
      <c r="M80" s="35" t="n">
        <v>40692932000000</v>
      </c>
      <c r="N80" s="35" t="n">
        <v>83303955000000</v>
      </c>
      <c r="O80" s="35" t="n">
        <v>79515610000000</v>
      </c>
      <c r="P80" s="35" t="n">
        <v>75655540000000</v>
      </c>
      <c r="Q80" s="35" t="n">
        <v>101565518000000</v>
      </c>
      <c r="R80" s="35" t="n">
        <v>99386298000000</v>
      </c>
      <c r="S80" s="35" t="n">
        <v>183635325000000</v>
      </c>
      <c r="T80" s="35" t="n">
        <v>184168441000000</v>
      </c>
      <c r="U80" s="35" t="n">
        <v>186637834000000</v>
      </c>
    </row>
    <row r="81">
      <c r="A81" s="34" t="inlineStr">
        <is>
          <t>Vay các tổ chức tín dụng khác</t>
        </is>
      </c>
      <c r="B81" s="35" t="n">
        <v>19777949000000</v>
      </c>
      <c r="C81" s="35" t="n">
        <v>20763897000000</v>
      </c>
      <c r="D81" s="35" t="n">
        <v>25892324000000</v>
      </c>
      <c r="E81" s="35" t="n">
        <v>45689743000000</v>
      </c>
      <c r="F81" s="35" t="n">
        <v>32057473000000</v>
      </c>
      <c r="G81" s="35" t="n">
        <v>30997583000000</v>
      </c>
      <c r="H81" s="35" t="n">
        <v>30653975000000</v>
      </c>
      <c r="I81" s="35" t="n">
        <v>64382164000000</v>
      </c>
      <c r="J81" s="35" t="n">
        <v>7723235000000</v>
      </c>
      <c r="K81" s="35" t="n">
        <v>8607518000000</v>
      </c>
      <c r="L81" s="35" t="n">
        <v>15214489000000</v>
      </c>
      <c r="M81" s="35" t="n">
        <v>19777949000000</v>
      </c>
      <c r="N81" s="35" t="n">
        <v>35255643000000</v>
      </c>
      <c r="O81" s="35" t="n">
        <v>30653975000000</v>
      </c>
      <c r="P81" s="35" t="n">
        <v>33360143000000</v>
      </c>
      <c r="Q81" s="35" t="n">
        <v>29365425000000</v>
      </c>
      <c r="R81" s="35" t="n">
        <v>54939072000000</v>
      </c>
      <c r="S81" s="35" t="n">
        <v>64382164000000</v>
      </c>
      <c r="T81" s="35" t="n">
        <v>72723034000000</v>
      </c>
      <c r="U81" s="35" t="n">
        <v>98970885000000</v>
      </c>
    </row>
    <row r="82">
      <c r="A82" s="34" t="inlineStr">
        <is>
          <t>Các khoản lãi, phí phải trả</t>
        </is>
      </c>
      <c r="B82" s="35" t="n">
        <v>2821056000000</v>
      </c>
      <c r="C82" s="35" t="n">
        <v>4598544000000</v>
      </c>
      <c r="D82" s="35" t="n">
        <v>4765744000000</v>
      </c>
      <c r="E82" s="35" t="n">
        <v>5077890000000</v>
      </c>
      <c r="F82" s="35" t="n">
        <v>7688257000000</v>
      </c>
      <c r="G82" s="35" t="n">
        <v>13390191000000</v>
      </c>
      <c r="H82" s="35" t="n">
        <v>9899902000000</v>
      </c>
      <c r="I82" s="35" t="n">
        <v>13245868000000</v>
      </c>
      <c r="J82" s="35" t="n">
        <v>2703389000000</v>
      </c>
      <c r="K82" s="35" t="n">
        <v>2880361000000</v>
      </c>
      <c r="L82" s="35" t="n">
        <v>2899934000000</v>
      </c>
      <c r="M82" s="35" t="n">
        <v>2821056000000</v>
      </c>
      <c r="N82" s="35" t="n">
        <v>8824156000000</v>
      </c>
      <c r="O82" s="35" t="n">
        <v>9899902000000</v>
      </c>
      <c r="P82" s="35" t="n">
        <v>11305751000000</v>
      </c>
      <c r="Q82" s="35" t="n">
        <v>11038072000000</v>
      </c>
      <c r="R82" s="35" t="n">
        <v>10698135000000</v>
      </c>
      <c r="S82" s="35" t="n">
        <v>13245868000000</v>
      </c>
      <c r="T82" s="35" t="n">
        <v>16185467000000</v>
      </c>
      <c r="U82" s="35" t="n">
        <v>19237642000000</v>
      </c>
    </row>
    <row r="83">
      <c r="A83" s="34" t="inlineStr">
        <is>
          <t>Thuế TNDN hoãn lại phải trả</t>
        </is>
      </c>
      <c r="B83" s="35" t="n">
        <v>16656000000</v>
      </c>
      <c r="C83" s="35" t="n">
        <v>12097000000</v>
      </c>
      <c r="D83" s="35" t="n">
        <v>4651000000</v>
      </c>
      <c r="E83" s="35" t="n">
        <v>0</v>
      </c>
      <c r="F83" s="35" t="n">
        <v>0</v>
      </c>
      <c r="G83" s="35" t="n">
        <v>0</v>
      </c>
      <c r="H83" s="35" t="n">
        <v>0</v>
      </c>
      <c r="I83" s="35" t="n">
        <v>0</v>
      </c>
      <c r="J83" s="35" t="n">
        <v>0</v>
      </c>
      <c r="K83" s="35" t="n">
        <v>0</v>
      </c>
      <c r="L83" s="35" t="n">
        <v>0</v>
      </c>
      <c r="M83" s="35" t="n">
        <v>16656000000</v>
      </c>
      <c r="N83" s="35" t="n">
        <v>0</v>
      </c>
      <c r="O83" s="35" t="n">
        <v>0</v>
      </c>
      <c r="P83" s="35" t="n">
        <v>0</v>
      </c>
      <c r="Q83" s="35" t="n">
        <v>0</v>
      </c>
      <c r="R83" s="35" t="n">
        <v>0</v>
      </c>
      <c r="S83" s="35" t="n">
        <v>0</v>
      </c>
      <c r="T83" s="35" t="n">
        <v>0</v>
      </c>
      <c r="U83" s="35" t="n">
        <v>0</v>
      </c>
    </row>
    <row r="84">
      <c r="A84" s="34" t="inlineStr">
        <is>
          <t>Các khoản phải trả và công nợ khác</t>
        </is>
      </c>
      <c r="B84" s="35" t="n">
        <v>10763164000000</v>
      </c>
      <c r="C84" s="35" t="n">
        <v>17359965000000</v>
      </c>
      <c r="D84" s="35" t="n">
        <v>27129159000000</v>
      </c>
      <c r="E84" s="35" t="n">
        <v>26176059000000</v>
      </c>
      <c r="F84" s="35" t="n">
        <v>33895818000000</v>
      </c>
      <c r="G84" s="35" t="n">
        <v>38236542000000</v>
      </c>
      <c r="H84" s="35" t="n">
        <v>37411147000000</v>
      </c>
      <c r="I84" s="35" t="n">
        <v>51785481000000</v>
      </c>
      <c r="J84" s="35" t="n">
        <v>8353390000000</v>
      </c>
      <c r="K84" s="35" t="n">
        <v>8742444000000</v>
      </c>
      <c r="L84" s="35" t="n">
        <v>7940421000000</v>
      </c>
      <c r="M84" s="35" t="n">
        <v>10763164000000</v>
      </c>
      <c r="N84" s="35" t="n">
        <v>35893971000000</v>
      </c>
      <c r="O84" s="35" t="n">
        <v>37411147000000</v>
      </c>
      <c r="P84" s="35" t="n">
        <v>34674850000000</v>
      </c>
      <c r="Q84" s="35" t="n">
        <v>41292416000000</v>
      </c>
      <c r="R84" s="35" t="n">
        <v>42370965000000</v>
      </c>
      <c r="S84" s="35" t="n">
        <v>51785481000000</v>
      </c>
      <c r="T84" s="35" t="n">
        <v>41408552000000</v>
      </c>
      <c r="U84" s="35" t="n">
        <v>48645739000000</v>
      </c>
    </row>
    <row r="85">
      <c r="A85" s="34" t="inlineStr">
        <is>
          <t>Dự phòng rủi ro khác</t>
        </is>
      </c>
      <c r="B85" s="35" t="n">
        <v>0</v>
      </c>
      <c r="C85" s="35" t="n">
        <v>0</v>
      </c>
      <c r="D85" s="35" t="n">
        <v>0</v>
      </c>
      <c r="E85" s="35" t="n">
        <v>0</v>
      </c>
      <c r="F85" s="35" t="n">
        <v>27000000</v>
      </c>
      <c r="G85" s="35" t="n">
        <v>994000000</v>
      </c>
      <c r="H85" s="35" t="n">
        <v>1052000000</v>
      </c>
      <c r="I85" s="35" t="n">
        <v>2188000000</v>
      </c>
      <c r="J85" s="35" t="n">
        <v>0</v>
      </c>
      <c r="K85" s="35" t="n">
        <v>0</v>
      </c>
      <c r="L85" s="35" t="n">
        <v>0</v>
      </c>
      <c r="M85" s="35" t="n">
        <v>0</v>
      </c>
      <c r="N85" s="35" t="n">
        <v>994000000</v>
      </c>
      <c r="O85" s="35" t="n">
        <v>1052000000</v>
      </c>
      <c r="P85" s="35" t="n">
        <v>1163000000</v>
      </c>
      <c r="Q85" s="35" t="n">
        <v>992000000</v>
      </c>
      <c r="R85" s="35" t="n">
        <v>1621000000</v>
      </c>
      <c r="S85" s="35" t="n">
        <v>2188000000</v>
      </c>
      <c r="T85" s="35" t="n">
        <v>2320000000</v>
      </c>
      <c r="U85" s="35" t="n">
        <v>5579000000</v>
      </c>
    </row>
    <row r="86">
      <c r="A86" s="34" t="inlineStr">
        <is>
          <t>Vốn Góp liên doanh</t>
        </is>
      </c>
      <c r="B86" s="35" t="n">
        <v>0</v>
      </c>
      <c r="C86" s="35" t="n">
        <v>0</v>
      </c>
      <c r="D86" s="35" t="n">
        <v>0</v>
      </c>
      <c r="E86" s="35" t="n">
        <v>0</v>
      </c>
      <c r="F86" s="35" t="n">
        <v>0</v>
      </c>
      <c r="G86" s="35" t="n">
        <v>0</v>
      </c>
      <c r="H86" s="35" t="n">
        <v>0</v>
      </c>
      <c r="I86" s="35" t="n">
        <v>0</v>
      </c>
      <c r="J86" s="35" t="n">
        <v>0</v>
      </c>
      <c r="K86" s="35" t="n">
        <v>0</v>
      </c>
      <c r="L86" s="35" t="n">
        <v>0</v>
      </c>
      <c r="M86" s="35" t="n"/>
      <c r="N86" s="35" t="n">
        <v>0</v>
      </c>
      <c r="O86" s="35" t="n">
        <v>0</v>
      </c>
      <c r="P86" s="35" t="n">
        <v>0</v>
      </c>
      <c r="Q86" s="35" t="n">
        <v>0</v>
      </c>
      <c r="R86" s="35" t="n">
        <v>0</v>
      </c>
      <c r="S86" s="35" t="n">
        <v>0</v>
      </c>
      <c r="T86" s="35" t="n">
        <v>0</v>
      </c>
      <c r="U86" s="35" t="n">
        <v>0</v>
      </c>
    </row>
    <row r="87">
      <c r="A87" s="34" t="inlineStr">
        <is>
          <t>Đầu tư vào công ty liên kết</t>
        </is>
      </c>
      <c r="B87" s="35" t="n">
        <v>0</v>
      </c>
      <c r="C87" s="35" t="n">
        <v>0</v>
      </c>
      <c r="D87" s="35" t="n">
        <v>0</v>
      </c>
      <c r="E87" s="35" t="n">
        <v>0</v>
      </c>
      <c r="F87" s="35" t="n">
        <v>0</v>
      </c>
      <c r="G87" s="35" t="n">
        <v>0</v>
      </c>
      <c r="H87" s="35" t="n">
        <v>0</v>
      </c>
      <c r="I87" s="35" t="n">
        <v>0</v>
      </c>
      <c r="J87" s="35" t="n">
        <v>50061000000</v>
      </c>
      <c r="K87" s="35" t="n">
        <v>48293000000</v>
      </c>
      <c r="L87" s="35" t="n">
        <v>32856000000</v>
      </c>
      <c r="M87" s="35" t="n"/>
      <c r="N87" s="35" t="n">
        <v>0</v>
      </c>
      <c r="O87" s="35" t="n">
        <v>0</v>
      </c>
      <c r="P87" s="35" t="n">
        <v>0</v>
      </c>
      <c r="Q87" s="35" t="n">
        <v>0</v>
      </c>
      <c r="R87" s="35" t="n">
        <v>0</v>
      </c>
      <c r="S87" s="35" t="n">
        <v>0</v>
      </c>
      <c r="T87" s="35" t="n">
        <v>0</v>
      </c>
      <c r="U87" s="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21" customWidth="1" min="21" max="21"/>
  </cols>
  <sheetData>
    <row r="1">
      <c r="A1" s="32" t="inlineStr">
        <is>
          <t>item</t>
        </is>
      </c>
      <c r="B1" s="33" t="inlineStr">
        <is>
          <t>2018</t>
        </is>
      </c>
      <c r="C1" s="33" t="inlineStr">
        <is>
          <t>2019</t>
        </is>
      </c>
      <c r="D1" s="33" t="inlineStr">
        <is>
          <t>2020</t>
        </is>
      </c>
      <c r="E1" s="33" t="inlineStr">
        <is>
          <t>2021</t>
        </is>
      </c>
      <c r="F1" s="33" t="inlineStr">
        <is>
          <t>2022</t>
        </is>
      </c>
      <c r="G1" s="33" t="inlineStr">
        <is>
          <t>2023</t>
        </is>
      </c>
      <c r="H1" s="33" t="inlineStr">
        <is>
          <t>2024</t>
        </is>
      </c>
      <c r="I1" s="33" t="inlineStr">
        <is>
          <t>2025</t>
        </is>
      </c>
      <c r="J1" s="33" t="inlineStr">
        <is>
          <t>2018-Q1</t>
        </is>
      </c>
      <c r="K1" s="33" t="inlineStr">
        <is>
          <t>2018-Q2</t>
        </is>
      </c>
      <c r="L1" s="33" t="inlineStr">
        <is>
          <t>2018-Q3</t>
        </is>
      </c>
      <c r="M1" s="33" t="inlineStr">
        <is>
          <t>2018-Q4</t>
        </is>
      </c>
      <c r="N1" s="33" t="inlineStr">
        <is>
          <t>2024-Q3</t>
        </is>
      </c>
      <c r="O1" s="33" t="inlineStr">
        <is>
          <t>2024-Q4</t>
        </is>
      </c>
      <c r="P1" s="33" t="inlineStr">
        <is>
          <t>2025-Q1</t>
        </is>
      </c>
      <c r="Q1" s="33" t="inlineStr">
        <is>
          <t>2025-Q2</t>
        </is>
      </c>
      <c r="R1" s="33" t="inlineStr">
        <is>
          <t>2025-Q3</t>
        </is>
      </c>
      <c r="S1" s="33" t="inlineStr">
        <is>
          <t>2025-Q4</t>
        </is>
      </c>
      <c r="T1" s="33" t="inlineStr">
        <is>
          <t>2026-Q1</t>
        </is>
      </c>
      <c r="U1" s="33" t="inlineStr">
        <is>
          <t>2026-Q2</t>
        </is>
      </c>
    </row>
    <row r="2">
      <c r="A2" s="34" t="inlineStr">
        <is>
          <t>Tổng lợi nhuận/lỗ trước thuế</t>
        </is>
      </c>
      <c r="B2" s="35" t="n">
        <v>7767373000000</v>
      </c>
      <c r="C2" s="35" t="n">
        <v>10036119000000</v>
      </c>
      <c r="D2" s="35" t="n">
        <v>10688276000000</v>
      </c>
      <c r="E2" s="35" t="n">
        <v>16527259000000</v>
      </c>
      <c r="F2" s="35" t="n">
        <v>22729320000000</v>
      </c>
      <c r="G2" s="35" t="n">
        <v>26306089000000</v>
      </c>
      <c r="H2" s="35" t="n">
        <v>28829328000000</v>
      </c>
      <c r="I2" s="35" t="n">
        <v>34268358000000</v>
      </c>
      <c r="J2" s="35" t="n">
        <v>1918477000000</v>
      </c>
      <c r="K2" s="35" t="n">
        <v>1910987000000</v>
      </c>
      <c r="L2" s="35" t="n">
        <v>2185455000000</v>
      </c>
      <c r="M2" s="35" t="n">
        <v>1752454000000</v>
      </c>
      <c r="N2" s="35" t="n">
        <v>7307896000000</v>
      </c>
      <c r="O2" s="35" t="n">
        <v>8093120000000</v>
      </c>
      <c r="P2" s="35" t="n">
        <v>8386325000000</v>
      </c>
      <c r="Q2" s="35" t="n">
        <v>7502991000000</v>
      </c>
      <c r="R2" s="35" t="n">
        <v>7249920000000</v>
      </c>
      <c r="S2" s="35" t="n">
        <v>11129122000000</v>
      </c>
      <c r="T2" s="35" t="n">
        <v>9628386000000</v>
      </c>
      <c r="U2" s="35" t="n">
        <v>10559872000000</v>
      </c>
    </row>
    <row r="3">
      <c r="A3" s="34" t="inlineStr">
        <is>
          <t>Chi phí thuế TNDN hiện hành</t>
        </is>
      </c>
      <c r="B3" s="35" t="n">
        <v>-1575157000000</v>
      </c>
      <c r="C3" s="35" t="n">
        <v>-1959995000000</v>
      </c>
      <c r="D3" s="35" t="n">
        <v>-2089420000000</v>
      </c>
      <c r="E3" s="35" t="n">
        <v>-3307574000000</v>
      </c>
      <c r="F3" s="35" t="n">
        <v>-4582973000000</v>
      </c>
      <c r="G3" s="35" t="n">
        <v>-5269869000000</v>
      </c>
      <c r="H3" s="35" t="n">
        <v>-5888266000000</v>
      </c>
      <c r="I3" s="35" t="n">
        <v>-6876871000000</v>
      </c>
      <c r="J3" s="35" t="n">
        <v>-381333000000</v>
      </c>
      <c r="K3" s="35" t="n">
        <v>-422046000000</v>
      </c>
      <c r="L3" s="35" t="n">
        <v>-420755000000</v>
      </c>
      <c r="M3" s="35" t="n">
        <v>-351023000000</v>
      </c>
      <c r="N3" s="35" t="n">
        <v>-1465240000000</v>
      </c>
      <c r="O3" s="35" t="n">
        <v>-1715348000000</v>
      </c>
      <c r="P3" s="35" t="n">
        <v>-1708859000000</v>
      </c>
      <c r="Q3" s="35" t="n">
        <v>-1496624000000</v>
      </c>
      <c r="R3" s="35" t="n">
        <v>-1452742000000</v>
      </c>
      <c r="S3" s="35" t="n">
        <v>-2218646000000</v>
      </c>
      <c r="T3" s="35" t="n">
        <v>-1929120000000</v>
      </c>
      <c r="U3" s="35" t="n">
        <v>-2120910000000</v>
      </c>
    </row>
    <row r="4">
      <c r="A4" s="34" t="inlineStr">
        <is>
          <t>Chi phí thuế TNDN hoãn lại</t>
        </is>
      </c>
      <c r="B4" s="35" t="n">
        <v>-2315000000</v>
      </c>
      <c r="C4" s="35" t="n">
        <v>-7520000000</v>
      </c>
      <c r="D4" s="35" t="n">
        <v>7183000000</v>
      </c>
      <c r="E4" s="35" t="n">
        <v>1752000000</v>
      </c>
      <c r="F4" s="35" t="n">
        <v>8838000000</v>
      </c>
      <c r="G4" s="35" t="n">
        <v>17572000000</v>
      </c>
      <c r="H4" s="35" t="n">
        <v>10202000000</v>
      </c>
      <c r="I4" s="35" t="n">
        <v>-8509000000</v>
      </c>
      <c r="J4" s="35" t="n">
        <v>11732000000</v>
      </c>
      <c r="K4" s="35" t="n">
        <v>2491000000</v>
      </c>
      <c r="L4" s="35" t="n">
        <v>-3657000000</v>
      </c>
      <c r="M4" s="35" t="n">
        <v>-12881000000</v>
      </c>
      <c r="N4" s="35" t="n">
        <v>787000000</v>
      </c>
      <c r="O4" s="35" t="n">
        <v>3850000000</v>
      </c>
      <c r="P4" s="35" t="n">
        <v>-2587000000</v>
      </c>
      <c r="Q4" s="35" t="n">
        <v>-1661000000</v>
      </c>
      <c r="R4" s="35" t="n">
        <v>3263000000</v>
      </c>
      <c r="S4" s="35" t="n">
        <v>-7524000000</v>
      </c>
      <c r="T4" s="35" t="n">
        <v>3454000000</v>
      </c>
      <c r="U4" s="35" t="n">
        <v>6511000000</v>
      </c>
    </row>
    <row r="5">
      <c r="A5" s="34" t="inlineStr">
        <is>
          <t>Chi phí thuế thu nhập doanh nghiệp</t>
        </is>
      </c>
      <c r="B5" s="35" t="n">
        <v>-1577472000000</v>
      </c>
      <c r="C5" s="35" t="n">
        <v>-1967515000000</v>
      </c>
      <c r="D5" s="35" t="n">
        <v>-2082237000000</v>
      </c>
      <c r="E5" s="35" t="n">
        <v>-3305822000000</v>
      </c>
      <c r="F5" s="35" t="n">
        <v>-4574135000000</v>
      </c>
      <c r="G5" s="35" t="n">
        <v>-5252297000000</v>
      </c>
      <c r="H5" s="35" t="n">
        <v>-5878064000000</v>
      </c>
      <c r="I5" s="35" t="n">
        <v>-6885380000000</v>
      </c>
      <c r="J5" s="35" t="n">
        <v>-369601000000</v>
      </c>
      <c r="K5" s="35" t="n">
        <v>-419555000000</v>
      </c>
      <c r="L5" s="35" t="n">
        <v>-424412000000</v>
      </c>
      <c r="M5" s="35" t="n">
        <v>-363904000000</v>
      </c>
      <c r="N5" s="35" t="n">
        <v>-1464453000000</v>
      </c>
      <c r="O5" s="35" t="n">
        <v>-1711498000000</v>
      </c>
      <c r="P5" s="35" t="n">
        <v>-1711446000000</v>
      </c>
      <c r="Q5" s="35" t="n">
        <v>-1498285000000</v>
      </c>
      <c r="R5" s="35" t="n">
        <v>-1449479000000</v>
      </c>
      <c r="S5" s="35" t="n">
        <v>-2226170000000</v>
      </c>
      <c r="T5" s="35" t="n">
        <v>-1925666000000</v>
      </c>
      <c r="U5" s="35" t="n">
        <v>-2114399000000</v>
      </c>
    </row>
    <row r="6">
      <c r="A6" s="34" t="inlineStr">
        <is>
          <t>Lợi nhuận sau thuế</t>
        </is>
      </c>
      <c r="B6" s="35" t="n">
        <v>6189901000000</v>
      </c>
      <c r="C6" s="35" t="n">
        <v>8068604000000</v>
      </c>
      <c r="D6" s="35" t="n">
        <v>8606039000000</v>
      </c>
      <c r="E6" s="35" t="n">
        <v>13221437000000</v>
      </c>
      <c r="F6" s="35" t="n">
        <v>18155185000000</v>
      </c>
      <c r="G6" s="35" t="n">
        <v>21053792000000</v>
      </c>
      <c r="H6" s="35" t="n">
        <v>22951264000000</v>
      </c>
      <c r="I6" s="35" t="n">
        <v>27382978000000</v>
      </c>
      <c r="J6" s="35" t="n">
        <v>1548876000000</v>
      </c>
      <c r="K6" s="35" t="n">
        <v>1491432000000</v>
      </c>
      <c r="L6" s="35" t="n">
        <v>1761043000000</v>
      </c>
      <c r="M6" s="35" t="n">
        <v>1388550000000</v>
      </c>
      <c r="N6" s="35" t="n">
        <v>5843443000000</v>
      </c>
      <c r="O6" s="35" t="n">
        <v>6381622000000</v>
      </c>
      <c r="P6" s="35" t="n">
        <v>6674879000000</v>
      </c>
      <c r="Q6" s="35" t="n">
        <v>6004706000000</v>
      </c>
      <c r="R6" s="35" t="n">
        <v>5800441000000</v>
      </c>
      <c r="S6" s="35" t="n">
        <v>8902952000000</v>
      </c>
      <c r="T6" s="35" t="n">
        <v>7702720000000</v>
      </c>
      <c r="U6" s="35" t="n">
        <v>8445473000000</v>
      </c>
    </row>
    <row r="7">
      <c r="A7" s="34" t="inlineStr">
        <is>
          <t>Lợi ích của cổ đông thiểu số</t>
        </is>
      </c>
      <c r="B7" s="35" t="n">
        <v>-77187000000</v>
      </c>
      <c r="C7" s="35" t="n">
        <v>-245831000000</v>
      </c>
      <c r="D7" s="35" t="n">
        <v>-343380000000</v>
      </c>
      <c r="E7" s="35" t="n">
        <v>-524362000000</v>
      </c>
      <c r="F7" s="35" t="n">
        <v>-672450000000</v>
      </c>
      <c r="G7" s="35" t="n">
        <v>-377004000000</v>
      </c>
      <c r="H7" s="35" t="n">
        <v>-317507000000</v>
      </c>
      <c r="I7" s="35" t="n">
        <v>-604039000000</v>
      </c>
      <c r="J7" s="35" t="n">
        <v>0</v>
      </c>
      <c r="K7" s="35" t="n">
        <v>-42100000000</v>
      </c>
      <c r="L7" s="35" t="n">
        <v>0</v>
      </c>
      <c r="M7" s="35" t="n">
        <v>0</v>
      </c>
      <c r="N7" s="35" t="n">
        <v>-53287000000</v>
      </c>
      <c r="O7" s="35" t="n">
        <v>-97468000000</v>
      </c>
      <c r="P7" s="35" t="n">
        <v>-107139000000</v>
      </c>
      <c r="Q7" s="35" t="n">
        <v>-127101000000</v>
      </c>
      <c r="R7" s="35" t="n">
        <v>-229417000000</v>
      </c>
      <c r="S7" s="35" t="n">
        <v>-140382000000</v>
      </c>
      <c r="T7" s="35" t="n">
        <v>-187207000000</v>
      </c>
      <c r="U7" s="35" t="n">
        <v>-216411000000</v>
      </c>
    </row>
    <row r="8">
      <c r="A8" s="34" t="inlineStr">
        <is>
          <t>Cổ đông của Công ty mẹ</t>
        </is>
      </c>
      <c r="B8" s="35" t="n">
        <v>6112714000000</v>
      </c>
      <c r="C8" s="35" t="n">
        <v>7822773000000</v>
      </c>
      <c r="D8" s="35" t="n">
        <v>8262659000000</v>
      </c>
      <c r="E8" s="35" t="n">
        <v>12697075000000</v>
      </c>
      <c r="F8" s="35" t="n">
        <v>17482735000000</v>
      </c>
      <c r="G8" s="35" t="n">
        <v>20676788000000</v>
      </c>
      <c r="H8" s="35" t="n">
        <v>22633757000000</v>
      </c>
      <c r="I8" s="35" t="n">
        <v>26778939000000</v>
      </c>
      <c r="J8" s="35" t="n">
        <v>1548876000000</v>
      </c>
      <c r="K8" s="35" t="n">
        <v>1449332000000</v>
      </c>
      <c r="L8" s="35" t="n">
        <v>1761043000000</v>
      </c>
      <c r="M8" s="35" t="n">
        <v>1388550000000</v>
      </c>
      <c r="N8" s="35" t="n">
        <v>5790156000000</v>
      </c>
      <c r="O8" s="35" t="n">
        <v>6284154000000</v>
      </c>
      <c r="P8" s="35" t="n">
        <v>6567740000000</v>
      </c>
      <c r="Q8" s="35" t="n">
        <v>5877605000000</v>
      </c>
      <c r="R8" s="35" t="n">
        <v>5571024000000</v>
      </c>
      <c r="S8" s="35" t="n">
        <v>8762570000000</v>
      </c>
      <c r="T8" s="35" t="n">
        <v>7515513000000</v>
      </c>
      <c r="U8" s="35" t="n">
        <v>8229062000000</v>
      </c>
    </row>
    <row r="9">
      <c r="A9" s="34" t="inlineStr">
        <is>
          <t>Lãi cơ bản trên cổ phiếu (VND)</t>
        </is>
      </c>
      <c r="B9" s="35" t="n">
        <v>2829</v>
      </c>
      <c r="C9" s="35" t="n">
        <v>3596</v>
      </c>
      <c r="D9" s="35" t="n">
        <v>2993</v>
      </c>
      <c r="E9" s="35" t="n">
        <v>3133</v>
      </c>
      <c r="F9" s="35" t="n">
        <v>3856</v>
      </c>
      <c r="G9" s="35" t="n">
        <v>3966</v>
      </c>
      <c r="H9" s="35" t="n">
        <v>3724</v>
      </c>
      <c r="I9" s="35" t="n">
        <v>3325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</row>
    <row r="10">
      <c r="A10" s="34" t="inlineStr">
        <is>
          <t>Lãi trên cổ phiếu pha loãng (VND)</t>
        </is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</row>
    <row r="11">
      <c r="A11" s="34" t="inlineStr">
        <is>
          <t>Thu nhập lãi và các khoản thu nhập tương tự</t>
        </is>
      </c>
      <c r="B11" s="35" t="n">
        <v>24824365000000</v>
      </c>
      <c r="C11" s="35" t="n">
        <v>31196604000000</v>
      </c>
      <c r="D11" s="35" t="n">
        <v>32767393000000</v>
      </c>
      <c r="E11" s="35" t="n">
        <v>38464932000000</v>
      </c>
      <c r="F11" s="35" t="n">
        <v>52485812000000</v>
      </c>
      <c r="G11" s="35" t="n">
        <v>69143043000000</v>
      </c>
      <c r="H11" s="35" t="n">
        <v>69061893000000</v>
      </c>
      <c r="I11" s="35" t="n">
        <v>89088116000000</v>
      </c>
      <c r="J11" s="35" t="n">
        <v>5616972000000</v>
      </c>
      <c r="K11" s="35" t="n">
        <v>6174345000000</v>
      </c>
      <c r="L11" s="35" t="n">
        <v>6363929000000</v>
      </c>
      <c r="M11" s="35" t="n">
        <v>6669119000000</v>
      </c>
      <c r="N11" s="35" t="n">
        <v>17396620000000</v>
      </c>
      <c r="O11" s="35" t="n">
        <v>18452076000000</v>
      </c>
      <c r="P11" s="35" t="n">
        <v>19590312000000</v>
      </c>
      <c r="Q11" s="35" t="n">
        <v>21099126000000</v>
      </c>
      <c r="R11" s="35" t="n">
        <v>22265897000000</v>
      </c>
      <c r="S11" s="35" t="n">
        <v>26132781000000</v>
      </c>
      <c r="T11" s="35" t="n">
        <v>28982071000000</v>
      </c>
      <c r="U11" s="35" t="n">
        <v>34006838000000</v>
      </c>
    </row>
    <row r="12">
      <c r="A12" s="34" t="inlineStr">
        <is>
          <t>Chi phí lãi và các chi phí tương tự</t>
        </is>
      </c>
      <c r="B12" s="35" t="n">
        <v>-10240868000000</v>
      </c>
      <c r="C12" s="35" t="n">
        <v>-13196607000000</v>
      </c>
      <c r="D12" s="35" t="n">
        <v>-12489598000000</v>
      </c>
      <c r="E12" s="35" t="n">
        <v>-12265378000000</v>
      </c>
      <c r="F12" s="35" t="n">
        <v>-16462690000000</v>
      </c>
      <c r="G12" s="35" t="n">
        <v>-30459195000000</v>
      </c>
      <c r="H12" s="35" t="n">
        <v>-27909674000000</v>
      </c>
      <c r="I12" s="35" t="n">
        <v>-37477999000000</v>
      </c>
      <c r="J12" s="35" t="n">
        <v>-2323637000000</v>
      </c>
      <c r="K12" s="35" t="n">
        <v>-2670497000000</v>
      </c>
      <c r="L12" s="35" t="n">
        <v>-2731230000000</v>
      </c>
      <c r="M12" s="35" t="n">
        <v>-2515504000000</v>
      </c>
      <c r="N12" s="35" t="n">
        <v>-6979985000000</v>
      </c>
      <c r="O12" s="35" t="n">
        <v>-7309898000000</v>
      </c>
      <c r="P12" s="35" t="n">
        <v>-7898128000000</v>
      </c>
      <c r="Q12" s="35" t="n">
        <v>-8727009000000</v>
      </c>
      <c r="R12" s="35" t="n">
        <v>-9275373000000</v>
      </c>
      <c r="S12" s="35" t="n">
        <v>-11577489000000</v>
      </c>
      <c r="T12" s="35" t="n">
        <v>-14068954000000</v>
      </c>
      <c r="U12" s="35" t="n">
        <v>-17113184000000</v>
      </c>
    </row>
    <row r="13">
      <c r="A13" s="34" t="inlineStr">
        <is>
          <t>Thu nhập lãi thuần</t>
        </is>
      </c>
      <c r="B13" s="35" t="n">
        <v>14583497000000</v>
      </c>
      <c r="C13" s="35" t="n">
        <v>17999997000000</v>
      </c>
      <c r="D13" s="35" t="n">
        <v>20277795000000</v>
      </c>
      <c r="E13" s="35" t="n">
        <v>26199554000000</v>
      </c>
      <c r="F13" s="35" t="n">
        <v>36023122000000</v>
      </c>
      <c r="G13" s="35" t="n">
        <v>38683848000000</v>
      </c>
      <c r="H13" s="35" t="n">
        <v>41152219000000</v>
      </c>
      <c r="I13" s="35" t="n">
        <v>51610117000000</v>
      </c>
      <c r="J13" s="35" t="n">
        <v>3293335000000</v>
      </c>
      <c r="K13" s="35" t="n">
        <v>3503848000000</v>
      </c>
      <c r="L13" s="35" t="n">
        <v>3632699000000</v>
      </c>
      <c r="M13" s="35" t="n">
        <v>4153615000000</v>
      </c>
      <c r="N13" s="35" t="n">
        <v>10416635000000</v>
      </c>
      <c r="O13" s="35" t="n">
        <v>11142178000000</v>
      </c>
      <c r="P13" s="35" t="n">
        <v>11692184000000</v>
      </c>
      <c r="Q13" s="35" t="n">
        <v>12372117000000</v>
      </c>
      <c r="R13" s="35" t="n">
        <v>12990524000000</v>
      </c>
      <c r="S13" s="35" t="n">
        <v>14555292000000</v>
      </c>
      <c r="T13" s="35" t="n">
        <v>14913117000000</v>
      </c>
      <c r="U13" s="35" t="n">
        <v>16893654000000</v>
      </c>
    </row>
    <row r="14">
      <c r="A14" s="34" t="inlineStr">
        <is>
          <t>Thu nhập từ dịch vụ</t>
        </is>
      </c>
      <c r="B14" s="35" t="n">
        <v>5719062000000</v>
      </c>
      <c r="C14" s="35" t="n">
        <v>6420580000000</v>
      </c>
      <c r="D14" s="35" t="n">
        <v>8228173000000</v>
      </c>
      <c r="E14" s="35" t="n">
        <v>12308295000000</v>
      </c>
      <c r="F14" s="35" t="n">
        <v>14243734000000</v>
      </c>
      <c r="G14" s="35" t="n">
        <v>13137624000000</v>
      </c>
      <c r="H14" s="35" t="n">
        <v>14602602000000</v>
      </c>
      <c r="I14" s="35" t="n">
        <v>18062236000000</v>
      </c>
      <c r="J14" s="35" t="n">
        <v>898862000000</v>
      </c>
      <c r="K14" s="35" t="n">
        <v>1148049000000</v>
      </c>
      <c r="L14" s="35" t="n">
        <v>1298064000000</v>
      </c>
      <c r="M14" s="35" t="n">
        <v>2374087000000</v>
      </c>
      <c r="N14" s="35" t="n">
        <v>3436204000000</v>
      </c>
      <c r="O14" s="35" t="n">
        <v>4149237000000</v>
      </c>
      <c r="P14" s="35" t="n">
        <v>3611961000000</v>
      </c>
      <c r="Q14" s="35" t="n">
        <v>4613875000000</v>
      </c>
      <c r="R14" s="35" t="n">
        <v>4234200000000</v>
      </c>
      <c r="S14" s="35" t="n">
        <v>5602200000000</v>
      </c>
      <c r="T14" s="35" t="n">
        <v>4583814000000</v>
      </c>
      <c r="U14" s="35" t="n">
        <v>5249714000000</v>
      </c>
    </row>
    <row r="15">
      <c r="A15" s="34" t="inlineStr">
        <is>
          <t>Chi phí dịch vụ</t>
        </is>
      </c>
      <c r="B15" s="35" t="n">
        <v>-3157752000000</v>
      </c>
      <c r="C15" s="35" t="n">
        <v>-3234743000000</v>
      </c>
      <c r="D15" s="35" t="n">
        <v>-4652620000000</v>
      </c>
      <c r="E15" s="35" t="n">
        <v>-7940917000000</v>
      </c>
      <c r="F15" s="35" t="n">
        <v>-10108166000000</v>
      </c>
      <c r="G15" s="35" t="n">
        <v>-9052399000000</v>
      </c>
      <c r="H15" s="35" t="n">
        <v>-10234353000000</v>
      </c>
      <c r="I15" s="35" t="n">
        <v>-11483555000000</v>
      </c>
      <c r="J15" s="35" t="n">
        <v>-583523000000</v>
      </c>
      <c r="K15" s="35" t="n">
        <v>-485504000000</v>
      </c>
      <c r="L15" s="35" t="n">
        <v>-587879000000</v>
      </c>
      <c r="M15" s="35" t="n">
        <v>-1498502000000</v>
      </c>
      <c r="N15" s="35" t="n">
        <v>-2548181000000</v>
      </c>
      <c r="O15" s="35" t="n">
        <v>-2968479000000</v>
      </c>
      <c r="P15" s="35" t="n">
        <v>-2376545000000</v>
      </c>
      <c r="Q15" s="35" t="n">
        <v>-2698332000000</v>
      </c>
      <c r="R15" s="35" t="n">
        <v>-2907645000000</v>
      </c>
      <c r="S15" s="35" t="n">
        <v>-3501033000000</v>
      </c>
      <c r="T15" s="35" t="n">
        <v>-2875070000000</v>
      </c>
      <c r="U15" s="35" t="n">
        <v>-3444039000000</v>
      </c>
    </row>
    <row r="16">
      <c r="A16" s="34" t="inlineStr">
        <is>
          <t>Lãi/Lỗ thuần từ hoạt động dịch vụ</t>
        </is>
      </c>
      <c r="B16" s="35" t="n">
        <v>2561310000000</v>
      </c>
      <c r="C16" s="35" t="n">
        <v>3185837000000</v>
      </c>
      <c r="D16" s="35" t="n">
        <v>3575553000000</v>
      </c>
      <c r="E16" s="35" t="n">
        <v>4367378000000</v>
      </c>
      <c r="F16" s="35" t="n">
        <v>4135568000000</v>
      </c>
      <c r="G16" s="35" t="n">
        <v>4085225000000</v>
      </c>
      <c r="H16" s="35" t="n">
        <v>4368249000000</v>
      </c>
      <c r="I16" s="35" t="n">
        <v>6578681000000</v>
      </c>
      <c r="J16" s="35" t="n">
        <v>315339000000</v>
      </c>
      <c r="K16" s="35" t="n">
        <v>662545000000</v>
      </c>
      <c r="L16" s="35" t="n">
        <v>710185000000</v>
      </c>
      <c r="M16" s="35" t="n">
        <v>875585000000</v>
      </c>
      <c r="N16" s="35" t="n">
        <v>888023000000</v>
      </c>
      <c r="O16" s="35" t="n">
        <v>1180758000000</v>
      </c>
      <c r="P16" s="35" t="n">
        <v>1235416000000</v>
      </c>
      <c r="Q16" s="35" t="n">
        <v>1915543000000</v>
      </c>
      <c r="R16" s="35" t="n">
        <v>1326555000000</v>
      </c>
      <c r="S16" s="35" t="n">
        <v>2101167000000</v>
      </c>
      <c r="T16" s="35" t="n">
        <v>1708744000000</v>
      </c>
      <c r="U16" s="35" t="n">
        <v>1805675000000</v>
      </c>
    </row>
    <row r="17">
      <c r="A17" s="34" t="inlineStr">
        <is>
          <t>Lãi/(lỗ) thuần từ hoạt động kinh doanh ngoại hối và vàng</t>
        </is>
      </c>
      <c r="B17" s="35" t="n">
        <v>444568000000</v>
      </c>
      <c r="C17" s="35" t="n">
        <v>647478000000</v>
      </c>
      <c r="D17" s="35" t="n">
        <v>785809000000</v>
      </c>
      <c r="E17" s="35" t="n">
        <v>1331468000000</v>
      </c>
      <c r="F17" s="35" t="n">
        <v>1703960000000</v>
      </c>
      <c r="G17" s="35" t="n">
        <v>1209825000000</v>
      </c>
      <c r="H17" s="35" t="n">
        <v>2000164000000</v>
      </c>
      <c r="I17" s="35" t="n">
        <v>1756922000000</v>
      </c>
      <c r="J17" s="35" t="n">
        <v>75612000000</v>
      </c>
      <c r="K17" s="35" t="n">
        <v>99069000000</v>
      </c>
      <c r="L17" s="35" t="n">
        <v>127165000000</v>
      </c>
      <c r="M17" s="35" t="n">
        <v>142722000000</v>
      </c>
      <c r="N17" s="35" t="n">
        <v>660609000000</v>
      </c>
      <c r="O17" s="35" t="n">
        <v>484636000000</v>
      </c>
      <c r="P17" s="35" t="n">
        <v>537800000000</v>
      </c>
      <c r="Q17" s="35" t="n">
        <v>534121000000</v>
      </c>
      <c r="R17" s="35" t="n">
        <v>424608000000</v>
      </c>
      <c r="S17" s="35" t="n">
        <v>260393000000</v>
      </c>
      <c r="T17" s="35" t="n">
        <v>-31706000000</v>
      </c>
      <c r="U17" s="35" t="n">
        <v>137240000000</v>
      </c>
    </row>
    <row r="18">
      <c r="A18" s="34" t="inlineStr">
        <is>
          <t>Lãi/(lỗ) thuần từ mua bán chứng khoán kinh doanh</t>
        </is>
      </c>
      <c r="B18" s="35" t="n">
        <v>151928000000</v>
      </c>
      <c r="C18" s="35" t="n">
        <v>27480000000</v>
      </c>
      <c r="D18" s="35" t="n">
        <v>85086000000</v>
      </c>
      <c r="E18" s="35" t="n">
        <v>221236000000</v>
      </c>
      <c r="F18" s="35" t="n">
        <v>141128000000</v>
      </c>
      <c r="G18" s="35" t="n">
        <v>541566000000</v>
      </c>
      <c r="H18" s="35" t="n">
        <v>1756022000000</v>
      </c>
      <c r="I18" s="35" t="n">
        <v>668384000000</v>
      </c>
      <c r="J18" s="35" t="n">
        <v>275879000000</v>
      </c>
      <c r="K18" s="35" t="n">
        <v>35262000000</v>
      </c>
      <c r="L18" s="35" t="n">
        <v>-29608000000</v>
      </c>
      <c r="M18" s="35" t="n">
        <v>18955000000</v>
      </c>
      <c r="N18" s="35" t="n">
        <v>226010000000</v>
      </c>
      <c r="O18" s="35" t="n">
        <v>118195000000</v>
      </c>
      <c r="P18" s="35" t="n">
        <v>168718000000</v>
      </c>
      <c r="Q18" s="35" t="n">
        <v>246982000000</v>
      </c>
      <c r="R18" s="35" t="n">
        <v>172422000000</v>
      </c>
      <c r="S18" s="35" t="n">
        <v>80262000000</v>
      </c>
      <c r="T18" s="35" t="n">
        <v>80813000000</v>
      </c>
      <c r="U18" s="35" t="n">
        <v>168711000000</v>
      </c>
    </row>
    <row r="19">
      <c r="A19" s="34" t="inlineStr">
        <is>
          <t>Lãi/(lỗ) thuần từ mua bán chứng khoán đầu tư</t>
        </is>
      </c>
      <c r="B19" s="35" t="n">
        <v>148561000000</v>
      </c>
      <c r="C19" s="35" t="n">
        <v>612031000000</v>
      </c>
      <c r="D19" s="35" t="n">
        <v>865869000000</v>
      </c>
      <c r="E19" s="35" t="n">
        <v>1445713000000</v>
      </c>
      <c r="F19" s="35" t="n">
        <v>1315248000000</v>
      </c>
      <c r="G19" s="35" t="n">
        <v>300404000000</v>
      </c>
      <c r="H19" s="35" t="n">
        <v>2803105000000</v>
      </c>
      <c r="I19" s="35" t="n">
        <v>1590093000000</v>
      </c>
      <c r="J19" s="35" t="n">
        <v>0</v>
      </c>
      <c r="K19" s="35" t="n">
        <v>0</v>
      </c>
      <c r="L19" s="35" t="n">
        <v>0</v>
      </c>
      <c r="M19" s="35" t="n">
        <v>0</v>
      </c>
      <c r="N19" s="35" t="n">
        <v>-172432000000</v>
      </c>
      <c r="O19" s="35" t="n">
        <v>2412338000000</v>
      </c>
      <c r="P19" s="35" t="n">
        <v>509329000000</v>
      </c>
      <c r="Q19" s="35" t="n">
        <v>785944000000</v>
      </c>
      <c r="R19" s="35" t="n">
        <v>-527544000000</v>
      </c>
      <c r="S19" s="35" t="n">
        <v>822364000000</v>
      </c>
      <c r="T19" s="35" t="n">
        <v>-331270000000</v>
      </c>
      <c r="U19" s="35" t="n">
        <v>334857000000</v>
      </c>
    </row>
    <row r="20">
      <c r="A20" s="34" t="inlineStr">
        <is>
          <t>Thu nhập khác</t>
        </is>
      </c>
      <c r="B20" s="35" t="n">
        <v>2421246000000</v>
      </c>
      <c r="C20" s="35" t="n">
        <v>2528554000000</v>
      </c>
      <c r="D20" s="35" t="n">
        <v>2808825000000</v>
      </c>
      <c r="E20" s="35" t="n">
        <v>4210764000000</v>
      </c>
      <c r="F20" s="35" t="n">
        <v>3025807000000</v>
      </c>
      <c r="G20" s="35" t="n">
        <v>3457702000000</v>
      </c>
      <c r="H20" s="35" t="n">
        <v>4658444000000</v>
      </c>
      <c r="I20" s="35" t="n">
        <v>6479624000000</v>
      </c>
      <c r="J20" s="35" t="n">
        <v>264158000000</v>
      </c>
      <c r="K20" s="35" t="n">
        <v>911843000000</v>
      </c>
      <c r="L20" s="35" t="n">
        <v>356109000000</v>
      </c>
      <c r="M20" s="35" t="n">
        <v>437644000000</v>
      </c>
      <c r="N20" s="35" t="n">
        <v>677927000000</v>
      </c>
      <c r="O20" s="35" t="n">
        <v>2580669000000</v>
      </c>
      <c r="P20" s="35" t="n">
        <v>1179210000000</v>
      </c>
      <c r="Q20" s="35" t="n">
        <v>1898103000000</v>
      </c>
      <c r="R20" s="35" t="n">
        <v>1197659000000</v>
      </c>
      <c r="S20" s="35" t="n">
        <v>2738958000000</v>
      </c>
      <c r="T20" s="35" t="n">
        <v>1090478000000</v>
      </c>
      <c r="U20" s="35" t="n">
        <v>1835146000000</v>
      </c>
    </row>
    <row r="21">
      <c r="A21" s="34" t="inlineStr">
        <is>
          <t>Chi phí khác</t>
        </is>
      </c>
      <c r="B21" s="35" t="n">
        <v>-904167000000</v>
      </c>
      <c r="C21" s="35" t="n">
        <v>-429156000000</v>
      </c>
      <c r="D21" s="35" t="n">
        <v>-1129275000000</v>
      </c>
      <c r="E21" s="35" t="n">
        <v>-956450000000</v>
      </c>
      <c r="F21" s="35" t="n">
        <v>-884149000000</v>
      </c>
      <c r="G21" s="35" t="n">
        <v>-1029591000000</v>
      </c>
      <c r="H21" s="35" t="n">
        <v>-1377624000000</v>
      </c>
      <c r="I21" s="35" t="n">
        <v>-1165150000000</v>
      </c>
      <c r="J21" s="35" t="n">
        <v>0</v>
      </c>
      <c r="K21" s="35" t="n">
        <v>-452675000000</v>
      </c>
      <c r="L21" s="35" t="n">
        <v>0</v>
      </c>
      <c r="M21" s="35" t="n">
        <v>0</v>
      </c>
      <c r="N21" s="35" t="n">
        <v>0</v>
      </c>
      <c r="O21" s="35" t="n">
        <v>-1377624000000</v>
      </c>
      <c r="P21" s="35" t="n">
        <v>0</v>
      </c>
      <c r="Q21" s="35" t="n">
        <v>-534306000000</v>
      </c>
      <c r="R21" s="35" t="n">
        <v>0</v>
      </c>
      <c r="S21" s="35" t="n">
        <v>-1165150000000</v>
      </c>
      <c r="T21" s="35" t="n">
        <v>0</v>
      </c>
      <c r="U21" s="35" t="n">
        <v>-765315000000</v>
      </c>
    </row>
    <row r="22">
      <c r="A22" s="34" t="inlineStr">
        <is>
          <t>Lãi/(lỗ) thuần từ hoạt động khác</t>
        </is>
      </c>
      <c r="B22" s="35" t="n">
        <v>1517079000000</v>
      </c>
      <c r="C22" s="35" t="n">
        <v>2099398000000</v>
      </c>
      <c r="D22" s="35" t="n">
        <v>1679550000000</v>
      </c>
      <c r="E22" s="35" t="n">
        <v>3254314000000</v>
      </c>
      <c r="F22" s="35" t="n">
        <v>2141658000000</v>
      </c>
      <c r="G22" s="35" t="n">
        <v>2428111000000</v>
      </c>
      <c r="H22" s="35" t="n">
        <v>3280820000000</v>
      </c>
      <c r="I22" s="35" t="n">
        <v>5314474000000</v>
      </c>
      <c r="J22" s="35" t="n">
        <v>264158000000</v>
      </c>
      <c r="K22" s="35" t="n">
        <v>459168000000</v>
      </c>
      <c r="L22" s="35" t="n">
        <v>356109000000</v>
      </c>
      <c r="M22" s="35" t="n">
        <v>437644000000</v>
      </c>
      <c r="N22" s="35" t="n">
        <v>677927000000</v>
      </c>
      <c r="O22" s="35" t="n">
        <v>1203045000000</v>
      </c>
      <c r="P22" s="35" t="n">
        <v>1179210000000</v>
      </c>
      <c r="Q22" s="35" t="n">
        <v>1363797000000</v>
      </c>
      <c r="R22" s="35" t="n">
        <v>1197659000000</v>
      </c>
      <c r="S22" s="35" t="n">
        <v>1573808000000</v>
      </c>
      <c r="T22" s="35" t="n">
        <v>1090478000000</v>
      </c>
      <c r="U22" s="35" t="n">
        <v>1069831000000</v>
      </c>
    </row>
    <row r="23">
      <c r="A23" s="34" t="inlineStr">
        <is>
          <t>Thu nhập từ cổ tức</t>
        </is>
      </c>
      <c r="B23" s="35" t="n">
        <v>129620000000</v>
      </c>
      <c r="C23" s="35" t="n">
        <v>78227000000</v>
      </c>
      <c r="D23" s="35" t="n">
        <v>92511000000</v>
      </c>
      <c r="E23" s="35" t="n">
        <v>114835000000</v>
      </c>
      <c r="F23" s="35" t="n">
        <v>131941000000</v>
      </c>
      <c r="G23" s="35" t="n">
        <v>57083000000</v>
      </c>
      <c r="H23" s="35" t="n">
        <v>52643000000</v>
      </c>
      <c r="I23" s="35" t="n">
        <v>174344000000</v>
      </c>
      <c r="J23" s="35" t="n">
        <v>9224000000</v>
      </c>
      <c r="K23" s="35" t="n">
        <v>30843000000</v>
      </c>
      <c r="L23" s="35" t="n">
        <v>2601000000</v>
      </c>
      <c r="M23" s="35" t="n">
        <v>86952000000</v>
      </c>
      <c r="N23" s="35" t="n">
        <v>6993000000</v>
      </c>
      <c r="O23" s="35" t="n">
        <v>22361000000</v>
      </c>
      <c r="P23" s="35" t="n">
        <v>40000000</v>
      </c>
      <c r="Q23" s="35" t="n">
        <v>27174000000</v>
      </c>
      <c r="R23" s="35" t="n">
        <v>12470000000</v>
      </c>
      <c r="S23" s="35" t="n">
        <v>134660000000</v>
      </c>
      <c r="T23" s="35" t="n">
        <v>30000000</v>
      </c>
      <c r="U23" s="35" t="n">
        <v>24346000000</v>
      </c>
    </row>
    <row r="24">
      <c r="A24" s="34" t="inlineStr">
        <is>
          <t>Tổng thu nhập hoạt động</t>
        </is>
      </c>
      <c r="B24" s="35" t="n">
        <v>19536563000000</v>
      </c>
      <c r="C24" s="35" t="n">
        <v>24650448000000</v>
      </c>
      <c r="D24" s="35" t="n">
        <v>27362173000000</v>
      </c>
      <c r="E24" s="35" t="n">
        <v>36934498000000</v>
      </c>
      <c r="F24" s="35" t="n">
        <v>45592625000000</v>
      </c>
      <c r="G24" s="35" t="n">
        <v>47306062000000</v>
      </c>
      <c r="H24" s="35" t="n">
        <v>55413222000000</v>
      </c>
      <c r="I24" s="35" t="n">
        <v>67693015000000</v>
      </c>
      <c r="J24" s="35" t="n">
        <v>4233547000000</v>
      </c>
      <c r="K24" s="35" t="n">
        <v>4790735000000</v>
      </c>
      <c r="L24" s="35" t="n">
        <v>4799151000000</v>
      </c>
      <c r="M24" s="35" t="n">
        <v>5715473000000</v>
      </c>
      <c r="N24" s="35" t="n">
        <v>12703765000000</v>
      </c>
      <c r="O24" s="35" t="n">
        <v>16563511000000</v>
      </c>
      <c r="P24" s="35" t="n">
        <v>15322697000000</v>
      </c>
      <c r="Q24" s="35" t="n">
        <v>17245678000000</v>
      </c>
      <c r="R24" s="35" t="n">
        <v>15596694000000</v>
      </c>
      <c r="S24" s="35" t="n">
        <v>19527946000000</v>
      </c>
      <c r="T24" s="35" t="n">
        <v>17430206000000</v>
      </c>
      <c r="U24" s="35" t="n">
        <v>20434314000000</v>
      </c>
    </row>
    <row r="25">
      <c r="A25" s="34" t="inlineStr">
        <is>
          <t>Chi phí quản lý doanh nghiệp</t>
        </is>
      </c>
      <c r="B25" s="35" t="n">
        <v>-8733802000000</v>
      </c>
      <c r="C25" s="35" t="n">
        <v>-9723706000000</v>
      </c>
      <c r="D25" s="35" t="n">
        <v>-10555457000000</v>
      </c>
      <c r="E25" s="35" t="n">
        <v>-12377188000000</v>
      </c>
      <c r="F25" s="35" t="n">
        <v>-14815628000000</v>
      </c>
      <c r="G25" s="35" t="n">
        <v>-14912941000000</v>
      </c>
      <c r="H25" s="35" t="n">
        <v>-17007250000000</v>
      </c>
      <c r="I25" s="35" t="n">
        <v>-19681153000000</v>
      </c>
      <c r="J25" s="35" t="n">
        <v>-1622846000000</v>
      </c>
      <c r="K25" s="35" t="n">
        <v>-1926942000000</v>
      </c>
      <c r="L25" s="35" t="n">
        <v>-1968079000000</v>
      </c>
      <c r="M25" s="35" t="n">
        <v>-3215935000000</v>
      </c>
      <c r="N25" s="35" t="n">
        <v>-3755899000000</v>
      </c>
      <c r="O25" s="35" t="n">
        <v>-5246555000000</v>
      </c>
      <c r="P25" s="35" t="n">
        <v>-3949958000000</v>
      </c>
      <c r="Q25" s="35" t="n">
        <v>-4956470000000</v>
      </c>
      <c r="R25" s="35" t="n">
        <v>-4545266000000</v>
      </c>
      <c r="S25" s="35" t="n">
        <v>-6229459000000</v>
      </c>
      <c r="T25" s="35" t="n">
        <v>-4347002000000</v>
      </c>
      <c r="U25" s="35" t="n">
        <v>-5627359000000</v>
      </c>
    </row>
    <row r="26">
      <c r="A26" s="34" t="inlineStr">
        <is>
          <t>Lợi nhuận thuần hoạt động trước khi trích lập dự phòng tổn thất tín dụng</t>
        </is>
      </c>
      <c r="B26" s="35" t="n">
        <v>10802761000000</v>
      </c>
      <c r="C26" s="35" t="n">
        <v>14926742000000</v>
      </c>
      <c r="D26" s="35" t="n">
        <v>16806716000000</v>
      </c>
      <c r="E26" s="35" t="n">
        <v>24557310000000</v>
      </c>
      <c r="F26" s="35" t="n">
        <v>30776997000000</v>
      </c>
      <c r="G26" s="35" t="n">
        <v>32393121000000</v>
      </c>
      <c r="H26" s="35" t="n">
        <v>38405972000000</v>
      </c>
      <c r="I26" s="35" t="n">
        <v>48011862000000</v>
      </c>
      <c r="J26" s="35" t="n">
        <v>2610701000000</v>
      </c>
      <c r="K26" s="35" t="n">
        <v>2863793000000</v>
      </c>
      <c r="L26" s="35" t="n">
        <v>2831072000000</v>
      </c>
      <c r="M26" s="35" t="n">
        <v>2499538000000</v>
      </c>
      <c r="N26" s="35" t="n">
        <v>8947866000000</v>
      </c>
      <c r="O26" s="35" t="n">
        <v>11316956000000</v>
      </c>
      <c r="P26" s="35" t="n">
        <v>11372739000000</v>
      </c>
      <c r="Q26" s="35" t="n">
        <v>12289208000000</v>
      </c>
      <c r="R26" s="35" t="n">
        <v>11051428000000</v>
      </c>
      <c r="S26" s="35" t="n">
        <v>13298487000000</v>
      </c>
      <c r="T26" s="35" t="n">
        <v>13083204000000</v>
      </c>
      <c r="U26" s="35" t="n">
        <v>14806955000000</v>
      </c>
    </row>
    <row r="27">
      <c r="A27" s="34" t="inlineStr">
        <is>
          <t>Trích lập dự phòng tổn thất tín dụng</t>
        </is>
      </c>
      <c r="B27" s="35" t="n">
        <v>-3035388000000</v>
      </c>
      <c r="C27" s="35" t="n">
        <v>-4890623000000</v>
      </c>
      <c r="D27" s="35" t="n">
        <v>-6118440000000</v>
      </c>
      <c r="E27" s="35" t="n">
        <v>-8030051000000</v>
      </c>
      <c r="F27" s="35" t="n">
        <v>-8047677000000</v>
      </c>
      <c r="G27" s="35" t="n">
        <v>-6087032000000</v>
      </c>
      <c r="H27" s="35" t="n">
        <v>-9576644000000</v>
      </c>
      <c r="I27" s="35" t="n">
        <v>-13743504000000</v>
      </c>
      <c r="J27" s="35" t="n">
        <v>-692224000000</v>
      </c>
      <c r="K27" s="35" t="n">
        <v>-952806000000</v>
      </c>
      <c r="L27" s="35" t="n">
        <v>-645617000000</v>
      </c>
      <c r="M27" s="35" t="n">
        <v>-747084000000</v>
      </c>
      <c r="N27" s="35" t="n">
        <v>-1639970000000</v>
      </c>
      <c r="O27" s="35" t="n">
        <v>-3223836000000</v>
      </c>
      <c r="P27" s="35" t="n">
        <v>-2986414000000</v>
      </c>
      <c r="Q27" s="35" t="n">
        <v>-4786217000000</v>
      </c>
      <c r="R27" s="35" t="n">
        <v>-3801508000000</v>
      </c>
      <c r="S27" s="35" t="n">
        <v>-2169365000000</v>
      </c>
      <c r="T27" s="35" t="n">
        <v>-3454818000000</v>
      </c>
      <c r="U27" s="35" t="n">
        <v>-4247083000000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21" customWidth="1" min="20" max="20"/>
    <col width="22" customWidth="1" min="21" max="21"/>
  </cols>
  <sheetData>
    <row r="1">
      <c r="A1" s="32" t="inlineStr">
        <is>
          <t>item</t>
        </is>
      </c>
      <c r="B1" s="33" t="inlineStr">
        <is>
          <t>2018</t>
        </is>
      </c>
      <c r="C1" s="33" t="inlineStr">
        <is>
          <t>2019</t>
        </is>
      </c>
      <c r="D1" s="33" t="inlineStr">
        <is>
          <t>2020</t>
        </is>
      </c>
      <c r="E1" s="33" t="inlineStr">
        <is>
          <t>2021</t>
        </is>
      </c>
      <c r="F1" s="33" t="inlineStr">
        <is>
          <t>2022</t>
        </is>
      </c>
      <c r="G1" s="33" t="inlineStr">
        <is>
          <t>2023</t>
        </is>
      </c>
      <c r="H1" s="33" t="inlineStr">
        <is>
          <t>2024</t>
        </is>
      </c>
      <c r="I1" s="33" t="inlineStr">
        <is>
          <t>2025</t>
        </is>
      </c>
      <c r="J1" s="33" t="inlineStr">
        <is>
          <t>2018-Q1</t>
        </is>
      </c>
      <c r="K1" s="33" t="inlineStr">
        <is>
          <t>2018-Q2</t>
        </is>
      </c>
      <c r="L1" s="33" t="inlineStr">
        <is>
          <t>2018-Q3</t>
        </is>
      </c>
      <c r="M1" s="33" t="inlineStr">
        <is>
          <t>2018-Q4</t>
        </is>
      </c>
      <c r="N1" s="33" t="inlineStr">
        <is>
          <t>2024-Q3</t>
        </is>
      </c>
      <c r="O1" s="33" t="inlineStr">
        <is>
          <t>2024-Q4</t>
        </is>
      </c>
      <c r="P1" s="33" t="inlineStr">
        <is>
          <t>2025-Q1</t>
        </is>
      </c>
      <c r="Q1" s="33" t="inlineStr">
        <is>
          <t>2025-Q2</t>
        </is>
      </c>
      <c r="R1" s="33" t="inlineStr">
        <is>
          <t>2025-Q3</t>
        </is>
      </c>
      <c r="S1" s="33" t="inlineStr">
        <is>
          <t>2025-Q4</t>
        </is>
      </c>
      <c r="T1" s="33" t="inlineStr">
        <is>
          <t>2026-Q1</t>
        </is>
      </c>
      <c r="U1" s="33" t="inlineStr">
        <is>
          <t>2026-Q2</t>
        </is>
      </c>
    </row>
    <row r="2">
      <c r="A2" s="34" t="inlineStr">
        <is>
          <t>Lưu chuyển tiền thuần từ hoạt động kinh doanh trước những thay đổi về tài sản và vốn lưu động</t>
        </is>
      </c>
      <c r="B2" s="35" t="n">
        <v>9228303000000</v>
      </c>
      <c r="C2" s="35" t="n">
        <v>14987451000000</v>
      </c>
      <c r="D2" s="35" t="n">
        <v>15326289000000</v>
      </c>
      <c r="E2" s="35" t="n">
        <v>21229572000000</v>
      </c>
      <c r="F2" s="35" t="n">
        <v>29081781000000</v>
      </c>
      <c r="G2" s="35" t="n">
        <v>31334445000000</v>
      </c>
      <c r="H2" s="35" t="n">
        <v>29963896000000</v>
      </c>
      <c r="I2" s="35" t="n">
        <v>39713493000000</v>
      </c>
      <c r="J2" s="35" t="n">
        <v>2609192000000</v>
      </c>
      <c r="K2" s="35" t="n">
        <v>2311489000000</v>
      </c>
      <c r="L2" s="35" t="n">
        <v>1773054000000</v>
      </c>
      <c r="M2" s="35" t="n">
        <v>2536911000000</v>
      </c>
      <c r="N2" s="35" t="n">
        <v>6610835000000</v>
      </c>
      <c r="O2" s="35" t="n">
        <v>12636013000000</v>
      </c>
      <c r="P2" s="35" t="n">
        <v>7431718000000</v>
      </c>
      <c r="Q2" s="35" t="n">
        <v>11324348000000</v>
      </c>
      <c r="R2" s="35" t="n">
        <v>9900748000000</v>
      </c>
      <c r="S2" s="35" t="n">
        <v>11056679000000</v>
      </c>
      <c r="T2" s="35" t="n">
        <v>7697852000000</v>
      </c>
      <c r="U2" s="35" t="n">
        <v>15569920000000</v>
      </c>
    </row>
    <row r="3">
      <c r="A3" s="34" t="inlineStr">
        <is>
          <t>Thuế thu nhập doanh nghiệp đã trả</t>
        </is>
      </c>
      <c r="B3" s="35" t="n">
        <v>0</v>
      </c>
      <c r="C3" s="35" t="n">
        <v>0</v>
      </c>
      <c r="D3" s="35" t="n">
        <v>0</v>
      </c>
      <c r="E3" s="35" t="n">
        <v>0</v>
      </c>
      <c r="F3" s="35" t="n">
        <v>0</v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</row>
    <row r="4">
      <c r="A4" s="34" t="inlineStr">
        <is>
          <t>Lưu chuyển tiền thuần từ các hoạt động sản xuất kinh doanh</t>
        </is>
      </c>
      <c r="B4" s="35" t="n">
        <v>2604652000000</v>
      </c>
      <c r="C4" s="35" t="n">
        <v>892883000000</v>
      </c>
      <c r="D4" s="35" t="n">
        <v>14739859000000</v>
      </c>
      <c r="E4" s="35" t="n">
        <v>4468298000000</v>
      </c>
      <c r="F4" s="35" t="n">
        <v>1876329000000</v>
      </c>
      <c r="G4" s="35" t="n">
        <v>41294612000000</v>
      </c>
      <c r="H4" s="35" t="n">
        <v>-18576384000000</v>
      </c>
      <c r="I4" s="35" t="n">
        <v>137357399000000</v>
      </c>
      <c r="J4" s="35" t="n">
        <v>-10608607000000</v>
      </c>
      <c r="K4" s="35" t="n">
        <v>7053483000000</v>
      </c>
      <c r="L4" s="35" t="n">
        <v>-433736000000</v>
      </c>
      <c r="M4" s="35" t="n">
        <v>6593512000000</v>
      </c>
      <c r="N4" s="35" t="n">
        <v>-20490106000000</v>
      </c>
      <c r="O4" s="35" t="n">
        <v>15414261000000</v>
      </c>
      <c r="P4" s="35" t="n">
        <v>-26075011000000</v>
      </c>
      <c r="Q4" s="35" t="n">
        <v>27591549000000</v>
      </c>
      <c r="R4" s="35" t="n">
        <v>10405047000000</v>
      </c>
      <c r="S4" s="35" t="n">
        <v>125435814000000</v>
      </c>
      <c r="T4" s="35" t="n">
        <v>-64971848000000</v>
      </c>
      <c r="U4" s="35" t="n">
        <v>11770037000000</v>
      </c>
    </row>
    <row r="5">
      <c r="A5" s="34" t="inlineStr">
        <is>
          <t>Mua sắm TSCĐ</t>
        </is>
      </c>
      <c r="B5" s="35" t="n">
        <v>-483966000000</v>
      </c>
      <c r="C5" s="35" t="n">
        <v>-701576000000</v>
      </c>
      <c r="D5" s="35" t="n">
        <v>-823253000000</v>
      </c>
      <c r="E5" s="35" t="n">
        <v>-1259868000000</v>
      </c>
      <c r="F5" s="35" t="n">
        <v>-1748106000000</v>
      </c>
      <c r="G5" s="35" t="n">
        <v>-1655386000000</v>
      </c>
      <c r="H5" s="35" t="n">
        <v>-2301696000000</v>
      </c>
      <c r="I5" s="35" t="n">
        <v>-1780261000000</v>
      </c>
      <c r="J5" s="35" t="n">
        <v>-60068000000</v>
      </c>
      <c r="K5" s="35" t="n">
        <v>-52493000000</v>
      </c>
      <c r="L5" s="35" t="n">
        <v>-190162000000</v>
      </c>
      <c r="M5" s="35" t="n">
        <v>-181243000000</v>
      </c>
      <c r="N5" s="35" t="n">
        <v>-532734000000</v>
      </c>
      <c r="O5" s="35" t="n">
        <v>-910154000000</v>
      </c>
      <c r="P5" s="35" t="n">
        <v>-105862000000</v>
      </c>
      <c r="Q5" s="35" t="n">
        <v>-367960000000</v>
      </c>
      <c r="R5" s="35" t="n">
        <v>-452322000000</v>
      </c>
      <c r="S5" s="35" t="n">
        <v>-854117000000</v>
      </c>
      <c r="T5" s="35" t="n">
        <v>-591985000000</v>
      </c>
      <c r="U5" s="35" t="n">
        <v>-170606000000</v>
      </c>
    </row>
    <row r="6">
      <c r="A6" s="34" t="inlineStr">
        <is>
          <t>Tiền thu được từ thanh lý, nhượng bán tài sản cố định</t>
        </is>
      </c>
      <c r="B6" s="35" t="n">
        <v>5759000000</v>
      </c>
      <c r="C6" s="35" t="n">
        <v>2905000000</v>
      </c>
      <c r="D6" s="35" t="n">
        <v>4739000000</v>
      </c>
      <c r="E6" s="35" t="n">
        <v>7861000000</v>
      </c>
      <c r="F6" s="35" t="n">
        <v>2048000000</v>
      </c>
      <c r="G6" s="35" t="n">
        <v>3714000000</v>
      </c>
      <c r="H6" s="35" t="n">
        <v>6927000000</v>
      </c>
      <c r="I6" s="35" t="n">
        <v>231289000000</v>
      </c>
      <c r="J6" s="35" t="n">
        <v>1346000000</v>
      </c>
      <c r="K6" s="35" t="n">
        <v>26987000000</v>
      </c>
      <c r="L6" s="35" t="n">
        <v>31000000</v>
      </c>
      <c r="M6" s="35" t="n">
        <v>-22605000000</v>
      </c>
      <c r="N6" s="35" t="n">
        <v>3036000000</v>
      </c>
      <c r="O6" s="35" t="n">
        <v>1713000000</v>
      </c>
      <c r="P6" s="35" t="n">
        <v>166000000</v>
      </c>
      <c r="Q6" s="35" t="n">
        <v>3035000000</v>
      </c>
      <c r="R6" s="35" t="n">
        <v>227573000000</v>
      </c>
      <c r="S6" s="35" t="n">
        <v>515000000</v>
      </c>
      <c r="T6" s="35" t="n">
        <v>1895000000</v>
      </c>
      <c r="U6" s="35" t="n">
        <v>5778000000</v>
      </c>
    </row>
    <row r="7">
      <c r="A7" s="34" t="inlineStr">
        <is>
          <t>Tiền chi đầu tư, góp vốn vào các đơn vị khác</t>
        </is>
      </c>
      <c r="B7" s="35" t="n">
        <v>-1941000000</v>
      </c>
      <c r="C7" s="35" t="n">
        <v>-9000000</v>
      </c>
      <c r="D7" s="35" t="n">
        <v>-602000000</v>
      </c>
      <c r="E7" s="35" t="n">
        <v>0</v>
      </c>
      <c r="F7" s="35" t="n">
        <v>-100091000000</v>
      </c>
      <c r="G7" s="35" t="n">
        <v>-45500000000</v>
      </c>
      <c r="H7" s="35" t="n">
        <v>-37651000000</v>
      </c>
      <c r="I7" s="35" t="n">
        <v>-22024000000</v>
      </c>
      <c r="J7" s="35" t="n">
        <v>-246986000000</v>
      </c>
      <c r="K7" s="35" t="n">
        <v>245503000000</v>
      </c>
      <c r="L7" s="35" t="n">
        <v>290766000000</v>
      </c>
      <c r="M7" s="35" t="n">
        <v>-259299000000</v>
      </c>
      <c r="N7" s="35" t="n">
        <v>0</v>
      </c>
      <c r="O7" s="35" t="n">
        <v>-37651000000</v>
      </c>
      <c r="P7" s="35" t="n">
        <v>-71299000000</v>
      </c>
      <c r="Q7" s="35" t="n">
        <v>56245000000</v>
      </c>
      <c r="R7" s="35" t="n">
        <v>-506943000000</v>
      </c>
      <c r="S7" s="35" t="n">
        <v>499973000000</v>
      </c>
      <c r="T7" s="35" t="n">
        <v>0</v>
      </c>
      <c r="U7" s="35" t="n">
        <v>-3300000000</v>
      </c>
    </row>
    <row r="8">
      <c r="A8" s="34" t="inlineStr">
        <is>
          <t>Tiền thu từ đầu tư, góp vốn vào các đơn vị khác</t>
        </is>
      </c>
      <c r="B8" s="35" t="n">
        <v>31925000000</v>
      </c>
      <c r="C8" s="35" t="n">
        <v>600000000</v>
      </c>
      <c r="D8" s="35" t="n">
        <v>7823000000</v>
      </c>
      <c r="E8" s="35" t="n">
        <v>13291000000</v>
      </c>
      <c r="F8" s="35" t="n">
        <v>271040000000</v>
      </c>
      <c r="G8" s="35" t="n">
        <v>34676000000</v>
      </c>
      <c r="H8" s="35" t="n">
        <v>41568000000</v>
      </c>
      <c r="I8" s="35" t="n">
        <v>2409280000000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4337000000</v>
      </c>
      <c r="O8" s="35" t="n">
        <v>4209000000</v>
      </c>
      <c r="P8" s="35" t="n">
        <v>0</v>
      </c>
      <c r="Q8" s="35" t="n">
        <v>57485000000</v>
      </c>
      <c r="R8" s="35" t="n">
        <v>-57485000000</v>
      </c>
      <c r="S8" s="35" t="n">
        <v>2409280000000</v>
      </c>
      <c r="T8" s="35" t="n">
        <v>490000000</v>
      </c>
      <c r="U8" s="35" t="n">
        <v>1470000000</v>
      </c>
    </row>
    <row r="9">
      <c r="A9" s="34" t="inlineStr">
        <is>
          <t>Tiền thu cổ tức và lợi nhuận được chia từ các khoản đầu tư góp vốn dài hạn</t>
        </is>
      </c>
      <c r="B9" s="35" t="n">
        <v>30178000000</v>
      </c>
      <c r="C9" s="35" t="n">
        <v>78227000000</v>
      </c>
      <c r="D9" s="35" t="n">
        <v>92511000000</v>
      </c>
      <c r="E9" s="35" t="n">
        <v>114835000000</v>
      </c>
      <c r="F9" s="35" t="n">
        <v>131941000000</v>
      </c>
      <c r="G9" s="35" t="n">
        <v>57083000000</v>
      </c>
      <c r="H9" s="35" t="n">
        <v>52643000000</v>
      </c>
      <c r="I9" s="35" t="n">
        <v>59336000000</v>
      </c>
      <c r="J9" s="35" t="n">
        <v>9224000000</v>
      </c>
      <c r="K9" s="35" t="n">
        <v>30843000000</v>
      </c>
      <c r="L9" s="35" t="n">
        <v>2601000000</v>
      </c>
      <c r="M9" s="35" t="n">
        <v>-12490000000</v>
      </c>
      <c r="N9" s="35" t="n">
        <v>-3507000000</v>
      </c>
      <c r="O9" s="35" t="n">
        <v>32861000000</v>
      </c>
      <c r="P9" s="35" t="n">
        <v>40000000</v>
      </c>
      <c r="Q9" s="35" t="n">
        <v>27174000000</v>
      </c>
      <c r="R9" s="35" t="n">
        <v>12470000000</v>
      </c>
      <c r="S9" s="35" t="n">
        <v>19652000000</v>
      </c>
      <c r="T9" s="35" t="n">
        <v>30000000</v>
      </c>
      <c r="U9" s="35" t="n">
        <v>24346000000</v>
      </c>
    </row>
    <row r="10">
      <c r="A10" s="34" t="inlineStr">
        <is>
          <t>Lưu chuyển tiền thuần từ hoạt động đầu tư</t>
        </is>
      </c>
      <c r="B10" s="35" t="n">
        <v>-418045000000</v>
      </c>
      <c r="C10" s="35" t="n">
        <v>-619853000000</v>
      </c>
      <c r="D10" s="35" t="n">
        <v>-718782000000</v>
      </c>
      <c r="E10" s="35" t="n">
        <v>-1123881000000</v>
      </c>
      <c r="F10" s="35" t="n">
        <v>-1443168000000</v>
      </c>
      <c r="G10" s="35" t="n">
        <v>-1605413000000</v>
      </c>
      <c r="H10" s="35" t="n">
        <v>-2238209000000</v>
      </c>
      <c r="I10" s="35" t="n">
        <v>904900000000</v>
      </c>
      <c r="J10" s="35" t="n">
        <v>-295839000000</v>
      </c>
      <c r="K10" s="35" t="n">
        <v>250195000000</v>
      </c>
      <c r="L10" s="35" t="n">
        <v>103236000000</v>
      </c>
      <c r="M10" s="35" t="n">
        <v>-475637000000</v>
      </c>
      <c r="N10" s="35" t="n">
        <v>-528868000000</v>
      </c>
      <c r="O10" s="35" t="n">
        <v>-909022000000</v>
      </c>
      <c r="P10" s="35" t="n">
        <v>-176955000000</v>
      </c>
      <c r="Q10" s="35" t="n">
        <v>-224021000000</v>
      </c>
      <c r="R10" s="35" t="n">
        <v>-776707000000</v>
      </c>
      <c r="S10" s="35" t="n">
        <v>2082583000000</v>
      </c>
      <c r="T10" s="35" t="n">
        <v>-589570000000</v>
      </c>
      <c r="U10" s="35" t="n">
        <v>-142312000000</v>
      </c>
    </row>
    <row r="11">
      <c r="A11" s="34" t="inlineStr">
        <is>
          <t>Tăng vốn cổ phần từ góp vốn và/hoặc phát hành cổ phiếu</t>
        </is>
      </c>
      <c r="B11" s="35" t="n">
        <v>0</v>
      </c>
      <c r="C11" s="35" t="n">
        <v>432090000000</v>
      </c>
      <c r="D11" s="35" t="n">
        <v>1719922000000</v>
      </c>
      <c r="E11" s="35" t="n">
        <v>0</v>
      </c>
      <c r="F11" s="35" t="n">
        <v>0</v>
      </c>
      <c r="G11" s="35" t="n">
        <v>0</v>
      </c>
      <c r="H11" s="35" t="n">
        <v>2160445000000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995438000000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85922000000</v>
      </c>
      <c r="U11" s="35" t="n">
        <v>1087532000000</v>
      </c>
    </row>
    <row r="12">
      <c r="A12" s="34" t="inlineStr">
        <is>
          <t>Cổ tức trả cho cổ đông, lợi nhuận đã chia</t>
        </is>
      </c>
      <c r="B12" s="35" t="n">
        <v>-1092592000000</v>
      </c>
      <c r="C12" s="35" t="n">
        <v>-1304219000000</v>
      </c>
      <c r="D12" s="35" t="n">
        <v>0</v>
      </c>
      <c r="E12" s="35" t="n">
        <v>0</v>
      </c>
      <c r="F12" s="35" t="n">
        <v>0</v>
      </c>
      <c r="G12" s="35" t="n">
        <v>-2266993000000</v>
      </c>
      <c r="H12" s="35" t="n">
        <v>-2806251000000</v>
      </c>
      <c r="I12" s="35" t="n">
        <v>-2072592000000</v>
      </c>
      <c r="J12" s="35" t="n">
        <v>-1089303000000</v>
      </c>
      <c r="K12" s="35" t="n">
        <v>-3289000000</v>
      </c>
      <c r="L12" s="35" t="n">
        <v>0</v>
      </c>
      <c r="M12" s="35" t="n">
        <v>0</v>
      </c>
      <c r="N12" s="35" t="n">
        <v>0</v>
      </c>
      <c r="O12" s="35" t="n">
        <v>-162709000000</v>
      </c>
      <c r="P12" s="35" t="n">
        <v>0</v>
      </c>
      <c r="Q12" s="35" t="n">
        <v>0</v>
      </c>
      <c r="R12" s="35" t="n">
        <v>-2072592000000</v>
      </c>
      <c r="S12" s="35" t="n">
        <v>0</v>
      </c>
      <c r="T12" s="35" t="n">
        <v>0</v>
      </c>
      <c r="U12" s="35" t="n">
        <v>0</v>
      </c>
    </row>
    <row r="13">
      <c r="A13" s="34" t="inlineStr">
        <is>
          <t>Lưu chuyển tiền thuần trong kỳ</t>
        </is>
      </c>
      <c r="B13" s="35" t="n">
        <v>-1092592000000</v>
      </c>
      <c r="C13" s="35" t="n">
        <v>-1908841000000</v>
      </c>
      <c r="D13" s="35" t="n">
        <v>2292984000000</v>
      </c>
      <c r="E13" s="35" t="n">
        <v>0</v>
      </c>
      <c r="F13" s="35" t="n">
        <v>2120000000000</v>
      </c>
      <c r="G13" s="35" t="n">
        <v>1182007000000</v>
      </c>
      <c r="H13" s="35" t="n">
        <v>8759748000000</v>
      </c>
      <c r="I13" s="35" t="n">
        <v>3957417000000</v>
      </c>
      <c r="J13" s="35" t="n">
        <v>-1089303000000</v>
      </c>
      <c r="K13" s="35" t="n">
        <v>-3289000000</v>
      </c>
      <c r="L13" s="35" t="n">
        <v>0</v>
      </c>
      <c r="M13" s="35" t="n">
        <v>0</v>
      </c>
      <c r="N13" s="35" t="n">
        <v>395103000000</v>
      </c>
      <c r="O13" s="35" t="n">
        <v>4992180000000</v>
      </c>
      <c r="P13" s="35" t="n">
        <v>2198563000000</v>
      </c>
      <c r="Q13" s="35" t="n">
        <v>3500000000000</v>
      </c>
      <c r="R13" s="35" t="n">
        <v>2072408000000</v>
      </c>
      <c r="S13" s="35" t="n">
        <v>-3813554000000</v>
      </c>
      <c r="T13" s="35" t="n">
        <v>-3712641000000</v>
      </c>
      <c r="U13" s="35" t="n">
        <v>5736532000000</v>
      </c>
    </row>
    <row r="14">
      <c r="A14" s="34" t="inlineStr">
        <is>
          <t>Tiền và các khoản tương đương tiền tài thời điểm đầu kỳ</t>
        </is>
      </c>
      <c r="B14" s="35" t="n">
        <v>46554069000000</v>
      </c>
      <c r="C14" s="35" t="n">
        <v>47648084000000</v>
      </c>
      <c r="D14" s="35" t="n">
        <v>46012273000000</v>
      </c>
      <c r="E14" s="35" t="n">
        <v>62326334000000</v>
      </c>
      <c r="F14" s="35" t="n">
        <v>65670751000000</v>
      </c>
      <c r="G14" s="35" t="n">
        <v>68223912000000</v>
      </c>
      <c r="H14" s="35" t="n">
        <v>109095118000000</v>
      </c>
      <c r="I14" s="35" t="n">
        <v>97040273000000</v>
      </c>
      <c r="J14" s="35" t="n">
        <v>46554069000000</v>
      </c>
      <c r="K14" s="35" t="n">
        <v>34560320000000</v>
      </c>
      <c r="L14" s="35" t="n">
        <v>41860709000000</v>
      </c>
      <c r="M14" s="35" t="n">
        <v>41530209000000</v>
      </c>
      <c r="N14" s="35" t="n">
        <v>98166725000000</v>
      </c>
      <c r="O14" s="35" t="n">
        <v>77542854000000</v>
      </c>
      <c r="P14" s="35" t="n">
        <v>97040275000000</v>
      </c>
      <c r="Q14" s="35" t="n">
        <v>72986872000000</v>
      </c>
      <c r="R14" s="35" t="n">
        <v>103854400000000</v>
      </c>
      <c r="S14" s="35" t="n">
        <v>115555146000000</v>
      </c>
      <c r="T14" s="35" t="n">
        <v>239259989000000</v>
      </c>
      <c r="U14" s="35" t="n">
        <v>169985930000000</v>
      </c>
    </row>
    <row r="15">
      <c r="A15" s="34" t="inlineStr">
        <is>
          <t>Điều chỉnh ảnh hưởng của thay đổi tỷ giá</t>
        </is>
      </c>
      <c r="B15" s="35" t="n">
        <v>0</v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0</v>
      </c>
      <c r="H15" s="35" t="n">
        <v>0</v>
      </c>
      <c r="I15" s="35" t="n">
        <v>0</v>
      </c>
      <c r="J15" s="35" t="n">
        <v>0</v>
      </c>
      <c r="K15" s="35" t="n">
        <v>0</v>
      </c>
      <c r="L15" s="35" t="n">
        <v>0</v>
      </c>
      <c r="M15" s="35" t="n">
        <v>0</v>
      </c>
      <c r="N15" s="35" t="n">
        <v>0</v>
      </c>
      <c r="O15" s="35" t="n">
        <v>0</v>
      </c>
      <c r="P15" s="35" t="n">
        <v>0</v>
      </c>
      <c r="Q15" s="35" t="n">
        <v>0</v>
      </c>
      <c r="R15" s="35" t="n">
        <v>-2000000</v>
      </c>
      <c r="S15" s="35" t="n">
        <v>0</v>
      </c>
      <c r="T15" s="35" t="n">
        <v>0</v>
      </c>
      <c r="U15" s="35" t="n">
        <v>0</v>
      </c>
    </row>
    <row r="16">
      <c r="A16" s="34" t="inlineStr">
        <is>
          <t>Tiền và các khoản tương đương tiền tại thời điểm cuối kỳ</t>
        </is>
      </c>
      <c r="B16" s="35" t="n">
        <v>47648084000000</v>
      </c>
      <c r="C16" s="35" t="n">
        <v>46012273000000</v>
      </c>
      <c r="D16" s="35" t="n">
        <v>62326334000000</v>
      </c>
      <c r="E16" s="35" t="n">
        <v>65670751000000</v>
      </c>
      <c r="F16" s="35" t="n">
        <v>68223912000000</v>
      </c>
      <c r="G16" s="35" t="n">
        <v>109095118000000</v>
      </c>
      <c r="H16" s="35" t="n">
        <v>97040273000000</v>
      </c>
      <c r="I16" s="35" t="n">
        <v>239259989000000</v>
      </c>
      <c r="J16" s="35" t="n">
        <v>34560320000000</v>
      </c>
      <c r="K16" s="35" t="n">
        <v>41860709000000</v>
      </c>
      <c r="L16" s="35" t="n">
        <v>41530209000000</v>
      </c>
      <c r="M16" s="35" t="n">
        <v>47648084000000</v>
      </c>
      <c r="N16" s="35" t="n">
        <v>77542854000000</v>
      </c>
      <c r="O16" s="35" t="n">
        <v>97040273000000</v>
      </c>
      <c r="P16" s="35" t="n">
        <v>72986872000000</v>
      </c>
      <c r="Q16" s="35" t="n">
        <v>103854400000000</v>
      </c>
      <c r="R16" s="35" t="n">
        <v>115555146000000</v>
      </c>
      <c r="S16" s="35" t="n">
        <v>239259989000000</v>
      </c>
      <c r="T16" s="35" t="n">
        <v>169985930000000</v>
      </c>
      <c r="U16" s="35" t="n">
        <v>187350187000000</v>
      </c>
    </row>
    <row r="17">
      <c r="A17" s="34" t="inlineStr">
        <is>
          <t>Tiền thuế thu nhập thực nộp trong kỳ</t>
        </is>
      </c>
      <c r="B17" s="35" t="n">
        <v>-1450167000000</v>
      </c>
      <c r="C17" s="35" t="n">
        <v>-1812234000000</v>
      </c>
      <c r="D17" s="35" t="n">
        <v>-2037888000000</v>
      </c>
      <c r="E17" s="35" t="n">
        <v>-2962863000000</v>
      </c>
      <c r="F17" s="35" t="n">
        <v>-2372089000000</v>
      </c>
      <c r="G17" s="35" t="n">
        <v>-5078090000000</v>
      </c>
      <c r="H17" s="35" t="n">
        <v>-6021975000000</v>
      </c>
      <c r="I17" s="35" t="n">
        <v>-6517907000000</v>
      </c>
      <c r="J17" s="35" t="n">
        <v>-224330000000</v>
      </c>
      <c r="K17" s="35" t="n">
        <v>-399860000000</v>
      </c>
      <c r="L17" s="35" t="n">
        <v>-389541000000</v>
      </c>
      <c r="M17" s="35" t="n">
        <v>-436435000000</v>
      </c>
      <c r="N17" s="35" t="n">
        <v>-1524703000000</v>
      </c>
      <c r="O17" s="35" t="n">
        <v>-18509000000</v>
      </c>
      <c r="P17" s="35" t="n">
        <v>-3213906000000</v>
      </c>
      <c r="Q17" s="35" t="n">
        <v>-912311000000</v>
      </c>
      <c r="R17" s="35" t="n">
        <v>-937586000000</v>
      </c>
      <c r="S17" s="35" t="n">
        <v>-1454104000000</v>
      </c>
      <c r="T17" s="35" t="n">
        <v>-3908383000000</v>
      </c>
      <c r="U17" s="35" t="n">
        <v>-1897221000000</v>
      </c>
    </row>
    <row r="18">
      <c r="A18" s="34" t="inlineStr">
        <is>
          <t>Tiền gửi tại NHNN</t>
        </is>
      </c>
      <c r="B18" s="35" t="n">
        <v>0</v>
      </c>
      <c r="C18" s="35" t="n">
        <v>0</v>
      </c>
      <c r="D18" s="35" t="n">
        <v>0</v>
      </c>
      <c r="E18" s="35" t="n">
        <v>0</v>
      </c>
      <c r="F18" s="35" t="n">
        <v>0</v>
      </c>
      <c r="G18" s="35" t="n">
        <v>0</v>
      </c>
      <c r="H18" s="35" t="n">
        <v>0</v>
      </c>
      <c r="I18" s="35" t="n">
        <v>0</v>
      </c>
      <c r="J18" s="35" t="n">
        <v>0</v>
      </c>
      <c r="K18" s="35" t="n">
        <v>0</v>
      </c>
      <c r="L18" s="35" t="n">
        <v>0</v>
      </c>
      <c r="M18" s="35" t="n">
        <v>0</v>
      </c>
      <c r="N18" s="35" t="n">
        <v>0</v>
      </c>
      <c r="O18" s="35" t="n">
        <v>0</v>
      </c>
      <c r="P18" s="35" t="n">
        <v>0</v>
      </c>
      <c r="Q18" s="35" t="n">
        <v>0</v>
      </c>
      <c r="R18" s="35" t="n">
        <v>0</v>
      </c>
      <c r="S18" s="35" t="n">
        <v>0</v>
      </c>
      <c r="T18" s="35" t="n">
        <v>0</v>
      </c>
      <c r="U18" s="35" t="n">
        <v>0</v>
      </c>
    </row>
    <row r="19">
      <c r="A19" s="34" t="inlineStr">
        <is>
          <t>Tăng/giảm các khoản tiền gửi và cho vay các tổ chức tín dụng khác</t>
        </is>
      </c>
      <c r="B19" s="35" t="n">
        <v>5770848000000</v>
      </c>
      <c r="C19" s="35" t="n">
        <v>-672364000000</v>
      </c>
      <c r="D19" s="35" t="n">
        <v>4598359000000</v>
      </c>
      <c r="E19" s="35" t="n">
        <v>-5951475000000</v>
      </c>
      <c r="F19" s="35" t="n">
        <v>3807045000000</v>
      </c>
      <c r="G19" s="35" t="n">
        <v>861466000000</v>
      </c>
      <c r="H19" s="35" t="n">
        <v>-5674464000000</v>
      </c>
      <c r="I19" s="35" t="n">
        <v>-4207414000000</v>
      </c>
      <c r="J19" s="35" t="n">
        <v>5496228000000</v>
      </c>
      <c r="K19" s="35" t="n">
        <v>-5773517000000</v>
      </c>
      <c r="L19" s="35" t="n">
        <v>1721413000000</v>
      </c>
      <c r="M19" s="35" t="n">
        <v>4326724000000</v>
      </c>
      <c r="N19" s="35" t="n">
        <v>-6396000000</v>
      </c>
      <c r="O19" s="35" t="n">
        <v>1401774000000</v>
      </c>
      <c r="P19" s="35" t="n">
        <v>1821992000000</v>
      </c>
      <c r="Q19" s="35" t="n">
        <v>-1645199000000</v>
      </c>
      <c r="R19" s="35" t="n">
        <v>-1958140000000</v>
      </c>
      <c r="S19" s="35" t="n">
        <v>-2426067000000</v>
      </c>
      <c r="T19" s="35" t="n">
        <v>912902000000</v>
      </c>
      <c r="U19" s="35" t="n">
        <v>-3655677000000</v>
      </c>
    </row>
    <row r="20">
      <c r="A20" s="34" t="inlineStr">
        <is>
          <t>Tăng/giảm các khoản về kinh doanh chứng khoán</t>
        </is>
      </c>
      <c r="B20" s="35" t="n">
        <v>-20796665000000</v>
      </c>
      <c r="C20" s="35" t="n">
        <v>-12443909000000</v>
      </c>
      <c r="D20" s="35" t="n">
        <v>-16134144000000</v>
      </c>
      <c r="E20" s="35" t="n">
        <v>-33560038000000</v>
      </c>
      <c r="F20" s="35" t="n">
        <v>-27277350000000</v>
      </c>
      <c r="G20" s="35" t="n">
        <v>-28561040000000</v>
      </c>
      <c r="H20" s="35" t="n">
        <v>-25402231000000</v>
      </c>
      <c r="I20" s="35" t="n">
        <v>-12447917000000</v>
      </c>
      <c r="J20" s="35" t="n">
        <v>-1256586000000</v>
      </c>
      <c r="K20" s="35" t="n">
        <v>-1354544000000</v>
      </c>
      <c r="L20" s="35" t="n">
        <v>-9436268000000</v>
      </c>
      <c r="M20" s="35" t="n">
        <v>-8969852000000</v>
      </c>
      <c r="N20" s="35" t="n">
        <v>-32249988000000</v>
      </c>
      <c r="O20" s="35" t="n">
        <v>-5727089000000</v>
      </c>
      <c r="P20" s="35" t="n">
        <v>-35198440000000</v>
      </c>
      <c r="Q20" s="35" t="n">
        <v>-14299479000000</v>
      </c>
      <c r="R20" s="35" t="n">
        <v>27644153000000</v>
      </c>
      <c r="S20" s="35" t="n">
        <v>9405849000000</v>
      </c>
      <c r="T20" s="35" t="n">
        <v>-37984519000000</v>
      </c>
      <c r="U20" s="35" t="n">
        <v>12277858000000</v>
      </c>
    </row>
    <row r="21">
      <c r="A21" s="34" t="inlineStr">
        <is>
          <t>Tăng/giảm các công cụ tài chính phái sinh và các tài sản tài chính khác</t>
        </is>
      </c>
      <c r="B21" s="35" t="n">
        <v>121592000000</v>
      </c>
      <c r="C21" s="35" t="n">
        <v>-14836000000</v>
      </c>
      <c r="D21" s="35" t="n">
        <v>-22270000000</v>
      </c>
      <c r="E21" s="35" t="n">
        <v>-237188000000</v>
      </c>
      <c r="F21" s="35" t="n">
        <v>204791000000</v>
      </c>
      <c r="G21" s="35" t="n">
        <v>-71791000000</v>
      </c>
      <c r="H21" s="35" t="n">
        <v>141294000000</v>
      </c>
      <c r="I21" s="35" t="n">
        <v>0</v>
      </c>
      <c r="J21" s="35" t="n">
        <v>-25306000000</v>
      </c>
      <c r="K21" s="35" t="n">
        <v>146898000000</v>
      </c>
      <c r="L21" s="35" t="n">
        <v>0</v>
      </c>
      <c r="M21" s="35" t="n">
        <v>-36032000000</v>
      </c>
      <c r="N21" s="35" t="n">
        <v>-111681000000</v>
      </c>
      <c r="O21" s="35" t="n">
        <v>111681000000</v>
      </c>
      <c r="P21" s="35" t="n">
        <v>0</v>
      </c>
      <c r="Q21" s="35" t="n">
        <v>0</v>
      </c>
      <c r="R21" s="35" t="n">
        <v>0</v>
      </c>
      <c r="S21" s="35" t="n">
        <v>0</v>
      </c>
      <c r="T21" s="35" t="n">
        <v>0</v>
      </c>
      <c r="U21" s="35" t="n">
        <v>0</v>
      </c>
    </row>
    <row r="22">
      <c r="A22" s="34" t="inlineStr">
        <is>
          <t>Tăng/giảm các khoản cho vay khách hàng</t>
        </is>
      </c>
      <c r="B22" s="35" t="n">
        <v>-30497815000000</v>
      </c>
      <c r="C22" s="35" t="n">
        <v>-35644665000000</v>
      </c>
      <c r="D22" s="35" t="n">
        <v>-47966360000000</v>
      </c>
      <c r="E22" s="35" t="n">
        <v>-65261380000000</v>
      </c>
      <c r="F22" s="35" t="n">
        <v>-98036017000000</v>
      </c>
      <c r="G22" s="35" t="n">
        <v>-151303313000000</v>
      </c>
      <c r="H22" s="35" t="n">
        <v>-164801515000000</v>
      </c>
      <c r="I22" s="35" t="n">
        <v>-308785476000000</v>
      </c>
      <c r="J22" s="35" t="n">
        <v>-9557581000000</v>
      </c>
      <c r="K22" s="35" t="n">
        <v>-11083392000000</v>
      </c>
      <c r="L22" s="35" t="n">
        <v>-55760000000</v>
      </c>
      <c r="M22" s="35" t="n">
        <v>-9801082000000</v>
      </c>
      <c r="N22" s="35" t="n">
        <v>-27973034000000</v>
      </c>
      <c r="O22" s="35" t="n">
        <v>-74476235000000</v>
      </c>
      <c r="P22" s="35" t="n">
        <v>-20361143000000</v>
      </c>
      <c r="Q22" s="35" t="n">
        <v>-84488487000000</v>
      </c>
      <c r="R22" s="35" t="n">
        <v>-51498439000000</v>
      </c>
      <c r="S22" s="35" t="n">
        <v>-152437407000000</v>
      </c>
      <c r="T22" s="35" t="n">
        <v>-36365066000000</v>
      </c>
      <c r="U22" s="35" t="n">
        <v>-106952430000000</v>
      </c>
    </row>
    <row r="23">
      <c r="A23" s="34" t="inlineStr">
        <is>
          <t>(Tăng)/Giảm lãi, phí phải thu</t>
        </is>
      </c>
      <c r="B23" s="35" t="n">
        <v>0</v>
      </c>
      <c r="C23" s="35" t="n">
        <v>0</v>
      </c>
      <c r="D23" s="35" t="n">
        <v>0</v>
      </c>
      <c r="E23" s="35" t="n">
        <v>0</v>
      </c>
      <c r="F23" s="35" t="n">
        <v>0</v>
      </c>
      <c r="G23" s="35" t="n">
        <v>0</v>
      </c>
      <c r="H23" s="35" t="n">
        <v>0</v>
      </c>
      <c r="I23" s="35" t="n">
        <v>0</v>
      </c>
      <c r="J23" s="35" t="n">
        <v>0</v>
      </c>
      <c r="K23" s="35" t="n">
        <v>0</v>
      </c>
      <c r="L23" s="35" t="n">
        <v>0</v>
      </c>
      <c r="M23" s="35" t="n">
        <v>0</v>
      </c>
      <c r="N23" s="35" t="n">
        <v>0</v>
      </c>
      <c r="O23" s="35" t="n">
        <v>0</v>
      </c>
      <c r="P23" s="35" t="n">
        <v>0</v>
      </c>
      <c r="Q23" s="35" t="n">
        <v>0</v>
      </c>
      <c r="R23" s="35" t="n">
        <v>0</v>
      </c>
      <c r="S23" s="35" t="n">
        <v>0</v>
      </c>
      <c r="T23" s="35" t="n">
        <v>0</v>
      </c>
      <c r="U23" s="35" t="n">
        <v>0</v>
      </c>
    </row>
    <row r="24">
      <c r="A24" s="34" t="inlineStr">
        <is>
          <t>Tăng/giảm nguồn dự phòng để bù đắp tổn thất các khoản</t>
        </is>
      </c>
      <c r="B24" s="35" t="n">
        <v>-2599755000000</v>
      </c>
      <c r="C24" s="35" t="n">
        <v>-4932063000000</v>
      </c>
      <c r="D24" s="35" t="n">
        <v>-5413888000000</v>
      </c>
      <c r="E24" s="35" t="n">
        <v>-3582679000000</v>
      </c>
      <c r="F24" s="35" t="n">
        <v>-4506424000000</v>
      </c>
      <c r="G24" s="35" t="n">
        <v>-6633346000000</v>
      </c>
      <c r="H24" s="35" t="n">
        <v>-9431151000000</v>
      </c>
      <c r="I24" s="35" t="n">
        <v>-12320520000000</v>
      </c>
      <c r="J24" s="35" t="n">
        <v>-345162000000</v>
      </c>
      <c r="K24" s="35" t="n">
        <v>-642875000000</v>
      </c>
      <c r="L24" s="35" t="n">
        <v>-150427000000</v>
      </c>
      <c r="M24" s="35" t="n">
        <v>-1478610000000</v>
      </c>
      <c r="N24" s="35" t="n">
        <v>-2080869000000</v>
      </c>
      <c r="O24" s="35" t="n">
        <v>-2337258000000</v>
      </c>
      <c r="P24" s="35" t="n">
        <v>-3591250000000</v>
      </c>
      <c r="Q24" s="35" t="n">
        <v>-3282126000000</v>
      </c>
      <c r="R24" s="35" t="n">
        <v>-2580531000000</v>
      </c>
      <c r="S24" s="35" t="n">
        <v>-2866613000000</v>
      </c>
      <c r="T24" s="35" t="n">
        <v>-1892559000000</v>
      </c>
      <c r="U24" s="35" t="n">
        <v>-2292201000000</v>
      </c>
    </row>
    <row r="25">
      <c r="A25" s="34" t="inlineStr">
        <is>
          <t>Tăng/giảm khác về tài sản hoạt động</t>
        </is>
      </c>
      <c r="B25" s="35" t="n">
        <v>-1619797000000</v>
      </c>
      <c r="C25" s="35" t="n">
        <v>-1334331000000</v>
      </c>
      <c r="D25" s="35" t="n">
        <v>-8159583000000</v>
      </c>
      <c r="E25" s="35" t="n">
        <v>-7273743000000</v>
      </c>
      <c r="F25" s="35" t="n">
        <v>1408610000000</v>
      </c>
      <c r="G25" s="35" t="n">
        <v>6157578000000</v>
      </c>
      <c r="H25" s="35" t="n">
        <v>613065000000</v>
      </c>
      <c r="I25" s="35" t="n">
        <v>-15394909000000</v>
      </c>
      <c r="J25" s="35" t="n">
        <v>-9123668000000</v>
      </c>
      <c r="K25" s="35" t="n">
        <v>7821536000000</v>
      </c>
      <c r="L25" s="35" t="n">
        <v>-3246230000000</v>
      </c>
      <c r="M25" s="35" t="n">
        <v>3164126000000</v>
      </c>
      <c r="N25" s="35" t="n">
        <v>580625000000</v>
      </c>
      <c r="O25" s="35" t="n">
        <v>-2139712000000</v>
      </c>
      <c r="P25" s="35" t="n">
        <v>3504537000000</v>
      </c>
      <c r="Q25" s="35" t="n">
        <v>-1980444000000</v>
      </c>
      <c r="R25" s="35" t="n">
        <v>-2356306000000</v>
      </c>
      <c r="S25" s="35" t="n">
        <v>-14562696000000</v>
      </c>
      <c r="T25" s="35" t="n">
        <v>9691642000000</v>
      </c>
      <c r="U25" s="35" t="n">
        <v>-7312851000000</v>
      </c>
    </row>
    <row r="26">
      <c r="A26" s="34" t="inlineStr">
        <is>
          <t>Tăng/(Giảm) các khoản nợ chính phủ và NHNN</t>
        </is>
      </c>
      <c r="B26" s="35" t="n">
        <v>0</v>
      </c>
      <c r="C26" s="35" t="n">
        <v>0</v>
      </c>
      <c r="D26" s="35" t="n">
        <v>0</v>
      </c>
      <c r="E26" s="35" t="n">
        <v>0</v>
      </c>
      <c r="F26" s="35" t="n">
        <v>-230493000000</v>
      </c>
      <c r="G26" s="35" t="n">
        <v>-23051000000</v>
      </c>
      <c r="H26" s="35" t="n">
        <v>8147547000000</v>
      </c>
      <c r="I26" s="35" t="n">
        <v>39318515000000</v>
      </c>
      <c r="J26" s="35" t="n">
        <v>2587794000000</v>
      </c>
      <c r="K26" s="35" t="n">
        <v>-1453793000000</v>
      </c>
      <c r="L26" s="35" t="n">
        <v>-903858000000</v>
      </c>
      <c r="M26" s="35" t="n">
        <v>554872000000</v>
      </c>
      <c r="N26" s="35" t="n">
        <v>-2357255000000</v>
      </c>
      <c r="O26" s="35" t="n">
        <v>3109297000000</v>
      </c>
      <c r="P26" s="35" t="n">
        <v>-2661864000000</v>
      </c>
      <c r="Q26" s="35" t="n">
        <v>15399643000000</v>
      </c>
      <c r="R26" s="35" t="n">
        <v>2261264000000</v>
      </c>
      <c r="S26" s="35" t="n">
        <v>24319472000000</v>
      </c>
      <c r="T26" s="35" t="n">
        <v>-19128301000000</v>
      </c>
      <c r="U26" s="35" t="n">
        <v>-5772397000000</v>
      </c>
    </row>
    <row r="27">
      <c r="A27" s="34" t="inlineStr">
        <is>
          <t>Tăng/(Giảm) các khoản tiền gửi và vay các TCTD khác</t>
        </is>
      </c>
      <c r="B27" s="35" t="n">
        <v>14369725000000</v>
      </c>
      <c r="C27" s="35" t="n">
        <v>-10156829000000</v>
      </c>
      <c r="D27" s="35" t="n">
        <v>562420000000</v>
      </c>
      <c r="E27" s="35" t="n">
        <v>8683912000000</v>
      </c>
      <c r="F27" s="35" t="n">
        <v>5556395000000</v>
      </c>
      <c r="G27" s="35" t="n">
        <v>34693687000000</v>
      </c>
      <c r="H27" s="35" t="n">
        <v>10359119000000</v>
      </c>
      <c r="I27" s="35" t="n">
        <v>137847904000000</v>
      </c>
      <c r="J27" s="35" t="n">
        <v>-9686068000000</v>
      </c>
      <c r="K27" s="35" t="n">
        <v>9692509000000</v>
      </c>
      <c r="L27" s="35" t="n">
        <v>12587232000000</v>
      </c>
      <c r="M27" s="35" t="n">
        <v>1776052000000</v>
      </c>
      <c r="N27" s="35" t="n">
        <v>14385927000000</v>
      </c>
      <c r="O27" s="35" t="n">
        <v>-8390013000000</v>
      </c>
      <c r="P27" s="35" t="n">
        <v>-1153902000000</v>
      </c>
      <c r="Q27" s="35" t="n">
        <v>21915260000000</v>
      </c>
      <c r="R27" s="35" t="n">
        <v>23394427000000</v>
      </c>
      <c r="S27" s="35" t="n">
        <v>93692119000000</v>
      </c>
      <c r="T27" s="35" t="n">
        <v>8873986000000</v>
      </c>
      <c r="U27" s="35" t="n">
        <v>28717244000000</v>
      </c>
    </row>
    <row r="28">
      <c r="A28" s="34" t="inlineStr">
        <is>
          <t>Tăng/(Giảm) tiền gửi của khách hàng</t>
        </is>
      </c>
      <c r="B28" s="35" t="n">
        <v>20573308000000</v>
      </c>
      <c r="C28" s="35" t="n">
        <v>30129137000000</v>
      </c>
      <c r="D28" s="35" t="n">
        <v>38249389000000</v>
      </c>
      <c r="E28" s="35" t="n">
        <v>73978699000000</v>
      </c>
      <c r="F28" s="35" t="n">
        <v>58913483000000</v>
      </c>
      <c r="G28" s="35" t="n">
        <v>123926939000000</v>
      </c>
      <c r="H28" s="35" t="n">
        <v>146621902000000</v>
      </c>
      <c r="I28" s="35" t="n">
        <v>207213653000000</v>
      </c>
      <c r="J28" s="35" t="n">
        <v>6841832000000</v>
      </c>
      <c r="K28" s="35" t="n">
        <v>7778216000000</v>
      </c>
      <c r="L28" s="35" t="n">
        <v>-2157634000000</v>
      </c>
      <c r="M28" s="35" t="n">
        <v>7325879000000</v>
      </c>
      <c r="N28" s="35" t="n">
        <v>8949715000000</v>
      </c>
      <c r="O28" s="35" t="n">
        <v>86587126000000</v>
      </c>
      <c r="P28" s="35" t="n">
        <v>8467971000000</v>
      </c>
      <c r="Q28" s="35" t="n">
        <v>60669458000000</v>
      </c>
      <c r="R28" s="35" t="n">
        <v>4738420000000</v>
      </c>
      <c r="S28" s="35" t="n">
        <v>133337804000000</v>
      </c>
      <c r="T28" s="35" t="n">
        <v>-15449800000000</v>
      </c>
      <c r="U28" s="35" t="n">
        <v>57897025000000</v>
      </c>
    </row>
    <row r="29">
      <c r="A29" s="34" t="inlineStr">
        <is>
          <t>Tăng/(Giảm) các công cụ tài chính phái sinh và các khoản nợ tài chính khác</t>
        </is>
      </c>
      <c r="B29" s="35" t="n">
        <v>5634000000</v>
      </c>
      <c r="C29" s="35" t="n">
        <v>-5634000000</v>
      </c>
      <c r="D29" s="35" t="n">
        <v>0</v>
      </c>
      <c r="E29" s="35" t="n">
        <v>0</v>
      </c>
      <c r="F29" s="35" t="n">
        <v>0</v>
      </c>
      <c r="G29" s="35" t="n">
        <v>0</v>
      </c>
      <c r="H29" s="35" t="n">
        <v>191545000000</v>
      </c>
      <c r="I29" s="35" t="n">
        <v>506962000000</v>
      </c>
      <c r="J29" s="35" t="n">
        <v>0</v>
      </c>
      <c r="K29" s="35" t="n">
        <v>144000000</v>
      </c>
      <c r="L29" s="35" t="n">
        <v>11293000000</v>
      </c>
      <c r="M29" s="35" t="n">
        <v>30229000000</v>
      </c>
      <c r="N29" s="35" t="n">
        <v>-1076174000000</v>
      </c>
      <c r="O29" s="35" t="n">
        <v>191545000000</v>
      </c>
      <c r="P29" s="35" t="n">
        <v>334598000000</v>
      </c>
      <c r="Q29" s="35" t="n">
        <v>316727000000</v>
      </c>
      <c r="R29" s="35" t="n">
        <v>385375000000</v>
      </c>
      <c r="S29" s="35" t="n">
        <v>-529738000000</v>
      </c>
      <c r="T29" s="35" t="n">
        <v>-37183000000</v>
      </c>
      <c r="U29" s="35" t="n">
        <v>-89935000000</v>
      </c>
    </row>
    <row r="30">
      <c r="A30" s="34" t="inlineStr">
        <is>
          <t>Tăng/(Giảm) vốn tài trợ, uỷ thác đầu tư của chính phủ và các TCTD khác</t>
        </is>
      </c>
      <c r="B30" s="35" t="n">
        <v>22964000000</v>
      </c>
      <c r="C30" s="35" t="n">
        <v>-17837000000</v>
      </c>
      <c r="D30" s="35" t="n">
        <v>-94786000000</v>
      </c>
      <c r="E30" s="35" t="n">
        <v>1791362000000</v>
      </c>
      <c r="F30" s="35" t="n">
        <v>4019000000</v>
      </c>
      <c r="G30" s="35" t="n">
        <v>797141000000</v>
      </c>
      <c r="H30" s="35" t="n">
        <v>-6410000000</v>
      </c>
      <c r="I30" s="35" t="n">
        <v>1119380000000</v>
      </c>
      <c r="J30" s="35" t="n">
        <v>-30712000000</v>
      </c>
      <c r="K30" s="35" t="n">
        <v>9334000000</v>
      </c>
      <c r="L30" s="35" t="n">
        <v>9780000000</v>
      </c>
      <c r="M30" s="35" t="n">
        <v>34562000000</v>
      </c>
      <c r="N30" s="35" t="n">
        <v>52404000000</v>
      </c>
      <c r="O30" s="35" t="n">
        <v>-558529000000</v>
      </c>
      <c r="P30" s="35" t="n">
        <v>209619000000</v>
      </c>
      <c r="Q30" s="35" t="n">
        <v>279164000000</v>
      </c>
      <c r="R30" s="35" t="n">
        <v>766481000000</v>
      </c>
      <c r="S30" s="35" t="n">
        <v>-135884000000</v>
      </c>
      <c r="T30" s="35" t="n">
        <v>-665818000000</v>
      </c>
      <c r="U30" s="35" t="n">
        <v>-959486000000</v>
      </c>
    </row>
    <row r="31">
      <c r="A31" s="34" t="inlineStr">
        <is>
          <t>Tăng/(Giảm) phát hành giấy tờ có giá</t>
        </is>
      </c>
      <c r="B31" s="35" t="n">
        <v>5135416000000</v>
      </c>
      <c r="C31" s="35" t="n">
        <v>15130991000000</v>
      </c>
      <c r="D31" s="35" t="n">
        <v>24634934000000</v>
      </c>
      <c r="E31" s="35" t="n">
        <v>15963361000000</v>
      </c>
      <c r="F31" s="35" t="n">
        <v>27571201000000</v>
      </c>
      <c r="G31" s="35" t="n">
        <v>26435985000000</v>
      </c>
      <c r="H31" s="35" t="n">
        <v>-6904631000000</v>
      </c>
      <c r="I31" s="35" t="n">
        <v>52242062000000</v>
      </c>
      <c r="J31" s="35" t="n">
        <v>101959000000</v>
      </c>
      <c r="K31" s="35" t="n">
        <v>-36206000000</v>
      </c>
      <c r="L31" s="35" t="n">
        <v>6197000000</v>
      </c>
      <c r="M31" s="35" t="n">
        <v>5063466000000</v>
      </c>
      <c r="N31" s="35" t="n">
        <v>19756034000000</v>
      </c>
      <c r="O31" s="35" t="n">
        <v>5253611000000</v>
      </c>
      <c r="P31" s="35" t="n">
        <v>15434518000000</v>
      </c>
      <c r="Q31" s="35" t="n">
        <v>20170063000000</v>
      </c>
      <c r="R31" s="35" t="n">
        <v>-2801325000000</v>
      </c>
      <c r="S31" s="35" t="n">
        <v>19438806000000</v>
      </c>
      <c r="T31" s="35" t="n">
        <v>25378912000000</v>
      </c>
      <c r="U31" s="35" t="n">
        <v>20038509000000</v>
      </c>
    </row>
    <row r="32">
      <c r="A32" s="34" t="inlineStr">
        <is>
          <t>Tăng/(Giảm) lãi, phí phải trả</t>
        </is>
      </c>
      <c r="B32" s="35" t="n">
        <v>0</v>
      </c>
      <c r="C32" s="35" t="n">
        <v>0</v>
      </c>
      <c r="D32" s="35" t="n">
        <v>0</v>
      </c>
      <c r="E32" s="35" t="n">
        <v>0</v>
      </c>
      <c r="F32" s="35" t="n">
        <v>0</v>
      </c>
      <c r="G32" s="35" t="n">
        <v>0</v>
      </c>
      <c r="H32" s="35" t="n">
        <v>0</v>
      </c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  <c r="N32" s="35" t="n">
        <v>0</v>
      </c>
      <c r="O32" s="35" t="n">
        <v>0</v>
      </c>
      <c r="P32" s="35" t="n">
        <v>0</v>
      </c>
      <c r="Q32" s="35" t="n">
        <v>0</v>
      </c>
      <c r="R32" s="35" t="n">
        <v>0</v>
      </c>
      <c r="S32" s="35" t="n">
        <v>0</v>
      </c>
      <c r="T32" s="35" t="n">
        <v>0</v>
      </c>
      <c r="U32" s="35" t="n">
        <v>0</v>
      </c>
    </row>
    <row r="33">
      <c r="A33" s="34" t="inlineStr">
        <is>
          <t>Tăng/(Giảm) khác về công nợ hoạt động</t>
        </is>
      </c>
      <c r="B33" s="35" t="n">
        <v>3200653000000</v>
      </c>
      <c r="C33" s="35" t="n">
        <v>6074593000000</v>
      </c>
      <c r="D33" s="35" t="n">
        <v>9388187000000</v>
      </c>
      <c r="E33" s="35" t="n">
        <v>-892760000000</v>
      </c>
      <c r="F33" s="35" t="n">
        <v>5614874000000</v>
      </c>
      <c r="G33" s="35" t="n">
        <v>3929292000000</v>
      </c>
      <c r="H33" s="35" t="n">
        <v>-2046061000000</v>
      </c>
      <c r="I33" s="35" t="n">
        <v>13171979000000</v>
      </c>
      <c r="J33" s="35" t="n">
        <v>1082427000000</v>
      </c>
      <c r="K33" s="35" t="n">
        <v>453989000000</v>
      </c>
      <c r="L33" s="35" t="n">
        <v>-556865000000</v>
      </c>
      <c r="M33" s="35" t="n">
        <v>2221102000000</v>
      </c>
      <c r="N33" s="35" t="n">
        <v>-4902492000000</v>
      </c>
      <c r="O33" s="35" t="n">
        <v>-92644000000</v>
      </c>
      <c r="P33" s="35" t="n">
        <v>-166948000000</v>
      </c>
      <c r="Q33" s="35" t="n">
        <v>3243460000000</v>
      </c>
      <c r="R33" s="35" t="n">
        <v>2810161000000</v>
      </c>
      <c r="S33" s="35" t="n">
        <v>7285306000000</v>
      </c>
      <c r="T33" s="35" t="n">
        <v>-5957780000000</v>
      </c>
      <c r="U33" s="35" t="n">
        <v>4391922000000</v>
      </c>
    </row>
    <row r="34">
      <c r="A34" s="34" t="inlineStr">
        <is>
          <t>Lưu chuyển tiền thuần từ hoạt động kinh doanh trước thuế thu nhập DN</t>
        </is>
      </c>
      <c r="B34" s="35" t="n">
        <v>2914411000000</v>
      </c>
      <c r="C34" s="35" t="n">
        <v>1099704000000</v>
      </c>
      <c r="D34" s="35" t="n">
        <v>14968547000000</v>
      </c>
      <c r="E34" s="35" t="n">
        <v>4887643000000</v>
      </c>
      <c r="F34" s="35" t="n">
        <v>2111915000000</v>
      </c>
      <c r="G34" s="35" t="n">
        <v>41543992000000</v>
      </c>
      <c r="H34" s="35" t="n">
        <v>-18228095000000</v>
      </c>
      <c r="I34" s="35" t="n">
        <v>137977712000000</v>
      </c>
      <c r="J34" s="35" t="n">
        <v>-11305651000000</v>
      </c>
      <c r="K34" s="35" t="n">
        <v>7869788000000</v>
      </c>
      <c r="L34" s="35" t="n">
        <v>-398073000000</v>
      </c>
      <c r="M34" s="35" t="n">
        <v>6748347000000</v>
      </c>
      <c r="N34" s="35" t="n">
        <v>-20422349000000</v>
      </c>
      <c r="O34" s="35" t="n">
        <v>15569567000000</v>
      </c>
      <c r="P34" s="35" t="n">
        <v>-25928594000000</v>
      </c>
      <c r="Q34" s="35" t="n">
        <v>27622388000000</v>
      </c>
      <c r="R34" s="35" t="n">
        <v>10706288000000</v>
      </c>
      <c r="S34" s="35" t="n">
        <v>125577630000000</v>
      </c>
      <c r="T34" s="35" t="n">
        <v>-64925732000000</v>
      </c>
      <c r="U34" s="35" t="n">
        <v>11857501000000</v>
      </c>
    </row>
    <row r="35">
      <c r="A35" s="34" t="inlineStr">
        <is>
          <t>Chi từ các quỹ của TCTD</t>
        </is>
      </c>
      <c r="B35" s="35" t="n">
        <v>-309759000000</v>
      </c>
      <c r="C35" s="35" t="n">
        <v>-206821000000</v>
      </c>
      <c r="D35" s="35" t="n">
        <v>-228688000000</v>
      </c>
      <c r="E35" s="35" t="n">
        <v>-419345000000</v>
      </c>
      <c r="F35" s="35" t="n">
        <v>-235586000000</v>
      </c>
      <c r="G35" s="35" t="n">
        <v>-249380000000</v>
      </c>
      <c r="H35" s="35" t="n">
        <v>-348289000000</v>
      </c>
      <c r="I35" s="35" t="n">
        <v>-620313000000</v>
      </c>
      <c r="J35" s="35" t="n">
        <v>697044000000</v>
      </c>
      <c r="K35" s="35" t="n">
        <v>-816305000000</v>
      </c>
      <c r="L35" s="35" t="n">
        <v>-35663000000</v>
      </c>
      <c r="M35" s="35" t="n">
        <v>-154835000000</v>
      </c>
      <c r="N35" s="35" t="n">
        <v>-67757000000</v>
      </c>
      <c r="O35" s="35" t="n">
        <v>-155306000000</v>
      </c>
      <c r="P35" s="35" t="n">
        <v>-146417000000</v>
      </c>
      <c r="Q35" s="35" t="n">
        <v>-30839000000</v>
      </c>
      <c r="R35" s="35" t="n">
        <v>-301241000000</v>
      </c>
      <c r="S35" s="35" t="n">
        <v>-141816000000</v>
      </c>
      <c r="T35" s="35" t="n">
        <v>-46116000000</v>
      </c>
      <c r="U35" s="35" t="n">
        <v>-87464000000</v>
      </c>
    </row>
    <row r="36">
      <c r="A36" s="34" t="inlineStr">
        <is>
          <t>Thu được từ nợ khó đòi</t>
        </is>
      </c>
      <c r="B36" s="35" t="n">
        <v>0</v>
      </c>
      <c r="C36" s="35" t="n">
        <v>0</v>
      </c>
      <c r="D36" s="35" t="n">
        <v>0</v>
      </c>
      <c r="E36" s="35" t="n">
        <v>0</v>
      </c>
      <c r="F36" s="35" t="n">
        <v>0</v>
      </c>
      <c r="G36" s="35" t="n">
        <v>0</v>
      </c>
      <c r="H36" s="35" t="n">
        <v>0</v>
      </c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  <c r="N36" s="35" t="n">
        <v>0</v>
      </c>
      <c r="O36" s="35" t="n">
        <v>0</v>
      </c>
      <c r="P36" s="35" t="n">
        <v>0</v>
      </c>
      <c r="Q36" s="35" t="n">
        <v>0</v>
      </c>
      <c r="R36" s="35" t="n">
        <v>0</v>
      </c>
      <c r="S36" s="35" t="n">
        <v>0</v>
      </c>
      <c r="T36" s="35" t="n">
        <v>0</v>
      </c>
      <c r="U36" s="35" t="n">
        <v>0</v>
      </c>
    </row>
    <row r="37">
      <c r="A37" s="34" t="inlineStr">
        <is>
          <t>Tiền chi từ thanh lý, nhượng bán TSCĐ</t>
        </is>
      </c>
      <c r="B37" s="35" t="n">
        <v>0</v>
      </c>
      <c r="C37" s="35" t="n">
        <v>0</v>
      </c>
      <c r="D37" s="35" t="n">
        <v>0</v>
      </c>
      <c r="E37" s="35" t="n">
        <v>0</v>
      </c>
      <c r="F37" s="35" t="n">
        <v>0</v>
      </c>
      <c r="G37" s="35" t="n">
        <v>0</v>
      </c>
      <c r="H37" s="35" t="n">
        <v>0</v>
      </c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  <c r="N37" s="35" t="n">
        <v>0</v>
      </c>
      <c r="O37" s="35" t="n">
        <v>0</v>
      </c>
      <c r="P37" s="35" t="n">
        <v>0</v>
      </c>
      <c r="Q37" s="35" t="n">
        <v>0</v>
      </c>
      <c r="R37" s="35" t="n">
        <v>0</v>
      </c>
      <c r="S37" s="35" t="n">
        <v>0</v>
      </c>
      <c r="T37" s="35" t="n">
        <v>0</v>
      </c>
      <c r="U37" s="35" t="n">
        <v>0</v>
      </c>
    </row>
    <row r="38">
      <c r="A38" s="34" t="inlineStr">
        <is>
          <t>Mua sắm Bất động sản đầu tư</t>
        </is>
      </c>
      <c r="B38" s="35" t="n">
        <v>0</v>
      </c>
      <c r="C38" s="35" t="n">
        <v>0</v>
      </c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-4971000000</v>
      </c>
      <c r="J38" s="35" t="n">
        <v>645000000</v>
      </c>
      <c r="K38" s="35" t="n">
        <v>-645000000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0</v>
      </c>
      <c r="Q38" s="35" t="n">
        <v>0</v>
      </c>
      <c r="R38" s="35" t="n">
        <v>0</v>
      </c>
      <c r="S38" s="35" t="n">
        <v>-4971000000</v>
      </c>
      <c r="T38" s="35" t="n">
        <v>0</v>
      </c>
      <c r="U38" s="35" t="n">
        <v>0</v>
      </c>
    </row>
    <row r="39">
      <c r="A39" s="34" t="inlineStr">
        <is>
          <t>Tiền thu từ bán, thanh lý bất động sản đầu tư</t>
        </is>
      </c>
      <c r="B39" s="35" t="n">
        <v>0</v>
      </c>
      <c r="C39" s="35" t="n">
        <v>0</v>
      </c>
      <c r="D39" s="35" t="n">
        <v>0</v>
      </c>
      <c r="E39" s="35" t="n">
        <v>0</v>
      </c>
      <c r="F39" s="35" t="n">
        <v>0</v>
      </c>
      <c r="G39" s="35" t="n">
        <v>0</v>
      </c>
      <c r="H39" s="35" t="n">
        <v>0</v>
      </c>
      <c r="I39" s="35" t="n">
        <v>12251000000</v>
      </c>
      <c r="J39" s="35" t="n">
        <v>0</v>
      </c>
      <c r="K39" s="35" t="n">
        <v>0</v>
      </c>
      <c r="L39" s="35" t="n">
        <v>0</v>
      </c>
      <c r="M39" s="35" t="n">
        <v>0</v>
      </c>
      <c r="N39" s="35" t="n">
        <v>0</v>
      </c>
      <c r="O39" s="35" t="n">
        <v>0</v>
      </c>
      <c r="P39" s="35" t="n">
        <v>0</v>
      </c>
      <c r="Q39" s="35" t="n">
        <v>0</v>
      </c>
      <c r="R39" s="35" t="n">
        <v>0</v>
      </c>
      <c r="S39" s="35" t="n">
        <v>12251000000</v>
      </c>
      <c r="T39" s="35" t="n">
        <v>0</v>
      </c>
      <c r="U39" s="35" t="n">
        <v>0</v>
      </c>
    </row>
    <row r="40">
      <c r="A40" s="34" t="inlineStr">
        <is>
          <t>Tiền chi ra do bán, thanh lý bất động sản đầu tư</t>
        </is>
      </c>
      <c r="B40" s="35" t="n">
        <v>0</v>
      </c>
      <c r="C40" s="35" t="n">
        <v>0</v>
      </c>
      <c r="D40" s="35" t="n">
        <v>0</v>
      </c>
      <c r="E40" s="35" t="n">
        <v>0</v>
      </c>
      <c r="F40" s="35" t="n">
        <v>0</v>
      </c>
      <c r="G40" s="35" t="n">
        <v>0</v>
      </c>
      <c r="H40" s="35" t="n">
        <v>0</v>
      </c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  <c r="N40" s="35" t="n">
        <v>0</v>
      </c>
      <c r="O40" s="35" t="n">
        <v>0</v>
      </c>
      <c r="P40" s="35" t="n">
        <v>0</v>
      </c>
      <c r="Q40" s="35" t="n">
        <v>0</v>
      </c>
      <c r="R40" s="35" t="n">
        <v>0</v>
      </c>
      <c r="S40" s="35" t="n">
        <v>0</v>
      </c>
      <c r="T40" s="35" t="n">
        <v>0</v>
      </c>
      <c r="U40" s="35" t="n">
        <v>0</v>
      </c>
    </row>
    <row r="41">
      <c r="A41" s="34" t="inlineStr">
        <is>
          <t>Tiền thu từ phát hành giấy tờ có giá dài hạn đủ điều kiện tính vào vốn tự có và các khoản vốn vay dài hạn khác</t>
        </is>
      </c>
      <c r="B41" s="35" t="n">
        <v>0</v>
      </c>
      <c r="C41" s="35" t="n">
        <v>0</v>
      </c>
      <c r="D41" s="35" t="n">
        <v>0</v>
      </c>
      <c r="E41" s="35" t="n">
        <v>0</v>
      </c>
      <c r="F41" s="35" t="n">
        <v>2120000000000</v>
      </c>
      <c r="G41" s="35" t="n">
        <v>3449000000000</v>
      </c>
      <c r="H41" s="35" t="n">
        <v>9405554000000</v>
      </c>
      <c r="I41" s="35" t="n">
        <v>12173563000000</v>
      </c>
      <c r="J41" s="35" t="n">
        <v>0</v>
      </c>
      <c r="K41" s="35" t="n">
        <v>0</v>
      </c>
      <c r="L41" s="35" t="n">
        <v>0</v>
      </c>
      <c r="M41" s="35" t="n">
        <v>0</v>
      </c>
      <c r="N41" s="35" t="n">
        <v>395103000000</v>
      </c>
      <c r="O41" s="35" t="n">
        <v>4159451000000</v>
      </c>
      <c r="P41" s="35" t="n">
        <v>2198563000000</v>
      </c>
      <c r="Q41" s="35" t="n">
        <v>3500000000000</v>
      </c>
      <c r="R41" s="35" t="n">
        <v>4145000000000</v>
      </c>
      <c r="S41" s="35" t="n">
        <v>2330000000000</v>
      </c>
      <c r="T41" s="35" t="n">
        <v>0</v>
      </c>
      <c r="U41" s="35" t="n">
        <v>8050000000000</v>
      </c>
    </row>
    <row r="42">
      <c r="A42" s="34" t="inlineStr">
        <is>
          <t>Tiền chi thanh toán giấy tờ có giá dài hạn đủ điều kiện tính vào vốn tự có và các khoản vốn vay dài hạn khác</t>
        </is>
      </c>
      <c r="B42" s="35" t="n">
        <v>0</v>
      </c>
      <c r="C42" s="35" t="n">
        <v>0</v>
      </c>
      <c r="D42" s="35" t="n">
        <v>0</v>
      </c>
      <c r="E42" s="35" t="n">
        <v>0</v>
      </c>
      <c r="F42" s="35" t="n">
        <v>0</v>
      </c>
      <c r="G42" s="35" t="n">
        <v>0</v>
      </c>
      <c r="H42" s="35" t="n">
        <v>0</v>
      </c>
      <c r="I42" s="35" t="n">
        <v>-6143554000000</v>
      </c>
      <c r="J42" s="35" t="n">
        <v>0</v>
      </c>
      <c r="K42" s="35" t="n">
        <v>0</v>
      </c>
      <c r="L42" s="35" t="n">
        <v>0</v>
      </c>
      <c r="M42" s="35" t="n">
        <v>0</v>
      </c>
      <c r="N42" s="35" t="n">
        <v>0</v>
      </c>
      <c r="O42" s="35" t="n">
        <v>0</v>
      </c>
      <c r="P42" s="35" t="n">
        <v>0</v>
      </c>
      <c r="Q42" s="35" t="n">
        <v>0</v>
      </c>
      <c r="R42" s="35" t="n">
        <v>0</v>
      </c>
      <c r="S42" s="35" t="n">
        <v>-6143554000000</v>
      </c>
      <c r="T42" s="35" t="n">
        <v>-3798563000000</v>
      </c>
      <c r="U42" s="35" t="n">
        <v>-3401000000000</v>
      </c>
    </row>
    <row r="43">
      <c r="A43" s="34" t="inlineStr">
        <is>
          <t>Tiền chi ra mua cổ phiếu quỹ</t>
        </is>
      </c>
      <c r="B43" s="35" t="n">
        <v>0</v>
      </c>
      <c r="C43" s="35" t="n">
        <v>-1036712000000</v>
      </c>
      <c r="D43" s="35" t="n">
        <v>573062000000</v>
      </c>
      <c r="E43" s="35" t="n">
        <v>0</v>
      </c>
      <c r="F43" s="35" t="n">
        <v>0</v>
      </c>
      <c r="G43" s="35" t="n">
        <v>0</v>
      </c>
      <c r="H43" s="35" t="n">
        <v>0</v>
      </c>
      <c r="I43" s="35" t="n">
        <v>0</v>
      </c>
      <c r="J43" s="35" t="n">
        <v>0</v>
      </c>
      <c r="K43" s="35" t="n">
        <v>0</v>
      </c>
      <c r="L43" s="35" t="n">
        <v>0</v>
      </c>
      <c r="M43" s="35" t="n">
        <v>0</v>
      </c>
      <c r="N43" s="35" t="n">
        <v>0</v>
      </c>
      <c r="O43" s="35" t="n">
        <v>0</v>
      </c>
      <c r="P43" s="35" t="n">
        <v>0</v>
      </c>
      <c r="Q43" s="35" t="n">
        <v>0</v>
      </c>
      <c r="R43" s="35" t="n">
        <v>0</v>
      </c>
      <c r="S43" s="35" t="n">
        <v>0</v>
      </c>
      <c r="T43" s="35" t="n">
        <v>0</v>
      </c>
      <c r="U43" s="35" t="n">
        <v>0</v>
      </c>
    </row>
    <row r="44">
      <c r="A44" s="34" t="inlineStr">
        <is>
          <t>Tiền thu được do bán cổ phiếu quỹ</t>
        </is>
      </c>
      <c r="B44" s="35" t="n">
        <v>0</v>
      </c>
      <c r="C44" s="35" t="n">
        <v>0</v>
      </c>
      <c r="D44" s="35" t="n">
        <v>0</v>
      </c>
      <c r="E44" s="35" t="n">
        <v>0</v>
      </c>
      <c r="F44" s="35" t="n">
        <v>0</v>
      </c>
      <c r="G44" s="35" t="n">
        <v>0</v>
      </c>
      <c r="H44" s="35" t="n">
        <v>0</v>
      </c>
      <c r="I44" s="35" t="n">
        <v>0</v>
      </c>
      <c r="J44" s="35" t="n">
        <v>0</v>
      </c>
      <c r="K44" s="35" t="n">
        <v>0</v>
      </c>
      <c r="L44" s="35" t="n">
        <v>0</v>
      </c>
      <c r="M44" s="35" t="n">
        <v>0</v>
      </c>
      <c r="N44" s="35" t="n">
        <v>0</v>
      </c>
      <c r="O44" s="35" t="n">
        <v>0</v>
      </c>
      <c r="P44" s="35" t="n">
        <v>0</v>
      </c>
      <c r="Q44" s="35" t="n">
        <v>0</v>
      </c>
      <c r="R44" s="35" t="n">
        <v>0</v>
      </c>
      <c r="S44" s="35" t="n">
        <v>0</v>
      </c>
      <c r="T44" s="35" t="n">
        <v>0</v>
      </c>
      <c r="U44" s="35" t="n">
        <v>0</v>
      </c>
    </row>
    <row r="45">
      <c r="A45" s="34" t="inlineStr">
        <is>
          <t>Thu nhập lãi và các khoản thu nhập tương tự nhận được</t>
        </is>
      </c>
      <c r="B45" s="35" t="n">
        <v>24317593000000</v>
      </c>
      <c r="C45" s="35" t="n">
        <v>30956510000000</v>
      </c>
      <c r="D45" s="35" t="n">
        <v>32836478000000</v>
      </c>
      <c r="E45" s="35" t="n">
        <v>37648210000000</v>
      </c>
      <c r="F45" s="35" t="n">
        <v>50802236000000</v>
      </c>
      <c r="G45" s="35" t="n">
        <v>66891390000000</v>
      </c>
      <c r="H45" s="35" t="n">
        <v>68529262000000</v>
      </c>
      <c r="I45" s="35" t="n">
        <v>85076748000000</v>
      </c>
      <c r="J45" s="35" t="n">
        <v>5841608000000</v>
      </c>
      <c r="K45" s="35" t="n">
        <v>5953060000000</v>
      </c>
      <c r="L45" s="35" t="n">
        <v>5716634000000</v>
      </c>
      <c r="M45" s="35" t="n">
        <v>6806291000000</v>
      </c>
      <c r="N45" s="35" t="n">
        <v>16687157000000</v>
      </c>
      <c r="O45" s="35" t="n">
        <v>18355810000000</v>
      </c>
      <c r="P45" s="35" t="n">
        <v>18186686000000</v>
      </c>
      <c r="Q45" s="35" t="n">
        <v>20202906000000</v>
      </c>
      <c r="R45" s="35" t="n">
        <v>22171247000000</v>
      </c>
      <c r="S45" s="35" t="n">
        <v>24515909000000</v>
      </c>
      <c r="T45" s="35" t="n">
        <v>26904675000000</v>
      </c>
      <c r="U45" s="35" t="n">
        <v>33349292000000</v>
      </c>
    </row>
    <row r="46">
      <c r="A46" s="34" t="inlineStr">
        <is>
          <t>Chi phí lãi và các chi phí tương tự đã trả</t>
        </is>
      </c>
      <c r="B46" s="35" t="n">
        <v>-10267483000000</v>
      </c>
      <c r="C46" s="35" t="n">
        <v>-11511295000000</v>
      </c>
      <c r="D46" s="35" t="n">
        <v>-12272703000000</v>
      </c>
      <c r="E46" s="35" t="n">
        <v>-12053063000000</v>
      </c>
      <c r="F46" s="35" t="n">
        <v>-14426925000000</v>
      </c>
      <c r="G46" s="35" t="n">
        <v>-24699677000000</v>
      </c>
      <c r="H46" s="35" t="n">
        <v>-30835949000000</v>
      </c>
      <c r="I46" s="35" t="n">
        <v>-34607938000000</v>
      </c>
      <c r="J46" s="35" t="n">
        <v>-2376116000000</v>
      </c>
      <c r="K46" s="35" t="n">
        <v>-2525144000000</v>
      </c>
      <c r="L46" s="35" t="n">
        <v>-2720722000000</v>
      </c>
      <c r="M46" s="35" t="n">
        <v>-2645502000000</v>
      </c>
      <c r="N46" s="35" t="n">
        <v>-6912776000000</v>
      </c>
      <c r="O46" s="35" t="n">
        <v>-6133012000000</v>
      </c>
      <c r="P46" s="35" t="n">
        <v>-6535062000000</v>
      </c>
      <c r="Q46" s="35" t="n">
        <v>-8990917000000</v>
      </c>
      <c r="R46" s="35" t="n">
        <v>-9673463000000</v>
      </c>
      <c r="S46" s="35" t="n">
        <v>-9408496000000</v>
      </c>
      <c r="T46" s="35" t="n">
        <v>-11710034000000</v>
      </c>
      <c r="U46" s="35" t="n">
        <v>-14282103000000</v>
      </c>
    </row>
    <row r="47">
      <c r="A47" s="34" t="inlineStr">
        <is>
          <t>Thu nhập từ hoạt động dịch vụ nhận được</t>
        </is>
      </c>
      <c r="B47" s="35" t="n">
        <v>2561310000000</v>
      </c>
      <c r="C47" s="35" t="n">
        <v>3185837000000</v>
      </c>
      <c r="D47" s="35" t="n">
        <v>3575553000000</v>
      </c>
      <c r="E47" s="35" t="n">
        <v>4367378000000</v>
      </c>
      <c r="F47" s="35" t="n">
        <v>4135568000000</v>
      </c>
      <c r="G47" s="35" t="n">
        <v>4085225000000</v>
      </c>
      <c r="H47" s="35" t="n">
        <v>4368249000000</v>
      </c>
      <c r="I47" s="35" t="n">
        <v>6566430000000</v>
      </c>
      <c r="J47" s="35" t="n">
        <v>315339000000</v>
      </c>
      <c r="K47" s="35" t="n">
        <v>662546000000</v>
      </c>
      <c r="L47" s="35" t="n">
        <v>710185000000</v>
      </c>
      <c r="M47" s="35" t="n">
        <v>875584000000</v>
      </c>
      <c r="N47" s="35" t="n">
        <v>888023000000</v>
      </c>
      <c r="O47" s="35" t="n">
        <v>1180758000000</v>
      </c>
      <c r="P47" s="35" t="n">
        <v>1235416000000</v>
      </c>
      <c r="Q47" s="35" t="n">
        <v>1915543000000</v>
      </c>
      <c r="R47" s="35" t="n">
        <v>1326555000000</v>
      </c>
      <c r="S47" s="35" t="n">
        <v>2088916000000</v>
      </c>
      <c r="T47" s="35" t="n">
        <v>1708744000000</v>
      </c>
      <c r="U47" s="35" t="n">
        <v>1968486000000</v>
      </c>
    </row>
    <row r="48">
      <c r="A48" s="34" t="inlineStr">
        <is>
          <t>Thu nhập thuần từ hoạt động kinh doanh ngoại hối và vàng</t>
        </is>
      </c>
      <c r="B48" s="35" t="n">
        <v>0</v>
      </c>
      <c r="C48" s="35" t="n">
        <v>1276978000000</v>
      </c>
      <c r="D48" s="35" t="n">
        <v>0</v>
      </c>
      <c r="E48" s="35" t="n">
        <v>0</v>
      </c>
      <c r="F48" s="35" t="n">
        <v>0</v>
      </c>
      <c r="G48" s="35" t="n">
        <v>0</v>
      </c>
      <c r="H48" s="35" t="n">
        <v>0</v>
      </c>
      <c r="I48" s="35" t="n">
        <v>0</v>
      </c>
      <c r="J48" s="35" t="n">
        <v>341364000000</v>
      </c>
      <c r="K48" s="35" t="n">
        <v>130650000000</v>
      </c>
      <c r="L48" s="35" t="n">
        <v>98369000000</v>
      </c>
      <c r="M48" s="35" t="n">
        <v>184458000000</v>
      </c>
      <c r="N48" s="35" t="n">
        <v>0</v>
      </c>
      <c r="O48" s="35" t="n">
        <v>0</v>
      </c>
      <c r="P48" s="35" t="n">
        <v>0</v>
      </c>
      <c r="Q48" s="35" t="n">
        <v>0</v>
      </c>
      <c r="R48" s="35" t="n">
        <v>0</v>
      </c>
      <c r="S48" s="35" t="n">
        <v>0</v>
      </c>
      <c r="T48" s="35" t="n">
        <v>0</v>
      </c>
      <c r="U48" s="35" t="n">
        <v>0</v>
      </c>
    </row>
    <row r="49">
      <c r="A49" s="34" t="inlineStr">
        <is>
          <t>Thu nhập từ hoạt động kinh doanh chứng khoán</t>
        </is>
      </c>
      <c r="B49" s="35" t="n">
        <v>754841000000</v>
      </c>
      <c r="C49" s="35" t="n">
        <v>0</v>
      </c>
      <c r="D49" s="35" t="n">
        <v>1607374000000</v>
      </c>
      <c r="E49" s="35" t="n">
        <v>3097962000000</v>
      </c>
      <c r="F49" s="35" t="n">
        <v>3231427000000</v>
      </c>
      <c r="G49" s="35" t="n">
        <v>2363720000000</v>
      </c>
      <c r="H49" s="35" t="n">
        <v>6277842000000</v>
      </c>
      <c r="I49" s="35" t="n">
        <v>3645303000000</v>
      </c>
      <c r="J49" s="35" t="n">
        <v>0</v>
      </c>
      <c r="K49" s="35" t="n">
        <v>0</v>
      </c>
      <c r="L49" s="35" t="n">
        <v>0</v>
      </c>
      <c r="M49" s="35" t="n">
        <v>0</v>
      </c>
      <c r="N49" s="35" t="n">
        <v>664929000000</v>
      </c>
      <c r="O49" s="35" t="n">
        <v>2959020000000</v>
      </c>
      <c r="P49" s="35" t="n">
        <v>1274291000000</v>
      </c>
      <c r="Q49" s="35" t="n">
        <v>1472901000000</v>
      </c>
      <c r="R49" s="35" t="n">
        <v>696540000000</v>
      </c>
      <c r="S49" s="35" t="n">
        <v>201571000000</v>
      </c>
      <c r="T49" s="35" t="n">
        <v>166721000000</v>
      </c>
      <c r="U49" s="35" t="n">
        <v>471367000000</v>
      </c>
    </row>
    <row r="50">
      <c r="A50" s="34" t="inlineStr">
        <is>
          <t>Thu nhập khác</t>
        </is>
      </c>
      <c r="B50" s="35" t="n">
        <v>495285000000</v>
      </c>
      <c r="C50" s="35" t="n">
        <v>162295000000</v>
      </c>
      <c r="D50" s="35" t="n">
        <v>75057000000</v>
      </c>
      <c r="E50" s="35" t="n">
        <v>557087000000</v>
      </c>
      <c r="F50" s="35" t="n">
        <v>491344000000</v>
      </c>
      <c r="G50" s="35" t="n">
        <v>713381000000</v>
      </c>
      <c r="H50" s="35" t="n">
        <v>822333000000</v>
      </c>
      <c r="I50" s="35" t="n">
        <v>941493000000</v>
      </c>
      <c r="J50" s="35" t="n">
        <v>-400253000000</v>
      </c>
      <c r="K50" s="35" t="n">
        <v>551153000000</v>
      </c>
      <c r="L50" s="35" t="n">
        <v>46150000000</v>
      </c>
      <c r="M50" s="35" t="n">
        <v>297419000000</v>
      </c>
      <c r="N50" s="35" t="n">
        <v>156241000000</v>
      </c>
      <c r="O50" s="35" t="n">
        <v>508424000000</v>
      </c>
      <c r="P50" s="35" t="n">
        <v>175647000000</v>
      </c>
      <c r="Q50" s="35" t="n">
        <v>345874000000</v>
      </c>
      <c r="R50" s="35" t="n">
        <v>76201000000</v>
      </c>
      <c r="S50" s="35" t="n">
        <v>343771000000</v>
      </c>
      <c r="T50" s="35" t="n">
        <v>354690000000</v>
      </c>
      <c r="U50" s="35" t="n">
        <v>232753000000</v>
      </c>
    </row>
    <row r="51">
      <c r="A51" s="34" t="inlineStr">
        <is>
          <t>Tiền chi trả cho nhân viên và hoạt động quản lý, cộng cụ</t>
        </is>
      </c>
      <c r="B51" s="35" t="n">
        <v>-8204870000000</v>
      </c>
      <c r="C51" s="35" t="n">
        <v>-9207742000000</v>
      </c>
      <c r="D51" s="35" t="n">
        <v>-10057337000000</v>
      </c>
      <c r="E51" s="35" t="n">
        <v>-12114505000000</v>
      </c>
      <c r="F51" s="35" t="n">
        <v>-14428046000000</v>
      </c>
      <c r="G51" s="35" t="n">
        <v>-14652520000000</v>
      </c>
      <c r="H51" s="35" t="n">
        <v>-15627426000000</v>
      </c>
      <c r="I51" s="35" t="n">
        <v>-19532328000000</v>
      </c>
      <c r="J51" s="35" t="n">
        <v>-1041491000000</v>
      </c>
      <c r="K51" s="35" t="n">
        <v>-2480271000000</v>
      </c>
      <c r="L51" s="35" t="n">
        <v>-1997980000000</v>
      </c>
      <c r="M51" s="35" t="n">
        <v>-2685129000000</v>
      </c>
      <c r="N51" s="35" t="n">
        <v>-3866686000000</v>
      </c>
      <c r="O51" s="35" t="n">
        <v>-4909386000000</v>
      </c>
      <c r="P51" s="35" t="n">
        <v>-4694751000000</v>
      </c>
      <c r="Q51" s="35" t="n">
        <v>-3724536000000</v>
      </c>
      <c r="R51" s="35" t="n">
        <v>-4652631000000</v>
      </c>
      <c r="S51" s="35" t="n">
        <v>-6460410000000</v>
      </c>
      <c r="T51" s="35" t="n">
        <v>-6552454000000</v>
      </c>
      <c r="U51" s="35" t="n">
        <v>-5103954000000</v>
      </c>
    </row>
    <row r="52">
      <c r="A52" s="34" t="inlineStr">
        <is>
          <t>Tiền thu các khoản nợ đã được xử lý, xóa, bù đắp bằng nguồn rủi ro</t>
        </is>
      </c>
      <c r="B52" s="35" t="n">
        <v>1021794000000</v>
      </c>
      <c r="C52" s="35" t="n">
        <v>1937102000000</v>
      </c>
      <c r="D52" s="35" t="n">
        <v>1599755000000</v>
      </c>
      <c r="E52" s="35" t="n">
        <v>2689366000000</v>
      </c>
      <c r="F52" s="35" t="n">
        <v>1648266000000</v>
      </c>
      <c r="G52" s="35" t="n">
        <v>1711016000000</v>
      </c>
      <c r="H52" s="35" t="n">
        <v>2451560000000</v>
      </c>
      <c r="I52" s="35" t="n">
        <v>4141692000000</v>
      </c>
      <c r="J52" s="35" t="n">
        <v>153071000000</v>
      </c>
      <c r="K52" s="35" t="n">
        <v>419355000000</v>
      </c>
      <c r="L52" s="35" t="n">
        <v>309959000000</v>
      </c>
      <c r="M52" s="35" t="n">
        <v>140225000000</v>
      </c>
      <c r="N52" s="35" t="n">
        <v>518650000000</v>
      </c>
      <c r="O52" s="35" t="n">
        <v>692908000000</v>
      </c>
      <c r="P52" s="35" t="n">
        <v>1003397000000</v>
      </c>
      <c r="Q52" s="35" t="n">
        <v>1014888000000</v>
      </c>
      <c r="R52" s="35" t="n">
        <v>893885000000</v>
      </c>
      <c r="S52" s="35" t="n">
        <v>1229522000000</v>
      </c>
      <c r="T52" s="35" t="n">
        <v>733893000000</v>
      </c>
      <c r="U52" s="35" t="n">
        <v>831300000000</v>
      </c>
    </row>
    <row r="53">
      <c r="A53" s="34" t="inlineStr">
        <is>
          <t>Chênh lệch số tiền thực thu/thực chi từ hoạt động kinh doanh</t>
        </is>
      </c>
      <c r="B53" s="35" t="n">
        <v>754841000000</v>
      </c>
      <c r="C53" s="35" t="n">
        <v>1276978000000</v>
      </c>
      <c r="D53" s="35" t="n">
        <v>1607374000000</v>
      </c>
      <c r="E53" s="35" t="n">
        <v>3097962000000</v>
      </c>
      <c r="F53" s="35" t="n">
        <v>3231427000000</v>
      </c>
      <c r="G53" s="35" t="n">
        <v>2363720000000</v>
      </c>
      <c r="H53" s="35" t="n">
        <v>6277842000000</v>
      </c>
      <c r="I53" s="35" t="n">
        <v>3645303000000</v>
      </c>
      <c r="J53" s="35" t="n">
        <v>341364000000</v>
      </c>
      <c r="K53" s="35" t="n">
        <v>130650000000</v>
      </c>
      <c r="L53" s="35" t="n">
        <v>98369000000</v>
      </c>
      <c r="M53" s="35" t="n">
        <v>184458000000</v>
      </c>
      <c r="N53" s="35" t="n">
        <v>664929000000</v>
      </c>
      <c r="O53" s="35" t="n">
        <v>2959020000000</v>
      </c>
      <c r="P53" s="35" t="n">
        <v>1274291000000</v>
      </c>
      <c r="Q53" s="35" t="n">
        <v>1472901000000</v>
      </c>
      <c r="R53" s="35" t="n">
        <v>696540000000</v>
      </c>
      <c r="S53" s="35" t="n">
        <v>201571000000</v>
      </c>
      <c r="T53" s="35" t="n">
        <v>166721000000</v>
      </c>
      <c r="U53" s="35" t="n">
        <v>471367000000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tabSelected="1" topLeftCell="F1" workbookViewId="0">
      <selection activeCell="G2" sqref="G2"/>
    </sheetView>
  </sheetViews>
  <sheetFormatPr baseColWidth="8" defaultColWidth="9" defaultRowHeight="12.75"/>
  <cols>
    <col width="58" bestFit="1" customWidth="1" style="6" min="1" max="1"/>
    <col width="21.875" bestFit="1" customWidth="1" style="6" min="2" max="9"/>
    <col width="9" customWidth="1" style="6" min="10" max="16384"/>
  </cols>
  <sheetData>
    <row r="1">
      <c r="A1" s="8" t="inlineStr">
        <is>
          <t>Chỉ tiêu</t>
        </is>
      </c>
      <c r="B1" s="9">
        <f>balance_sheet!J1</f>
        <v/>
      </c>
      <c r="C1" s="9">
        <f>balance_sheet!K1</f>
        <v/>
      </c>
      <c r="D1" s="9">
        <f>balance_sheet!L1</f>
        <v/>
      </c>
      <c r="E1" s="9">
        <f>balance_sheet!M1</f>
        <v/>
      </c>
      <c r="F1" s="9">
        <f>balance_sheet!N1</f>
        <v/>
      </c>
      <c r="G1" s="9">
        <f>balance_sheet!O1</f>
        <v/>
      </c>
      <c r="H1" s="9">
        <f>balance_sheet!P1</f>
        <v/>
      </c>
      <c r="I1" s="9">
        <f>balance_sheet!Q1</f>
        <v/>
      </c>
    </row>
    <row r="2">
      <c r="A2" s="1" t="inlineStr">
        <is>
          <t>ROE</t>
        </is>
      </c>
      <c r="B2" s="2">
        <f>IFERROR(B$65/AVERAGE(#REF!,B$53),"n/a")</f>
        <v/>
      </c>
      <c r="C2" s="31">
        <f>IFERROR(C$65/AVERAGE(B$53,C$53),"n/a")</f>
        <v/>
      </c>
      <c r="D2" s="31">
        <f>IFERROR(D$65/AVERAGE(C$53,D$53),"n/a")</f>
        <v/>
      </c>
      <c r="E2" s="31">
        <f>IFERROR(E$65/AVERAGE(D$53,E$53),"n/a")</f>
        <v/>
      </c>
      <c r="F2" s="31">
        <f>IFERROR(F$65/AVERAGE(E$53,F$53),"n/a")</f>
        <v/>
      </c>
      <c r="G2" s="31">
        <f>IFERROR(G$65/AVERAGE(F$53,G$53),"n/a")</f>
        <v/>
      </c>
      <c r="H2" s="31">
        <f>IFERROR(H$65/AVERAGE(G$53,H$53),"n/a")</f>
        <v/>
      </c>
      <c r="I2" s="31">
        <f>IFERROR(I$65/AVERAGE(H$53,I$53),"n/a")</f>
        <v/>
      </c>
    </row>
    <row r="3">
      <c r="A3" s="1" t="inlineStr">
        <is>
          <t>Tăng trưởng LNST QQ</t>
        </is>
      </c>
      <c r="B3" s="2">
        <f>IFERROR((B$65-#REF!)/ABS(#REF!),"n/a")</f>
        <v/>
      </c>
      <c r="C3" s="10">
        <f>IFERROR((C$65-B$65)/ABS(B$65),"n/a")</f>
        <v/>
      </c>
      <c r="D3" s="10">
        <f>IFERROR((D$65-C$65)/ABS(C$65),"n/a")</f>
        <v/>
      </c>
      <c r="E3" s="10">
        <f>IFERROR((E$65-D$65)/ABS(D$65),"n/a")</f>
        <v/>
      </c>
      <c r="F3" s="10">
        <f>IFERROR((F$65-E$65)/ABS(E$65),"n/a")</f>
        <v/>
      </c>
      <c r="G3" s="10">
        <f>IFERROR((G$65-F$65)/ABS(F$65),"n/a")</f>
        <v/>
      </c>
      <c r="H3" s="10">
        <f>IFERROR((H$65-G$65)/ABS(G$65),"n/a")</f>
        <v/>
      </c>
      <c r="I3" s="10">
        <f>IFERROR((I$65-H$65)/ABS(H$65),"n/a")</f>
        <v/>
      </c>
    </row>
    <row r="4">
      <c r="A4" s="1" t="inlineStr">
        <is>
          <t>Tăng trưởng LNST YY</t>
        </is>
      </c>
      <c r="B4" s="2" t="n"/>
      <c r="C4" s="2" t="n"/>
      <c r="D4" s="2" t="n"/>
      <c r="E4" s="2" t="n"/>
      <c r="F4" s="31">
        <f>IFERROR((F$65-B$65)/ABS(B$65),"n/a")</f>
        <v/>
      </c>
      <c r="G4" s="31">
        <f>IFERROR((G$65-C$65)/ABS(C$65),"n/a")</f>
        <v/>
      </c>
      <c r="H4" s="31">
        <f>IFERROR((H$65-D$65)/ABS(D$65),"n/a")</f>
        <v/>
      </c>
      <c r="I4" s="31">
        <f>IFERROR((I$65-E$65)/ABS(E$65),"n/a")</f>
        <v/>
      </c>
    </row>
    <row r="5">
      <c r="A5" s="1" t="inlineStr">
        <is>
          <t>Tăng trưởng thu nhập hoạt động QQ</t>
        </is>
      </c>
      <c r="B5" s="2">
        <f>IFERROR((B$59-#REF!)/ABS(#REF!),"n/a")</f>
        <v/>
      </c>
      <c r="C5" s="11">
        <f>IFERROR((C$59-B$59)/ABS(B$59),"n/a")</f>
        <v/>
      </c>
      <c r="D5" s="11">
        <f>IFERROR((D$59-C$59)/ABS(C$59),"n/a")</f>
        <v/>
      </c>
      <c r="E5" s="11">
        <f>IFERROR((E$59-D$59)/ABS(D$59),"n/a")</f>
        <v/>
      </c>
      <c r="F5" s="11">
        <f>IFERROR((F$59-E$59)/ABS(E$59),"n/a")</f>
        <v/>
      </c>
      <c r="G5" s="11">
        <f>IFERROR((G$59-F$59)/ABS(F$59),"n/a")</f>
        <v/>
      </c>
      <c r="H5" s="11">
        <f>IFERROR((H$59-G$59)/ABS(G$59),"n/a")</f>
        <v/>
      </c>
      <c r="I5" s="11">
        <f>IFERROR((I$59-H$59)/ABS(H$59),"n/a")</f>
        <v/>
      </c>
    </row>
    <row r="6">
      <c r="A6" s="1" t="inlineStr">
        <is>
          <t>Tăng trưởng thu nhập hoạt động YY</t>
        </is>
      </c>
      <c r="B6" s="2" t="n"/>
      <c r="C6" s="2" t="n"/>
      <c r="D6" s="2" t="n"/>
      <c r="E6" s="2" t="n"/>
      <c r="F6" s="31">
        <f>IFERROR((F$59-B$59)/ABS(B$59),"n/a")</f>
        <v/>
      </c>
      <c r="G6" s="31">
        <f>IFERROR((G$59-C$59)/ABS(C$59),"n/a")</f>
        <v/>
      </c>
      <c r="H6" s="31">
        <f>IFERROR((H$59-D$59)/ABS(D$59),"n/a")</f>
        <v/>
      </c>
      <c r="I6" s="31">
        <f>IFERROR((I$59-E$59)/ABS(E$59),"n/a")</f>
        <v/>
      </c>
    </row>
    <row r="7">
      <c r="A7" s="1" t="inlineStr">
        <is>
          <t>% Dư nợ cho vay kinh doanh BĐS</t>
        </is>
      </c>
      <c r="B7" s="2">
        <f>IFERROR(B$40/#REF!,"n/a")</f>
        <v/>
      </c>
      <c r="C7" s="2">
        <f>IFERROR(C$40/#REF!,"n/a")</f>
        <v/>
      </c>
      <c r="D7" s="2">
        <f>IFERROR(D$40/#REF!,"n/a")</f>
        <v/>
      </c>
      <c r="E7" s="2">
        <f>IFERROR(E$40/#REF!,"n/a")</f>
        <v/>
      </c>
      <c r="F7" s="2">
        <f>IFERROR(F$40/#REF!,"n/a")</f>
        <v/>
      </c>
      <c r="G7" s="2">
        <f>IFERROR(G$40/#REF!,"n/a")</f>
        <v/>
      </c>
      <c r="H7" s="2">
        <f>IFERROR(H$40/#REF!,"n/a")</f>
        <v/>
      </c>
      <c r="I7" s="2">
        <f>IFERROR(I$40/#REF!,"n/a")</f>
        <v/>
      </c>
    </row>
    <row r="8">
      <c r="A8" s="3" t="inlineStr">
        <is>
          <t>NIM</t>
        </is>
      </c>
      <c r="B8" s="2">
        <f>IFERROR(B$59/AVERAGE(B$46,#REF!),"n/a")</f>
        <v/>
      </c>
      <c r="C8" s="2">
        <f>IFERROR(C$59/AVERAGE(C$46,B46),"n/a")</f>
        <v/>
      </c>
      <c r="D8" s="2">
        <f>IFERROR(D$59/AVERAGE(D$46,C46),"n/a")</f>
        <v/>
      </c>
      <c r="E8" s="2">
        <f>IFERROR(E$59/AVERAGE(E$46,D46),"n/a")</f>
        <v/>
      </c>
      <c r="F8" s="2">
        <f>IFERROR(F$59/AVERAGE(F$46,E46),"n/a")</f>
        <v/>
      </c>
      <c r="G8" s="2">
        <f>IFERROR(G$59/AVERAGE(G$46,F46),"n/a")</f>
        <v/>
      </c>
      <c r="H8" s="2">
        <f>IFERROR(H$59/AVERAGE(H$46,G46),"n/a")</f>
        <v/>
      </c>
      <c r="I8" s="2">
        <f>IFERROR(I$59/AVERAGE(I$46,H46),"n/a")</f>
        <v/>
      </c>
    </row>
    <row r="9">
      <c r="A9" s="1" t="inlineStr">
        <is>
          <t>CASA</t>
        </is>
      </c>
      <c r="B9" s="2">
        <f>IFERROR((#REF!+B$49+#REF!+B$52)/(#REF!+B$48),"n/a")</f>
        <v/>
      </c>
      <c r="C9" s="2">
        <f>IFERROR((B$49+C$49+B$52+C$52)/(B$48+C$48),"n/a")</f>
        <v/>
      </c>
      <c r="D9" s="2">
        <f>IFERROR((C$49+D$49+C$52+D$52)/(C$48+D$48),"n/a")</f>
        <v/>
      </c>
      <c r="E9" s="2">
        <f>IFERROR((D$49+E$49+D$52+E$52)/(D$48+E$48),"n/a")</f>
        <v/>
      </c>
      <c r="F9" s="2">
        <f>IFERROR((E$49+F$49+E$52+F$52)/(E$48+F$48),"n/a")</f>
        <v/>
      </c>
      <c r="G9" s="2">
        <f>IFERROR((F$49+G$49+F$52+G$52)/(F$48+G$48),"n/a")</f>
        <v/>
      </c>
      <c r="H9" s="2">
        <f>IFERROR((G$49+H$49+G$52+H$52)/(G$48+H$48),"n/a")</f>
        <v/>
      </c>
      <c r="I9" s="2">
        <f>IFERROR((H$49+I$49+H$52+I$52)/(H$48+I$48),"n/a")</f>
        <v/>
      </c>
    </row>
    <row r="10">
      <c r="A10" s="1" t="inlineStr">
        <is>
          <t>NPL</t>
        </is>
      </c>
      <c r="B10" s="2">
        <f>IFERROR((B$39/#REF!),"n/a")</f>
        <v/>
      </c>
      <c r="C10" s="2">
        <f>IFERROR((C$39/#REF!),"n/a")</f>
        <v/>
      </c>
      <c r="D10" s="2">
        <f>IFERROR((D$39/#REF!),"n/a")</f>
        <v/>
      </c>
      <c r="E10" s="2">
        <f>IFERROR((E$39/#REF!),"n/a")</f>
        <v/>
      </c>
      <c r="F10" s="2">
        <f>IFERROR((F$39/#REF!),"n/a")</f>
        <v/>
      </c>
      <c r="G10" s="2">
        <f>IFERROR((G$39/#REF!),"n/a")</f>
        <v/>
      </c>
      <c r="H10" s="2">
        <f>IFERROR((H$39/#REF!),"n/a")</f>
        <v/>
      </c>
      <c r="I10" s="2">
        <f>IFERROR((I$39/#REF!),"n/a")</f>
        <v/>
      </c>
    </row>
    <row r="11">
      <c r="A11" s="3" t="inlineStr">
        <is>
          <t>COF</t>
        </is>
      </c>
      <c r="B11" s="12">
        <f>IFERROR(ABS(B$58)/AVERAGE(B$46,#REF!),"n/a")</f>
        <v/>
      </c>
      <c r="C11" s="12">
        <f>IFERROR(ABS(C$58)/AVERAGE(C$46,B46),"n/a")</f>
        <v/>
      </c>
      <c r="D11" s="12">
        <f>IFERROR(ABS(D$58)/AVERAGE(D$46,C46),"n/a")</f>
        <v/>
      </c>
      <c r="E11" s="12">
        <f>IFERROR(ABS(E$58)/AVERAGE(E$46,D46),"n/a")</f>
        <v/>
      </c>
      <c r="F11" s="12">
        <f>IFERROR(ABS(F$58)/AVERAGE(F$46,E46),"n/a")</f>
        <v/>
      </c>
      <c r="G11" s="12">
        <f>IFERROR(ABS(G$58)/AVERAGE(G$46,F46),"n/a")</f>
        <v/>
      </c>
      <c r="H11" s="12">
        <f>IFERROR(ABS(H$58)/AVERAGE(H$46,G46),"n/a")</f>
        <v/>
      </c>
      <c r="I11" s="12">
        <f>IFERROR(ABS(I$58)/AVERAGE(I$46,H46),"n/a")</f>
        <v/>
      </c>
    </row>
    <row r="12">
      <c r="A12" s="1" t="inlineStr">
        <is>
          <t>LLR</t>
        </is>
      </c>
      <c r="B12" s="2">
        <f>IFERROR(ABS(B$41)/B$39,"n/a")</f>
        <v/>
      </c>
      <c r="C12" s="2">
        <f>IFERROR(ABS(C$41)/C$39,"n/a")</f>
        <v/>
      </c>
      <c r="D12" s="2">
        <f>IFERROR(ABS(D$41)/D$39,"n/a")</f>
        <v/>
      </c>
      <c r="E12" s="2">
        <f>IFERROR(ABS(E$41)/E$39,"n/a")</f>
        <v/>
      </c>
      <c r="F12" s="2">
        <f>IFERROR(ABS(F$41)/F$39,"n/a")</f>
        <v/>
      </c>
      <c r="G12" s="2">
        <f>IFERROR(ABS(G$41)/G$39,"n/a")</f>
        <v/>
      </c>
      <c r="H12" s="2">
        <f>IFERROR(ABS(H$41)/H$39,"n/a")</f>
        <v/>
      </c>
      <c r="I12" s="2">
        <f>IFERROR(ABS(I$41)/I$39,"n/a")</f>
        <v/>
      </c>
    </row>
    <row r="13">
      <c r="A13" s="1" t="inlineStr">
        <is>
          <t>CAR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1" t="inlineStr">
        <is>
          <t>LDR</t>
        </is>
      </c>
      <c r="B14" s="2">
        <f>IFERROR(B$33/B$48,"n/a")</f>
        <v/>
      </c>
      <c r="C14" s="2">
        <f>IFERROR(C$33/C$48,"n/a")</f>
        <v/>
      </c>
      <c r="D14" s="2">
        <f>IFERROR(D$33/D$48,"n/a")</f>
        <v/>
      </c>
      <c r="E14" s="2">
        <f>IFERROR(E$33/E$48,"n/a")</f>
        <v/>
      </c>
      <c r="F14" s="2">
        <f>IFERROR(F$33/F$48,"n/a")</f>
        <v/>
      </c>
      <c r="G14" s="2">
        <f>IFERROR(G$33/G$48,"n/a")</f>
        <v/>
      </c>
      <c r="H14" s="2">
        <f>IFERROR(H$33/H$48,"n/a")</f>
        <v/>
      </c>
      <c r="I14" s="2">
        <f>IFERROR(I$33/I$48,"n/a")</f>
        <v/>
      </c>
    </row>
    <row r="15">
      <c r="A15" s="1" t="inlineStr">
        <is>
          <t>Tăng trưởng vốn huy động QQ</t>
        </is>
      </c>
      <c r="B15" s="2">
        <f>IFERROR((B$48-#REF!)/ABS(#REF!),"n/a")</f>
        <v/>
      </c>
      <c r="C15" s="2">
        <f>IFERROR((C$48-B$48)/ABS(B$48),"n/a")</f>
        <v/>
      </c>
      <c r="D15" s="2">
        <f>IFERROR((D$48-C$48)/ABS(C$48),"n/a")</f>
        <v/>
      </c>
      <c r="E15" s="2">
        <f>IFERROR((E$48-D$48)/ABS(D$48),"n/a")</f>
        <v/>
      </c>
      <c r="F15" s="2">
        <f>IFERROR((F$48-E$48)/ABS(E$48),"n/a")</f>
        <v/>
      </c>
      <c r="G15" s="2">
        <f>IFERROR((G$48-F$48)/ABS(F$48),"n/a")</f>
        <v/>
      </c>
      <c r="H15" s="2">
        <f>IFERROR((H$48-G$48)/ABS(G$48),"n/a")</f>
        <v/>
      </c>
      <c r="I15" s="2">
        <f>IFERROR((I$48-H$48)/ABS(H$48),"n/a")</f>
        <v/>
      </c>
    </row>
    <row r="16">
      <c r="A16" s="1" t="inlineStr">
        <is>
          <t>Tăng trưởng vốn huy động YY</t>
        </is>
      </c>
      <c r="B16" s="2" t="n"/>
      <c r="C16" s="2" t="n"/>
      <c r="D16" s="2" t="n"/>
      <c r="E16" s="2" t="n"/>
      <c r="F16" s="2">
        <f>IFERROR((F$48-B$48)/ABS(B$48),"n/a")</f>
        <v/>
      </c>
      <c r="G16" s="2">
        <f>IFERROR((G$48-C$48)/ABS(C$48),"n/a")</f>
        <v/>
      </c>
      <c r="H16" s="2">
        <f>IFERROR((H$48-D$48)/ABS(D$48),"n/a")</f>
        <v/>
      </c>
      <c r="I16" s="2">
        <f>IFERROR((I$48-E$48)/ABS(E$48),"n/a")</f>
        <v/>
      </c>
    </row>
    <row r="17">
      <c r="A17" s="1" t="inlineStr">
        <is>
          <t>Tăng trưởng tín dụng QQ</t>
        </is>
      </c>
      <c r="B17" s="2">
        <f>IFERROR((B$33-#REF!)/ABS(#REF!),"n/a")</f>
        <v/>
      </c>
      <c r="C17" s="2">
        <f>IFERROR((C$33-B$33)/ABS(B$33),"n/a")</f>
        <v/>
      </c>
      <c r="D17" s="2">
        <f>IFERROR((D$33-C$33)/ABS(C$33),"n/a")</f>
        <v/>
      </c>
      <c r="E17" s="2">
        <f>IFERROR((E$33-D$33)/ABS(D$33),"n/a")</f>
        <v/>
      </c>
      <c r="F17" s="2">
        <f>IFERROR((F$33-E$33)/ABS(E$33),"n/a")</f>
        <v/>
      </c>
      <c r="G17" s="2">
        <f>IFERROR((G$33-F$33)/ABS(F$33),"n/a")</f>
        <v/>
      </c>
      <c r="H17" s="2">
        <f>IFERROR((H$33-G$33)/ABS(G$33),"n/a")</f>
        <v/>
      </c>
      <c r="I17" s="2">
        <f>IFERROR((I$33-H$33)/ABS(H$33),"n/a")</f>
        <v/>
      </c>
    </row>
    <row r="18">
      <c r="A18" s="1" t="inlineStr">
        <is>
          <t>Tăng trưởng tín dụng YY</t>
        </is>
      </c>
      <c r="B18" s="2" t="n"/>
      <c r="C18" s="2" t="n"/>
      <c r="D18" s="2" t="n"/>
      <c r="E18" s="2" t="n"/>
      <c r="F18" s="2">
        <f>IFERROR((F$33-B$33)/ABS(B$33),"n/a")</f>
        <v/>
      </c>
      <c r="G18" s="2">
        <f>IFERROR((G$33-C$33)/ABS(C$33),"n/a")</f>
        <v/>
      </c>
      <c r="H18" s="2">
        <f>IFERROR((H$33-D$33)/ABS(D$33),"n/a")</f>
        <v/>
      </c>
      <c r="I18" s="2">
        <f>IFERROR((I$33-E$33)/ABS(E$33),"n/a")</f>
        <v/>
      </c>
    </row>
    <row r="19">
      <c r="A19" s="1" t="inlineStr">
        <is>
          <t>CIR</t>
        </is>
      </c>
      <c r="B19" s="2">
        <f>IFERROR(ABS(B$62)/B$61,"n/a")</f>
        <v/>
      </c>
      <c r="C19" s="2">
        <f>IFERROR(ABS(C$62)/C$61,"n/a")</f>
        <v/>
      </c>
      <c r="D19" s="2">
        <f>IFERROR(ABS(D$62)/D$61,"n/a")</f>
        <v/>
      </c>
      <c r="E19" s="2">
        <f>IFERROR(ABS(E$62)/E$61,"n/a")</f>
        <v/>
      </c>
      <c r="F19" s="2">
        <f>IFERROR(ABS(F$62)/F$61,"n/a")</f>
        <v/>
      </c>
      <c r="G19" s="2">
        <f>IFERROR(ABS(G$62)/G$61,"n/a")</f>
        <v/>
      </c>
      <c r="H19" s="2">
        <f>IFERROR(ABS(H$62)/H$61,"n/a")</f>
        <v/>
      </c>
      <c r="I19" s="2">
        <f>IFERROR(ABS(I$62)/I$61,"n/a")</f>
        <v/>
      </c>
    </row>
    <row r="20">
      <c r="A20" s="3" t="inlineStr">
        <is>
          <t>VCSH/Tổng tài sản</t>
        </is>
      </c>
      <c r="B20" s="12">
        <f>IFERROR(B$53/B$28,"n/a")</f>
        <v/>
      </c>
      <c r="C20" s="12">
        <f>IFERROR(C$53/C$28,"n/a")</f>
        <v/>
      </c>
      <c r="D20" s="12">
        <f>IFERROR(D$53/D$28,"n/a")</f>
        <v/>
      </c>
      <c r="E20" s="12">
        <f>IFERROR(E$53/E$28,"n/a")</f>
        <v/>
      </c>
      <c r="F20" s="12">
        <f>IFERROR(F$53/F$28,"n/a")</f>
        <v/>
      </c>
      <c r="G20" s="12">
        <f>IFERROR(G$53/G$28,"n/a")</f>
        <v/>
      </c>
      <c r="H20" s="12">
        <f>IFERROR(H$53/H$28,"n/a")</f>
        <v/>
      </c>
      <c r="I20" s="12">
        <f>IFERROR(I$53/I$28,"n/a")</f>
        <v/>
      </c>
    </row>
    <row r="21">
      <c r="A21" s="3" t="inlineStr">
        <is>
          <t>Tỷ lệ lãi và phí phải thu/Thu nhập lãi</t>
        </is>
      </c>
      <c r="B21" s="12">
        <f>IFERROR(B63/B$57,"n/a")</f>
        <v/>
      </c>
      <c r="C21" s="12">
        <f>IFERROR(C63/C$57,"n/a")</f>
        <v/>
      </c>
      <c r="D21" s="12">
        <f>IFERROR(D63/D$57,"n/a")</f>
        <v/>
      </c>
      <c r="E21" s="12">
        <f>IFERROR(E63/E$57,"n/a")</f>
        <v/>
      </c>
      <c r="F21" s="12">
        <f>IFERROR(F63/F$57,"n/a")</f>
        <v/>
      </c>
      <c r="G21" s="12">
        <f>IFERROR(G63/G$57,"n/a")</f>
        <v/>
      </c>
      <c r="H21" s="12">
        <f>IFERROR(H63/H$57,"n/a")</f>
        <v/>
      </c>
      <c r="I21" s="12">
        <f>IFERROR(I63/I$57,"n/a")</f>
        <v/>
      </c>
    </row>
    <row r="22">
      <c r="A22" s="1" t="inlineStr">
        <is>
          <t>Thu nhập ngoài lãi/Thu nhập hoạt động</t>
        </is>
      </c>
      <c r="B22" s="2">
        <f>IFERROR(B$60/B$61,"n/a")</f>
        <v/>
      </c>
      <c r="C22" s="2">
        <f>IFERROR(C$60/C$61,"n/a")</f>
        <v/>
      </c>
      <c r="D22" s="2">
        <f>IFERROR(D$60/D$61,"n/a")</f>
        <v/>
      </c>
      <c r="E22" s="2">
        <f>IFERROR(E$60/E$61,"n/a")</f>
        <v/>
      </c>
      <c r="F22" s="2">
        <f>IFERROR(F$60/F$61,"n/a")</f>
        <v/>
      </c>
      <c r="G22" s="2">
        <f>IFERROR(G$60/G$61,"n/a")</f>
        <v/>
      </c>
      <c r="H22" s="2">
        <f>IFERROR(H$60/H$61,"n/a")</f>
        <v/>
      </c>
      <c r="I22" s="2">
        <f>IFERROR(I$60/I$61,"n/a")</f>
        <v/>
      </c>
    </row>
    <row r="24">
      <c r="A24" s="13" t="inlineStr">
        <is>
          <t>II. DỮ LIỆU TRÍCH XUẤT (tự động dò theo tên khoản mục)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</row>
    <row r="25">
      <c r="A25" s="15" t="inlineStr">
        <is>
          <t>Khoản mục</t>
        </is>
      </c>
      <c r="B25" s="16">
        <f>balance_sheet!J1</f>
        <v/>
      </c>
      <c r="C25" s="16">
        <f>balance_sheet!K1</f>
        <v/>
      </c>
      <c r="D25" s="16">
        <f>balance_sheet!L1</f>
        <v/>
      </c>
      <c r="E25" s="16">
        <f>balance_sheet!M1</f>
        <v/>
      </c>
      <c r="F25" s="16">
        <f>balance_sheet!N1</f>
        <v/>
      </c>
      <c r="G25" s="16">
        <f>balance_sheet!O1</f>
        <v/>
      </c>
      <c r="H25" s="16">
        <f>balance_sheet!P1</f>
        <v/>
      </c>
      <c r="I25" s="16">
        <f>balance_sheet!Q1</f>
        <v/>
      </c>
    </row>
    <row r="26">
      <c r="A26" s="15" t="inlineStr">
        <is>
          <t>CĐKT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</row>
    <row r="27">
      <c r="A27" s="15" t="inlineStr">
        <is>
          <t>Tài sản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>
      <c r="A28" s="4" t="inlineStr">
        <is>
          <t>TỔNG TÀI SẢN</t>
        </is>
      </c>
      <c r="B28" s="20">
        <f>IFERROR(INDEX(balance_sheet!$B:$XFD,MATCH("TỔNG TÀI SẢN",balance_sheet!$A:$A,0),MATCH(B$25,balance_sheet!$B$1:$XFD$1,0)),"")</f>
        <v/>
      </c>
      <c r="C28" s="20">
        <f>IFERROR(INDEX(balance_sheet!$B:$XFD,MATCH("TỔNG TÀI SẢN",balance_sheet!$A:$A,0),MATCH(C$25,balance_sheet!$B$1:$XFD$1,0)),"")</f>
        <v/>
      </c>
      <c r="D28" s="20">
        <f>IFERROR(INDEX(balance_sheet!$B:$XFD,MATCH("TỔNG TÀI SẢN",balance_sheet!$A:$A,0),MATCH(D$25,balance_sheet!$B$1:$XFD$1,0)),"")</f>
        <v/>
      </c>
      <c r="E28" s="20">
        <f>IFERROR(INDEX(balance_sheet!$B:$XFD,MATCH("TỔNG TÀI SẢN",balance_sheet!$A:$A,0),MATCH(E$25,balance_sheet!$B$1:$XFD$1,0)),"")</f>
        <v/>
      </c>
      <c r="F28" s="20">
        <f>IFERROR(INDEX(balance_sheet!$B:$XFD,MATCH("TỔNG TÀI SẢN",balance_sheet!$A:$A,0),MATCH(F$25,balance_sheet!$B$1:$XFD$1,0)),"")</f>
        <v/>
      </c>
      <c r="G28" s="20">
        <f>IFERROR(INDEX(balance_sheet!$B:$XFD,MATCH("TỔNG TÀI SẢN",balance_sheet!$A:$A,0),MATCH(G$25,balance_sheet!$B$1:$XFD$1,0)),"")</f>
        <v/>
      </c>
      <c r="H28" s="20">
        <f>IFERROR(INDEX(balance_sheet!$B:$XFD,MATCH("TỔNG TÀI SẢN",balance_sheet!$A:$A,0),MATCH(H$25,balance_sheet!$B$1:$XFD$1,0)),"")</f>
        <v/>
      </c>
      <c r="I28" s="20">
        <f>IFERROR(INDEX(balance_sheet!$B:$XFD,MATCH("TỔNG TÀI SẢN",balance_sheet!$A:$A,0),MATCH(I$25,balance_sheet!$B$1:$XFD$1,0)),"")</f>
        <v/>
      </c>
    </row>
    <row r="29">
      <c r="A29" s="4" t="inlineStr">
        <is>
          <t>Tiền gửi tại Ngân hàng nhà nước Việt Nam</t>
        </is>
      </c>
      <c r="B29" s="20">
        <f>IFERROR(INDEX(balance_sheet!$B:$XFD,MATCH("Tiền gửi tại Ngân hàng nhà nước Việt Nam",balance_sheet!$A:$A,0),MATCH(B$25,balance_sheet!$B$1:$XFD$1,0)),"")</f>
        <v/>
      </c>
      <c r="C29" s="20">
        <f>IFERROR(INDEX(balance_sheet!$B:$XFD,MATCH("Tiền gửi tại Ngân hàng nhà nước Việt Nam",balance_sheet!$A:$A,0),MATCH(C$25,balance_sheet!$B$1:$XFD$1,0)),"")</f>
        <v/>
      </c>
      <c r="D29" s="20">
        <f>IFERROR(INDEX(balance_sheet!$B:$XFD,MATCH("Tiền gửi tại Ngân hàng nhà nước Việt Nam",balance_sheet!$A:$A,0),MATCH(D$25,balance_sheet!$B$1:$XFD$1,0)),"")</f>
        <v/>
      </c>
      <c r="E29" s="20">
        <f>IFERROR(INDEX(balance_sheet!$B:$XFD,MATCH("Tiền gửi tại Ngân hàng nhà nước Việt Nam",balance_sheet!$A:$A,0),MATCH(E$25,balance_sheet!$B$1:$XFD$1,0)),"")</f>
        <v/>
      </c>
      <c r="F29" s="20">
        <f>IFERROR(INDEX(balance_sheet!$B:$XFD,MATCH("Tiền gửi tại Ngân hàng nhà nước Việt Nam",balance_sheet!$A:$A,0),MATCH(F$25,balance_sheet!$B$1:$XFD$1,0)),"")</f>
        <v/>
      </c>
      <c r="G29" s="20">
        <f>IFERROR(INDEX(balance_sheet!$B:$XFD,MATCH("Tiền gửi tại Ngân hàng nhà nước Việt Nam",balance_sheet!$A:$A,0),MATCH(G$25,balance_sheet!$B$1:$XFD$1,0)),"")</f>
        <v/>
      </c>
      <c r="H29" s="20">
        <f>IFERROR(INDEX(balance_sheet!$B:$XFD,MATCH("Tiền gửi tại Ngân hàng nhà nước Việt Nam",balance_sheet!$A:$A,0),MATCH(H$25,balance_sheet!$B$1:$XFD$1,0)),"")</f>
        <v/>
      </c>
      <c r="I29" s="20">
        <f>IFERROR(INDEX(balance_sheet!$B:$XFD,MATCH("Tiền gửi tại Ngân hàng nhà nước Việt Nam",balance_sheet!$A:$A,0),MATCH(I$25,balance_sheet!$B$1:$XFD$1,0)),"")</f>
        <v/>
      </c>
    </row>
    <row r="30">
      <c r="A30" s="4" t="inlineStr">
        <is>
          <t>Tiền gửi tại các TCTD khác và cho vay các TCTD khác</t>
        </is>
      </c>
      <c r="B30" s="20">
        <f>IFERROR(INDEX(balance_sheet!$B:$XFD,MATCH("Tiền gửi tại các TCTD khác và cho vay các TCTD khác",balance_sheet!$A:$A,0),MATCH(B$25,balance_sheet!$B$1:$XFD$1,0)),"")</f>
        <v/>
      </c>
      <c r="C30" s="20">
        <f>IFERROR(INDEX(balance_sheet!$B:$XFD,MATCH("Tiền gửi tại các TCTD khác và cho vay các TCTD khác",balance_sheet!$A:$A,0),MATCH(C$25,balance_sheet!$B$1:$XFD$1,0)),"")</f>
        <v/>
      </c>
      <c r="D30" s="20">
        <f>IFERROR(INDEX(balance_sheet!$B:$XFD,MATCH("Tiền gửi tại các TCTD khác và cho vay các TCTD khác",balance_sheet!$A:$A,0),MATCH(D$25,balance_sheet!$B$1:$XFD$1,0)),"")</f>
        <v/>
      </c>
      <c r="E30" s="20">
        <f>IFERROR(INDEX(balance_sheet!$B:$XFD,MATCH("Tiền gửi tại các TCTD khác và cho vay các TCTD khác",balance_sheet!$A:$A,0),MATCH(E$25,balance_sheet!$B$1:$XFD$1,0)),"")</f>
        <v/>
      </c>
      <c r="F30" s="20">
        <f>IFERROR(INDEX(balance_sheet!$B:$XFD,MATCH("Tiền gửi tại các TCTD khác và cho vay các TCTD khác",balance_sheet!$A:$A,0),MATCH(F$25,balance_sheet!$B$1:$XFD$1,0)),"")</f>
        <v/>
      </c>
      <c r="G30" s="20">
        <f>IFERROR(INDEX(balance_sheet!$B:$XFD,MATCH("Tiền gửi tại các TCTD khác và cho vay các TCTD khác",balance_sheet!$A:$A,0),MATCH(G$25,balance_sheet!$B$1:$XFD$1,0)),"")</f>
        <v/>
      </c>
      <c r="H30" s="20">
        <f>IFERROR(INDEX(balance_sheet!$B:$XFD,MATCH("Tiền gửi tại các TCTD khác và cho vay các TCTD khác",balance_sheet!$A:$A,0),MATCH(H$25,balance_sheet!$B$1:$XFD$1,0)),"")</f>
        <v/>
      </c>
      <c r="I30" s="20">
        <f>IFERROR(INDEX(balance_sheet!$B:$XFD,MATCH("Tiền gửi tại các TCTD khác và cho vay các TCTD khác",balance_sheet!$A:$A,0),MATCH(I$25,balance_sheet!$B$1:$XFD$1,0)),"")</f>
        <v/>
      </c>
    </row>
    <row r="31">
      <c r="A31" s="5" t="inlineStr">
        <is>
          <t>Dự phòng rủi ro cho cay các TCTC khác</t>
        </is>
      </c>
      <c r="B31" s="20">
        <f>IFERROR(INDEX(balance_sheet!$B:$XFD,MATCH("Dự phòng rủi ro",balance_sheet!$A:$A,0),MATCH(B$25,balance_sheet!$B$1:$XFD$1,0)),"")</f>
        <v/>
      </c>
      <c r="C31" s="20">
        <f>IFERROR(INDEX(balance_sheet!$B:$XFD,MATCH("Dự phòng rủi ro",balance_sheet!$A:$A,0),MATCH(C$25,balance_sheet!$B$1:$XFD$1,0)),"")</f>
        <v/>
      </c>
      <c r="D31" s="20">
        <f>IFERROR(INDEX(balance_sheet!$B:$XFD,MATCH("Dự phòng rủi ro",balance_sheet!$A:$A,0),MATCH(D$25,balance_sheet!$B$1:$XFD$1,0)),"")</f>
        <v/>
      </c>
      <c r="E31" s="20">
        <f>IFERROR(INDEX(balance_sheet!$B:$XFD,MATCH("Dự phòng rủi ro",balance_sheet!$A:$A,0),MATCH(E$25,balance_sheet!$B$1:$XFD$1,0)),"")</f>
        <v/>
      </c>
      <c r="F31" s="20">
        <f>IFERROR(INDEX(balance_sheet!$B:$XFD,MATCH("Dự phòng rủi ro",balance_sheet!$A:$A,0),MATCH(F$25,balance_sheet!$B$1:$XFD$1,0)),"")</f>
        <v/>
      </c>
      <c r="G31" s="20">
        <f>IFERROR(INDEX(balance_sheet!$B:$XFD,MATCH("Dự phòng rủi ro",balance_sheet!$A:$A,0),MATCH(G$25,balance_sheet!$B$1:$XFD$1,0)),"")</f>
        <v/>
      </c>
      <c r="H31" s="20">
        <f>IFERROR(INDEX(balance_sheet!$B:$XFD,MATCH("Dự phòng rủi ro",balance_sheet!$A:$A,0),MATCH(H$25,balance_sheet!$B$1:$XFD$1,0)),"")</f>
        <v/>
      </c>
      <c r="I31" s="20">
        <f>IFERROR(INDEX(balance_sheet!$B:$XFD,MATCH("Dự phòng rủi ro",balance_sheet!$A:$A,0),MATCH(I$25,balance_sheet!$B$1:$XFD$1,0)),"")</f>
        <v/>
      </c>
    </row>
    <row r="32">
      <c r="A32" s="4" t="inlineStr">
        <is>
          <t>Chứng khoán kinh doanh</t>
        </is>
      </c>
      <c r="B32" s="20">
        <f>IFERROR(INDEX(balance_sheet!$B:$XFD,MATCH("Chứng khoán kinh doanh",balance_sheet!$A:$A,0),MATCH(B$25,balance_sheet!$B$1:$XFD$1,0)),"")</f>
        <v/>
      </c>
      <c r="C32" s="20">
        <f>IFERROR(INDEX(balance_sheet!$B:$XFD,MATCH("Chứng khoán kinh doanh",balance_sheet!$A:$A,0),MATCH(C$25,balance_sheet!$B$1:$XFD$1,0)),"")</f>
        <v/>
      </c>
      <c r="D32" s="20">
        <f>IFERROR(INDEX(balance_sheet!$B:$XFD,MATCH("Chứng khoán kinh doanh",balance_sheet!$A:$A,0),MATCH(D$25,balance_sheet!$B$1:$XFD$1,0)),"")</f>
        <v/>
      </c>
      <c r="E32" s="20">
        <f>IFERROR(INDEX(balance_sheet!$B:$XFD,MATCH("Chứng khoán kinh doanh",balance_sheet!$A:$A,0),MATCH(E$25,balance_sheet!$B$1:$XFD$1,0)),"")</f>
        <v/>
      </c>
      <c r="F32" s="20">
        <f>IFERROR(INDEX(balance_sheet!$B:$XFD,MATCH("Chứng khoán kinh doanh",balance_sheet!$A:$A,0),MATCH(F$25,balance_sheet!$B$1:$XFD$1,0)),"")</f>
        <v/>
      </c>
      <c r="G32" s="20">
        <f>IFERROR(INDEX(balance_sheet!$B:$XFD,MATCH("Chứng khoán kinh doanh",balance_sheet!$A:$A,0),MATCH(G$25,balance_sheet!$B$1:$XFD$1,0)),"")</f>
        <v/>
      </c>
      <c r="H32" s="20">
        <f>IFERROR(INDEX(balance_sheet!$B:$XFD,MATCH("Chứng khoán kinh doanh",balance_sheet!$A:$A,0),MATCH(H$25,balance_sheet!$B$1:$XFD$1,0)),"")</f>
        <v/>
      </c>
      <c r="I32" s="20">
        <f>IFERROR(INDEX(balance_sheet!$B:$XFD,MATCH("Chứng khoán kinh doanh",balance_sheet!$A:$A,0),MATCH(I$25,balance_sheet!$B$1:$XFD$1,0)),"")</f>
        <v/>
      </c>
    </row>
    <row r="33">
      <c r="A33" s="4" t="inlineStr">
        <is>
          <t>Cho vay khách hàng</t>
        </is>
      </c>
      <c r="B33" s="20">
        <f>IFERROR(INDEX(balance_sheet!$B:$XFD,MATCH("Cho vay khách hàng",balance_sheet!$A:$A,0),MATCH(B$25,balance_sheet!$B$1:$XFD$1,0)),"")</f>
        <v/>
      </c>
      <c r="C33" s="20">
        <f>IFERROR(INDEX(balance_sheet!$B:$XFD,MATCH("Cho vay khách hàng",balance_sheet!$A:$A,0),MATCH(C$25,balance_sheet!$B$1:$XFD$1,0)),"")</f>
        <v/>
      </c>
      <c r="D33" s="20">
        <f>IFERROR(INDEX(balance_sheet!$B:$XFD,MATCH("Cho vay khách hàng",balance_sheet!$A:$A,0),MATCH(D$25,balance_sheet!$B$1:$XFD$1,0)),"")</f>
        <v/>
      </c>
      <c r="E33" s="20">
        <f>IFERROR(INDEX(balance_sheet!$B:$XFD,MATCH("Cho vay khách hàng",balance_sheet!$A:$A,0),MATCH(E$25,balance_sheet!$B$1:$XFD$1,0)),"")</f>
        <v/>
      </c>
      <c r="F33" s="20">
        <f>IFERROR(INDEX(balance_sheet!$B:$XFD,MATCH("Cho vay khách hàng",balance_sheet!$A:$A,0),MATCH(F$25,balance_sheet!$B$1:$XFD$1,0)),"")</f>
        <v/>
      </c>
      <c r="G33" s="20">
        <f>IFERROR(INDEX(balance_sheet!$B:$XFD,MATCH("Cho vay khách hàng",balance_sheet!$A:$A,0),MATCH(G$25,balance_sheet!$B$1:$XFD$1,0)),"")</f>
        <v/>
      </c>
      <c r="H33" s="20">
        <f>IFERROR(INDEX(balance_sheet!$B:$XFD,MATCH("Cho vay khách hàng",balance_sheet!$A:$A,0),MATCH(H$25,balance_sheet!$B$1:$XFD$1,0)),"")</f>
        <v/>
      </c>
      <c r="I33" s="20">
        <f>IFERROR(INDEX(balance_sheet!$B:$XFD,MATCH("Cho vay khách hàng",balance_sheet!$A:$A,0),MATCH(I$25,balance_sheet!$B$1:$XFD$1,0)),"")</f>
        <v/>
      </c>
    </row>
    <row r="34">
      <c r="A34" s="5" t="inlineStr">
        <is>
          <t>+ Nợ đủ tiêu chuẩn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</row>
    <row r="35">
      <c r="A35" s="5" t="inlineStr">
        <is>
          <t>+ Nợ cần chú ý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</row>
    <row r="36">
      <c r="A36" s="5" t="inlineStr">
        <is>
          <t>+ Nợ dưới tiêu chuẩn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</row>
    <row r="37">
      <c r="A37" s="5" t="inlineStr">
        <is>
          <t>+ Nợ nghi ngờ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</row>
    <row r="38">
      <c r="A38" s="5" t="inlineStr">
        <is>
          <t>+ Nợ có khả năng mất vốn</t>
        </is>
      </c>
      <c r="B38" s="21" t="n"/>
      <c r="C38" s="21" t="n"/>
      <c r="D38" s="21" t="n"/>
      <c r="E38" s="21" t="n"/>
      <c r="F38" s="21" t="n"/>
      <c r="G38" s="21" t="n"/>
      <c r="H38" s="21" t="n"/>
      <c r="I38" s="21" t="n"/>
    </row>
    <row r="39" customFormat="1" s="17">
      <c r="A39" s="7" t="inlineStr">
        <is>
          <t>Nợ xấu</t>
        </is>
      </c>
      <c r="B39" s="22">
        <f>SUM(B36:B38)</f>
        <v/>
      </c>
      <c r="C39" s="22">
        <f>SUM(C36:C38)</f>
        <v/>
      </c>
      <c r="D39" s="22">
        <f>SUM(D36:D38)</f>
        <v/>
      </c>
      <c r="E39" s="22">
        <f>SUM(E36:E38)</f>
        <v/>
      </c>
      <c r="F39" s="22">
        <f>SUM(F36:F38)</f>
        <v/>
      </c>
      <c r="G39" s="22">
        <f>SUM(G36:G38)</f>
        <v/>
      </c>
      <c r="H39" s="22">
        <f>SUM(H36:H38)</f>
        <v/>
      </c>
      <c r="I39" s="22">
        <f>SUM(I36:I38)</f>
        <v/>
      </c>
    </row>
    <row r="40">
      <c r="A40" s="4" t="inlineStr">
        <is>
          <t>Cho vay KDBĐS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</row>
    <row r="41">
      <c r="A41" s="4" t="inlineStr">
        <is>
          <t>Dự phòng rủi ro cho vay khách hàng</t>
        </is>
      </c>
      <c r="B41" s="20">
        <f>IFERROR(INDEX(balance_sheet!$B:$XFD,MATCH("Dự phòng rủi ro cho vay khách hàng",balance_sheet!$A:$A,0),MATCH(B$25,balance_sheet!$B$1:$XFD$1,0)),"")</f>
        <v/>
      </c>
      <c r="C41" s="20">
        <f>IFERROR(INDEX(balance_sheet!$B:$XFD,MATCH("Dự phòng rủi ro cho vay khách hàng",balance_sheet!$A:$A,0),MATCH(C$25,balance_sheet!$B$1:$XFD$1,0)),"")</f>
        <v/>
      </c>
      <c r="D41" s="20">
        <f>IFERROR(INDEX(balance_sheet!$B:$XFD,MATCH("Dự phòng rủi ro cho vay khách hàng",balance_sheet!$A:$A,0),MATCH(D$25,balance_sheet!$B$1:$XFD$1,0)),"")</f>
        <v/>
      </c>
      <c r="E41" s="20">
        <f>IFERROR(INDEX(balance_sheet!$B:$XFD,MATCH("Dự phòng rủi ro cho vay khách hàng",balance_sheet!$A:$A,0),MATCH(E$25,balance_sheet!$B$1:$XFD$1,0)),"")</f>
        <v/>
      </c>
      <c r="F41" s="20">
        <f>IFERROR(INDEX(balance_sheet!$B:$XFD,MATCH("Dự phòng rủi ro cho vay khách hàng",balance_sheet!$A:$A,0),MATCH(F$25,balance_sheet!$B$1:$XFD$1,0)),"")</f>
        <v/>
      </c>
      <c r="G41" s="20">
        <f>IFERROR(INDEX(balance_sheet!$B:$XFD,MATCH("Dự phòng rủi ro cho vay khách hàng",balance_sheet!$A:$A,0),MATCH(G$25,balance_sheet!$B$1:$XFD$1,0)),"")</f>
        <v/>
      </c>
      <c r="H41" s="20">
        <f>IFERROR(INDEX(balance_sheet!$B:$XFD,MATCH("Dự phòng rủi ro cho vay khách hàng",balance_sheet!$A:$A,0),MATCH(H$25,balance_sheet!$B$1:$XFD$1,0)),"")</f>
        <v/>
      </c>
      <c r="I41" s="20">
        <f>IFERROR(INDEX(balance_sheet!$B:$XFD,MATCH("Dự phòng rủi ro cho vay khách hàng",balance_sheet!$A:$A,0),MATCH(I$25,balance_sheet!$B$1:$XFD$1,0)),"")</f>
        <v/>
      </c>
    </row>
    <row r="42">
      <c r="A42" s="4" t="inlineStr">
        <is>
          <t>Chứng khoán đầu tư</t>
        </is>
      </c>
      <c r="B42" s="20">
        <f>IFERROR(INDEX(balance_sheet!$B:$XFD,MATCH("Chứng khoán đầu tư",balance_sheet!$A:$A,0),MATCH(B$25,balance_sheet!$B$1:$XFD$1,0)),"")</f>
        <v/>
      </c>
      <c r="C42" s="20">
        <f>IFERROR(INDEX(balance_sheet!$B:$XFD,MATCH("Chứng khoán đầu tư",balance_sheet!$A:$A,0),MATCH(C$25,balance_sheet!$B$1:$XFD$1,0)),"")</f>
        <v/>
      </c>
      <c r="D42" s="20">
        <f>IFERROR(INDEX(balance_sheet!$B:$XFD,MATCH("Chứng khoán đầu tư",balance_sheet!$A:$A,0),MATCH(D$25,balance_sheet!$B$1:$XFD$1,0)),"")</f>
        <v/>
      </c>
      <c r="E42" s="20">
        <f>IFERROR(INDEX(balance_sheet!$B:$XFD,MATCH("Chứng khoán đầu tư",balance_sheet!$A:$A,0),MATCH(E$25,balance_sheet!$B$1:$XFD$1,0)),"")</f>
        <v/>
      </c>
      <c r="F42" s="20">
        <f>IFERROR(INDEX(balance_sheet!$B:$XFD,MATCH("Chứng khoán đầu tư",balance_sheet!$A:$A,0),MATCH(F$25,balance_sheet!$B$1:$XFD$1,0)),"")</f>
        <v/>
      </c>
      <c r="G42" s="20">
        <f>IFERROR(INDEX(balance_sheet!$B:$XFD,MATCH("Chứng khoán đầu tư",balance_sheet!$A:$A,0),MATCH(G$25,balance_sheet!$B$1:$XFD$1,0)),"")</f>
        <v/>
      </c>
      <c r="H42" s="20">
        <f>IFERROR(INDEX(balance_sheet!$B:$XFD,MATCH("Chứng khoán đầu tư",balance_sheet!$A:$A,0),MATCH(H$25,balance_sheet!$B$1:$XFD$1,0)),"")</f>
        <v/>
      </c>
      <c r="I42" s="20">
        <f>IFERROR(INDEX(balance_sheet!$B:$XFD,MATCH("Chứng khoán đầu tư",balance_sheet!$A:$A,0),MATCH(I$25,balance_sheet!$B$1:$XFD$1,0)),"")</f>
        <v/>
      </c>
    </row>
    <row r="43">
      <c r="A43" s="4" t="inlineStr">
        <is>
          <t>Dự phòng giảm giá chứng khoán đầu tư</t>
        </is>
      </c>
      <c r="B43" s="20">
        <f>IFERROR(INDEX(balance_sheet!$B:$XFD,MATCH("Dự phòng giảm giá chứng khoán đầu tư",balance_sheet!$A:$A,0),MATCH(B$25,balance_sheet!$B$1:$XFD$1,0)),"")</f>
        <v/>
      </c>
      <c r="C43" s="20">
        <f>IFERROR(INDEX(balance_sheet!$B:$XFD,MATCH("Dự phòng giảm giá chứng khoán đầu tư",balance_sheet!$A:$A,0),MATCH(C$25,balance_sheet!$B$1:$XFD$1,0)),"")</f>
        <v/>
      </c>
      <c r="D43" s="20">
        <f>IFERROR(INDEX(balance_sheet!$B:$XFD,MATCH("Dự phòng giảm giá chứng khoán đầu tư",balance_sheet!$A:$A,0),MATCH(D$25,balance_sheet!$B$1:$XFD$1,0)),"")</f>
        <v/>
      </c>
      <c r="E43" s="20">
        <f>IFERROR(INDEX(balance_sheet!$B:$XFD,MATCH("Dự phòng giảm giá chứng khoán đầu tư",balance_sheet!$A:$A,0),MATCH(E$25,balance_sheet!$B$1:$XFD$1,0)),"")</f>
        <v/>
      </c>
      <c r="F43" s="20">
        <f>IFERROR(INDEX(balance_sheet!$B:$XFD,MATCH("Dự phòng giảm giá chứng khoán đầu tư",balance_sheet!$A:$A,0),MATCH(F$25,balance_sheet!$B$1:$XFD$1,0)),"")</f>
        <v/>
      </c>
      <c r="G43" s="20">
        <f>IFERROR(INDEX(balance_sheet!$B:$XFD,MATCH("Dự phòng giảm giá chứng khoán đầu tư",balance_sheet!$A:$A,0),MATCH(G$25,balance_sheet!$B$1:$XFD$1,0)),"")</f>
        <v/>
      </c>
      <c r="H43" s="20">
        <f>IFERROR(INDEX(balance_sheet!$B:$XFD,MATCH("Dự phòng giảm giá chứng khoán đầu tư",balance_sheet!$A:$A,0),MATCH(H$25,balance_sheet!$B$1:$XFD$1,0)),"")</f>
        <v/>
      </c>
      <c r="I43" s="20">
        <f>IFERROR(INDEX(balance_sheet!$B:$XFD,MATCH("Dự phòng giảm giá chứng khoán đầu tư",balance_sheet!$A:$A,0),MATCH(I$25,balance_sheet!$B$1:$XFD$1,0)),"")</f>
        <v/>
      </c>
    </row>
    <row r="44">
      <c r="A44" s="4" t="inlineStr">
        <is>
          <t>Góp vốn, đầu tư dài hạn</t>
        </is>
      </c>
      <c r="B44" s="20">
        <f>IFERROR(INDEX(balance_sheet!$B:$XFD,MATCH("Góp vốn, đầu tư dài hạn",balance_sheet!$A:$A,0),MATCH(B$25,balance_sheet!$B$1:$XFD$1,0)),"")</f>
        <v/>
      </c>
      <c r="C44" s="20">
        <f>IFERROR(INDEX(balance_sheet!$B:$XFD,MATCH("Góp vốn, đầu tư dài hạn",balance_sheet!$A:$A,0),MATCH(C$25,balance_sheet!$B$1:$XFD$1,0)),"")</f>
        <v/>
      </c>
      <c r="D44" s="20">
        <f>IFERROR(INDEX(balance_sheet!$B:$XFD,MATCH("Góp vốn, đầu tư dài hạn",balance_sheet!$A:$A,0),MATCH(D$25,balance_sheet!$B$1:$XFD$1,0)),"")</f>
        <v/>
      </c>
      <c r="E44" s="20">
        <f>IFERROR(INDEX(balance_sheet!$B:$XFD,MATCH("Góp vốn, đầu tư dài hạn",balance_sheet!$A:$A,0),MATCH(E$25,balance_sheet!$B$1:$XFD$1,0)),"")</f>
        <v/>
      </c>
      <c r="F44" s="20">
        <f>IFERROR(INDEX(balance_sheet!$B:$XFD,MATCH("Góp vốn, đầu tư dài hạn",balance_sheet!$A:$A,0),MATCH(F$25,balance_sheet!$B$1:$XFD$1,0)),"")</f>
        <v/>
      </c>
      <c r="G44" s="20">
        <f>IFERROR(INDEX(balance_sheet!$B:$XFD,MATCH("Góp vốn, đầu tư dài hạn",balance_sheet!$A:$A,0),MATCH(G$25,balance_sheet!$B$1:$XFD$1,0)),"")</f>
        <v/>
      </c>
      <c r="H44" s="20">
        <f>IFERROR(INDEX(balance_sheet!$B:$XFD,MATCH("Góp vốn, đầu tư dài hạn",balance_sheet!$A:$A,0),MATCH(H$25,balance_sheet!$B$1:$XFD$1,0)),"")</f>
        <v/>
      </c>
      <c r="I44" s="20">
        <f>IFERROR(INDEX(balance_sheet!$B:$XFD,MATCH("Góp vốn, đầu tư dài hạn",balance_sheet!$A:$A,0),MATCH(I$25,balance_sheet!$B$1:$XFD$1,0)),"")</f>
        <v/>
      </c>
    </row>
    <row r="45">
      <c r="A45" s="4" t="inlineStr">
        <is>
          <t>Dự phòng giảm giá đầu tư dài hạn</t>
        </is>
      </c>
      <c r="B45" s="20">
        <f>IFERROR(INDEX(balance_sheet!$B:$XFD,MATCH("Dự phòng giảm giá đầu tư dài hạn",balance_sheet!$A:$A,0),MATCH(B$25,balance_sheet!$B$1:$XFD$1,0)),"")</f>
        <v/>
      </c>
      <c r="C45" s="20">
        <f>IFERROR(INDEX(balance_sheet!$B:$XFD,MATCH("Dự phòng giảm giá đầu tư dài hạn",balance_sheet!$A:$A,0),MATCH(C$25,balance_sheet!$B$1:$XFD$1,0)),"")</f>
        <v/>
      </c>
      <c r="D45" s="20">
        <f>IFERROR(INDEX(balance_sheet!$B:$XFD,MATCH("Dự phòng giảm giá đầu tư dài hạn",balance_sheet!$A:$A,0),MATCH(D$25,balance_sheet!$B$1:$XFD$1,0)),"")</f>
        <v/>
      </c>
      <c r="E45" s="20">
        <f>IFERROR(INDEX(balance_sheet!$B:$XFD,MATCH("Dự phòng giảm giá đầu tư dài hạn",balance_sheet!$A:$A,0),MATCH(E$25,balance_sheet!$B$1:$XFD$1,0)),"")</f>
        <v/>
      </c>
      <c r="F45" s="20">
        <f>IFERROR(INDEX(balance_sheet!$B:$XFD,MATCH("Dự phòng giảm giá đầu tư dài hạn",balance_sheet!$A:$A,0),MATCH(F$25,balance_sheet!$B$1:$XFD$1,0)),"")</f>
        <v/>
      </c>
      <c r="G45" s="20">
        <f>IFERROR(INDEX(balance_sheet!$B:$XFD,MATCH("Dự phòng giảm giá đầu tư dài hạn",balance_sheet!$A:$A,0),MATCH(G$25,balance_sheet!$B$1:$XFD$1,0)),"")</f>
        <v/>
      </c>
      <c r="H45" s="20">
        <f>IFERROR(INDEX(balance_sheet!$B:$XFD,MATCH("Dự phòng giảm giá đầu tư dài hạn",balance_sheet!$A:$A,0),MATCH(H$25,balance_sheet!$B$1:$XFD$1,0)),"")</f>
        <v/>
      </c>
      <c r="I45" s="20">
        <f>IFERROR(INDEX(balance_sheet!$B:$XFD,MATCH("Dự phòng giảm giá đầu tư dài hạn",balance_sheet!$A:$A,0),MATCH(I$25,balance_sheet!$B$1:$XFD$1,0)),"")</f>
        <v/>
      </c>
    </row>
    <row r="46">
      <c r="A46" s="4" t="inlineStr">
        <is>
          <t>Tài sản sinh lời</t>
        </is>
      </c>
      <c r="B46" s="22">
        <f>B29+B30-B31+B32+B33+B42-B43+B44-B45</f>
        <v/>
      </c>
      <c r="C46" s="22">
        <f>C29+C30-C31+C32+C33+C42-C43+C44-C45</f>
        <v/>
      </c>
      <c r="D46" s="22">
        <f>D29+D30-D31+D32+D33+D42-D43+D44-D45</f>
        <v/>
      </c>
      <c r="E46" s="22">
        <f>E29+E30-E31+E32+E33+E42-E43+E44-E45</f>
        <v/>
      </c>
      <c r="F46" s="22">
        <f>F29+F30-F31+F32+F33+F42-F43+F44-F45</f>
        <v/>
      </c>
      <c r="G46" s="22">
        <f>G29+G30-G31+G32+G33+G42-G43+G44-G45</f>
        <v/>
      </c>
      <c r="H46" s="22">
        <f>H29+H30-H31+H32+H33+H42-H43+H44-H45</f>
        <v/>
      </c>
      <c r="I46" s="22">
        <f>I29+I30-I31+I32+I33+I42-I43+I44-I45</f>
        <v/>
      </c>
    </row>
    <row r="47">
      <c r="A47" s="15" t="inlineStr">
        <is>
          <t>Nguồn vốn</t>
        </is>
      </c>
      <c r="B47" s="20" t="n"/>
      <c r="C47" s="20" t="n"/>
      <c r="D47" s="20" t="n"/>
      <c r="E47" s="20" t="n"/>
      <c r="F47" s="20" t="n"/>
      <c r="G47" s="20" t="n"/>
      <c r="H47" s="20" t="n"/>
      <c r="I47" s="20" t="n"/>
    </row>
    <row r="48">
      <c r="A48" s="4" t="inlineStr">
        <is>
          <t>Tiền gửi khách hàng</t>
        </is>
      </c>
      <c r="B48" s="20">
        <f>IFERROR(INDEX(balance_sheet!$B:$XFD,MATCH("Tiền gửi của khách hàng",balance_sheet!$A:$A,0),MATCH(B$25,balance_sheet!$B$1:$XFD$1,0)),"")</f>
        <v/>
      </c>
      <c r="C48" s="20">
        <f>IFERROR(INDEX(balance_sheet!$B:$XFD,MATCH("Tiền gửi của khách hàng",balance_sheet!$A:$A,0),MATCH(C$25,balance_sheet!$B$1:$XFD$1,0)),"")</f>
        <v/>
      </c>
      <c r="D48" s="20">
        <f>IFERROR(INDEX(balance_sheet!$B:$XFD,MATCH("Tiền gửi của khách hàng",balance_sheet!$A:$A,0),MATCH(D$25,balance_sheet!$B$1:$XFD$1,0)),"")</f>
        <v/>
      </c>
      <c r="E48" s="20">
        <f>IFERROR(INDEX(balance_sheet!$B:$XFD,MATCH("Tiền gửi của khách hàng",balance_sheet!$A:$A,0),MATCH(E$25,balance_sheet!$B$1:$XFD$1,0)),"")</f>
        <v/>
      </c>
      <c r="F48" s="20">
        <f>IFERROR(INDEX(balance_sheet!$B:$XFD,MATCH("Tiền gửi của khách hàng",balance_sheet!$A:$A,0),MATCH(F$25,balance_sheet!$B$1:$XFD$1,0)),"")</f>
        <v/>
      </c>
      <c r="G48" s="20">
        <f>IFERROR(INDEX(balance_sheet!$B:$XFD,MATCH("Tiền gửi của khách hàng",balance_sheet!$A:$A,0),MATCH(G$25,balance_sheet!$B$1:$XFD$1,0)),"")</f>
        <v/>
      </c>
      <c r="H48" s="20">
        <f>IFERROR(INDEX(balance_sheet!$B:$XFD,MATCH("Tiền gửi của khách hàng",balance_sheet!$A:$A,0),MATCH(H$25,balance_sheet!$B$1:$XFD$1,0)),"")</f>
        <v/>
      </c>
      <c r="I48" s="20">
        <f>IFERROR(INDEX(balance_sheet!$B:$XFD,MATCH("Tiền gửi của khách hàng",balance_sheet!$A:$A,0),MATCH(I$25,balance_sheet!$B$1:$XFD$1,0)),"")</f>
        <v/>
      </c>
    </row>
    <row r="49">
      <c r="A49" s="5" t="inlineStr">
        <is>
          <t>+ Tiền gửi không kỳ hạn</t>
        </is>
      </c>
      <c r="B49" s="21" t="n"/>
      <c r="C49" s="21" t="n"/>
      <c r="D49" s="21" t="n"/>
      <c r="E49" s="21" t="n"/>
      <c r="F49" s="21" t="n"/>
      <c r="G49" s="21" t="n"/>
      <c r="H49" s="21" t="n"/>
      <c r="I49" s="21" t="n"/>
    </row>
    <row r="50">
      <c r="A50" s="5" t="inlineStr">
        <is>
          <t>+ Tiền gửi có kỳ hạn</t>
        </is>
      </c>
      <c r="B50" s="21" t="n"/>
      <c r="C50" s="21" t="n"/>
      <c r="D50" s="21" t="n"/>
      <c r="E50" s="21" t="n"/>
      <c r="F50" s="21" t="n"/>
      <c r="G50" s="21" t="n"/>
      <c r="H50" s="21" t="n"/>
      <c r="I50" s="21" t="n"/>
    </row>
    <row r="51">
      <c r="A51" s="5" t="inlineStr">
        <is>
          <t>+ Tiền gửi vốn chuyên dùng</t>
        </is>
      </c>
      <c r="B51" s="21" t="n"/>
      <c r="C51" s="21" t="n"/>
      <c r="D51" s="21" t="n"/>
      <c r="E51" s="21" t="n"/>
      <c r="F51" s="21" t="n"/>
      <c r="G51" s="21" t="n"/>
      <c r="H51" s="21" t="n"/>
      <c r="I51" s="21" t="n"/>
    </row>
    <row r="52">
      <c r="A52" s="5" t="inlineStr">
        <is>
          <t>+ Tiền ký quỹ</t>
        </is>
      </c>
      <c r="B52" s="21" t="n"/>
      <c r="C52" s="21" t="n"/>
      <c r="D52" s="21" t="n"/>
      <c r="E52" s="21" t="n"/>
      <c r="F52" s="21" t="n"/>
      <c r="G52" s="21" t="n"/>
      <c r="H52" s="21" t="n"/>
      <c r="I52" s="21" t="n"/>
    </row>
    <row r="53" customFormat="1" s="18">
      <c r="A53" s="15" t="inlineStr">
        <is>
          <t>VỐN CHỦ SỞ HỮU</t>
        </is>
      </c>
      <c r="B53" s="23">
        <f>IFERROR(INDEX(balance_sheet!$B:$XFD,MATCH("VỐN CHỦ SỞ HỮU",balance_sheet!$A:$A,0),MATCH(B$25,balance_sheet!$B$1:$XFD$1,0)),"")</f>
        <v/>
      </c>
      <c r="C53" s="23">
        <f>IFERROR(INDEX(balance_sheet!$B:$XFD,MATCH("VỐN CHỦ SỞ HỮU",balance_sheet!$A:$A,0),MATCH(C$25,balance_sheet!$B$1:$XFD$1,0)),"")</f>
        <v/>
      </c>
      <c r="D53" s="23">
        <f>IFERROR(INDEX(balance_sheet!$B:$XFD,MATCH("VỐN CHỦ SỞ HỮU",balance_sheet!$A:$A,0),MATCH(D$25,balance_sheet!$B$1:$XFD$1,0)),"")</f>
        <v/>
      </c>
      <c r="E53" s="23">
        <f>IFERROR(INDEX(balance_sheet!$B:$XFD,MATCH("VỐN CHỦ SỞ HỮU",balance_sheet!$A:$A,0),MATCH(E$25,balance_sheet!$B$1:$XFD$1,0)),"")</f>
        <v/>
      </c>
      <c r="F53" s="23">
        <f>IFERROR(INDEX(balance_sheet!$B:$XFD,MATCH("VỐN CHỦ SỞ HỮU",balance_sheet!$A:$A,0),MATCH(F$25,balance_sheet!$B$1:$XFD$1,0)),"")</f>
        <v/>
      </c>
      <c r="G53" s="23">
        <f>IFERROR(INDEX(balance_sheet!$B:$XFD,MATCH("VỐN CHỦ SỞ HỮU",balance_sheet!$A:$A,0),MATCH(G$25,balance_sheet!$B$1:$XFD$1,0)),"")</f>
        <v/>
      </c>
      <c r="H53" s="23">
        <f>IFERROR(INDEX(balance_sheet!$B:$XFD,MATCH("VỐN CHỦ SỞ HỮU",balance_sheet!$A:$A,0),MATCH(H$25,balance_sheet!$B$1:$XFD$1,0)),"")</f>
        <v/>
      </c>
      <c r="I53" s="23">
        <f>IFERROR(INDEX(balance_sheet!$B:$XFD,MATCH("VỐN CHỦ SỞ HỮU",balance_sheet!$A:$A,0),MATCH(I$25,balance_sheet!$B$1:$XFD$1,0)),"")</f>
        <v/>
      </c>
    </row>
    <row r="54" customFormat="1" s="25">
      <c r="A54" s="24" t="inlineStr">
        <is>
          <t>Tăng VCSH/LN cty mẹ</t>
        </is>
      </c>
      <c r="B54" s="26" t="n"/>
      <c r="C54" s="26">
        <f>(C53-B53)/C65</f>
        <v/>
      </c>
      <c r="D54" s="26">
        <f>(D53-C53)/D65</f>
        <v/>
      </c>
      <c r="E54" s="26">
        <f>(E53-D53)/E65</f>
        <v/>
      </c>
      <c r="F54" s="26">
        <f>(F53-E53)/F65</f>
        <v/>
      </c>
      <c r="G54" s="26">
        <f>(G53-F53)/G65</f>
        <v/>
      </c>
      <c r="H54" s="26">
        <f>(H53-G53)/H65</f>
        <v/>
      </c>
      <c r="I54" s="26">
        <f>(I53-H53)/I65</f>
        <v/>
      </c>
    </row>
    <row r="55" customFormat="1" s="18">
      <c r="A55" s="15" t="inlineStr">
        <is>
          <t>Lợi ích của cổ đông thiểu số</t>
        </is>
      </c>
      <c r="B55" s="23">
        <f>IFERROR(INDEX(balance_sheet!$B:$XFD,MATCH("Lợi ích của cổ đông thiểu số",balance_sheet!$A:$A,0),MATCH(B$25,balance_sheet!$B$1:$XFD$1,0)),"")</f>
        <v/>
      </c>
      <c r="C55" s="23">
        <f>IFERROR(INDEX(balance_sheet!$B:$XFD,MATCH("Lợi ích của cổ đông thiểu số",balance_sheet!$A:$A,0),MATCH(C$25,balance_sheet!$B$1:$XFD$1,0)),"")</f>
        <v/>
      </c>
      <c r="D55" s="23">
        <f>IFERROR(INDEX(balance_sheet!$B:$XFD,MATCH("Lợi ích của cổ đông thiểu số",balance_sheet!$A:$A,0),MATCH(D$25,balance_sheet!$B$1:$XFD$1,0)),"")</f>
        <v/>
      </c>
      <c r="E55" s="23">
        <f>IFERROR(INDEX(balance_sheet!$B:$XFD,MATCH("Lợi ích của cổ đông thiểu số",balance_sheet!$A:$A,0),MATCH(E$25,balance_sheet!$B$1:$XFD$1,0)),"")</f>
        <v/>
      </c>
      <c r="F55" s="23">
        <f>IFERROR(INDEX(balance_sheet!$B:$XFD,MATCH("Lợi ích của cổ đông thiểu số",balance_sheet!$A:$A,0),MATCH(F$25,balance_sheet!$B$1:$XFD$1,0)),"")</f>
        <v/>
      </c>
      <c r="G55" s="23">
        <f>IFERROR(INDEX(balance_sheet!$B:$XFD,MATCH("Lợi ích của cổ đông thiểu số",balance_sheet!$A:$A,0),MATCH(G$25,balance_sheet!$B$1:$XFD$1,0)),"")</f>
        <v/>
      </c>
      <c r="H55" s="23">
        <f>IFERROR(INDEX(balance_sheet!$B:$XFD,MATCH("Lợi ích của cổ đông thiểu số",balance_sheet!$A:$A,0),MATCH(H$25,balance_sheet!$B$1:$XFD$1,0)),"")</f>
        <v/>
      </c>
      <c r="I55" s="23">
        <f>IFERROR(INDEX(balance_sheet!$B:$XFD,MATCH("Lợi ích của cổ đông thiểu số",balance_sheet!$A:$A,0),MATCH(I$25,balance_sheet!$B$1:$XFD$1,0)),"")</f>
        <v/>
      </c>
    </row>
    <row r="56">
      <c r="A56" s="15" t="inlineStr">
        <is>
          <t>Kết quả hoạt động kinh doanh</t>
        </is>
      </c>
      <c r="B56" s="20" t="n"/>
      <c r="C56" s="20" t="n"/>
      <c r="D56" s="20" t="n"/>
      <c r="E56" s="20" t="n"/>
      <c r="F56" s="20" t="n"/>
      <c r="G56" s="20" t="n"/>
      <c r="H56" s="20" t="n"/>
      <c r="I56" s="20" t="n"/>
    </row>
    <row r="57">
      <c r="A57" s="4" t="inlineStr">
        <is>
          <t>Thu nhập lãi</t>
        </is>
      </c>
      <c r="B57" s="20">
        <f>IFERROR(INDEX(income_statement!$B:$XFD,MATCH("Thu nhập lãi và các khoản thu nhập tương tự",income_statement!$A:$A,0),MATCH(B$25,income_statement!$B$1:$XFD$1,0)),"")</f>
        <v/>
      </c>
      <c r="C57" s="20">
        <f>IFERROR(INDEX(income_statement!$B:$XFD,MATCH("Thu nhập lãi và các khoản thu nhập tương tự",income_statement!$A:$A,0),MATCH(C$25,income_statement!$B$1:$XFD$1,0)),"")</f>
        <v/>
      </c>
      <c r="D57" s="20">
        <f>IFERROR(INDEX(income_statement!$B:$XFD,MATCH("Thu nhập lãi và các khoản thu nhập tương tự",income_statement!$A:$A,0),MATCH(D$25,income_statement!$B$1:$XFD$1,0)),"")</f>
        <v/>
      </c>
      <c r="E57" s="20">
        <f>IFERROR(INDEX(income_statement!$B:$XFD,MATCH("Thu nhập lãi và các khoản thu nhập tương tự",income_statement!$A:$A,0),MATCH(E$25,income_statement!$B$1:$XFD$1,0)),"")</f>
        <v/>
      </c>
      <c r="F57" s="20">
        <f>IFERROR(INDEX(income_statement!$B:$XFD,MATCH("Thu nhập lãi và các khoản thu nhập tương tự",income_statement!$A:$A,0),MATCH(F$25,income_statement!$B$1:$XFD$1,0)),"")</f>
        <v/>
      </c>
      <c r="G57" s="20">
        <f>IFERROR(INDEX(income_statement!$B:$XFD,MATCH("Thu nhập lãi và các khoản thu nhập tương tự",income_statement!$A:$A,0),MATCH(G$25,income_statement!$B$1:$XFD$1,0)),"")</f>
        <v/>
      </c>
      <c r="H57" s="20">
        <f>IFERROR(INDEX(income_statement!$B:$XFD,MATCH("Thu nhập lãi và các khoản thu nhập tương tự",income_statement!$A:$A,0),MATCH(H$25,income_statement!$B$1:$XFD$1,0)),"")</f>
        <v/>
      </c>
      <c r="I57" s="20">
        <f>IFERROR(INDEX(income_statement!$B:$XFD,MATCH("Thu nhập lãi và các khoản thu nhập tương tự",income_statement!$A:$A,0),MATCH(I$25,income_statement!$B$1:$XFD$1,0)),"")</f>
        <v/>
      </c>
    </row>
    <row r="58">
      <c r="A58" s="4" t="inlineStr">
        <is>
          <t>Chi phí lãi</t>
        </is>
      </c>
      <c r="B58" s="20">
        <f>IFERROR(INDEX(income_statement!$B:$XFD,MATCH("Chi phí lãi và các chi phí tương tự",income_statement!$A:$A,0),MATCH(B$25,income_statement!$B$1:$XFD$1,0)),"")</f>
        <v/>
      </c>
      <c r="C58" s="20">
        <f>IFERROR(INDEX(income_statement!$B:$XFD,MATCH("Chi phí lãi và các chi phí tương tự",income_statement!$A:$A,0),MATCH(C$25,income_statement!$B$1:$XFD$1,0)),"")</f>
        <v/>
      </c>
      <c r="D58" s="20">
        <f>IFERROR(INDEX(income_statement!$B:$XFD,MATCH("Chi phí lãi và các chi phí tương tự",income_statement!$A:$A,0),MATCH(D$25,income_statement!$B$1:$XFD$1,0)),"")</f>
        <v/>
      </c>
      <c r="E58" s="20">
        <f>IFERROR(INDEX(income_statement!$B:$XFD,MATCH("Chi phí lãi và các chi phí tương tự",income_statement!$A:$A,0),MATCH(E$25,income_statement!$B$1:$XFD$1,0)),"")</f>
        <v/>
      </c>
      <c r="F58" s="20">
        <f>IFERROR(INDEX(income_statement!$B:$XFD,MATCH("Chi phí lãi và các chi phí tương tự",income_statement!$A:$A,0),MATCH(F$25,income_statement!$B$1:$XFD$1,0)),"")</f>
        <v/>
      </c>
      <c r="G58" s="20">
        <f>IFERROR(INDEX(income_statement!$B:$XFD,MATCH("Chi phí lãi và các chi phí tương tự",income_statement!$A:$A,0),MATCH(G$25,income_statement!$B$1:$XFD$1,0)),"")</f>
        <v/>
      </c>
      <c r="H58" s="20">
        <f>IFERROR(INDEX(income_statement!$B:$XFD,MATCH("Chi phí lãi và các chi phí tương tự",income_statement!$A:$A,0),MATCH(H$25,income_statement!$B$1:$XFD$1,0)),"")</f>
        <v/>
      </c>
      <c r="I58" s="20">
        <f>IFERROR(INDEX(income_statement!$B:$XFD,MATCH("Chi phí lãi và các chi phí tương tự",income_statement!$A:$A,0),MATCH(I$25,income_statement!$B$1:$XFD$1,0)),"")</f>
        <v/>
      </c>
    </row>
    <row r="59" customFormat="1" s="18">
      <c r="A59" s="15" t="inlineStr">
        <is>
          <t>Thu nhập lãi thuần</t>
        </is>
      </c>
      <c r="B59" s="23">
        <f>IFERROR(INDEX(income_statement!$B:$XFD,MATCH("Thu nhập lãi thuần",income_statement!$A:$A,0),MATCH(B$25,income_statement!$B$1:$XFD$1,0)),"")</f>
        <v/>
      </c>
      <c r="C59" s="23">
        <f>IFERROR(INDEX(income_statement!$B:$XFD,MATCH("Thu nhập lãi thuần",income_statement!$A:$A,0),MATCH(C$25,income_statement!$B$1:$XFD$1,0)),"")</f>
        <v/>
      </c>
      <c r="D59" s="23">
        <f>IFERROR(INDEX(income_statement!$B:$XFD,MATCH("Thu nhập lãi thuần",income_statement!$A:$A,0),MATCH(D$25,income_statement!$B$1:$XFD$1,0)),"")</f>
        <v/>
      </c>
      <c r="E59" s="23">
        <f>IFERROR(INDEX(income_statement!$B:$XFD,MATCH("Thu nhập lãi thuần",income_statement!$A:$A,0),MATCH(E$25,income_statement!$B$1:$XFD$1,0)),"")</f>
        <v/>
      </c>
      <c r="F59" s="23">
        <f>IFERROR(INDEX(income_statement!$B:$XFD,MATCH("Thu nhập lãi thuần",income_statement!$A:$A,0),MATCH(F$25,income_statement!$B$1:$XFD$1,0)),"")</f>
        <v/>
      </c>
      <c r="G59" s="23">
        <f>IFERROR(INDEX(income_statement!$B:$XFD,MATCH("Thu nhập lãi thuần",income_statement!$A:$A,0),MATCH(G$25,income_statement!$B$1:$XFD$1,0)),"")</f>
        <v/>
      </c>
      <c r="H59" s="23">
        <f>IFERROR(INDEX(income_statement!$B:$XFD,MATCH("Thu nhập lãi thuần",income_statement!$A:$A,0),MATCH(H$25,income_statement!$B$1:$XFD$1,0)),"")</f>
        <v/>
      </c>
      <c r="I59" s="23">
        <f>IFERROR(INDEX(income_statement!$B:$XFD,MATCH("Thu nhập lãi thuần",income_statement!$A:$A,0),MATCH(I$25,income_statement!$B$1:$XFD$1,0)),"")</f>
        <v/>
      </c>
    </row>
    <row r="60">
      <c r="A60" s="4" t="inlineStr">
        <is>
          <t>Thu nhập ngoài lãi</t>
        </is>
      </c>
      <c r="B60" s="22">
        <f>IF(OR(B$61="",B$59=""),"",B$61-B$59)</f>
        <v/>
      </c>
      <c r="C60" s="22">
        <f>IF(OR(C$61="",C$59=""),"",C$61-C$59)</f>
        <v/>
      </c>
      <c r="D60" s="22">
        <f>IF(OR(D$61="",D$59=""),"",D$61-D$59)</f>
        <v/>
      </c>
      <c r="E60" s="22">
        <f>IF(OR(E$61="",E$59=""),"",E$61-E$59)</f>
        <v/>
      </c>
      <c r="F60" s="22">
        <f>IF(OR(F$61="",F$59=""),"",F$61-F$59)</f>
        <v/>
      </c>
      <c r="G60" s="22">
        <f>IF(OR(G$61="",G$59=""),"",G$61-G$59)</f>
        <v/>
      </c>
      <c r="H60" s="22">
        <f>IF(OR(H$61="",H$59=""),"",H$61-H$59)</f>
        <v/>
      </c>
      <c r="I60" s="22">
        <f>IF(OR(I$61="",I$59=""),"",I$61-I$59)</f>
        <v/>
      </c>
    </row>
    <row r="61">
      <c r="A61" s="4" t="inlineStr">
        <is>
          <t>Tổng thu nhập hoạt động</t>
        </is>
      </c>
      <c r="B61" s="20">
        <f>IFERROR(INDEX(income_statement!$B:$XFD,MATCH("Tổng thu nhập hoạt động",income_statement!$A:$A,0),MATCH(B$25,income_statement!$B$1:$XFD$1,0)),"")</f>
        <v/>
      </c>
      <c r="C61" s="20">
        <f>IFERROR(INDEX(income_statement!$B:$XFD,MATCH("Tổng thu nhập hoạt động",income_statement!$A:$A,0),MATCH(C$25,income_statement!$B$1:$XFD$1,0)),"")</f>
        <v/>
      </c>
      <c r="D61" s="20">
        <f>IFERROR(INDEX(income_statement!$B:$XFD,MATCH("Tổng thu nhập hoạt động",income_statement!$A:$A,0),MATCH(D$25,income_statement!$B$1:$XFD$1,0)),"")</f>
        <v/>
      </c>
      <c r="E61" s="20">
        <f>IFERROR(INDEX(income_statement!$B:$XFD,MATCH("Tổng thu nhập hoạt động",income_statement!$A:$A,0),MATCH(E$25,income_statement!$B$1:$XFD$1,0)),"")</f>
        <v/>
      </c>
      <c r="F61" s="20">
        <f>IFERROR(INDEX(income_statement!$B:$XFD,MATCH("Tổng thu nhập hoạt động",income_statement!$A:$A,0),MATCH(F$25,income_statement!$B$1:$XFD$1,0)),"")</f>
        <v/>
      </c>
      <c r="G61" s="20">
        <f>IFERROR(INDEX(income_statement!$B:$XFD,MATCH("Tổng thu nhập hoạt động",income_statement!$A:$A,0),MATCH(G$25,income_statement!$B$1:$XFD$1,0)),"")</f>
        <v/>
      </c>
      <c r="H61" s="20">
        <f>IFERROR(INDEX(income_statement!$B:$XFD,MATCH("Tổng thu nhập hoạt động",income_statement!$A:$A,0),MATCH(H$25,income_statement!$B$1:$XFD$1,0)),"")</f>
        <v/>
      </c>
      <c r="I61" s="20">
        <f>IFERROR(INDEX(income_statement!$B:$XFD,MATCH("Tổng thu nhập hoạt động",income_statement!$A:$A,0),MATCH(I$25,income_statement!$B$1:$XFD$1,0)),"")</f>
        <v/>
      </c>
    </row>
    <row r="62">
      <c r="A62" s="4" t="inlineStr">
        <is>
          <t>Chi phí hoạt động</t>
        </is>
      </c>
      <c r="B62" s="20">
        <f>IFERROR(INDEX(income_statement!$B:$XFD,MATCH("Chi phí quản lý doanh nghiệp",income_statement!$A:$A,0),MATCH(B$25,income_statement!$B$1:$XFD$1,0)),"")</f>
        <v/>
      </c>
      <c r="C62" s="20">
        <f>IFERROR(INDEX(income_statement!$B:$XFD,MATCH("Chi phí quản lý doanh nghiệp",income_statement!$A:$A,0),MATCH(C$25,income_statement!$B$1:$XFD$1,0)),"")</f>
        <v/>
      </c>
      <c r="D62" s="20">
        <f>IFERROR(INDEX(income_statement!$B:$XFD,MATCH("Chi phí quản lý doanh nghiệp",income_statement!$A:$A,0),MATCH(D$25,income_statement!$B$1:$XFD$1,0)),"")</f>
        <v/>
      </c>
      <c r="E62" s="20">
        <f>IFERROR(INDEX(income_statement!$B:$XFD,MATCH("Chi phí quản lý doanh nghiệp",income_statement!$A:$A,0),MATCH(E$25,income_statement!$B$1:$XFD$1,0)),"")</f>
        <v/>
      </c>
      <c r="F62" s="20">
        <f>IFERROR(INDEX(income_statement!$B:$XFD,MATCH("Chi phí quản lý doanh nghiệp",income_statement!$A:$A,0),MATCH(F$25,income_statement!$B$1:$XFD$1,0)),"")</f>
        <v/>
      </c>
      <c r="G62" s="20">
        <f>IFERROR(INDEX(income_statement!$B:$XFD,MATCH("Chi phí quản lý doanh nghiệp",income_statement!$A:$A,0),MATCH(G$25,income_statement!$B$1:$XFD$1,0)),"")</f>
        <v/>
      </c>
      <c r="H62" s="20">
        <f>IFERROR(INDEX(income_statement!$B:$XFD,MATCH("Chi phí quản lý doanh nghiệp",income_statement!$A:$A,0),MATCH(H$25,income_statement!$B$1:$XFD$1,0)),"")</f>
        <v/>
      </c>
      <c r="I62" s="20">
        <f>IFERROR(INDEX(income_statement!$B:$XFD,MATCH("Chi phí quản lý doanh nghiệp",income_statement!$A:$A,0),MATCH(I$25,income_statement!$B$1:$XFD$1,0)),"")</f>
        <v/>
      </c>
    </row>
    <row r="63">
      <c r="A63" s="4" t="inlineStr">
        <is>
          <t>Lãi và phí phải thu</t>
        </is>
      </c>
      <c r="B63" s="20">
        <f>IFERROR(INDEX(balance_sheet!$B:$XFD,MATCH("Các khoản lãi và phí phải thu",balance_sheet!$A:$A,0),MATCH(B$25,balance_sheet!$B$1:$XFD$1,0)),"")</f>
        <v/>
      </c>
      <c r="C63" s="20">
        <f>IFERROR(INDEX(balance_sheet!$B:$XFD,MATCH("Các khoản lãi và phí phải thu",balance_sheet!$A:$A,0),MATCH(C$25,balance_sheet!$B$1:$XFD$1,0)),"")</f>
        <v/>
      </c>
      <c r="D63" s="20">
        <f>IFERROR(INDEX(balance_sheet!$B:$XFD,MATCH("Các khoản lãi và phí phải thu",balance_sheet!$A:$A,0),MATCH(D$25,balance_sheet!$B$1:$XFD$1,0)),"")</f>
        <v/>
      </c>
      <c r="E63" s="20">
        <f>IFERROR(INDEX(balance_sheet!$B:$XFD,MATCH("Các khoản lãi và phí phải thu",balance_sheet!$A:$A,0),MATCH(E$25,balance_sheet!$B$1:$XFD$1,0)),"")</f>
        <v/>
      </c>
      <c r="F63" s="20">
        <f>IFERROR(INDEX(balance_sheet!$B:$XFD,MATCH("Các khoản lãi và phí phải thu",balance_sheet!$A:$A,0),MATCH(F$25,balance_sheet!$B$1:$XFD$1,0)),"")</f>
        <v/>
      </c>
      <c r="G63" s="20">
        <f>IFERROR(INDEX(balance_sheet!$B:$XFD,MATCH("Các khoản lãi và phí phải thu",balance_sheet!$A:$A,0),MATCH(G$25,balance_sheet!$B$1:$XFD$1,0)),"")</f>
        <v/>
      </c>
      <c r="H63" s="20">
        <f>IFERROR(INDEX(balance_sheet!$B:$XFD,MATCH("Các khoản lãi và phí phải thu",balance_sheet!$A:$A,0),MATCH(H$25,balance_sheet!$B$1:$XFD$1,0)),"")</f>
        <v/>
      </c>
      <c r="I63" s="20">
        <f>IFERROR(INDEX(balance_sheet!$B:$XFD,MATCH("Các khoản lãi và phí phải thu",balance_sheet!$A:$A,0),MATCH(I$25,balance_sheet!$B$1:$XFD$1,0)),"")</f>
        <v/>
      </c>
    </row>
    <row r="64">
      <c r="A64" s="4" t="inlineStr">
        <is>
          <t>LNST</t>
        </is>
      </c>
      <c r="B64" s="20">
        <f>IFERROR(INDEX(income_statement!$B:$XFD,MATCH("Lợi nhuận sau thuế",income_statement!$A:$A,0),MATCH(B$25,income_statement!$B$1:$XFD$1,0)),"")</f>
        <v/>
      </c>
      <c r="C64" s="20">
        <f>IFERROR(INDEX(income_statement!$B:$XFD,MATCH("Lợi nhuận sau thuế",income_statement!$A:$A,0),MATCH(C$25,income_statement!$B$1:$XFD$1,0)),"")</f>
        <v/>
      </c>
      <c r="D64" s="20">
        <f>IFERROR(INDEX(income_statement!$B:$XFD,MATCH("Lợi nhuận sau thuế",income_statement!$A:$A,0),MATCH(D$25,income_statement!$B$1:$XFD$1,0)),"")</f>
        <v/>
      </c>
      <c r="E64" s="20">
        <f>IFERROR(INDEX(income_statement!$B:$XFD,MATCH("Lợi nhuận sau thuế",income_statement!$A:$A,0),MATCH(E$25,income_statement!$B$1:$XFD$1,0)),"")</f>
        <v/>
      </c>
      <c r="F64" s="20">
        <f>IFERROR(INDEX(income_statement!$B:$XFD,MATCH("Lợi nhuận sau thuế",income_statement!$A:$A,0),MATCH(F$25,income_statement!$B$1:$XFD$1,0)),"")</f>
        <v/>
      </c>
      <c r="G64" s="20">
        <f>IFERROR(INDEX(income_statement!$B:$XFD,MATCH("Lợi nhuận sau thuế",income_statement!$A:$A,0),MATCH(G$25,income_statement!$B$1:$XFD$1,0)),"")</f>
        <v/>
      </c>
      <c r="H64" s="20">
        <f>IFERROR(INDEX(income_statement!$B:$XFD,MATCH("Lợi nhuận sau thuế",income_statement!$A:$A,0),MATCH(H$25,income_statement!$B$1:$XFD$1,0)),"")</f>
        <v/>
      </c>
      <c r="I64" s="20">
        <f>IFERROR(INDEX(income_statement!$B:$XFD,MATCH("Lợi nhuận sau thuế",income_statement!$A:$A,0),MATCH(I$25,income_statement!$B$1:$XFD$1,0)),"")</f>
        <v/>
      </c>
    </row>
    <row r="65">
      <c r="A65" s="4" t="inlineStr">
        <is>
          <t>LNST CĐ Công ty mẹ</t>
        </is>
      </c>
      <c r="B65" s="20">
        <f>IFERROR(INDEX(income_statement!$B:$XFD,MATCH("Cổ đông của Công ty mẹ",income_statement!$A:$A,0),MATCH(B$25,income_statement!$B$1:$XFD$1,0)),"")</f>
        <v/>
      </c>
      <c r="C65" s="20">
        <f>IFERROR(INDEX(income_statement!$B:$XFD,MATCH("Cổ đông của Công ty mẹ",income_statement!$A:$A,0),MATCH(C$25,income_statement!$B$1:$XFD$1,0)),"")</f>
        <v/>
      </c>
      <c r="D65" s="20">
        <f>IFERROR(INDEX(income_statement!$B:$XFD,MATCH("Cổ đông của Công ty mẹ",income_statement!$A:$A,0),MATCH(D$25,income_statement!$B$1:$XFD$1,0)),"")</f>
        <v/>
      </c>
      <c r="E65" s="20">
        <f>IFERROR(INDEX(income_statement!$B:$XFD,MATCH("Cổ đông của Công ty mẹ",income_statement!$A:$A,0),MATCH(E$25,income_statement!$B$1:$XFD$1,0)),"")</f>
        <v/>
      </c>
      <c r="F65" s="20">
        <f>IFERROR(INDEX(income_statement!$B:$XFD,MATCH("Cổ đông của Công ty mẹ",income_statement!$A:$A,0),MATCH(F$25,income_statement!$B$1:$XFD$1,0)),"")</f>
        <v/>
      </c>
      <c r="G65" s="20">
        <f>IFERROR(INDEX(income_statement!$B:$XFD,MATCH("Cổ đông của Công ty mẹ",income_statement!$A:$A,0),MATCH(G$25,income_statement!$B$1:$XFD$1,0)),"")</f>
        <v/>
      </c>
      <c r="H65" s="20">
        <f>IFERROR(INDEX(income_statement!$B:$XFD,MATCH("Cổ đông của Công ty mẹ",income_statement!$A:$A,0),MATCH(H$25,income_statement!$B$1:$XFD$1,0)),"")</f>
        <v/>
      </c>
      <c r="I65" s="20">
        <f>IFERROR(INDEX(income_statement!$B:$XFD,MATCH("Cổ đông của Công ty mẹ",income_statement!$A:$A,0),MATCH(I$25,income_statement!$B$1:$XFD$1,0)),"")</f>
        <v/>
      </c>
    </row>
    <row r="66">
      <c r="A66" s="4" t="inlineStr">
        <is>
          <t>Tổng lợi nhuận/lỗ trước thuế</t>
        </is>
      </c>
      <c r="B66" s="20">
        <f>IFERROR(INDEX(income_statement!$B:$XFD,MATCH("Tổng lợi nhuận/lỗ trước thuế",income_statement!$A:$A,0),MATCH(B$25,income_statement!$B$1:$XFD$1,0)),"")</f>
        <v/>
      </c>
      <c r="C66" s="20">
        <f>IFERROR(INDEX(income_statement!$B:$XFD,MATCH("Tổng lợi nhuận/lỗ trước thuế",income_statement!$A:$A,0),MATCH(C$25,income_statement!$B$1:$XFD$1,0)),"")</f>
        <v/>
      </c>
      <c r="D66" s="20">
        <f>IFERROR(INDEX(income_statement!$B:$XFD,MATCH("Tổng lợi nhuận/lỗ trước thuế",income_statement!$A:$A,0),MATCH(D$25,income_statement!$B$1:$XFD$1,0)),"")</f>
        <v/>
      </c>
      <c r="E66" s="20">
        <f>IFERROR(INDEX(income_statement!$B:$XFD,MATCH("Tổng lợi nhuận/lỗ trước thuế",income_statement!$A:$A,0),MATCH(E$25,income_statement!$B$1:$XFD$1,0)),"")</f>
        <v/>
      </c>
      <c r="F66" s="20">
        <f>IFERROR(INDEX(income_statement!$B:$XFD,MATCH("Tổng lợi nhuận/lỗ trước thuế",income_statement!$A:$A,0),MATCH(F$25,income_statement!$B$1:$XFD$1,0)),"")</f>
        <v/>
      </c>
      <c r="G66" s="20">
        <f>IFERROR(INDEX(income_statement!$B:$XFD,MATCH("Tổng lợi nhuận/lỗ trước thuế",income_statement!$A:$A,0),MATCH(G$25,income_statement!$B$1:$XFD$1,0)),"")</f>
        <v/>
      </c>
      <c r="H66" s="20">
        <f>IFERROR(INDEX(income_statement!$B:$XFD,MATCH("Tổng lợi nhuận/lỗ trước thuế",income_statement!$A:$A,0),MATCH(H$25,income_statement!$B$1:$XFD$1,0)),"")</f>
        <v/>
      </c>
      <c r="I66" s="20">
        <f>IFERROR(INDEX(income_statement!$B:$XFD,MATCH("Tổng lợi nhuận/lỗ trước thuế",income_statement!$A:$A,0),MATCH(I$25,income_statement!$B$1:$XFD$1,0)),"")</f>
        <v/>
      </c>
    </row>
  </sheetData>
  <conditionalFormatting sqref="B2:I2">
    <cfRule type="cellIs" priority="7" operator="greaterThanOrEqual" dxfId="1">
      <formula>0.15/4</formula>
    </cfRule>
    <cfRule type="cellIs" priority="8" operator="lessThan" dxfId="2">
      <formula>0.15/4</formula>
    </cfRule>
  </conditionalFormatting>
  <conditionalFormatting sqref="B3:I3 B5:I5">
    <cfRule type="cellIs" priority="9" operator="lessThan" dxfId="7">
      <formula>0.1/4</formula>
    </cfRule>
    <cfRule type="cellIs" priority="10" operator="greaterThan" dxfId="6">
      <formula>0.15/4</formula>
    </cfRule>
  </conditionalFormatting>
  <conditionalFormatting sqref="F4:I4">
    <cfRule type="cellIs" priority="4" operator="lessThan" dxfId="2">
      <formula>0.1</formula>
    </cfRule>
    <cfRule type="cellIs" priority="5" operator="greaterThanOrEqual" dxfId="1">
      <formula>0.15</formula>
    </cfRule>
    <cfRule type="cellIs" priority="6" operator="between" dxfId="0">
      <formula>0.1</formula>
      <formula>0.15</formula>
    </cfRule>
  </conditionalFormatting>
  <conditionalFormatting sqref="F6:I6">
    <cfRule type="cellIs" priority="1" operator="lessThan" dxfId="2">
      <formula>0.1</formula>
    </cfRule>
    <cfRule type="cellIs" priority="2" operator="greaterThanOrEqual" dxfId="1">
      <formula>0.15</formula>
    </cfRule>
    <cfRule type="cellIs" priority="3" operator="between" dxfId="0">
      <formula>0.1</formula>
      <formula>0.15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2026-08-21T13:08:30Z</dcterms:created>
  <dcterms:modified xsi:type="dcterms:W3CDTF">2026-10-28T04:39:07Z</dcterms:modified>
  <cp:lastModifiedBy>Anh Thai</cp:lastModifiedBy>
</cp:coreProperties>
</file>
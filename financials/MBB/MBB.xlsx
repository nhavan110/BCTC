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_sheet" sheetId="1" state="visible" r:id="rId1"/>
    <sheet name="income_statement" sheetId="2" state="visible" r:id="rId2"/>
    <sheet name="cash_flow" sheetId="3" state="visible" r:id="rId3"/>
    <sheet name="chi_so_tai_chinh" sheetId="4" state="visible" r:id="rId4"/>
    <sheet name="Dự báo tăng trưởng" sheetId="5" state="visible" r:id="rId5"/>
    <sheet name="Hiệu quả thực hiện kế hoạ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_-* #,##0_-;\-* #,##0_-;_-* &quot;-&quot;_-;_-@_-"/>
    <numFmt numFmtId="166" formatCode="_(* #,##0_);_(* \(#,##0\);_(* &quot;-&quot;??_);_(@_)"/>
  </numFmts>
  <fonts count="15">
    <font>
      <name val="Calibri"/>
      <family val="2"/>
      <color theme="1"/>
      <sz val="11"/>
      <scheme val="minor"/>
    </font>
    <font>
      <name val="Tahoma"/>
      <b val="1"/>
      <color rgb="00FFFFFF"/>
    </font>
    <font>
      <name val="Tahoma"/>
      <sz val="10"/>
    </font>
    <font>
      <name val="Tahoma"/>
      <family val="2"/>
      <b val="1"/>
      <sz val="10"/>
    </font>
    <font>
      <name val="Tahoma"/>
      <family val="2"/>
      <sz val="10"/>
    </font>
    <font>
      <name val="Tahoma"/>
      <family val="2"/>
      <color rgb="FF000000"/>
      <sz val="10"/>
    </font>
    <font>
      <name val="Tahoma"/>
      <family val="2"/>
      <color theme="1"/>
      <sz val="10"/>
    </font>
    <font>
      <name val="Tahoma"/>
      <family val="2"/>
      <i val="1"/>
      <sz val="10"/>
    </font>
    <font>
      <name val="Tahoma"/>
      <family val="2"/>
      <color rgb="FF008000"/>
      <sz val="10"/>
    </font>
    <font>
      <name val="Tahoma"/>
      <family val="2"/>
      <i val="1"/>
      <color rgb="FF808080"/>
      <sz val="10"/>
    </font>
    <font>
      <name val="Tahoma"/>
      <family val="2"/>
      <color rgb="FF7030A0"/>
      <sz val="10"/>
    </font>
    <font>
      <name val="Tahoma"/>
      <family val="2"/>
      <i val="1"/>
      <color rgb="FF7030A0"/>
      <sz val="10"/>
    </font>
    <font>
      <name val="Tahoma"/>
      <family val="2"/>
      <b val="1"/>
      <color rgb="FF008000"/>
      <sz val="10"/>
    </font>
    <font>
      <name val="Tahoma"/>
      <family val="2"/>
      <b val="1"/>
      <color rgb="FF7030A0"/>
      <sz val="10"/>
    </font>
    <font>
      <name val="Tahoma"/>
      <family val="2"/>
      <b val="1"/>
      <color theme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7999816888943144"/>
        <bgColor rgb="FFF7CAAC"/>
      </patternFill>
    </fill>
    <fill>
      <patternFill patternType="solid">
        <fgColor theme="5" tint="0.7999816888943144"/>
        <bgColor rgb="FFFBE4D5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3" fillId="3" borderId="2" pivotButton="0" quotePrefix="0" xfId="0"/>
    <xf numFmtId="1" fontId="3" fillId="3" borderId="2" applyAlignment="1" pivotButton="0" quotePrefix="0" xfId="0">
      <alignment horizontal="center"/>
    </xf>
    <xf numFmtId="0" fontId="4" fillId="3" borderId="2" pivotButton="0" quotePrefix="0" xfId="0"/>
    <xf numFmtId="10" fontId="5" fillId="3" borderId="2" pivotButton="0" quotePrefix="0" xfId="0"/>
    <xf numFmtId="10" fontId="6" fillId="4" borderId="2" pivotButton="0" quotePrefix="0" xfId="0"/>
    <xf numFmtId="9" fontId="6" fillId="4" borderId="2" pivotButton="0" quotePrefix="0" xfId="0"/>
    <xf numFmtId="9" fontId="6" fillId="5" borderId="2" pivotButton="0" quotePrefix="0" xfId="0"/>
    <xf numFmtId="0" fontId="7" fillId="3" borderId="2" pivotButton="0" quotePrefix="0" xfId="0"/>
    <xf numFmtId="10" fontId="6" fillId="3" borderId="2" pivotButton="0" quotePrefix="0" xfId="0"/>
    <xf numFmtId="0" fontId="3" fillId="6" borderId="2" pivotButton="0" quotePrefix="0" xfId="0"/>
    <xf numFmtId="0" fontId="6" fillId="6" borderId="2" pivotButton="0" quotePrefix="0" xfId="0"/>
    <xf numFmtId="0" fontId="3" fillId="0" borderId="2" pivotButton="0" quotePrefix="0" xfId="0"/>
    <xf numFmtId="1" fontId="3" fillId="0" borderId="2" applyAlignment="1" pivotButton="0" quotePrefix="0" xfId="0">
      <alignment horizontal="center"/>
    </xf>
    <xf numFmtId="3" fontId="3" fillId="0" borderId="2" applyAlignment="1" pivotButton="0" quotePrefix="0" xfId="0">
      <alignment horizontal="center"/>
    </xf>
    <xf numFmtId="3" fontId="6" fillId="0" borderId="0" pivotButton="0" quotePrefix="0" xfId="0"/>
    <xf numFmtId="0" fontId="4" fillId="0" borderId="2" pivotButton="0" quotePrefix="0" xfId="0"/>
    <xf numFmtId="3" fontId="8" fillId="0" borderId="2" pivotButton="0" quotePrefix="0" xfId="0"/>
    <xf numFmtId="3" fontId="9" fillId="0" borderId="2" pivotButton="0" quotePrefix="0" xfId="0"/>
    <xf numFmtId="3" fontId="9" fillId="0" borderId="0" pivotButton="0" quotePrefix="0" xfId="0"/>
    <xf numFmtId="0" fontId="10" fillId="0" borderId="2" pivotButton="0" quotePrefix="0" xfId="0"/>
    <xf numFmtId="3" fontId="11" fillId="0" borderId="2" pivotButton="0" quotePrefix="0" xfId="0"/>
    <xf numFmtId="3" fontId="10" fillId="0" borderId="0" pivotButton="0" quotePrefix="0" xfId="0"/>
    <xf numFmtId="3" fontId="12" fillId="0" borderId="2" pivotButton="0" quotePrefix="0" xfId="0"/>
    <xf numFmtId="0" fontId="13" fillId="0" borderId="2" pivotButton="0" quotePrefix="0" xfId="0"/>
    <xf numFmtId="9" fontId="13" fillId="0" borderId="2" pivotButton="0" quotePrefix="0" xfId="0"/>
    <xf numFmtId="3" fontId="13" fillId="0" borderId="0" pivotButton="0" quotePrefix="0" xfId="0"/>
    <xf numFmtId="3" fontId="14" fillId="0" borderId="0" pivotButton="0" quotePrefix="0" xfId="0"/>
    <xf numFmtId="0" fontId="6" fillId="0" borderId="2" pivotButton="0" quotePrefix="0" xfId="0"/>
    <xf numFmtId="3" fontId="6" fillId="0" borderId="2" pivotButton="0" quotePrefix="0" xfId="0"/>
    <xf numFmtId="43" fontId="6" fillId="0" borderId="0" pivotButton="0" quotePrefix="0" xfId="0"/>
    <xf numFmtId="165" fontId="6" fillId="0" borderId="2" pivotButton="0" quotePrefix="0" xfId="0"/>
    <xf numFmtId="9" fontId="6" fillId="0" borderId="0" pivotButton="0" quotePrefix="0" xfId="0"/>
    <xf numFmtId="41" fontId="6" fillId="0" borderId="2" pivotButton="0" quotePrefix="0" xfId="0"/>
    <xf numFmtId="166" fontId="10" fillId="0" borderId="2" pivotButton="0" quotePrefix="0" xfId="0"/>
    <xf numFmtId="43" fontId="10" fillId="0" borderId="2" pivotButton="0" quotePrefix="0" xfId="0"/>
    <xf numFmtId="9" fontId="6" fillId="0" borderId="2" pivotButton="0" quotePrefix="0" xfId="0"/>
  </cellXfs>
  <cellStyles count="1">
    <cellStyle name="Normal" xfId="0" builtinId="0" hidden="0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theme="9"/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3" customWidth="1" min="8" max="8"/>
    <col width="23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Tiền mặt, vàng bạc, đá quý</t>
        </is>
      </c>
      <c r="B2" s="4" t="n">
        <v>1736571000000</v>
      </c>
      <c r="C2" s="4" t="n">
        <v>2344291000000</v>
      </c>
      <c r="D2" s="4" t="n">
        <v>3109230000000</v>
      </c>
      <c r="E2" s="4" t="n">
        <v>3475341000000</v>
      </c>
      <c r="F2" s="4" t="n">
        <v>3744100000000</v>
      </c>
      <c r="G2" s="4" t="n">
        <v>3675394000000</v>
      </c>
      <c r="H2" s="4" t="n">
        <v>3349166000000</v>
      </c>
      <c r="I2" s="4" t="n">
        <v>4965786000000</v>
      </c>
    </row>
    <row r="3">
      <c r="A3" s="3" t="inlineStr">
        <is>
          <t>Tài sản cố định</t>
        </is>
      </c>
      <c r="B3" s="4" t="n">
        <v>2699314000000</v>
      </c>
      <c r="C3" s="4" t="n">
        <v>2798062000000</v>
      </c>
      <c r="D3" s="4" t="n">
        <v>4310919000000</v>
      </c>
      <c r="E3" s="4" t="n">
        <v>4678447000000</v>
      </c>
      <c r="F3" s="4" t="n">
        <v>5073508000000</v>
      </c>
      <c r="G3" s="4" t="n">
        <v>4854186000000</v>
      </c>
      <c r="H3" s="4" t="n">
        <v>5430416000000</v>
      </c>
      <c r="I3" s="4" t="n">
        <v>5616547000000</v>
      </c>
    </row>
    <row r="4">
      <c r="A4" s="3" t="inlineStr">
        <is>
          <t>Tài sản cố định hữu hình</t>
        </is>
      </c>
      <c r="B4" s="4" t="n">
        <v>1586152000000</v>
      </c>
      <c r="C4" s="4" t="n">
        <v>1642003000000</v>
      </c>
      <c r="D4" s="4" t="n">
        <v>3088524000000</v>
      </c>
      <c r="E4" s="4" t="n">
        <v>3213906000000</v>
      </c>
      <c r="F4" s="4" t="n">
        <v>3457561000000</v>
      </c>
      <c r="G4" s="4" t="n">
        <v>3194404000000</v>
      </c>
      <c r="H4" s="4" t="n">
        <v>3750696000000</v>
      </c>
      <c r="I4" s="4" t="n">
        <v>3805533000000</v>
      </c>
    </row>
    <row r="5">
      <c r="A5" s="3" t="inlineStr">
        <is>
          <t>Nguyên giá TSCĐ hữu hình</t>
        </is>
      </c>
      <c r="B5" s="4" t="n">
        <v>3268459000000</v>
      </c>
      <c r="C5" s="4" t="n">
        <v>3585813000000</v>
      </c>
      <c r="D5" s="4" t="n">
        <v>5387069000000</v>
      </c>
      <c r="E5" s="4" t="n">
        <v>6083517000000</v>
      </c>
      <c r="F5" s="4" t="n">
        <v>7110562000000</v>
      </c>
      <c r="G5" s="4" t="n">
        <v>7732608000000</v>
      </c>
      <c r="H5" s="4" t="n">
        <v>9014672000000</v>
      </c>
      <c r="I5" s="4" t="n">
        <v>9423236000000</v>
      </c>
    </row>
    <row r="6">
      <c r="A6" s="3" t="inlineStr">
        <is>
          <t>Hao mòn TSCĐ hữu hình</t>
        </is>
      </c>
      <c r="B6" s="4" t="n">
        <v>-1682307000000</v>
      </c>
      <c r="C6" s="4" t="n">
        <v>-1943810000000</v>
      </c>
      <c r="D6" s="4" t="n">
        <v>-2298545000000</v>
      </c>
      <c r="E6" s="4" t="n">
        <v>-2869611000000</v>
      </c>
      <c r="F6" s="4" t="n">
        <v>-3653001000000</v>
      </c>
      <c r="G6" s="4" t="n">
        <v>-4538204000000</v>
      </c>
      <c r="H6" s="4" t="n">
        <v>-5263976000000</v>
      </c>
      <c r="I6" s="4" t="n">
        <v>-5617703000000</v>
      </c>
    </row>
    <row r="7">
      <c r="A7" s="3" t="inlineStr">
        <is>
          <t>Tài sản cố định thuê tài chính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</row>
    <row r="8">
      <c r="A8" s="3" t="inlineStr">
        <is>
          <t>Nguyên giá TSCĐ thuê tài chính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</row>
    <row r="9">
      <c r="A9" s="3" t="inlineStr">
        <is>
          <t>Hao mòn TSCĐ thuê tài chính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</row>
    <row r="10">
      <c r="A10" s="3" t="inlineStr">
        <is>
          <t>Tài sản cố định vô hình</t>
        </is>
      </c>
      <c r="B10" s="4" t="n">
        <v>1113162000000</v>
      </c>
      <c r="C10" s="4" t="n">
        <v>1156059000000</v>
      </c>
      <c r="D10" s="4" t="n">
        <v>1222395000000</v>
      </c>
      <c r="E10" s="4" t="n">
        <v>1464541000000</v>
      </c>
      <c r="F10" s="4" t="n">
        <v>1615947000000</v>
      </c>
      <c r="G10" s="4" t="n">
        <v>1659782000000</v>
      </c>
      <c r="H10" s="4" t="n">
        <v>1679720000000</v>
      </c>
      <c r="I10" s="4" t="n">
        <v>1811014000000</v>
      </c>
    </row>
    <row r="11">
      <c r="A11" s="3" t="inlineStr">
        <is>
          <t>Nguyên giá TSCĐ vô hình</t>
        </is>
      </c>
      <c r="B11" s="4" t="n">
        <v>1823153000000</v>
      </c>
      <c r="C11" s="4" t="n">
        <v>1980168000000</v>
      </c>
      <c r="D11" s="4" t="n">
        <v>2277564000000</v>
      </c>
      <c r="E11" s="4" t="n">
        <v>2923616000000</v>
      </c>
      <c r="F11" s="4" t="n">
        <v>3565092000000</v>
      </c>
      <c r="G11" s="4" t="n">
        <v>4196144000000</v>
      </c>
      <c r="H11" s="4" t="n">
        <v>4976669000000</v>
      </c>
      <c r="I11" s="4" t="n">
        <v>5684904000000</v>
      </c>
    </row>
    <row r="12">
      <c r="A12" s="3" t="inlineStr">
        <is>
          <t>Hao mòn TSCĐ vô hình</t>
        </is>
      </c>
      <c r="B12" s="4" t="n">
        <v>-709991000000</v>
      </c>
      <c r="C12" s="4" t="n">
        <v>-824109000000</v>
      </c>
      <c r="D12" s="4" t="n">
        <v>-1055169000000</v>
      </c>
      <c r="E12" s="4" t="n">
        <v>-1459075000000</v>
      </c>
      <c r="F12" s="4" t="n">
        <v>-1949145000000</v>
      </c>
      <c r="G12" s="4" t="n">
        <v>-2536362000000</v>
      </c>
      <c r="H12" s="4" t="n">
        <v>-3296949000000</v>
      </c>
      <c r="I12" s="4" t="n">
        <v>-3873890000000</v>
      </c>
    </row>
    <row r="13">
      <c r="A13" s="3" t="inlineStr">
        <is>
          <t>Bất động sản đầu tư</t>
        </is>
      </c>
      <c r="B13" s="4" t="n">
        <v>30813000000</v>
      </c>
      <c r="C13" s="4" t="n">
        <v>30813000000</v>
      </c>
      <c r="D13" s="4" t="n">
        <v>247898000000</v>
      </c>
      <c r="E13" s="4" t="n">
        <v>268999000000</v>
      </c>
      <c r="F13" s="4" t="n">
        <v>236177000000</v>
      </c>
      <c r="G13" s="4" t="n">
        <v>240294000000</v>
      </c>
      <c r="H13" s="4" t="n">
        <v>234115000000</v>
      </c>
      <c r="I13" s="4" t="n">
        <v>222813000000</v>
      </c>
    </row>
    <row r="14">
      <c r="A14" s="3" t="inlineStr">
        <is>
          <t>Nguyên giá bất động sản đầu tư</t>
        </is>
      </c>
      <c r="B14" s="4" t="n">
        <v>30813000000</v>
      </c>
      <c r="C14" s="4" t="n">
        <v>30813000000</v>
      </c>
      <c r="D14" s="4" t="n">
        <v>249674000000</v>
      </c>
      <c r="E14" s="4" t="n">
        <v>285300000000</v>
      </c>
      <c r="F14" s="4" t="n">
        <v>250155000000</v>
      </c>
      <c r="G14" s="4" t="n">
        <v>260415000000</v>
      </c>
      <c r="H14" s="4" t="n">
        <v>260415000000</v>
      </c>
      <c r="I14" s="4" t="n">
        <v>255126000000</v>
      </c>
    </row>
    <row r="15">
      <c r="A15" s="3" t="inlineStr">
        <is>
          <t>Hao mòn bất động sản đầu tư</t>
        </is>
      </c>
      <c r="B15" s="4" t="n">
        <v>0</v>
      </c>
      <c r="C15" s="4" t="n">
        <v>0</v>
      </c>
      <c r="D15" s="4" t="n">
        <v>-1776000000</v>
      </c>
      <c r="E15" s="4" t="n">
        <v>-16301000000</v>
      </c>
      <c r="F15" s="4" t="n">
        <v>-13978000000</v>
      </c>
      <c r="G15" s="4" t="n">
        <v>-20121000000</v>
      </c>
      <c r="H15" s="4" t="n">
        <v>-26300000000</v>
      </c>
      <c r="I15" s="4" t="n">
        <v>-32313000000</v>
      </c>
    </row>
    <row r="16">
      <c r="A16" s="3" t="inlineStr">
        <is>
          <t>Góp vốn, đầu tư dài hạn</t>
        </is>
      </c>
      <c r="B16" s="4" t="n">
        <v>728043000000</v>
      </c>
      <c r="C16" s="4" t="n">
        <v>887017000000</v>
      </c>
      <c r="D16" s="4" t="n">
        <v>885231000000</v>
      </c>
      <c r="E16" s="4" t="n">
        <v>803208000000</v>
      </c>
      <c r="F16" s="4" t="n">
        <v>625267000000</v>
      </c>
      <c r="G16" s="4" t="n">
        <v>615785000000</v>
      </c>
      <c r="H16" s="4" t="n">
        <v>609477000000</v>
      </c>
      <c r="I16" s="4" t="n">
        <v>468396000000</v>
      </c>
    </row>
    <row r="17">
      <c r="A17" s="3" t="inlineStr">
        <is>
          <t>Đầu tư vào công ty con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</row>
    <row r="18">
      <c r="A18" s="3" t="inlineStr">
        <is>
          <t>Đầu tư vào công ty liên doanh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</row>
    <row r="19">
      <c r="A19" s="3" t="inlineStr">
        <is>
          <t>Đầu tư dài hạn khác</t>
        </is>
      </c>
      <c r="B19" s="4" t="n">
        <v>931653000000</v>
      </c>
      <c r="C19" s="4" t="n">
        <v>1037453000000</v>
      </c>
      <c r="D19" s="4" t="n">
        <v>1026562000000</v>
      </c>
      <c r="E19" s="4" t="n">
        <v>940840000000</v>
      </c>
      <c r="F19" s="4" t="n">
        <v>768763000000</v>
      </c>
      <c r="G19" s="4" t="n">
        <v>779587000000</v>
      </c>
      <c r="H19" s="4" t="n">
        <v>775670000000</v>
      </c>
      <c r="I19" s="4" t="n">
        <v>559624000000</v>
      </c>
    </row>
    <row r="20">
      <c r="A20" s="3" t="inlineStr">
        <is>
          <t>Dự phòng giảm giá đầu tư dài hạn</t>
        </is>
      </c>
      <c r="B20" s="4" t="n">
        <v>-203610000000</v>
      </c>
      <c r="C20" s="4" t="n">
        <v>-150436000000</v>
      </c>
      <c r="D20" s="4" t="n">
        <v>-141331000000</v>
      </c>
      <c r="E20" s="4" t="n">
        <v>-137632000000</v>
      </c>
      <c r="F20" s="4" t="n">
        <v>-143496000000</v>
      </c>
      <c r="G20" s="4" t="n">
        <v>-163802000000</v>
      </c>
      <c r="H20" s="4" t="n">
        <v>-166193000000</v>
      </c>
      <c r="I20" s="4" t="n">
        <v>-91228000000</v>
      </c>
    </row>
    <row r="21">
      <c r="A21" s="3" t="inlineStr">
        <is>
          <t>TỔNG TÀI SẢN</t>
        </is>
      </c>
      <c r="B21" s="4" t="n">
        <v>362325062000000</v>
      </c>
      <c r="C21" s="4" t="n">
        <v>411487575000000</v>
      </c>
      <c r="D21" s="4" t="n">
        <v>494982162000000</v>
      </c>
      <c r="E21" s="4" t="n">
        <v>607140419000000</v>
      </c>
      <c r="F21" s="4" t="n">
        <v>728532373000000</v>
      </c>
      <c r="G21" s="4" t="n">
        <v>944953640000000</v>
      </c>
      <c r="H21" s="4" t="n">
        <v>1128801062000000</v>
      </c>
      <c r="I21" s="4" t="n">
        <v>1615763927000000</v>
      </c>
    </row>
    <row r="22">
      <c r="A22" s="3" t="inlineStr">
        <is>
          <t>TỔNG NỢ PHẢI TRẢ</t>
        </is>
      </c>
      <c r="B22" s="4" t="n">
        <v>328152204000000</v>
      </c>
      <c r="C22" s="4" t="n">
        <v>371601761000000</v>
      </c>
      <c r="D22" s="4" t="n">
        <v>444882667000000</v>
      </c>
      <c r="E22" s="4" t="n">
        <v>544654396000000</v>
      </c>
      <c r="F22" s="4" t="n">
        <v>648919154000000</v>
      </c>
      <c r="G22" s="4" t="n">
        <v>848242481000000</v>
      </c>
      <c r="H22" s="4" t="n">
        <v>1011741481000000</v>
      </c>
      <c r="I22" s="4" t="n">
        <v>1473741402000000</v>
      </c>
    </row>
    <row r="23">
      <c r="A23" s="3" t="inlineStr">
        <is>
          <t>VỐN CHỦ SỞ HỮU</t>
        </is>
      </c>
      <c r="B23" s="4" t="n">
        <v>34172858000000</v>
      </c>
      <c r="C23" s="4" t="n">
        <v>39885814000000</v>
      </c>
      <c r="D23" s="4" t="n">
        <v>50099495000000</v>
      </c>
      <c r="E23" s="4" t="n">
        <v>62486023000000</v>
      </c>
      <c r="F23" s="4" t="n">
        <v>79613219000000</v>
      </c>
      <c r="G23" s="4" t="n">
        <v>96711159000000</v>
      </c>
      <c r="H23" s="4" t="n">
        <v>117059581000000</v>
      </c>
      <c r="I23" s="4" t="n">
        <v>142022525000000</v>
      </c>
    </row>
    <row r="24">
      <c r="A24" s="3" t="inlineStr">
        <is>
          <t>Vốn điều lệ</t>
        </is>
      </c>
      <c r="B24" s="4" t="n">
        <v>21604514000000</v>
      </c>
      <c r="C24" s="4" t="n">
        <v>23727323000000</v>
      </c>
      <c r="D24" s="4" t="n">
        <v>27987569000000</v>
      </c>
      <c r="E24" s="4" t="n">
        <v>37783218000000</v>
      </c>
      <c r="F24" s="4" t="n">
        <v>45339861000000</v>
      </c>
      <c r="G24" s="4" t="n">
        <v>52140841000000</v>
      </c>
      <c r="H24" s="4" t="n">
        <v>53063241000000</v>
      </c>
      <c r="I24" s="4" t="n">
        <v>80549999000000</v>
      </c>
    </row>
    <row r="25">
      <c r="A25" s="3" t="inlineStr">
        <is>
          <t>Thặng dư vốn cổ phần</t>
        </is>
      </c>
      <c r="B25" s="4" t="n">
        <v>0</v>
      </c>
      <c r="C25" s="4" t="n">
        <v>0</v>
      </c>
      <c r="D25" s="4" t="n">
        <v>1177563000000</v>
      </c>
      <c r="E25" s="4" t="n">
        <v>869327000000</v>
      </c>
      <c r="F25" s="4" t="n">
        <v>869327000000</v>
      </c>
      <c r="G25" s="4" t="n">
        <v>869327000000</v>
      </c>
      <c r="H25" s="4" t="n">
        <v>1304334000000</v>
      </c>
      <c r="I25" s="4" t="n">
        <v>1304334000000</v>
      </c>
    </row>
    <row r="26">
      <c r="A26" s="3" t="inlineStr">
        <is>
          <t>Vốn khác</t>
        </is>
      </c>
      <c r="B26" s="4" t="n">
        <v>27834000000</v>
      </c>
      <c r="C26" s="4" t="n">
        <v>27834000000</v>
      </c>
      <c r="D26" s="4" t="n">
        <v>124945000000</v>
      </c>
      <c r="E26" s="4" t="n">
        <v>665811000000</v>
      </c>
      <c r="F26" s="4" t="n">
        <v>1387521000000</v>
      </c>
      <c r="G26" s="4" t="n">
        <v>1928258000000</v>
      </c>
      <c r="H26" s="4" t="n">
        <v>1928258000000</v>
      </c>
      <c r="I26" s="4" t="n">
        <v>2111211000000</v>
      </c>
    </row>
    <row r="27">
      <c r="A27" s="3" t="inlineStr">
        <is>
          <t>Cổ phiếu Quỹ</t>
        </is>
      </c>
      <c r="B27" s="4" t="n">
        <v>0</v>
      </c>
      <c r="C27" s="4" t="n">
        <v>-1036712000000</v>
      </c>
      <c r="D27" s="4" t="n">
        <v>-564397000000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</row>
    <row r="28">
      <c r="A28" s="3" t="inlineStr">
        <is>
          <t>Chênh lệch đánh giá lại tài sản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</row>
    <row r="29">
      <c r="A29" s="3" t="inlineStr">
        <is>
          <t>Chênh lệch tỷ giá hối đoái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45939000000</v>
      </c>
      <c r="H29" s="4" t="n">
        <v>137797000000</v>
      </c>
      <c r="I29" s="4" t="n">
        <v>202211000000</v>
      </c>
    </row>
    <row r="30">
      <c r="A30" s="3" t="inlineStr">
        <is>
          <t>Lợi nhuận chưa phân phối</t>
        </is>
      </c>
      <c r="B30" s="4" t="n">
        <v>7123671000000</v>
      </c>
      <c r="C30" s="4" t="n">
        <v>10342490000000</v>
      </c>
      <c r="D30" s="4" t="n">
        <v>12955988000000</v>
      </c>
      <c r="E30" s="4" t="n">
        <v>12915149000000</v>
      </c>
      <c r="F30" s="4" t="n">
        <v>19063767000000</v>
      </c>
      <c r="G30" s="4" t="n">
        <v>25559753000000</v>
      </c>
      <c r="H30" s="4" t="n">
        <v>40718224000000</v>
      </c>
      <c r="I30" s="4" t="n">
        <v>32577391000000</v>
      </c>
    </row>
    <row r="31">
      <c r="A31" s="3" t="inlineStr">
        <is>
          <t>Lợi ích của cổ đông thiểu số (trước 2015)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</row>
    <row r="32">
      <c r="A32" s="3" t="inlineStr">
        <is>
          <t>NỢ PHẢI TRẢ VÀ VỐN CHỦ SỞ HỮU</t>
        </is>
      </c>
      <c r="B32" s="4" t="n">
        <v>362325062000000</v>
      </c>
      <c r="C32" s="4" t="n">
        <v>411487575000000</v>
      </c>
      <c r="D32" s="4" t="n">
        <v>494982162000000</v>
      </c>
      <c r="E32" s="4" t="n">
        <v>607140419000000</v>
      </c>
      <c r="F32" s="4" t="n">
        <v>728532373000000</v>
      </c>
      <c r="G32" s="4" t="n">
        <v>944953640000000</v>
      </c>
      <c r="H32" s="4" t="n">
        <v>1128801062000000</v>
      </c>
      <c r="I32" s="4" t="n">
        <v>1615763927000000</v>
      </c>
    </row>
    <row r="33">
      <c r="A33" s="3" t="inlineStr">
        <is>
          <t>Tiền gửi tại Ngân hàng nhà nước Việt Nam</t>
        </is>
      </c>
      <c r="B33" s="4" t="n">
        <v>10548084000000</v>
      </c>
      <c r="C33" s="4" t="n">
        <v>14347180000000</v>
      </c>
      <c r="D33" s="4" t="n">
        <v>17296506000000</v>
      </c>
      <c r="E33" s="4" t="n">
        <v>38051039000000</v>
      </c>
      <c r="F33" s="4" t="n">
        <v>39654541000000</v>
      </c>
      <c r="G33" s="4" t="n">
        <v>66321652000000</v>
      </c>
      <c r="H33" s="4" t="n">
        <v>29825253000000</v>
      </c>
      <c r="I33" s="4" t="n">
        <v>68494426000000</v>
      </c>
    </row>
    <row r="34">
      <c r="A34" s="3" t="inlineStr">
        <is>
          <t>Tiền gửi tại các TCTD khác và cho vay các TCTD khác</t>
        </is>
      </c>
      <c r="B34" s="4" t="n">
        <v>45061628000000</v>
      </c>
      <c r="C34" s="4" t="n">
        <v>39691364000000</v>
      </c>
      <c r="D34" s="4" t="n">
        <v>47888802000000</v>
      </c>
      <c r="E34" s="4" t="n">
        <v>35983193000000</v>
      </c>
      <c r="F34" s="4" t="n">
        <v>32937210000000</v>
      </c>
      <c r="G34" s="4" t="n">
        <v>46343813000000</v>
      </c>
      <c r="H34" s="4" t="n">
        <v>76785622000000</v>
      </c>
      <c r="I34" s="4" t="n">
        <v>182923726000000</v>
      </c>
    </row>
    <row r="35">
      <c r="A35" s="3" t="inlineStr">
        <is>
          <t>Chứng khoán kinh doanh</t>
        </is>
      </c>
      <c r="B35" s="4" t="n">
        <v>577672000000</v>
      </c>
      <c r="C35" s="4" t="n">
        <v>1167809000000</v>
      </c>
      <c r="D35" s="4" t="n">
        <v>3085227000000</v>
      </c>
      <c r="E35" s="4" t="n">
        <v>7575274000000</v>
      </c>
      <c r="F35" s="4" t="n">
        <v>4107470000000</v>
      </c>
      <c r="G35" s="4" t="n">
        <v>44251400000000</v>
      </c>
      <c r="H35" s="4" t="n">
        <v>7931834000000</v>
      </c>
      <c r="I35" s="4" t="n">
        <v>4692622000000</v>
      </c>
    </row>
    <row r="36">
      <c r="A36" s="3" t="inlineStr">
        <is>
          <t>Chứng khoán kinh doanh</t>
        </is>
      </c>
      <c r="B36" s="4" t="n">
        <v>684035000000</v>
      </c>
      <c r="C36" s="4" t="n">
        <v>1196887000000</v>
      </c>
      <c r="D36" s="4" t="n">
        <v>3102030000000</v>
      </c>
      <c r="E36" s="4" t="n">
        <v>7582673000000</v>
      </c>
      <c r="F36" s="4" t="n">
        <v>4107470000000</v>
      </c>
      <c r="G36" s="4" t="n">
        <v>44251400000000</v>
      </c>
      <c r="H36" s="4" t="n">
        <v>7931834000000</v>
      </c>
      <c r="I36" s="4" t="n">
        <v>4692622000000</v>
      </c>
    </row>
    <row r="37">
      <c r="A37" s="3" t="inlineStr">
        <is>
          <t>Dự phòng giảm giá chứng khoán kinh doanh</t>
        </is>
      </c>
      <c r="B37" s="4" t="n">
        <v>-106363000000</v>
      </c>
      <c r="C37" s="4" t="n">
        <v>-29078000000</v>
      </c>
      <c r="D37" s="4" t="n">
        <v>-16803000000</v>
      </c>
      <c r="E37" s="4" t="n">
        <v>-7399000000</v>
      </c>
      <c r="F37" s="4" t="n">
        <v>-1920000000</v>
      </c>
      <c r="G37" s="4" t="n">
        <v>-612000000</v>
      </c>
      <c r="H37" s="4" t="n">
        <v>-179000000</v>
      </c>
      <c r="I37" s="4" t="n">
        <v>-39393000000</v>
      </c>
    </row>
    <row r="38">
      <c r="A38" s="3" t="inlineStr">
        <is>
          <t>Các công cụ tài chính phái sinh và các tài sản tài chính khác</t>
        </is>
      </c>
      <c r="B38" s="4" t="n">
        <v>0</v>
      </c>
      <c r="C38" s="4" t="n">
        <v>14836000000</v>
      </c>
      <c r="D38" s="4" t="n">
        <v>37106000000</v>
      </c>
      <c r="E38" s="4" t="n">
        <v>274294000000</v>
      </c>
      <c r="F38" s="4" t="n">
        <v>69503000000</v>
      </c>
      <c r="G38" s="4" t="n">
        <v>141294000000</v>
      </c>
      <c r="H38" s="4" t="n">
        <v>0</v>
      </c>
      <c r="I38" s="4" t="n">
        <v>0</v>
      </c>
    </row>
    <row r="39">
      <c r="A39" s="3" t="inlineStr">
        <is>
          <t>Cho vay khách hàng</t>
        </is>
      </c>
      <c r="B39" s="4" t="n">
        <v>211474953000000</v>
      </c>
      <c r="C39" s="4" t="n">
        <v>247129710000000</v>
      </c>
      <c r="D39" s="4" t="n">
        <v>293942764000000</v>
      </c>
      <c r="E39" s="4" t="n">
        <v>354797094000000</v>
      </c>
      <c r="F39" s="4" t="n">
        <v>460574482000000</v>
      </c>
      <c r="G39" s="4" t="n">
        <v>611048830000000</v>
      </c>
      <c r="H39" s="4" t="n">
        <v>776657846000000</v>
      </c>
      <c r="I39" s="4" t="n">
        <v>1084019370000000</v>
      </c>
    </row>
    <row r="40">
      <c r="A40" s="3" t="inlineStr">
        <is>
          <t>Cho vay khách hàng</t>
        </is>
      </c>
      <c r="B40" s="4" t="n">
        <v>214685958000000</v>
      </c>
      <c r="C40" s="4" t="n">
        <v>250330623000000</v>
      </c>
      <c r="D40" s="4" t="n">
        <v>298296983000000</v>
      </c>
      <c r="E40" s="4" t="n">
        <v>363554778000000</v>
      </c>
      <c r="F40" s="4" t="n">
        <v>460574482000000</v>
      </c>
      <c r="G40" s="4" t="n">
        <v>611048830000000</v>
      </c>
      <c r="H40" s="4" t="n">
        <v>776657846000000</v>
      </c>
      <c r="I40" s="4" t="n">
        <v>1084019370000000</v>
      </c>
    </row>
    <row r="41">
      <c r="A41" s="3" t="inlineStr">
        <is>
          <t>Dự phòng rủi ro cho vay khách hàng</t>
        </is>
      </c>
      <c r="B41" s="4" t="n">
        <v>-3211005000000</v>
      </c>
      <c r="C41" s="4" t="n">
        <v>-3200913000000</v>
      </c>
      <c r="D41" s="4" t="n">
        <v>-4354219000000</v>
      </c>
      <c r="E41" s="4" t="n">
        <v>-8757684000000</v>
      </c>
      <c r="F41" s="4" t="n">
        <v>-11975860000000</v>
      </c>
      <c r="G41" s="4" t="n">
        <v>-11469563000000</v>
      </c>
      <c r="H41" s="4" t="n">
        <v>-11609861000000</v>
      </c>
      <c r="I41" s="4" t="n">
        <v>-13150593000000</v>
      </c>
    </row>
    <row r="42">
      <c r="A42" s="3" t="inlineStr">
        <is>
          <t>Chứng khoán đầu tư</t>
        </is>
      </c>
      <c r="B42" s="4" t="n">
        <v>73731314000000</v>
      </c>
      <c r="C42" s="4" t="n">
        <v>85628999000000</v>
      </c>
      <c r="D42" s="4" t="n">
        <v>99713646000000</v>
      </c>
      <c r="E42" s="4" t="n">
        <v>128806244000000</v>
      </c>
      <c r="F42" s="4" t="n">
        <v>159580028000000</v>
      </c>
      <c r="G42" s="4" t="n">
        <v>147923205000000</v>
      </c>
      <c r="H42" s="4" t="n">
        <v>209637377000000</v>
      </c>
      <c r="I42" s="4" t="n">
        <v>225574850000000</v>
      </c>
    </row>
    <row r="43">
      <c r="A43" s="3" t="inlineStr">
        <is>
          <t>Chứng khoán đầu tư sẵn sàng để bán</t>
        </is>
      </c>
      <c r="B43" s="4" t="n">
        <v>70467404000000</v>
      </c>
      <c r="C43" s="4" t="n">
        <v>82723727000000</v>
      </c>
      <c r="D43" s="4" t="n">
        <v>96775364000000</v>
      </c>
      <c r="E43" s="4" t="n">
        <v>124551916000000</v>
      </c>
      <c r="F43" s="4" t="n">
        <v>154506192000000</v>
      </c>
      <c r="G43" s="4" t="n">
        <v>143010711000000</v>
      </c>
      <c r="H43" s="4" t="n">
        <v>205507956000000</v>
      </c>
      <c r="I43" s="4" t="n">
        <v>221512464000000</v>
      </c>
    </row>
    <row r="44">
      <c r="A44" s="3" t="inlineStr">
        <is>
          <t>Chứng khoán đầu tư giữ đến ngày đáo hạn</t>
        </is>
      </c>
      <c r="B44" s="4" t="n">
        <v>3522144000000</v>
      </c>
      <c r="C44" s="4" t="n">
        <v>3196877000000</v>
      </c>
      <c r="D44" s="4" t="n">
        <v>3374241000000</v>
      </c>
      <c r="E44" s="4" t="n">
        <v>4677084000000</v>
      </c>
      <c r="F44" s="4" t="n">
        <v>5475361000000</v>
      </c>
      <c r="G44" s="4" t="n">
        <v>5387952000000</v>
      </c>
      <c r="H44" s="4" t="n">
        <v>4612504000000</v>
      </c>
      <c r="I44" s="4" t="n">
        <v>4295125000000</v>
      </c>
    </row>
    <row r="45">
      <c r="A45" s="3" t="inlineStr">
        <is>
          <t>Dự phòng giảm giá chứng khoán đầu tư</t>
        </is>
      </c>
      <c r="B45" s="4" t="n">
        <v>-258234000000</v>
      </c>
      <c r="C45" s="4" t="n">
        <v>-291605000000</v>
      </c>
      <c r="D45" s="4" t="n">
        <v>-435959000000</v>
      </c>
      <c r="E45" s="4" t="n">
        <v>-422756000000</v>
      </c>
      <c r="F45" s="4" t="n">
        <v>-401525000000</v>
      </c>
      <c r="G45" s="4" t="n">
        <v>-475458000000</v>
      </c>
      <c r="H45" s="4" t="n">
        <v>-483083000000</v>
      </c>
      <c r="I45" s="4" t="n">
        <v>-232739000000</v>
      </c>
    </row>
    <row r="46">
      <c r="A46" s="3" t="inlineStr">
        <is>
          <t>Tài sản Có khác</t>
        </is>
      </c>
      <c r="B46" s="4" t="n">
        <v>15736670000000</v>
      </c>
      <c r="C46" s="4" t="n">
        <v>17447494000000</v>
      </c>
      <c r="D46" s="4" t="n">
        <v>24464833000000</v>
      </c>
      <c r="E46" s="4" t="n">
        <v>32425520000000</v>
      </c>
      <c r="F46" s="4" t="n">
        <v>6174673000000</v>
      </c>
      <c r="G46" s="4" t="n">
        <v>6406669000000</v>
      </c>
      <c r="H46" s="4" t="n">
        <v>5873749000000</v>
      </c>
      <c r="I46" s="4" t="n">
        <v>7894091000000</v>
      </c>
    </row>
    <row r="47">
      <c r="A47" s="3" t="inlineStr">
        <is>
          <t>Các khoản nợ chính phủ và NHNN Việt Nam</t>
        </is>
      </c>
      <c r="B47" s="4" t="n">
        <v>2632894000000</v>
      </c>
      <c r="C47" s="4" t="n">
        <v>16836000000</v>
      </c>
      <c r="D47" s="4" t="n">
        <v>15383000000</v>
      </c>
      <c r="E47" s="4" t="n">
        <v>262281000000</v>
      </c>
      <c r="F47" s="4" t="n">
        <v>31788000000</v>
      </c>
      <c r="G47" s="4" t="n">
        <v>8738000000</v>
      </c>
      <c r="H47" s="4" t="n">
        <v>8156285000000</v>
      </c>
      <c r="I47" s="4" t="n">
        <v>47474800000000</v>
      </c>
    </row>
    <row r="48">
      <c r="A48" s="3" t="inlineStr">
        <is>
          <t>Tiền gửi và vay các Tổ chức tín dụng khác</t>
        </is>
      </c>
      <c r="B48" s="4" t="n">
        <v>60470881000000</v>
      </c>
      <c r="C48" s="4" t="n">
        <v>50314052000000</v>
      </c>
      <c r="D48" s="4" t="n">
        <v>50876472000000</v>
      </c>
      <c r="E48" s="4" t="n">
        <v>59560384000000</v>
      </c>
      <c r="F48" s="4" t="n">
        <v>65116779000000</v>
      </c>
      <c r="G48" s="4" t="n">
        <v>99810466000000</v>
      </c>
      <c r="H48" s="4" t="n">
        <v>110169585000000</v>
      </c>
      <c r="I48" s="4" t="n">
        <v>248017489000000</v>
      </c>
    </row>
    <row r="49">
      <c r="A49" s="3" t="inlineStr">
        <is>
          <t>Tiền gửi của khách hàng</t>
        </is>
      </c>
      <c r="B49" s="4" t="n">
        <v>239964318000000</v>
      </c>
      <c r="C49" s="4" t="n">
        <v>272709512000000</v>
      </c>
      <c r="D49" s="4" t="n">
        <v>310960354000000</v>
      </c>
      <c r="E49" s="4" t="n">
        <v>384692155000000</v>
      </c>
      <c r="F49" s="4" t="n">
        <v>443605638000000</v>
      </c>
      <c r="G49" s="4" t="n">
        <v>567532577000000</v>
      </c>
      <c r="H49" s="4" t="n">
        <v>714154479000000</v>
      </c>
      <c r="I49" s="4" t="n">
        <v>921368132000000</v>
      </c>
    </row>
    <row r="50">
      <c r="A50" s="3" t="inlineStr">
        <is>
          <t>Các công cụ tài chính phái sinh và các khoản nợ tài chính khác</t>
        </is>
      </c>
      <c r="B50" s="4" t="n">
        <v>5634000000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191545000000</v>
      </c>
      <c r="I50" s="4" t="n">
        <v>698507000000</v>
      </c>
    </row>
    <row r="51">
      <c r="A51" s="3" t="inlineStr">
        <is>
          <t>Vốn tài trợ, uỷ thác đầu tư của Chính phủ và các tổ chức tín dụng khác</t>
        </is>
      </c>
      <c r="B51" s="4" t="n">
        <v>319963000000</v>
      </c>
      <c r="C51" s="4" t="n">
        <v>302126000000</v>
      </c>
      <c r="D51" s="4" t="n">
        <v>207341000000</v>
      </c>
      <c r="E51" s="4" t="n">
        <v>1998703000000</v>
      </c>
      <c r="F51" s="4" t="n">
        <v>2002722000000</v>
      </c>
      <c r="G51" s="4" t="n">
        <v>2799863000000</v>
      </c>
      <c r="H51" s="4" t="n">
        <v>2793453000000</v>
      </c>
      <c r="I51" s="4" t="n">
        <v>3912833000000</v>
      </c>
    </row>
    <row r="52">
      <c r="A52" s="3" t="inlineStr">
        <is>
          <t>Phát hành giấy tờ có giá</t>
        </is>
      </c>
      <c r="B52" s="4" t="n">
        <v>11157638000000</v>
      </c>
      <c r="C52" s="4" t="n">
        <v>26288629000000</v>
      </c>
      <c r="D52" s="4" t="n">
        <v>50923563000000</v>
      </c>
      <c r="E52" s="4" t="n">
        <v>66886924000000</v>
      </c>
      <c r="F52" s="4" t="n">
        <v>96578125000000</v>
      </c>
      <c r="G52" s="4" t="n">
        <v>126463110000000</v>
      </c>
      <c r="H52" s="4" t="n">
        <v>128964033000000</v>
      </c>
      <c r="I52" s="4" t="n">
        <v>187236104000000</v>
      </c>
    </row>
    <row r="53">
      <c r="A53" s="3" t="inlineStr">
        <is>
          <t>Các khoản nợ khác</t>
        </is>
      </c>
      <c r="B53" s="4" t="n">
        <v>13600876000000</v>
      </c>
      <c r="C53" s="4" t="n">
        <v>21970606000000</v>
      </c>
      <c r="D53" s="4" t="n">
        <v>31899554000000</v>
      </c>
      <c r="E53" s="4" t="n">
        <v>31253949000000</v>
      </c>
      <c r="F53" s="4" t="n">
        <v>41584102000000</v>
      </c>
      <c r="G53" s="4" t="n">
        <v>51627727000000</v>
      </c>
      <c r="H53" s="4" t="n">
        <v>47312101000000</v>
      </c>
      <c r="I53" s="4" t="n">
        <v>65033537000000</v>
      </c>
    </row>
    <row r="54">
      <c r="A54" s="3" t="inlineStr">
        <is>
          <t>Vốn của tổ chức tín dụng</t>
        </is>
      </c>
      <c r="B54" s="4" t="n">
        <v>21632348000000</v>
      </c>
      <c r="C54" s="4" t="n">
        <v>22718445000000</v>
      </c>
      <c r="D54" s="4" t="n">
        <v>28725680000000</v>
      </c>
      <c r="E54" s="4" t="n">
        <v>39318356000000</v>
      </c>
      <c r="F54" s="4" t="n">
        <v>47596709000000</v>
      </c>
      <c r="G54" s="4" t="n">
        <v>54938426000000</v>
      </c>
      <c r="H54" s="4" t="n">
        <v>56295833000000</v>
      </c>
      <c r="I54" s="4" t="n">
        <v>83965544000000</v>
      </c>
    </row>
    <row r="55">
      <c r="A55" s="3" t="inlineStr">
        <is>
          <t>Vốn đầu tư XDCB</t>
        </is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</row>
    <row r="56">
      <c r="A56" s="3" t="inlineStr">
        <is>
          <t>Cổ phiếu ưu đãi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</row>
    <row r="57">
      <c r="A57" s="3" t="inlineStr">
        <is>
          <t>Quỹ của tổ chức tín dụng</t>
        </is>
      </c>
      <c r="B57" s="4" t="n">
        <v>3887135000000</v>
      </c>
      <c r="C57" s="4" t="n">
        <v>4936914000000</v>
      </c>
      <c r="D57" s="4" t="n">
        <v>6224836000000</v>
      </c>
      <c r="E57" s="4" t="n">
        <v>7341330000000</v>
      </c>
      <c r="F57" s="4" t="n">
        <v>9288618000000</v>
      </c>
      <c r="G57" s="4" t="n">
        <v>12193931000000</v>
      </c>
      <c r="H57" s="4" t="n">
        <v>14996847000000</v>
      </c>
      <c r="I57" s="4" t="n">
        <v>19390884000000</v>
      </c>
    </row>
    <row r="58">
      <c r="A58" s="3" t="inlineStr">
        <is>
          <t>Bảo lãnh khác</t>
        </is>
      </c>
      <c r="B58" s="4" t="n">
        <v>71203920000000</v>
      </c>
      <c r="C58" s="4" t="n">
        <v>76678646000000</v>
      </c>
      <c r="D58" s="4" t="n">
        <v>84636987000000</v>
      </c>
      <c r="E58" s="4" t="n">
        <v>102801455000000</v>
      </c>
      <c r="F58" s="4" t="n">
        <v>118000076000000</v>
      </c>
      <c r="G58" s="4" t="n">
        <v>121825142000000</v>
      </c>
      <c r="H58" s="4" t="n">
        <v>135649614000000</v>
      </c>
      <c r="I58" s="4" t="n">
        <v>190317517000000</v>
      </c>
    </row>
    <row r="59">
      <c r="A59" s="3" t="inlineStr">
        <is>
          <t>Cam kết giao dịch hối đoái</t>
        </is>
      </c>
      <c r="B59" s="4" t="n">
        <v>0</v>
      </c>
      <c r="C59" s="4" t="n">
        <v>0</v>
      </c>
      <c r="D59" s="4" t="n">
        <v>0</v>
      </c>
      <c r="E59" s="4" t="n">
        <v>163039000000</v>
      </c>
      <c r="F59" s="4" t="n">
        <v>146170000000</v>
      </c>
      <c r="G59" s="4" t="n">
        <v>154358000000</v>
      </c>
      <c r="H59" s="4" t="n">
        <v>238395000000</v>
      </c>
      <c r="I59" s="4" t="n">
        <v>1684717000000</v>
      </c>
    </row>
    <row r="60">
      <c r="A60" s="3" t="inlineStr">
        <is>
          <t>Cam kết mua ngoại tệ</t>
        </is>
      </c>
      <c r="B60" s="4" t="n">
        <v>9019360000000</v>
      </c>
      <c r="C60" s="4" t="n">
        <v>5949719000000</v>
      </c>
      <c r="D60" s="4" t="n">
        <v>765136000000</v>
      </c>
      <c r="E60" s="4" t="n">
        <v>1734746000000</v>
      </c>
      <c r="F60" s="4" t="n">
        <v>1462863000000</v>
      </c>
      <c r="G60" s="4" t="n">
        <v>1945064000000</v>
      </c>
      <c r="H60" s="4" t="n">
        <v>4416403000000</v>
      </c>
      <c r="I60" s="4" t="n">
        <v>9738358000000</v>
      </c>
    </row>
    <row r="61">
      <c r="A61" s="3" t="inlineStr">
        <is>
          <t>Cam kết bán ngoại tệ</t>
        </is>
      </c>
      <c r="B61" s="4" t="n">
        <v>11102468000000</v>
      </c>
      <c r="C61" s="4" t="n">
        <v>6416536000000</v>
      </c>
      <c r="D61" s="4" t="n">
        <v>621915000000</v>
      </c>
      <c r="E61" s="4" t="n">
        <v>2196936000000</v>
      </c>
      <c r="F61" s="4" t="n">
        <v>1339219000000</v>
      </c>
      <c r="G61" s="4" t="n">
        <v>1423038000000</v>
      </c>
      <c r="H61" s="4" t="n">
        <v>4492239000000</v>
      </c>
      <c r="I61" s="4" t="n">
        <v>8752345000000</v>
      </c>
    </row>
    <row r="62">
      <c r="A62" s="3" t="inlineStr">
        <is>
          <t>Cam kết giao dịch hoán đổi</t>
        </is>
      </c>
      <c r="B62" s="4" t="n">
        <v>104553370000000</v>
      </c>
      <c r="C62" s="4" t="n">
        <v>143357209000000</v>
      </c>
      <c r="D62" s="4" t="n">
        <v>237449368000000</v>
      </c>
      <c r="E62" s="4" t="n">
        <v>244548126000000</v>
      </c>
      <c r="F62" s="4" t="n">
        <v>199858184000000</v>
      </c>
      <c r="G62" s="4" t="n">
        <v>391347692000000</v>
      </c>
      <c r="H62" s="4" t="n">
        <v>254224568000000</v>
      </c>
      <c r="I62" s="4" t="n">
        <v>600397724000000</v>
      </c>
    </row>
    <row r="63">
      <c r="A63" s="3" t="inlineStr">
        <is>
          <t>Cam kết giao dịch tương lai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</row>
    <row r="64">
      <c r="A64" s="3" t="inlineStr">
        <is>
          <t>Cam kết cho vay không hủy ngang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</row>
    <row r="65">
      <c r="A65" s="3" t="inlineStr">
        <is>
          <t>Cam kết trong nghiệp vụ L/C</t>
        </is>
      </c>
      <c r="B65" s="4" t="n">
        <v>24623727000000</v>
      </c>
      <c r="C65" s="4" t="n">
        <v>21340471000000</v>
      </c>
      <c r="D65" s="4" t="n">
        <v>29182376000000</v>
      </c>
      <c r="E65" s="4" t="n">
        <v>34857504000000</v>
      </c>
      <c r="F65" s="4" t="n">
        <v>28829163000000</v>
      </c>
      <c r="G65" s="4" t="n">
        <v>23214316000000</v>
      </c>
      <c r="H65" s="4" t="n">
        <v>29138440000000</v>
      </c>
      <c r="I65" s="4" t="n">
        <v>59728018000000</v>
      </c>
    </row>
    <row r="66">
      <c r="A66" s="3" t="inlineStr">
        <is>
          <t>Cam kết khác</t>
        </is>
      </c>
      <c r="B66" s="4" t="n">
        <v>20325895000000</v>
      </c>
      <c r="C66" s="4" t="n">
        <v>42304723000000</v>
      </c>
      <c r="D66" s="4" t="n">
        <v>72544232000000</v>
      </c>
      <c r="E66" s="4" t="n">
        <v>61205263000000</v>
      </c>
      <c r="F66" s="4" t="n">
        <v>50621181000000</v>
      </c>
      <c r="G66" s="4" t="n">
        <v>81444110000000</v>
      </c>
      <c r="H66" s="4" t="n">
        <v>72142229000000</v>
      </c>
      <c r="I66" s="4" t="n">
        <v>127878633000000</v>
      </c>
    </row>
    <row r="67">
      <c r="A67" s="3" t="inlineStr">
        <is>
          <t>Lợi ích của cổ đông thiểu số</t>
        </is>
      </c>
      <c r="B67" s="4" t="n">
        <v>1529704000000</v>
      </c>
      <c r="C67" s="4" t="n">
        <v>1887965000000</v>
      </c>
      <c r="D67" s="4" t="n">
        <v>2192991000000</v>
      </c>
      <c r="E67" s="4" t="n">
        <v>2911188000000</v>
      </c>
      <c r="F67" s="4" t="n">
        <v>3664125000000</v>
      </c>
      <c r="G67" s="4" t="n">
        <v>3973110000000</v>
      </c>
      <c r="H67" s="4" t="n">
        <v>4910880000000</v>
      </c>
      <c r="I67" s="4" t="n">
        <v>5886495000000</v>
      </c>
    </row>
    <row r="68">
      <c r="A68" s="3" t="inlineStr">
        <is>
          <t>Tiền gửi tại các TCTD khác</t>
        </is>
      </c>
      <c r="B68" s="4" t="n">
        <v>35363429000000</v>
      </c>
      <c r="C68" s="4" t="n">
        <v>29338805000000</v>
      </c>
      <c r="D68" s="4" t="n">
        <v>41939499000000</v>
      </c>
      <c r="E68" s="4" t="n">
        <v>24155189000000</v>
      </c>
      <c r="F68" s="4" t="n">
        <v>24835507000000</v>
      </c>
      <c r="G68" s="4" t="n">
        <v>39119633000000</v>
      </c>
      <c r="H68" s="4" t="n">
        <v>63887837000000</v>
      </c>
      <c r="I68" s="4" t="n">
        <v>165819028000000</v>
      </c>
    </row>
    <row r="69">
      <c r="A69" s="3" t="inlineStr">
        <is>
          <t>Cho vay các TCTD khác</t>
        </is>
      </c>
      <c r="B69" s="4" t="n">
        <v>9894199000000</v>
      </c>
      <c r="C69" s="4" t="n">
        <v>10548559000000</v>
      </c>
      <c r="D69" s="4" t="n">
        <v>5949303000000</v>
      </c>
      <c r="E69" s="4" t="n">
        <v>11908860000000</v>
      </c>
      <c r="F69" s="4" t="n">
        <v>8102398000000</v>
      </c>
      <c r="G69" s="4" t="n">
        <v>7229607000000</v>
      </c>
      <c r="H69" s="4" t="n">
        <v>12903651000000</v>
      </c>
      <c r="I69" s="4" t="n">
        <v>17113794000000</v>
      </c>
    </row>
    <row r="70">
      <c r="A70" s="3" t="inlineStr">
        <is>
          <t>Dự phòng rủi ro</t>
        </is>
      </c>
      <c r="B70" s="4" t="n">
        <v>-196000000000</v>
      </c>
      <c r="C70" s="4" t="n">
        <v>-196000000000</v>
      </c>
      <c r="D70" s="4" t="n">
        <v>0</v>
      </c>
      <c r="E70" s="4" t="n">
        <v>-80856000000</v>
      </c>
      <c r="F70" s="4" t="n">
        <v>-695000000</v>
      </c>
      <c r="G70" s="4" t="n">
        <v>-5427000000</v>
      </c>
      <c r="H70" s="4" t="n">
        <v>-5866000000</v>
      </c>
      <c r="I70" s="4" t="n">
        <v>-9096000000</v>
      </c>
    </row>
    <row r="71">
      <c r="A71" s="3" t="inlineStr">
        <is>
          <t>Hoạt động mua nợ</t>
        </is>
      </c>
      <c r="B71" s="4" t="n">
        <v>0</v>
      </c>
      <c r="C71" s="4" t="n">
        <v>0</v>
      </c>
      <c r="D71" s="4" t="n">
        <v>0</v>
      </c>
      <c r="E71" s="4" t="n">
        <v>1766000000</v>
      </c>
      <c r="F71" s="4" t="n">
        <v>1006733000000</v>
      </c>
      <c r="G71" s="4" t="n">
        <v>1789868000000</v>
      </c>
      <c r="H71" s="4" t="n">
        <v>951509000000</v>
      </c>
      <c r="I71" s="4" t="n">
        <v>2443895000000</v>
      </c>
    </row>
    <row r="72">
      <c r="A72" s="3" t="inlineStr">
        <is>
          <t>Mua nợ</t>
        </is>
      </c>
      <c r="B72" s="4" t="n">
        <v>0</v>
      </c>
      <c r="C72" s="4" t="n">
        <v>0</v>
      </c>
      <c r="D72" s="4" t="n">
        <v>0</v>
      </c>
      <c r="E72" s="4" t="n">
        <v>3585000000</v>
      </c>
      <c r="F72" s="4" t="n">
        <v>1019898000000</v>
      </c>
      <c r="G72" s="4" t="n">
        <v>1848863000000</v>
      </c>
      <c r="H72" s="4" t="n">
        <v>1041362000000</v>
      </c>
      <c r="I72" s="4" t="n">
        <v>2465314000000</v>
      </c>
    </row>
    <row r="73">
      <c r="A73" s="3" t="inlineStr">
        <is>
          <t>Dự phòng rủi ro hoạt động mua nợ</t>
        </is>
      </c>
      <c r="B73" s="4" t="n">
        <v>0</v>
      </c>
      <c r="C73" s="4" t="n">
        <v>0</v>
      </c>
      <c r="D73" s="4" t="n">
        <v>0</v>
      </c>
      <c r="E73" s="4" t="n">
        <v>-1819000000</v>
      </c>
      <c r="F73" s="4" t="n">
        <v>-13165000000</v>
      </c>
      <c r="G73" s="4" t="n">
        <v>-58995000000</v>
      </c>
      <c r="H73" s="4" t="n">
        <v>-89853000000</v>
      </c>
      <c r="I73" s="4" t="n">
        <v>-21419000000</v>
      </c>
    </row>
    <row r="74">
      <c r="A74" s="3" t="inlineStr">
        <is>
          <t>Các khoản phải thu</t>
        </is>
      </c>
      <c r="B74" s="4" t="n">
        <v>10325119000000</v>
      </c>
      <c r="C74" s="4" t="n">
        <v>11471145000000</v>
      </c>
      <c r="D74" s="4" t="n">
        <v>18445213000000</v>
      </c>
      <c r="E74" s="4" t="n">
        <v>23923205000000</v>
      </c>
      <c r="F74" s="4" t="n">
        <v>20160561000000</v>
      </c>
      <c r="G74" s="4" t="n">
        <v>14289084000000</v>
      </c>
      <c r="H74" s="4" t="n">
        <v>14360628000000</v>
      </c>
      <c r="I74" s="4" t="n">
        <v>28125764000000</v>
      </c>
    </row>
    <row r="75">
      <c r="A75" s="3" t="inlineStr">
        <is>
          <t>Các khoản lãi và phí phải thu</t>
        </is>
      </c>
      <c r="B75" s="4" t="n">
        <v>3429433000000</v>
      </c>
      <c r="C75" s="4" t="n">
        <v>3771711000000</v>
      </c>
      <c r="D75" s="4" t="n">
        <v>3782321000000</v>
      </c>
      <c r="E75" s="4" t="n">
        <v>4599328000000</v>
      </c>
      <c r="F75" s="4" t="n">
        <v>6786414000000</v>
      </c>
      <c r="G75" s="4" t="n">
        <v>8668557000000</v>
      </c>
      <c r="H75" s="4" t="n">
        <v>8918622000000</v>
      </c>
      <c r="I75" s="4" t="n">
        <v>13549018000000</v>
      </c>
    </row>
    <row r="76">
      <c r="A76" s="3" t="inlineStr">
        <is>
          <t>Tài sản thuế TNDN hoãn lại</t>
        </is>
      </c>
      <c r="B76" s="4" t="n">
        <v>15777000000</v>
      </c>
      <c r="C76" s="4" t="n">
        <v>3699000000</v>
      </c>
      <c r="D76" s="4" t="n">
        <v>3436000000</v>
      </c>
      <c r="E76" s="4" t="n">
        <v>537000000</v>
      </c>
      <c r="F76" s="4" t="n">
        <v>10986000000</v>
      </c>
      <c r="G76" s="4" t="n">
        <v>28710000000</v>
      </c>
      <c r="H76" s="4" t="n">
        <v>38912000000</v>
      </c>
      <c r="I76" s="4" t="n">
        <v>34339000000</v>
      </c>
    </row>
    <row r="77">
      <c r="A77" s="3" t="inlineStr">
        <is>
          <t>Tài sản Có khác</t>
        </is>
      </c>
      <c r="B77" s="4" t="n">
        <v>2267608000000</v>
      </c>
      <c r="C77" s="4" t="n">
        <v>2475062000000</v>
      </c>
      <c r="D77" s="4" t="n">
        <v>2280224000000</v>
      </c>
      <c r="E77" s="4" t="n">
        <v>3961963000000</v>
      </c>
      <c r="F77" s="4" t="n">
        <v>6174673000000</v>
      </c>
      <c r="G77" s="4" t="n">
        <v>6406669000000</v>
      </c>
      <c r="H77" s="4" t="n">
        <v>5873749000000</v>
      </c>
      <c r="I77" s="4" t="n">
        <v>7894091000000</v>
      </c>
    </row>
    <row r="78">
      <c r="A78" s="3" t="inlineStr">
        <is>
          <t>Trong đó: Lợi thế thương mại</t>
        </is>
      </c>
      <c r="B78" s="4" t="n">
        <v>66658000000</v>
      </c>
      <c r="C78" s="4" t="n">
        <v>57135000000</v>
      </c>
      <c r="D78" s="4" t="n">
        <v>47613000000</v>
      </c>
      <c r="E78" s="4" t="n">
        <v>38090000000</v>
      </c>
      <c r="F78" s="4" t="n">
        <v>28568000000</v>
      </c>
      <c r="G78" s="4" t="n">
        <v>19045000000</v>
      </c>
      <c r="H78" s="4" t="n">
        <v>9523000000</v>
      </c>
      <c r="I78" s="4" t="n">
        <v>0</v>
      </c>
    </row>
    <row r="79">
      <c r="A79" s="3" t="inlineStr">
        <is>
          <t>Các khoản dự phòng rủi ro cho các tài sản Có nội bảng khác</t>
        </is>
      </c>
      <c r="B79" s="4" t="n">
        <v>-301267000000</v>
      </c>
      <c r="C79" s="4" t="n">
        <v>-274123000000</v>
      </c>
      <c r="D79" s="4" t="n">
        <v>-46361000000</v>
      </c>
      <c r="E79" s="4" t="n">
        <v>-59513000000</v>
      </c>
      <c r="F79" s="4" t="n">
        <v>-231500000000</v>
      </c>
      <c r="G79" s="4" t="n">
        <v>-174926000000</v>
      </c>
      <c r="H79" s="4" t="n">
        <v>-193424000000</v>
      </c>
      <c r="I79" s="4" t="n">
        <v>-71730000000</v>
      </c>
    </row>
    <row r="80">
      <c r="A80" s="3" t="inlineStr">
        <is>
          <t>Tiền gửi của các tổ chức tín dụng khác</t>
        </is>
      </c>
      <c r="B80" s="4" t="n">
        <v>40692932000000</v>
      </c>
      <c r="C80" s="4" t="n">
        <v>29550155000000</v>
      </c>
      <c r="D80" s="4" t="n">
        <v>24984148000000</v>
      </c>
      <c r="E80" s="4" t="n">
        <v>13870641000000</v>
      </c>
      <c r="F80" s="4" t="n">
        <v>33059306000000</v>
      </c>
      <c r="G80" s="4" t="n">
        <v>68812883000000</v>
      </c>
      <c r="H80" s="4" t="n">
        <v>79515610000000</v>
      </c>
      <c r="I80" s="4" t="n">
        <v>183635325000000</v>
      </c>
    </row>
    <row r="81">
      <c r="A81" s="3" t="inlineStr">
        <is>
          <t>Vay các tổ chức tín dụng khác</t>
        </is>
      </c>
      <c r="B81" s="4" t="n">
        <v>19777949000000</v>
      </c>
      <c r="C81" s="4" t="n">
        <v>20763897000000</v>
      </c>
      <c r="D81" s="4" t="n">
        <v>25892324000000</v>
      </c>
      <c r="E81" s="4" t="n">
        <v>45689743000000</v>
      </c>
      <c r="F81" s="4" t="n">
        <v>32057473000000</v>
      </c>
      <c r="G81" s="4" t="n">
        <v>30997583000000</v>
      </c>
      <c r="H81" s="4" t="n">
        <v>30653975000000</v>
      </c>
      <c r="I81" s="4" t="n">
        <v>64382164000000</v>
      </c>
    </row>
    <row r="82">
      <c r="A82" s="3" t="inlineStr">
        <is>
          <t>Các khoản lãi, phí phải trả</t>
        </is>
      </c>
      <c r="B82" s="4" t="n">
        <v>2821056000000</v>
      </c>
      <c r="C82" s="4" t="n">
        <v>4598544000000</v>
      </c>
      <c r="D82" s="4" t="n">
        <v>4765744000000</v>
      </c>
      <c r="E82" s="4" t="n">
        <v>5077890000000</v>
      </c>
      <c r="F82" s="4" t="n">
        <v>7688257000000</v>
      </c>
      <c r="G82" s="4" t="n">
        <v>13390191000000</v>
      </c>
      <c r="H82" s="4" t="n">
        <v>9899902000000</v>
      </c>
      <c r="I82" s="4" t="n">
        <v>13245868000000</v>
      </c>
    </row>
    <row r="83">
      <c r="A83" s="3" t="inlineStr">
        <is>
          <t>Thuế TNDN hoãn lại phải trả</t>
        </is>
      </c>
      <c r="B83" s="4" t="n">
        <v>16656000000</v>
      </c>
      <c r="C83" s="4" t="n">
        <v>12097000000</v>
      </c>
      <c r="D83" s="4" t="n">
        <v>4651000000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</row>
    <row r="84">
      <c r="A84" s="3" t="inlineStr">
        <is>
          <t>Các khoản phải trả và công nợ khác</t>
        </is>
      </c>
      <c r="B84" s="4" t="n">
        <v>10763164000000</v>
      </c>
      <c r="C84" s="4" t="n">
        <v>17359965000000</v>
      </c>
      <c r="D84" s="4" t="n">
        <v>27129159000000</v>
      </c>
      <c r="E84" s="4" t="n">
        <v>26176059000000</v>
      </c>
      <c r="F84" s="4" t="n">
        <v>33895818000000</v>
      </c>
      <c r="G84" s="4" t="n">
        <v>38236542000000</v>
      </c>
      <c r="H84" s="4" t="n">
        <v>37411147000000</v>
      </c>
      <c r="I84" s="4" t="n">
        <v>51785481000000</v>
      </c>
    </row>
    <row r="85">
      <c r="A85" s="3" t="inlineStr">
        <is>
          <t>Dự phòng rủi ro khác</t>
        </is>
      </c>
      <c r="B85" s="4" t="n">
        <v>0</v>
      </c>
      <c r="C85" s="4" t="n">
        <v>0</v>
      </c>
      <c r="D85" s="4" t="n">
        <v>0</v>
      </c>
      <c r="E85" s="4" t="n">
        <v>0</v>
      </c>
      <c r="F85" s="4" t="n">
        <v>27000000</v>
      </c>
      <c r="G85" s="4" t="n">
        <v>994000000</v>
      </c>
      <c r="H85" s="4" t="n">
        <v>1052000000</v>
      </c>
      <c r="I85" s="4" t="n">
        <v>2188000000</v>
      </c>
    </row>
    <row r="86">
      <c r="A86" s="3" t="inlineStr">
        <is>
          <t>Vốn Góp liên doanh</t>
        </is>
      </c>
      <c r="B86" s="4" t="n">
        <v>0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</row>
    <row r="87">
      <c r="A87" s="3" t="inlineStr">
        <is>
          <t>Đầu tư vào công ty liên kết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Tổng lợi nhuận/lỗ trước thuế</t>
        </is>
      </c>
      <c r="B2" s="4" t="n">
        <v>7767373000000</v>
      </c>
      <c r="C2" s="4" t="n">
        <v>10036119000000</v>
      </c>
      <c r="D2" s="4" t="n">
        <v>10688276000000</v>
      </c>
      <c r="E2" s="4" t="n">
        <v>16527259000000</v>
      </c>
      <c r="F2" s="4" t="n">
        <v>22729320000000</v>
      </c>
      <c r="G2" s="4" t="n">
        <v>26306089000000</v>
      </c>
      <c r="H2" s="4" t="n">
        <v>28829328000000</v>
      </c>
      <c r="I2" s="4" t="n">
        <v>34268358000000</v>
      </c>
    </row>
    <row r="3">
      <c r="A3" s="3" t="inlineStr">
        <is>
          <t>Chi phí thuế TNDN hiện hành</t>
        </is>
      </c>
      <c r="B3" s="4" t="n">
        <v>-1575157000000</v>
      </c>
      <c r="C3" s="4" t="n">
        <v>-1959995000000</v>
      </c>
      <c r="D3" s="4" t="n">
        <v>-2089420000000</v>
      </c>
      <c r="E3" s="4" t="n">
        <v>-3307574000000</v>
      </c>
      <c r="F3" s="4" t="n">
        <v>-4582973000000</v>
      </c>
      <c r="G3" s="4" t="n">
        <v>-5269869000000</v>
      </c>
      <c r="H3" s="4" t="n">
        <v>-5888266000000</v>
      </c>
      <c r="I3" s="4" t="n">
        <v>-6876871000000</v>
      </c>
    </row>
    <row r="4">
      <c r="A4" s="3" t="inlineStr">
        <is>
          <t>Chi phí thuế TNDN hoãn lại</t>
        </is>
      </c>
      <c r="B4" s="4" t="n">
        <v>-2315000000</v>
      </c>
      <c r="C4" s="4" t="n">
        <v>-7520000000</v>
      </c>
      <c r="D4" s="4" t="n">
        <v>7183000000</v>
      </c>
      <c r="E4" s="4" t="n">
        <v>1752000000</v>
      </c>
      <c r="F4" s="4" t="n">
        <v>8838000000</v>
      </c>
      <c r="G4" s="4" t="n">
        <v>17572000000</v>
      </c>
      <c r="H4" s="4" t="n">
        <v>10202000000</v>
      </c>
      <c r="I4" s="4" t="n">
        <v>-8509000000</v>
      </c>
    </row>
    <row r="5">
      <c r="A5" s="3" t="inlineStr">
        <is>
          <t>Chi phí thuế thu nhập doanh nghiệp</t>
        </is>
      </c>
      <c r="B5" s="4" t="n">
        <v>-1577472000000</v>
      </c>
      <c r="C5" s="4" t="n">
        <v>-1967515000000</v>
      </c>
      <c r="D5" s="4" t="n">
        <v>-2082237000000</v>
      </c>
      <c r="E5" s="4" t="n">
        <v>-3305822000000</v>
      </c>
      <c r="F5" s="4" t="n">
        <v>-4574135000000</v>
      </c>
      <c r="G5" s="4" t="n">
        <v>-5252297000000</v>
      </c>
      <c r="H5" s="4" t="n">
        <v>-5878064000000</v>
      </c>
      <c r="I5" s="4" t="n">
        <v>-6885380000000</v>
      </c>
    </row>
    <row r="6">
      <c r="A6" s="3" t="inlineStr">
        <is>
          <t>Lợi nhuận sau thuế</t>
        </is>
      </c>
      <c r="B6" s="4" t="n">
        <v>6189901000000</v>
      </c>
      <c r="C6" s="4" t="n">
        <v>8068604000000</v>
      </c>
      <c r="D6" s="4" t="n">
        <v>8606039000000</v>
      </c>
      <c r="E6" s="4" t="n">
        <v>13221437000000</v>
      </c>
      <c r="F6" s="4" t="n">
        <v>18155185000000</v>
      </c>
      <c r="G6" s="4" t="n">
        <v>21053792000000</v>
      </c>
      <c r="H6" s="4" t="n">
        <v>22951264000000</v>
      </c>
      <c r="I6" s="4" t="n">
        <v>27382978000000</v>
      </c>
    </row>
    <row r="7">
      <c r="A7" s="3" t="inlineStr">
        <is>
          <t>Lợi ích của cổ đông thiểu số</t>
        </is>
      </c>
      <c r="B7" s="4" t="n">
        <v>-77187000000</v>
      </c>
      <c r="C7" s="4" t="n">
        <v>-245831000000</v>
      </c>
      <c r="D7" s="4" t="n">
        <v>-343380000000</v>
      </c>
      <c r="E7" s="4" t="n">
        <v>-524362000000</v>
      </c>
      <c r="F7" s="4" t="n">
        <v>-672450000000</v>
      </c>
      <c r="G7" s="4" t="n">
        <v>-377004000000</v>
      </c>
      <c r="H7" s="4" t="n">
        <v>-317507000000</v>
      </c>
      <c r="I7" s="4" t="n">
        <v>-604039000000</v>
      </c>
    </row>
    <row r="8">
      <c r="A8" s="3" t="inlineStr">
        <is>
          <t>Cổ đông của Công ty mẹ</t>
        </is>
      </c>
      <c r="B8" s="4" t="n">
        <v>6112714000000</v>
      </c>
      <c r="C8" s="4" t="n">
        <v>7822773000000</v>
      </c>
      <c r="D8" s="4" t="n">
        <v>8262659000000</v>
      </c>
      <c r="E8" s="4" t="n">
        <v>12697075000000</v>
      </c>
      <c r="F8" s="4" t="n">
        <v>17482735000000</v>
      </c>
      <c r="G8" s="4" t="n">
        <v>20676788000000</v>
      </c>
      <c r="H8" s="4" t="n">
        <v>22633757000000</v>
      </c>
      <c r="I8" s="4" t="n">
        <v>26778939000000</v>
      </c>
    </row>
    <row r="9">
      <c r="A9" s="3" t="inlineStr">
        <is>
          <t>Lãi cơ bản trên cổ phiếu (VND)</t>
        </is>
      </c>
      <c r="B9" s="4" t="n">
        <v>2829</v>
      </c>
      <c r="C9" s="4" t="n">
        <v>3596</v>
      </c>
      <c r="D9" s="4" t="n">
        <v>2993</v>
      </c>
      <c r="E9" s="4" t="n">
        <v>3133</v>
      </c>
      <c r="F9" s="4" t="n">
        <v>3856</v>
      </c>
      <c r="G9" s="4" t="n">
        <v>3966</v>
      </c>
      <c r="H9" s="4" t="n">
        <v>3724</v>
      </c>
      <c r="I9" s="4" t="n">
        <v>3325</v>
      </c>
    </row>
    <row r="10">
      <c r="A10" s="3" t="inlineStr">
        <is>
          <t>Lãi trên cổ phiếu pha loãng (VND)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</row>
    <row r="11">
      <c r="A11" s="3" t="inlineStr">
        <is>
          <t>Thu nhập lãi và các khoản thu nhập tương tự</t>
        </is>
      </c>
      <c r="B11" s="4" t="n">
        <v>24824365000000</v>
      </c>
      <c r="C11" s="4" t="n">
        <v>31196604000000</v>
      </c>
      <c r="D11" s="4" t="n">
        <v>32767393000000</v>
      </c>
      <c r="E11" s="4" t="n">
        <v>38464932000000</v>
      </c>
      <c r="F11" s="4" t="n">
        <v>52485812000000</v>
      </c>
      <c r="G11" s="4" t="n">
        <v>69143043000000</v>
      </c>
      <c r="H11" s="4" t="n">
        <v>69061893000000</v>
      </c>
      <c r="I11" s="4" t="n">
        <v>89088116000000</v>
      </c>
    </row>
    <row r="12">
      <c r="A12" s="3" t="inlineStr">
        <is>
          <t>Chi phí lãi và các chi phí tương tự</t>
        </is>
      </c>
      <c r="B12" s="4" t="n">
        <v>-10240868000000</v>
      </c>
      <c r="C12" s="4" t="n">
        <v>-13196607000000</v>
      </c>
      <c r="D12" s="4" t="n">
        <v>-12489598000000</v>
      </c>
      <c r="E12" s="4" t="n">
        <v>-12265378000000</v>
      </c>
      <c r="F12" s="4" t="n">
        <v>-16462690000000</v>
      </c>
      <c r="G12" s="4" t="n">
        <v>-30459195000000</v>
      </c>
      <c r="H12" s="4" t="n">
        <v>-27909674000000</v>
      </c>
      <c r="I12" s="4" t="n">
        <v>-37477999000000</v>
      </c>
    </row>
    <row r="13">
      <c r="A13" s="3" t="inlineStr">
        <is>
          <t>Thu nhập lãi thuần</t>
        </is>
      </c>
      <c r="B13" s="4" t="n">
        <v>14583497000000</v>
      </c>
      <c r="C13" s="4" t="n">
        <v>17999997000000</v>
      </c>
      <c r="D13" s="4" t="n">
        <v>20277795000000</v>
      </c>
      <c r="E13" s="4" t="n">
        <v>26199554000000</v>
      </c>
      <c r="F13" s="4" t="n">
        <v>36023122000000</v>
      </c>
      <c r="G13" s="4" t="n">
        <v>38683848000000</v>
      </c>
      <c r="H13" s="4" t="n">
        <v>41152219000000</v>
      </c>
      <c r="I13" s="4" t="n">
        <v>51610117000000</v>
      </c>
    </row>
    <row r="14">
      <c r="A14" s="3" t="inlineStr">
        <is>
          <t>Thu nhập từ dịch vụ</t>
        </is>
      </c>
      <c r="B14" s="4" t="n">
        <v>5719062000000</v>
      </c>
      <c r="C14" s="4" t="n">
        <v>6420580000000</v>
      </c>
      <c r="D14" s="4" t="n">
        <v>8228173000000</v>
      </c>
      <c r="E14" s="4" t="n">
        <v>12308295000000</v>
      </c>
      <c r="F14" s="4" t="n">
        <v>14243734000000</v>
      </c>
      <c r="G14" s="4" t="n">
        <v>13137624000000</v>
      </c>
      <c r="H14" s="4" t="n">
        <v>14602602000000</v>
      </c>
      <c r="I14" s="4" t="n">
        <v>18062236000000</v>
      </c>
    </row>
    <row r="15">
      <c r="A15" s="3" t="inlineStr">
        <is>
          <t>Chi phí dịch vụ</t>
        </is>
      </c>
      <c r="B15" s="4" t="n">
        <v>-3157752000000</v>
      </c>
      <c r="C15" s="4" t="n">
        <v>-3234743000000</v>
      </c>
      <c r="D15" s="4" t="n">
        <v>-4652620000000</v>
      </c>
      <c r="E15" s="4" t="n">
        <v>-7940917000000</v>
      </c>
      <c r="F15" s="4" t="n">
        <v>-10108166000000</v>
      </c>
      <c r="G15" s="4" t="n">
        <v>-9052399000000</v>
      </c>
      <c r="H15" s="4" t="n">
        <v>-10234353000000</v>
      </c>
      <c r="I15" s="4" t="n">
        <v>-11483555000000</v>
      </c>
    </row>
    <row r="16">
      <c r="A16" s="3" t="inlineStr">
        <is>
          <t>Lãi/Lỗ thuần từ hoạt động dịch vụ</t>
        </is>
      </c>
      <c r="B16" s="4" t="n">
        <v>2561310000000</v>
      </c>
      <c r="C16" s="4" t="n">
        <v>3185837000000</v>
      </c>
      <c r="D16" s="4" t="n">
        <v>3575553000000</v>
      </c>
      <c r="E16" s="4" t="n">
        <v>4367378000000</v>
      </c>
      <c r="F16" s="4" t="n">
        <v>4135568000000</v>
      </c>
      <c r="G16" s="4" t="n">
        <v>4085225000000</v>
      </c>
      <c r="H16" s="4" t="n">
        <v>4368249000000</v>
      </c>
      <c r="I16" s="4" t="n">
        <v>6578681000000</v>
      </c>
    </row>
    <row r="17">
      <c r="A17" s="3" t="inlineStr">
        <is>
          <t>Lãi/(lỗ) thuần từ hoạt động kinh doanh ngoại hối và vàng</t>
        </is>
      </c>
      <c r="B17" s="4" t="n">
        <v>444568000000</v>
      </c>
      <c r="C17" s="4" t="n">
        <v>647478000000</v>
      </c>
      <c r="D17" s="4" t="n">
        <v>785809000000</v>
      </c>
      <c r="E17" s="4" t="n">
        <v>1331468000000</v>
      </c>
      <c r="F17" s="4" t="n">
        <v>1703960000000</v>
      </c>
      <c r="G17" s="4" t="n">
        <v>1209825000000</v>
      </c>
      <c r="H17" s="4" t="n">
        <v>2000164000000</v>
      </c>
      <c r="I17" s="4" t="n">
        <v>1756922000000</v>
      </c>
    </row>
    <row r="18">
      <c r="A18" s="3" t="inlineStr">
        <is>
          <t>Lãi/(lỗ) thuần từ mua bán chứng khoán kinh doanh</t>
        </is>
      </c>
      <c r="B18" s="4" t="n">
        <v>151928000000</v>
      </c>
      <c r="C18" s="4" t="n">
        <v>27480000000</v>
      </c>
      <c r="D18" s="4" t="n">
        <v>85086000000</v>
      </c>
      <c r="E18" s="4" t="n">
        <v>221236000000</v>
      </c>
      <c r="F18" s="4" t="n">
        <v>141128000000</v>
      </c>
      <c r="G18" s="4" t="n">
        <v>541566000000</v>
      </c>
      <c r="H18" s="4" t="n">
        <v>1756022000000</v>
      </c>
      <c r="I18" s="4" t="n">
        <v>668384000000</v>
      </c>
    </row>
    <row r="19">
      <c r="A19" s="3" t="inlineStr">
        <is>
          <t>Lãi/(lỗ) thuần từ mua bán chứng khoán đầu tư</t>
        </is>
      </c>
      <c r="B19" s="4" t="n">
        <v>148561000000</v>
      </c>
      <c r="C19" s="4" t="n">
        <v>612031000000</v>
      </c>
      <c r="D19" s="4" t="n">
        <v>865869000000</v>
      </c>
      <c r="E19" s="4" t="n">
        <v>1445713000000</v>
      </c>
      <c r="F19" s="4" t="n">
        <v>1315248000000</v>
      </c>
      <c r="G19" s="4" t="n">
        <v>300404000000</v>
      </c>
      <c r="H19" s="4" t="n">
        <v>2803105000000</v>
      </c>
      <c r="I19" s="4" t="n">
        <v>1590093000000</v>
      </c>
    </row>
    <row r="20">
      <c r="A20" s="3" t="inlineStr">
        <is>
          <t>Thu nhập khác</t>
        </is>
      </c>
      <c r="B20" s="4" t="n">
        <v>2421246000000</v>
      </c>
      <c r="C20" s="4" t="n">
        <v>2528554000000</v>
      </c>
      <c r="D20" s="4" t="n">
        <v>2808825000000</v>
      </c>
      <c r="E20" s="4" t="n">
        <v>4210764000000</v>
      </c>
      <c r="F20" s="4" t="n">
        <v>3025807000000</v>
      </c>
      <c r="G20" s="4" t="n">
        <v>3457702000000</v>
      </c>
      <c r="H20" s="4" t="n">
        <v>4658444000000</v>
      </c>
      <c r="I20" s="4" t="n">
        <v>6479624000000</v>
      </c>
    </row>
    <row r="21">
      <c r="A21" s="3" t="inlineStr">
        <is>
          <t>Chi phí khác</t>
        </is>
      </c>
      <c r="B21" s="4" t="n">
        <v>-904167000000</v>
      </c>
      <c r="C21" s="4" t="n">
        <v>-429156000000</v>
      </c>
      <c r="D21" s="4" t="n">
        <v>-1129275000000</v>
      </c>
      <c r="E21" s="4" t="n">
        <v>-956450000000</v>
      </c>
      <c r="F21" s="4" t="n">
        <v>-884149000000</v>
      </c>
      <c r="G21" s="4" t="n">
        <v>-1029591000000</v>
      </c>
      <c r="H21" s="4" t="n">
        <v>-1377624000000</v>
      </c>
      <c r="I21" s="4" t="n">
        <v>-1165150000000</v>
      </c>
    </row>
    <row r="22">
      <c r="A22" s="3" t="inlineStr">
        <is>
          <t>Lãi/(lỗ) thuần từ hoạt động khác</t>
        </is>
      </c>
      <c r="B22" s="4" t="n">
        <v>1517079000000</v>
      </c>
      <c r="C22" s="4" t="n">
        <v>2099398000000</v>
      </c>
      <c r="D22" s="4" t="n">
        <v>1679550000000</v>
      </c>
      <c r="E22" s="4" t="n">
        <v>3254314000000</v>
      </c>
      <c r="F22" s="4" t="n">
        <v>2141658000000</v>
      </c>
      <c r="G22" s="4" t="n">
        <v>2428111000000</v>
      </c>
      <c r="H22" s="4" t="n">
        <v>3280820000000</v>
      </c>
      <c r="I22" s="4" t="n">
        <v>5314474000000</v>
      </c>
    </row>
    <row r="23">
      <c r="A23" s="3" t="inlineStr">
        <is>
          <t>Thu nhập từ cổ tức</t>
        </is>
      </c>
      <c r="B23" s="4" t="n">
        <v>129620000000</v>
      </c>
      <c r="C23" s="4" t="n">
        <v>78227000000</v>
      </c>
      <c r="D23" s="4" t="n">
        <v>92511000000</v>
      </c>
      <c r="E23" s="4" t="n">
        <v>114835000000</v>
      </c>
      <c r="F23" s="4" t="n">
        <v>131941000000</v>
      </c>
      <c r="G23" s="4" t="n">
        <v>57083000000</v>
      </c>
      <c r="H23" s="4" t="n">
        <v>52643000000</v>
      </c>
      <c r="I23" s="4" t="n">
        <v>174344000000</v>
      </c>
    </row>
    <row r="24">
      <c r="A24" s="3" t="inlineStr">
        <is>
          <t>Tổng thu nhập hoạt động</t>
        </is>
      </c>
      <c r="B24" s="4" t="n">
        <v>19536563000000</v>
      </c>
      <c r="C24" s="4" t="n">
        <v>24650448000000</v>
      </c>
      <c r="D24" s="4" t="n">
        <v>27362173000000</v>
      </c>
      <c r="E24" s="4" t="n">
        <v>36934498000000</v>
      </c>
      <c r="F24" s="4" t="n">
        <v>45592625000000</v>
      </c>
      <c r="G24" s="4" t="n">
        <v>47306062000000</v>
      </c>
      <c r="H24" s="4" t="n">
        <v>55413222000000</v>
      </c>
      <c r="I24" s="4" t="n">
        <v>67693015000000</v>
      </c>
    </row>
    <row r="25">
      <c r="A25" s="3" t="inlineStr">
        <is>
          <t>Chi phí quản lý doanh nghiệp</t>
        </is>
      </c>
      <c r="B25" s="4" t="n">
        <v>-8733802000000</v>
      </c>
      <c r="C25" s="4" t="n">
        <v>-9723706000000</v>
      </c>
      <c r="D25" s="4" t="n">
        <v>-10555457000000</v>
      </c>
      <c r="E25" s="4" t="n">
        <v>-12377188000000</v>
      </c>
      <c r="F25" s="4" t="n">
        <v>-14815628000000</v>
      </c>
      <c r="G25" s="4" t="n">
        <v>-14912941000000</v>
      </c>
      <c r="H25" s="4" t="n">
        <v>-17007250000000</v>
      </c>
      <c r="I25" s="4" t="n">
        <v>-19681153000000</v>
      </c>
    </row>
    <row r="26">
      <c r="A26" s="3" t="inlineStr">
        <is>
          <t>Lợi nhuận thuần hoạt động trước khi trích lập dự phòng tổn thất tín dụng</t>
        </is>
      </c>
      <c r="B26" s="4" t="n">
        <v>10802761000000</v>
      </c>
      <c r="C26" s="4" t="n">
        <v>14926742000000</v>
      </c>
      <c r="D26" s="4" t="n">
        <v>16806716000000</v>
      </c>
      <c r="E26" s="4" t="n">
        <v>24557310000000</v>
      </c>
      <c r="F26" s="4" t="n">
        <v>30776997000000</v>
      </c>
      <c r="G26" s="4" t="n">
        <v>32393121000000</v>
      </c>
      <c r="H26" s="4" t="n">
        <v>38405972000000</v>
      </c>
      <c r="I26" s="4" t="n">
        <v>48011862000000</v>
      </c>
    </row>
    <row r="27">
      <c r="A27" s="3" t="inlineStr">
        <is>
          <t>Trích lập dự phòng tổn thất tín dụng</t>
        </is>
      </c>
      <c r="B27" s="4" t="n">
        <v>-3035388000000</v>
      </c>
      <c r="C27" s="4" t="n">
        <v>-4890623000000</v>
      </c>
      <c r="D27" s="4" t="n">
        <v>-6118440000000</v>
      </c>
      <c r="E27" s="4" t="n">
        <v>-8030051000000</v>
      </c>
      <c r="F27" s="4" t="n">
        <v>-8047677000000</v>
      </c>
      <c r="G27" s="4" t="n">
        <v>-6087032000000</v>
      </c>
      <c r="H27" s="4" t="n">
        <v>-9576644000000</v>
      </c>
      <c r="I27" s="4" t="n">
        <v>-13743504000000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Lưu chuyển tiền thuần từ hoạt động kinh doanh trước những thay đổi về tài sản và vốn lưu động</t>
        </is>
      </c>
      <c r="B2" s="4" t="n">
        <v>9228303000000</v>
      </c>
      <c r="C2" s="4" t="n">
        <v>14987451000000</v>
      </c>
      <c r="D2" s="4" t="n">
        <v>15326289000000</v>
      </c>
      <c r="E2" s="4" t="n">
        <v>21229572000000</v>
      </c>
      <c r="F2" s="4" t="n">
        <v>29081781000000</v>
      </c>
      <c r="G2" s="4" t="n">
        <v>31334445000000</v>
      </c>
      <c r="H2" s="4" t="n">
        <v>29963896000000</v>
      </c>
      <c r="I2" s="4" t="n">
        <v>39713493000000</v>
      </c>
    </row>
    <row r="3">
      <c r="A3" s="3" t="inlineStr">
        <is>
          <t>Thuế thu nhập doanh nghiệp đã trả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</row>
    <row r="4">
      <c r="A4" s="3" t="inlineStr">
        <is>
          <t>Lưu chuyển tiền thuần từ các hoạt động sản xuất kinh doanh</t>
        </is>
      </c>
      <c r="B4" s="4" t="n">
        <v>2604652000000</v>
      </c>
      <c r="C4" s="4" t="n">
        <v>892883000000</v>
      </c>
      <c r="D4" s="4" t="n">
        <v>14739859000000</v>
      </c>
      <c r="E4" s="4" t="n">
        <v>4468298000000</v>
      </c>
      <c r="F4" s="4" t="n">
        <v>1876329000000</v>
      </c>
      <c r="G4" s="4" t="n">
        <v>41294612000000</v>
      </c>
      <c r="H4" s="4" t="n">
        <v>-18576384000000</v>
      </c>
      <c r="I4" s="4" t="n">
        <v>137357399000000</v>
      </c>
    </row>
    <row r="5">
      <c r="A5" s="3" t="inlineStr">
        <is>
          <t>Mua sắm TSCĐ</t>
        </is>
      </c>
      <c r="B5" s="4" t="n">
        <v>-483966000000</v>
      </c>
      <c r="C5" s="4" t="n">
        <v>-701576000000</v>
      </c>
      <c r="D5" s="4" t="n">
        <v>-823253000000</v>
      </c>
      <c r="E5" s="4" t="n">
        <v>-1259868000000</v>
      </c>
      <c r="F5" s="4" t="n">
        <v>-1748106000000</v>
      </c>
      <c r="G5" s="4" t="n">
        <v>-1655386000000</v>
      </c>
      <c r="H5" s="4" t="n">
        <v>-2301696000000</v>
      </c>
      <c r="I5" s="4" t="n">
        <v>-1780261000000</v>
      </c>
    </row>
    <row r="6">
      <c r="A6" s="3" t="inlineStr">
        <is>
          <t>Tiền thu được từ thanh lý, nhượng bán tài sản cố định</t>
        </is>
      </c>
      <c r="B6" s="4" t="n">
        <v>5759000000</v>
      </c>
      <c r="C6" s="4" t="n">
        <v>2905000000</v>
      </c>
      <c r="D6" s="4" t="n">
        <v>4739000000</v>
      </c>
      <c r="E6" s="4" t="n">
        <v>7861000000</v>
      </c>
      <c r="F6" s="4" t="n">
        <v>2048000000</v>
      </c>
      <c r="G6" s="4" t="n">
        <v>3714000000</v>
      </c>
      <c r="H6" s="4" t="n">
        <v>6927000000</v>
      </c>
      <c r="I6" s="4" t="n">
        <v>231289000000</v>
      </c>
    </row>
    <row r="7">
      <c r="A7" s="3" t="inlineStr">
        <is>
          <t>Tiền chi đầu tư, góp vốn vào các đơn vị khác</t>
        </is>
      </c>
      <c r="B7" s="4" t="n">
        <v>-1941000000</v>
      </c>
      <c r="C7" s="4" t="n">
        <v>-9000000</v>
      </c>
      <c r="D7" s="4" t="n">
        <v>-602000000</v>
      </c>
      <c r="E7" s="4" t="n">
        <v>0</v>
      </c>
      <c r="F7" s="4" t="n">
        <v>-100091000000</v>
      </c>
      <c r="G7" s="4" t="n">
        <v>-45500000000</v>
      </c>
      <c r="H7" s="4" t="n">
        <v>-37651000000</v>
      </c>
      <c r="I7" s="4" t="n">
        <v>-22024000000</v>
      </c>
    </row>
    <row r="8">
      <c r="A8" s="3" t="inlineStr">
        <is>
          <t>Tiền thu từ đầu tư, góp vốn vào các đơn vị khác</t>
        </is>
      </c>
      <c r="B8" s="4" t="n">
        <v>31925000000</v>
      </c>
      <c r="C8" s="4" t="n">
        <v>600000000</v>
      </c>
      <c r="D8" s="4" t="n">
        <v>7823000000</v>
      </c>
      <c r="E8" s="4" t="n">
        <v>13291000000</v>
      </c>
      <c r="F8" s="4" t="n">
        <v>271040000000</v>
      </c>
      <c r="G8" s="4" t="n">
        <v>34676000000</v>
      </c>
      <c r="H8" s="4" t="n">
        <v>41568000000</v>
      </c>
      <c r="I8" s="4" t="n">
        <v>2409280000000</v>
      </c>
    </row>
    <row r="9">
      <c r="A9" s="3" t="inlineStr">
        <is>
          <t>Tiền thu cổ tức và lợi nhuận được chia từ các khoản đầu tư góp vốn dài hạn</t>
        </is>
      </c>
      <c r="B9" s="4" t="n">
        <v>30178000000</v>
      </c>
      <c r="C9" s="4" t="n">
        <v>78227000000</v>
      </c>
      <c r="D9" s="4" t="n">
        <v>92511000000</v>
      </c>
      <c r="E9" s="4" t="n">
        <v>114835000000</v>
      </c>
      <c r="F9" s="4" t="n">
        <v>131941000000</v>
      </c>
      <c r="G9" s="4" t="n">
        <v>57083000000</v>
      </c>
      <c r="H9" s="4" t="n">
        <v>52643000000</v>
      </c>
      <c r="I9" s="4" t="n">
        <v>59336000000</v>
      </c>
    </row>
    <row r="10">
      <c r="A10" s="3" t="inlineStr">
        <is>
          <t>Lưu chuyển tiền thuần từ hoạt động đầu tư</t>
        </is>
      </c>
      <c r="B10" s="4" t="n">
        <v>-418045000000</v>
      </c>
      <c r="C10" s="4" t="n">
        <v>-619853000000</v>
      </c>
      <c r="D10" s="4" t="n">
        <v>-718782000000</v>
      </c>
      <c r="E10" s="4" t="n">
        <v>-1123881000000</v>
      </c>
      <c r="F10" s="4" t="n">
        <v>-1443168000000</v>
      </c>
      <c r="G10" s="4" t="n">
        <v>-1605413000000</v>
      </c>
      <c r="H10" s="4" t="n">
        <v>-2238209000000</v>
      </c>
      <c r="I10" s="4" t="n">
        <v>904900000000</v>
      </c>
    </row>
    <row r="11">
      <c r="A11" s="3" t="inlineStr">
        <is>
          <t>Tăng vốn cổ phần từ góp vốn và/hoặc phát hành cổ phiếu</t>
        </is>
      </c>
      <c r="B11" s="4" t="n">
        <v>0</v>
      </c>
      <c r="C11" s="4" t="n">
        <v>432090000000</v>
      </c>
      <c r="D11" s="4" t="n">
        <v>1719922000000</v>
      </c>
      <c r="E11" s="4" t="n">
        <v>0</v>
      </c>
      <c r="F11" s="4" t="n">
        <v>0</v>
      </c>
      <c r="G11" s="4" t="n">
        <v>0</v>
      </c>
      <c r="H11" s="4" t="n">
        <v>2160445000000</v>
      </c>
      <c r="I11" s="4" t="n">
        <v>0</v>
      </c>
    </row>
    <row r="12">
      <c r="A12" s="3" t="inlineStr">
        <is>
          <t>Cổ tức trả cho cổ đông, lợi nhuận đã chia</t>
        </is>
      </c>
      <c r="B12" s="4" t="n">
        <v>-1092592000000</v>
      </c>
      <c r="C12" s="4" t="n">
        <v>-1304219000000</v>
      </c>
      <c r="D12" s="4" t="n">
        <v>0</v>
      </c>
      <c r="E12" s="4" t="n">
        <v>0</v>
      </c>
      <c r="F12" s="4" t="n">
        <v>0</v>
      </c>
      <c r="G12" s="4" t="n">
        <v>-2266993000000</v>
      </c>
      <c r="H12" s="4" t="n">
        <v>-2806251000000</v>
      </c>
      <c r="I12" s="4" t="n">
        <v>-2072592000000</v>
      </c>
    </row>
    <row r="13">
      <c r="A13" s="3" t="inlineStr">
        <is>
          <t>Lưu chuyển tiền thuần trong kỳ</t>
        </is>
      </c>
      <c r="B13" s="4" t="n">
        <v>-1092592000000</v>
      </c>
      <c r="C13" s="4" t="n">
        <v>-1908841000000</v>
      </c>
      <c r="D13" s="4" t="n">
        <v>2292984000000</v>
      </c>
      <c r="E13" s="4" t="n">
        <v>0</v>
      </c>
      <c r="F13" s="4" t="n">
        <v>2120000000000</v>
      </c>
      <c r="G13" s="4" t="n">
        <v>1182007000000</v>
      </c>
      <c r="H13" s="4" t="n">
        <v>8759748000000</v>
      </c>
      <c r="I13" s="4" t="n">
        <v>3957417000000</v>
      </c>
    </row>
    <row r="14">
      <c r="A14" s="3" t="inlineStr">
        <is>
          <t>Tiền và các khoản tương đương tiền tài thời điểm đầu kỳ</t>
        </is>
      </c>
      <c r="B14" s="4" t="n">
        <v>46554069000000</v>
      </c>
      <c r="C14" s="4" t="n">
        <v>47648084000000</v>
      </c>
      <c r="D14" s="4" t="n">
        <v>46012273000000</v>
      </c>
      <c r="E14" s="4" t="n">
        <v>62326334000000</v>
      </c>
      <c r="F14" s="4" t="n">
        <v>65670751000000</v>
      </c>
      <c r="G14" s="4" t="n">
        <v>68223912000000</v>
      </c>
      <c r="H14" s="4" t="n">
        <v>109095118000000</v>
      </c>
      <c r="I14" s="4" t="n">
        <v>97040273000000</v>
      </c>
    </row>
    <row r="15">
      <c r="A15" s="3" t="inlineStr">
        <is>
          <t>Điều chỉnh ảnh hưởng của thay đổi tỷ giá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</row>
    <row r="16">
      <c r="A16" s="3" t="inlineStr">
        <is>
          <t>Tiền và các khoản tương đương tiền tại thời điểm cuối kỳ</t>
        </is>
      </c>
      <c r="B16" s="4" t="n">
        <v>47648084000000</v>
      </c>
      <c r="C16" s="4" t="n">
        <v>46012273000000</v>
      </c>
      <c r="D16" s="4" t="n">
        <v>62326334000000</v>
      </c>
      <c r="E16" s="4" t="n">
        <v>65670751000000</v>
      </c>
      <c r="F16" s="4" t="n">
        <v>68223912000000</v>
      </c>
      <c r="G16" s="4" t="n">
        <v>109095118000000</v>
      </c>
      <c r="H16" s="4" t="n">
        <v>97040273000000</v>
      </c>
      <c r="I16" s="4" t="n">
        <v>239259989000000</v>
      </c>
    </row>
    <row r="17">
      <c r="A17" s="3" t="inlineStr">
        <is>
          <t>Tiền thuế thu nhập thực nộp trong kỳ</t>
        </is>
      </c>
      <c r="B17" s="4" t="n">
        <v>-1450167000000</v>
      </c>
      <c r="C17" s="4" t="n">
        <v>-1812234000000</v>
      </c>
      <c r="D17" s="4" t="n">
        <v>-2037888000000</v>
      </c>
      <c r="E17" s="4" t="n">
        <v>-2962863000000</v>
      </c>
      <c r="F17" s="4" t="n">
        <v>-2372089000000</v>
      </c>
      <c r="G17" s="4" t="n">
        <v>-5078090000000</v>
      </c>
      <c r="H17" s="4" t="n">
        <v>-6021975000000</v>
      </c>
      <c r="I17" s="4" t="n">
        <v>-6517907000000</v>
      </c>
    </row>
    <row r="18">
      <c r="A18" s="3" t="inlineStr">
        <is>
          <t>Tiền gửi tại NHNN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</row>
    <row r="19">
      <c r="A19" s="3" t="inlineStr">
        <is>
          <t>Tăng/giảm các khoản tiền gửi và cho vay các tổ chức tín dụng khác</t>
        </is>
      </c>
      <c r="B19" s="4" t="n">
        <v>5770848000000</v>
      </c>
      <c r="C19" s="4" t="n">
        <v>-672364000000</v>
      </c>
      <c r="D19" s="4" t="n">
        <v>4598359000000</v>
      </c>
      <c r="E19" s="4" t="n">
        <v>-5951475000000</v>
      </c>
      <c r="F19" s="4" t="n">
        <v>3807045000000</v>
      </c>
      <c r="G19" s="4" t="n">
        <v>861466000000</v>
      </c>
      <c r="H19" s="4" t="n">
        <v>-5674464000000</v>
      </c>
      <c r="I19" s="4" t="n">
        <v>-4207414000000</v>
      </c>
    </row>
    <row r="20">
      <c r="A20" s="3" t="inlineStr">
        <is>
          <t>Tăng/giảm các khoản về kinh doanh chứng khoán</t>
        </is>
      </c>
      <c r="B20" s="4" t="n">
        <v>-20796665000000</v>
      </c>
      <c r="C20" s="4" t="n">
        <v>-12443909000000</v>
      </c>
      <c r="D20" s="4" t="n">
        <v>-16134144000000</v>
      </c>
      <c r="E20" s="4" t="n">
        <v>-33560038000000</v>
      </c>
      <c r="F20" s="4" t="n">
        <v>-27277350000000</v>
      </c>
      <c r="G20" s="4" t="n">
        <v>-28561040000000</v>
      </c>
      <c r="H20" s="4" t="n">
        <v>-25402231000000</v>
      </c>
      <c r="I20" s="4" t="n">
        <v>-12447917000000</v>
      </c>
    </row>
    <row r="21">
      <c r="A21" s="3" t="inlineStr">
        <is>
          <t>Tăng/giảm các công cụ tài chính phái sinh và các tài sản tài chính khác</t>
        </is>
      </c>
      <c r="B21" s="4" t="n">
        <v>121592000000</v>
      </c>
      <c r="C21" s="4" t="n">
        <v>-14836000000</v>
      </c>
      <c r="D21" s="4" t="n">
        <v>-22270000000</v>
      </c>
      <c r="E21" s="4" t="n">
        <v>-237188000000</v>
      </c>
      <c r="F21" s="4" t="n">
        <v>204791000000</v>
      </c>
      <c r="G21" s="4" t="n">
        <v>-71791000000</v>
      </c>
      <c r="H21" s="4" t="n">
        <v>141294000000</v>
      </c>
      <c r="I21" s="4" t="n">
        <v>0</v>
      </c>
    </row>
    <row r="22">
      <c r="A22" s="3" t="inlineStr">
        <is>
          <t>Tăng/giảm các khoản cho vay khách hàng</t>
        </is>
      </c>
      <c r="B22" s="4" t="n">
        <v>-30497815000000</v>
      </c>
      <c r="C22" s="4" t="n">
        <v>-35644665000000</v>
      </c>
      <c r="D22" s="4" t="n">
        <v>-47966360000000</v>
      </c>
      <c r="E22" s="4" t="n">
        <v>-65261380000000</v>
      </c>
      <c r="F22" s="4" t="n">
        <v>-98036017000000</v>
      </c>
      <c r="G22" s="4" t="n">
        <v>-151303313000000</v>
      </c>
      <c r="H22" s="4" t="n">
        <v>-164801515000000</v>
      </c>
      <c r="I22" s="4" t="n">
        <v>-308785476000000</v>
      </c>
    </row>
    <row r="23">
      <c r="A23" s="3" t="inlineStr">
        <is>
          <t>(Tăng)/Giảm lãi, phí phải thu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</row>
    <row r="24">
      <c r="A24" s="3" t="inlineStr">
        <is>
          <t>Tăng/giảm nguồn dự phòng để bù đắp tổn thất các khoản</t>
        </is>
      </c>
      <c r="B24" s="4" t="n">
        <v>-2599755000000</v>
      </c>
      <c r="C24" s="4" t="n">
        <v>-4932063000000</v>
      </c>
      <c r="D24" s="4" t="n">
        <v>-5413888000000</v>
      </c>
      <c r="E24" s="4" t="n">
        <v>-3582679000000</v>
      </c>
      <c r="F24" s="4" t="n">
        <v>-4506424000000</v>
      </c>
      <c r="G24" s="4" t="n">
        <v>-6633346000000</v>
      </c>
      <c r="H24" s="4" t="n">
        <v>-9431151000000</v>
      </c>
      <c r="I24" s="4" t="n">
        <v>-12320520000000</v>
      </c>
    </row>
    <row r="25">
      <c r="A25" s="3" t="inlineStr">
        <is>
          <t>Tăng/giảm khác về tài sản hoạt động</t>
        </is>
      </c>
      <c r="B25" s="4" t="n">
        <v>-1619797000000</v>
      </c>
      <c r="C25" s="4" t="n">
        <v>-1334331000000</v>
      </c>
      <c r="D25" s="4" t="n">
        <v>-8159583000000</v>
      </c>
      <c r="E25" s="4" t="n">
        <v>-7273743000000</v>
      </c>
      <c r="F25" s="4" t="n">
        <v>1408610000000</v>
      </c>
      <c r="G25" s="4" t="n">
        <v>6157578000000</v>
      </c>
      <c r="H25" s="4" t="n">
        <v>613065000000</v>
      </c>
      <c r="I25" s="4" t="n">
        <v>-15394909000000</v>
      </c>
    </row>
    <row r="26">
      <c r="A26" s="3" t="inlineStr">
        <is>
          <t>Tăng/(Giảm) các khoản nợ chính phủ và NHNN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-230493000000</v>
      </c>
      <c r="G26" s="4" t="n">
        <v>-23051000000</v>
      </c>
      <c r="H26" s="4" t="n">
        <v>8147547000000</v>
      </c>
      <c r="I26" s="4" t="n">
        <v>39318515000000</v>
      </c>
    </row>
    <row r="27">
      <c r="A27" s="3" t="inlineStr">
        <is>
          <t>Tăng/(Giảm) các khoản tiền gửi và vay các TCTD khác</t>
        </is>
      </c>
      <c r="B27" s="4" t="n">
        <v>14369725000000</v>
      </c>
      <c r="C27" s="4" t="n">
        <v>-10156829000000</v>
      </c>
      <c r="D27" s="4" t="n">
        <v>562420000000</v>
      </c>
      <c r="E27" s="4" t="n">
        <v>8683912000000</v>
      </c>
      <c r="F27" s="4" t="n">
        <v>5556395000000</v>
      </c>
      <c r="G27" s="4" t="n">
        <v>34693687000000</v>
      </c>
      <c r="H27" s="4" t="n">
        <v>10359119000000</v>
      </c>
      <c r="I27" s="4" t="n">
        <v>137847904000000</v>
      </c>
    </row>
    <row r="28">
      <c r="A28" s="3" t="inlineStr">
        <is>
          <t>Tăng/(Giảm) tiền gửi của khách hàng</t>
        </is>
      </c>
      <c r="B28" s="4" t="n">
        <v>20573308000000</v>
      </c>
      <c r="C28" s="4" t="n">
        <v>30129137000000</v>
      </c>
      <c r="D28" s="4" t="n">
        <v>38249389000000</v>
      </c>
      <c r="E28" s="4" t="n">
        <v>73978699000000</v>
      </c>
      <c r="F28" s="4" t="n">
        <v>58913483000000</v>
      </c>
      <c r="G28" s="4" t="n">
        <v>123926939000000</v>
      </c>
      <c r="H28" s="4" t="n">
        <v>146621902000000</v>
      </c>
      <c r="I28" s="4" t="n">
        <v>207213653000000</v>
      </c>
    </row>
    <row r="29">
      <c r="A29" s="3" t="inlineStr">
        <is>
          <t>Tăng/(Giảm) các công cụ tài chính phái sinh và các khoản nợ tài chính khác</t>
        </is>
      </c>
      <c r="B29" s="4" t="n">
        <v>5634000000</v>
      </c>
      <c r="C29" s="4" t="n">
        <v>-5634000000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191545000000</v>
      </c>
      <c r="I29" s="4" t="n">
        <v>506962000000</v>
      </c>
    </row>
    <row r="30">
      <c r="A30" s="3" t="inlineStr">
        <is>
          <t>Tăng/(Giảm) vốn tài trợ, uỷ thác đầu tư của chính phủ và các TCTD khác</t>
        </is>
      </c>
      <c r="B30" s="4" t="n">
        <v>22964000000</v>
      </c>
      <c r="C30" s="4" t="n">
        <v>-17837000000</v>
      </c>
      <c r="D30" s="4" t="n">
        <v>-94786000000</v>
      </c>
      <c r="E30" s="4" t="n">
        <v>1791362000000</v>
      </c>
      <c r="F30" s="4" t="n">
        <v>4019000000</v>
      </c>
      <c r="G30" s="4" t="n">
        <v>797141000000</v>
      </c>
      <c r="H30" s="4" t="n">
        <v>-6410000000</v>
      </c>
      <c r="I30" s="4" t="n">
        <v>1119380000000</v>
      </c>
    </row>
    <row r="31">
      <c r="A31" s="3" t="inlineStr">
        <is>
          <t>Tăng/(Giảm) phát hành giấy tờ có giá</t>
        </is>
      </c>
      <c r="B31" s="4" t="n">
        <v>5135416000000</v>
      </c>
      <c r="C31" s="4" t="n">
        <v>15130991000000</v>
      </c>
      <c r="D31" s="4" t="n">
        <v>24634934000000</v>
      </c>
      <c r="E31" s="4" t="n">
        <v>15963361000000</v>
      </c>
      <c r="F31" s="4" t="n">
        <v>27571201000000</v>
      </c>
      <c r="G31" s="4" t="n">
        <v>26435985000000</v>
      </c>
      <c r="H31" s="4" t="n">
        <v>-6904631000000</v>
      </c>
      <c r="I31" s="4" t="n">
        <v>52242062000000</v>
      </c>
    </row>
    <row r="32">
      <c r="A32" s="3" t="inlineStr">
        <is>
          <t>Tăng/(Giảm) lãi, phí phải trả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</row>
    <row r="33">
      <c r="A33" s="3" t="inlineStr">
        <is>
          <t>Tăng/(Giảm) khác về công nợ hoạt động</t>
        </is>
      </c>
      <c r="B33" s="4" t="n">
        <v>3200653000000</v>
      </c>
      <c r="C33" s="4" t="n">
        <v>6074593000000</v>
      </c>
      <c r="D33" s="4" t="n">
        <v>9388187000000</v>
      </c>
      <c r="E33" s="4" t="n">
        <v>-892760000000</v>
      </c>
      <c r="F33" s="4" t="n">
        <v>5614874000000</v>
      </c>
      <c r="G33" s="4" t="n">
        <v>3929292000000</v>
      </c>
      <c r="H33" s="4" t="n">
        <v>-2046061000000</v>
      </c>
      <c r="I33" s="4" t="n">
        <v>13171979000000</v>
      </c>
    </row>
    <row r="34">
      <c r="A34" s="3" t="inlineStr">
        <is>
          <t>Lưu chuyển tiền thuần từ hoạt động kinh doanh trước thuế thu nhập DN</t>
        </is>
      </c>
      <c r="B34" s="4" t="n">
        <v>2914411000000</v>
      </c>
      <c r="C34" s="4" t="n">
        <v>1099704000000</v>
      </c>
      <c r="D34" s="4" t="n">
        <v>14968547000000</v>
      </c>
      <c r="E34" s="4" t="n">
        <v>4887643000000</v>
      </c>
      <c r="F34" s="4" t="n">
        <v>2111915000000</v>
      </c>
      <c r="G34" s="4" t="n">
        <v>41543992000000</v>
      </c>
      <c r="H34" s="4" t="n">
        <v>-18228095000000</v>
      </c>
      <c r="I34" s="4" t="n">
        <v>137977712000000</v>
      </c>
    </row>
    <row r="35">
      <c r="A35" s="3" t="inlineStr">
        <is>
          <t>Chi từ các quỹ của TCTD</t>
        </is>
      </c>
      <c r="B35" s="4" t="n">
        <v>-309759000000</v>
      </c>
      <c r="C35" s="4" t="n">
        <v>-206821000000</v>
      </c>
      <c r="D35" s="4" t="n">
        <v>-228688000000</v>
      </c>
      <c r="E35" s="4" t="n">
        <v>-419345000000</v>
      </c>
      <c r="F35" s="4" t="n">
        <v>-235586000000</v>
      </c>
      <c r="G35" s="4" t="n">
        <v>-249380000000</v>
      </c>
      <c r="H35" s="4" t="n">
        <v>-348289000000</v>
      </c>
      <c r="I35" s="4" t="n">
        <v>-620313000000</v>
      </c>
    </row>
    <row r="36">
      <c r="A36" s="3" t="inlineStr">
        <is>
          <t>Thu được từ nợ khó đòi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</row>
    <row r="37">
      <c r="A37" s="3" t="inlineStr">
        <is>
          <t>Tiền chi từ thanh lý, nhượng bán TSCĐ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</row>
    <row r="38">
      <c r="A38" s="3" t="inlineStr">
        <is>
          <t>Mua sắm Bất động sản đầu tư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-4971000000</v>
      </c>
    </row>
    <row r="39">
      <c r="A39" s="3" t="inlineStr">
        <is>
          <t>Tiền thu từ bán, thanh lý bất động sản đầu tư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12251000000</v>
      </c>
    </row>
    <row r="40">
      <c r="A40" s="3" t="inlineStr">
        <is>
          <t>Tiền chi ra do bán, thanh lý bất động sản đầu tư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</row>
    <row r="41">
      <c r="A41" s="3" t="inlineStr">
        <is>
          <t>Tiền thu từ phát hành giấy tờ có giá dài hạn đủ điều kiện tính vào vốn tự có và các khoản vốn vay dài hạn khác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2120000000000</v>
      </c>
      <c r="G41" s="4" t="n">
        <v>3449000000000</v>
      </c>
      <c r="H41" s="4" t="n">
        <v>9405554000000</v>
      </c>
      <c r="I41" s="4" t="n">
        <v>12173563000000</v>
      </c>
    </row>
    <row r="42">
      <c r="A42" s="3" t="inlineStr">
        <is>
          <t>Tiền chi thanh toán giấy tờ có giá dài hạn đủ điều kiện tính vào vốn tự có và các khoản vốn vay dài hạn khác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-6143554000000</v>
      </c>
    </row>
    <row r="43">
      <c r="A43" s="3" t="inlineStr">
        <is>
          <t>Tiền chi ra mua cổ phiếu quỹ</t>
        </is>
      </c>
      <c r="B43" s="4" t="n">
        <v>0</v>
      </c>
      <c r="C43" s="4" t="n">
        <v>-1036712000000</v>
      </c>
      <c r="D43" s="4" t="n">
        <v>573062000000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</row>
    <row r="44">
      <c r="A44" s="3" t="inlineStr">
        <is>
          <t>Tiền thu được do bán cổ phiếu quỹ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</row>
    <row r="45">
      <c r="A45" s="3" t="inlineStr">
        <is>
          <t>Thu nhập lãi và các khoản thu nhập tương tự nhận được</t>
        </is>
      </c>
      <c r="B45" s="4" t="n">
        <v>24317593000000</v>
      </c>
      <c r="C45" s="4" t="n">
        <v>30956510000000</v>
      </c>
      <c r="D45" s="4" t="n">
        <v>32836478000000</v>
      </c>
      <c r="E45" s="4" t="n">
        <v>37648210000000</v>
      </c>
      <c r="F45" s="4" t="n">
        <v>50802236000000</v>
      </c>
      <c r="G45" s="4" t="n">
        <v>66891390000000</v>
      </c>
      <c r="H45" s="4" t="n">
        <v>68529262000000</v>
      </c>
      <c r="I45" s="4" t="n">
        <v>85076748000000</v>
      </c>
    </row>
    <row r="46">
      <c r="A46" s="3" t="inlineStr">
        <is>
          <t>Chi phí lãi và các chi phí tương tự đã trả</t>
        </is>
      </c>
      <c r="B46" s="4" t="n">
        <v>-10267483000000</v>
      </c>
      <c r="C46" s="4" t="n">
        <v>-11511295000000</v>
      </c>
      <c r="D46" s="4" t="n">
        <v>-12272703000000</v>
      </c>
      <c r="E46" s="4" t="n">
        <v>-12053063000000</v>
      </c>
      <c r="F46" s="4" t="n">
        <v>-14426925000000</v>
      </c>
      <c r="G46" s="4" t="n">
        <v>-24699677000000</v>
      </c>
      <c r="H46" s="4" t="n">
        <v>-30835949000000</v>
      </c>
      <c r="I46" s="4" t="n">
        <v>-34607938000000</v>
      </c>
    </row>
    <row r="47">
      <c r="A47" s="3" t="inlineStr">
        <is>
          <t>Thu nhập từ hoạt động dịch vụ nhận được</t>
        </is>
      </c>
      <c r="B47" s="4" t="n">
        <v>2561310000000</v>
      </c>
      <c r="C47" s="4" t="n">
        <v>3185837000000</v>
      </c>
      <c r="D47" s="4" t="n">
        <v>3575553000000</v>
      </c>
      <c r="E47" s="4" t="n">
        <v>4367378000000</v>
      </c>
      <c r="F47" s="4" t="n">
        <v>4135568000000</v>
      </c>
      <c r="G47" s="4" t="n">
        <v>4085225000000</v>
      </c>
      <c r="H47" s="4" t="n">
        <v>4368249000000</v>
      </c>
      <c r="I47" s="4" t="n">
        <v>6566430000000</v>
      </c>
    </row>
    <row r="48">
      <c r="A48" s="3" t="inlineStr">
        <is>
          <t>Thu nhập thuần từ hoạt động kinh doanh ngoại hối và vàng</t>
        </is>
      </c>
      <c r="B48" s="4" t="n">
        <v>0</v>
      </c>
      <c r="C48" s="4" t="n">
        <v>1276978000000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</row>
    <row r="49">
      <c r="A49" s="3" t="inlineStr">
        <is>
          <t>Thu nhập từ hoạt động kinh doanh chứng khoán</t>
        </is>
      </c>
      <c r="B49" s="4" t="n">
        <v>754841000000</v>
      </c>
      <c r="C49" s="4" t="n">
        <v>0</v>
      </c>
      <c r="D49" s="4" t="n">
        <v>1607374000000</v>
      </c>
      <c r="E49" s="4" t="n">
        <v>3097962000000</v>
      </c>
      <c r="F49" s="4" t="n">
        <v>3231427000000</v>
      </c>
      <c r="G49" s="4" t="n">
        <v>2363720000000</v>
      </c>
      <c r="H49" s="4" t="n">
        <v>6277842000000</v>
      </c>
      <c r="I49" s="4" t="n">
        <v>3645303000000</v>
      </c>
    </row>
    <row r="50">
      <c r="A50" s="3" t="inlineStr">
        <is>
          <t>Thu nhập khác</t>
        </is>
      </c>
      <c r="B50" s="4" t="n">
        <v>495285000000</v>
      </c>
      <c r="C50" s="4" t="n">
        <v>162295000000</v>
      </c>
      <c r="D50" s="4" t="n">
        <v>75057000000</v>
      </c>
      <c r="E50" s="4" t="n">
        <v>557087000000</v>
      </c>
      <c r="F50" s="4" t="n">
        <v>491344000000</v>
      </c>
      <c r="G50" s="4" t="n">
        <v>713381000000</v>
      </c>
      <c r="H50" s="4" t="n">
        <v>822333000000</v>
      </c>
      <c r="I50" s="4" t="n">
        <v>941493000000</v>
      </c>
    </row>
    <row r="51">
      <c r="A51" s="3" t="inlineStr">
        <is>
          <t>Tiền chi trả cho nhân viên và hoạt động quản lý, cộng cụ</t>
        </is>
      </c>
      <c r="B51" s="4" t="n">
        <v>-8204870000000</v>
      </c>
      <c r="C51" s="4" t="n">
        <v>-9207742000000</v>
      </c>
      <c r="D51" s="4" t="n">
        <v>-10057337000000</v>
      </c>
      <c r="E51" s="4" t="n">
        <v>-12114505000000</v>
      </c>
      <c r="F51" s="4" t="n">
        <v>-14428046000000</v>
      </c>
      <c r="G51" s="4" t="n">
        <v>-14652520000000</v>
      </c>
      <c r="H51" s="4" t="n">
        <v>-15627426000000</v>
      </c>
      <c r="I51" s="4" t="n">
        <v>-19532328000000</v>
      </c>
    </row>
    <row r="52">
      <c r="A52" s="3" t="inlineStr">
        <is>
          <t>Tiền thu các khoản nợ đã được xử lý, xóa, bù đắp bằng nguồn rủi ro</t>
        </is>
      </c>
      <c r="B52" s="4" t="n">
        <v>1021794000000</v>
      </c>
      <c r="C52" s="4" t="n">
        <v>1937102000000</v>
      </c>
      <c r="D52" s="4" t="n">
        <v>1599755000000</v>
      </c>
      <c r="E52" s="4" t="n">
        <v>2689366000000</v>
      </c>
      <c r="F52" s="4" t="n">
        <v>1648266000000</v>
      </c>
      <c r="G52" s="4" t="n">
        <v>1711016000000</v>
      </c>
      <c r="H52" s="4" t="n">
        <v>2451560000000</v>
      </c>
      <c r="I52" s="4" t="n">
        <v>4141692000000</v>
      </c>
    </row>
    <row r="53">
      <c r="A53" s="3" t="inlineStr">
        <is>
          <t>Chênh lệch số tiền thực thu/thực chi từ hoạt động kinh doanh</t>
        </is>
      </c>
      <c r="B53" s="4" t="n">
        <v>754841000000</v>
      </c>
      <c r="C53" s="4" t="n">
        <v>1276978000000</v>
      </c>
      <c r="D53" s="4" t="n">
        <v>1607374000000</v>
      </c>
      <c r="E53" s="4" t="n">
        <v>3097962000000</v>
      </c>
      <c r="F53" s="4" t="n">
        <v>3231427000000</v>
      </c>
      <c r="G53" s="4" t="n">
        <v>2363720000000</v>
      </c>
      <c r="H53" s="4" t="n">
        <v>6277842000000</v>
      </c>
      <c r="I53" s="4" t="n">
        <v>3645303000000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2"/>
  <sheetViews>
    <sheetView showGridLines="0" workbookViewId="0">
      <selection activeCell="A1" sqref="A1"/>
    </sheetView>
  </sheetViews>
  <sheetFormatPr baseColWidth="8" defaultRowHeight="15"/>
  <cols>
    <col width="47.875" customWidth="1" min="1" max="1"/>
    <col width="17.125" customWidth="1" min="2" max="2"/>
    <col width="18.125" customWidth="1" min="8" max="8"/>
    <col width="9" customWidth="1" min="11" max="11"/>
  </cols>
  <sheetData>
    <row r="1">
      <c r="A1" s="5" t="inlineStr">
        <is>
          <t>Chỉ tiêu</t>
        </is>
      </c>
      <c r="B1" s="6">
        <f>balance_sheet!B1</f>
        <v/>
      </c>
      <c r="C1" s="6">
        <f>balance_sheet!C1</f>
        <v/>
      </c>
      <c r="D1" s="6">
        <f>balance_sheet!D1</f>
        <v/>
      </c>
      <c r="E1" s="6">
        <f>balance_sheet!E1</f>
        <v/>
      </c>
      <c r="F1" s="6">
        <f>balance_sheet!F1</f>
        <v/>
      </c>
      <c r="G1" s="6">
        <f>balance_sheet!G1</f>
        <v/>
      </c>
      <c r="H1" s="6">
        <f>balance_sheet!H1</f>
        <v/>
      </c>
      <c r="I1" s="6">
        <f>balance_sheet!I1</f>
        <v/>
      </c>
    </row>
    <row r="2">
      <c r="A2" s="7" t="inlineStr">
        <is>
          <t>ROE</t>
        </is>
      </c>
      <c r="B2" s="8" t="n"/>
      <c r="C2" s="9">
        <f>IFERROR(C$61/AVERAGE(B$49,C$49),"n/a")</f>
        <v/>
      </c>
      <c r="D2" s="9">
        <f>IFERROR(D$61/AVERAGE(C$49,D$49),"n/a")</f>
        <v/>
      </c>
      <c r="E2" s="9">
        <f>IFERROR(E$61/AVERAGE(D$49,E$49),"n/a")</f>
        <v/>
      </c>
      <c r="F2" s="9">
        <f>IFERROR(F$61/AVERAGE(E$49,F$49),"n/a")</f>
        <v/>
      </c>
      <c r="G2" s="9">
        <f>IFERROR(G$61/AVERAGE(F$49,G$49),"n/a")</f>
        <v/>
      </c>
      <c r="H2" s="9">
        <f>IFERROR(H$61/AVERAGE(G$49,H$49),"n/a")</f>
        <v/>
      </c>
      <c r="I2" s="9">
        <f>IFERROR(I$61/AVERAGE(H$49,I$49),"n/a")</f>
        <v/>
      </c>
    </row>
    <row r="3">
      <c r="A3" s="7" t="inlineStr">
        <is>
          <t>Tăng trưởng LNST</t>
        </is>
      </c>
      <c r="B3" s="8" t="n"/>
      <c r="C3" s="10">
        <f>IFERROR((C$61-B$61)/ABS(B$61),"n/a")</f>
        <v/>
      </c>
      <c r="D3" s="10">
        <f>IFERROR((D$61-C$61)/ABS(C$61),"n/a")</f>
        <v/>
      </c>
      <c r="E3" s="10">
        <f>IFERROR((E$61-D$61)/ABS(D$61),"n/a")</f>
        <v/>
      </c>
      <c r="F3" s="10">
        <f>IFERROR((F$61-E$61)/ABS(E$61),"n/a")</f>
        <v/>
      </c>
      <c r="G3" s="10">
        <f>IFERROR((G$61-F$61)/ABS(F$61),"n/a")</f>
        <v/>
      </c>
      <c r="H3" s="10">
        <f>IFERROR((H$61-G$61)/ABS(G$61),"n/a")</f>
        <v/>
      </c>
      <c r="I3" s="10">
        <f>IFERROR((I$61-H$61)/ABS(H$61),"n/a")</f>
        <v/>
      </c>
    </row>
    <row r="4">
      <c r="A4" s="7" t="inlineStr">
        <is>
          <t>Tăng trưởng thu nhập hoạt động</t>
        </is>
      </c>
      <c r="B4" s="8" t="n"/>
      <c r="C4" s="11">
        <f>IFERROR((C$55-B$55)/ABS(B$55),"n/a")</f>
        <v/>
      </c>
      <c r="D4" s="11">
        <f>IFERROR((D$55-C$55)/ABS(C$55),"n/a")</f>
        <v/>
      </c>
      <c r="E4" s="11">
        <f>IFERROR((E$55-D$55)/ABS(D$55),"n/a")</f>
        <v/>
      </c>
      <c r="F4" s="11">
        <f>IFERROR((F$55-E$55)/ABS(E$55),"n/a")</f>
        <v/>
      </c>
      <c r="G4" s="11">
        <f>IFERROR((G$55-F$55)/ABS(F$55),"n/a")</f>
        <v/>
      </c>
      <c r="H4" s="11">
        <f>IFERROR((H$55-G$55)/ABS(G$55),"n/a")</f>
        <v/>
      </c>
      <c r="I4" s="11">
        <f>IFERROR((I$55-H$55)/ABS(H$55),"n/a")</f>
        <v/>
      </c>
    </row>
    <row r="5">
      <c r="A5" s="7" t="inlineStr">
        <is>
          <t>% Dư nợ cho vay kinh doanh BĐS</t>
        </is>
      </c>
      <c r="B5" s="8">
        <f>IFERROR(B$36/#REF!,"n/a")</f>
        <v/>
      </c>
      <c r="C5" s="8">
        <f>IFERROR(C$36/#REF!,"n/a")</f>
        <v/>
      </c>
      <c r="D5" s="8">
        <f>IFERROR(D$36/#REF!,"n/a")</f>
        <v/>
      </c>
      <c r="E5" s="8">
        <f>IFERROR(E$36/#REF!,"n/a")</f>
        <v/>
      </c>
      <c r="F5" s="8">
        <f>IFERROR(F$36/#REF!,"n/a")</f>
        <v/>
      </c>
      <c r="G5" s="8">
        <f>IFERROR(G$36/#REF!,"n/a")</f>
        <v/>
      </c>
      <c r="H5" s="8">
        <f>IFERROR(H$36/#REF!,"n/a")</f>
        <v/>
      </c>
      <c r="I5" s="8">
        <f>IFERROR(I$36/#REF!,"n/a")</f>
        <v/>
      </c>
    </row>
    <row r="6">
      <c r="A6" s="12" t="inlineStr">
        <is>
          <t>NIM</t>
        </is>
      </c>
      <c r="B6" s="8">
        <f>IFERROR(B$55/AVERAGE(B$42,A42),"n/a")</f>
        <v/>
      </c>
      <c r="C6" s="8">
        <f>IFERROR(C$55/AVERAGE(C$42,B42),"n/a")</f>
        <v/>
      </c>
      <c r="D6" s="8">
        <f>IFERROR(D$55/AVERAGE(D$42,C42),"n/a")</f>
        <v/>
      </c>
      <c r="E6" s="8">
        <f>IFERROR(E$55/AVERAGE(E$42,D42),"n/a")</f>
        <v/>
      </c>
      <c r="F6" s="8">
        <f>IFERROR(F$55/AVERAGE(F$42,E42),"n/a")</f>
        <v/>
      </c>
      <c r="G6" s="8">
        <f>IFERROR(G$55/AVERAGE(G$42,F42),"n/a")</f>
        <v/>
      </c>
      <c r="H6" s="8">
        <f>IFERROR(H$55/AVERAGE(H$42,G42),"n/a")</f>
        <v/>
      </c>
      <c r="I6" s="8">
        <f>IFERROR(I$55/AVERAGE(I$42,H42),"n/a")</f>
        <v/>
      </c>
    </row>
    <row r="7">
      <c r="A7" s="7" t="inlineStr">
        <is>
          <t>CASA</t>
        </is>
      </c>
      <c r="B7" s="8" t="n"/>
      <c r="C7" s="8" t="n"/>
      <c r="D7" s="8" t="n"/>
      <c r="E7" s="8">
        <f>IFERROR((D$45+E$45+D$48+E$48)/(D$44+E$44),"n/a")</f>
        <v/>
      </c>
      <c r="F7" s="8">
        <f>IFERROR((E$45+F$45+E$48+F$48)/(E$44+F$44),"n/a")</f>
        <v/>
      </c>
      <c r="G7" s="8">
        <f>IFERROR((F$45+G$45+F$48+G$48)/(F$44+G$44),"n/a")</f>
        <v/>
      </c>
      <c r="H7" s="8">
        <f>IFERROR((G$45+H$45+G$48+H$48)/(G$44+H$44),"n/a")</f>
        <v/>
      </c>
      <c r="I7" s="8">
        <f>IFERROR((H$45+I$45+H$48+I$48)/(H$44+I$44),"n/a")</f>
        <v/>
      </c>
    </row>
    <row r="8">
      <c r="A8" s="7" t="inlineStr">
        <is>
          <t>NPL</t>
        </is>
      </c>
      <c r="B8" s="8" t="n"/>
      <c r="C8" s="8" t="n"/>
      <c r="D8" s="8" t="n"/>
      <c r="E8" s="8">
        <f>IFERROR((E$35/#REF!),"n/a")</f>
        <v/>
      </c>
      <c r="F8" s="8">
        <f>IFERROR((F$35/#REF!),"n/a")</f>
        <v/>
      </c>
      <c r="G8" s="8">
        <f>IFERROR((G$35/#REF!),"n/a")</f>
        <v/>
      </c>
      <c r="H8" s="8">
        <f>IFERROR((H$35/#REF!),"n/a")</f>
        <v/>
      </c>
      <c r="I8" s="8">
        <f>IFERROR((I$35/#REF!),"n/a")</f>
        <v/>
      </c>
    </row>
    <row r="9">
      <c r="A9" s="12" t="inlineStr">
        <is>
          <t>COF</t>
        </is>
      </c>
      <c r="B9" s="13" t="n"/>
      <c r="C9" s="13">
        <f>IFERROR(ABS(C$54)/AVERAGE(C$42,B42),"n/a")</f>
        <v/>
      </c>
      <c r="D9" s="13">
        <f>IFERROR(ABS(D$54)/AVERAGE(D$42,C42),"n/a")</f>
        <v/>
      </c>
      <c r="E9" s="13">
        <f>IFERROR(ABS(E$54)/AVERAGE(E$42,D42),"n/a")</f>
        <v/>
      </c>
      <c r="F9" s="13">
        <f>IFERROR(ABS(F$54)/AVERAGE(F$42,E42),"n/a")</f>
        <v/>
      </c>
      <c r="G9" s="13">
        <f>IFERROR(ABS(G$54)/AVERAGE(G$42,F42),"n/a")</f>
        <v/>
      </c>
      <c r="H9" s="13">
        <f>IFERROR(ABS(H$54)/AVERAGE(H$42,G42),"n/a")</f>
        <v/>
      </c>
      <c r="I9" s="13">
        <f>IFERROR(ABS(I$54)/AVERAGE(I$42,H42),"n/a")</f>
        <v/>
      </c>
    </row>
    <row r="10">
      <c r="A10" s="7" t="inlineStr">
        <is>
          <t>LLR</t>
        </is>
      </c>
      <c r="B10" s="8">
        <f>IFERROR(ABS(B$37)/B$35,"n/a")</f>
        <v/>
      </c>
      <c r="C10" s="8">
        <f>IFERROR(ABS(C$37)/C$35,"n/a")</f>
        <v/>
      </c>
      <c r="D10" s="8">
        <f>IFERROR(ABS(D$37)/D$35,"n/a")</f>
        <v/>
      </c>
      <c r="E10" s="8">
        <f>IFERROR(ABS(E$37)/E$35,"n/a")</f>
        <v/>
      </c>
      <c r="F10" s="8">
        <f>IFERROR(ABS(F$37)/F$35,"n/a")</f>
        <v/>
      </c>
      <c r="G10" s="8">
        <f>IFERROR(ABS(G$37)/G$35,"n/a")</f>
        <v/>
      </c>
      <c r="H10" s="8">
        <f>IFERROR(ABS(H$37)/H$35,"n/a")</f>
        <v/>
      </c>
      <c r="I10" s="8">
        <f>IFERROR(ABS(I$37)/I$35,"n/a")</f>
        <v/>
      </c>
    </row>
    <row r="11">
      <c r="A11" s="7" t="inlineStr">
        <is>
          <t>CAR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7" t="inlineStr">
        <is>
          <t>LDR</t>
        </is>
      </c>
      <c r="B12" s="8">
        <f>IFERROR(B$29/B$44,"n/a")</f>
        <v/>
      </c>
      <c r="C12" s="8">
        <f>IFERROR(C$29/C$44,"n/a")</f>
        <v/>
      </c>
      <c r="D12" s="8">
        <f>IFERROR(D$29/D$44,"n/a")</f>
        <v/>
      </c>
      <c r="E12" s="8">
        <f>IFERROR(E$29/E$44,"n/a")</f>
        <v/>
      </c>
      <c r="F12" s="8">
        <f>IFERROR(F$29/F$44,"n/a")</f>
        <v/>
      </c>
      <c r="G12" s="8">
        <f>IFERROR(G$29/G$44,"n/a")</f>
        <v/>
      </c>
      <c r="H12" s="8">
        <f>IFERROR(H$29/H$44,"n/a")</f>
        <v/>
      </c>
      <c r="I12" s="8">
        <f>IFERROR(I$29/I$44,"n/a")</f>
        <v/>
      </c>
    </row>
    <row r="13">
      <c r="A13" s="7" t="inlineStr">
        <is>
          <t>Tăng trưởng vốn huy động</t>
        </is>
      </c>
      <c r="B13" s="8" t="n"/>
      <c r="C13" s="8">
        <f>IFERROR((C$44-B$44)/ABS(B$44),"n/a")</f>
        <v/>
      </c>
      <c r="D13" s="8">
        <f>IFERROR((D$44-C$44)/ABS(C$44),"n/a")</f>
        <v/>
      </c>
      <c r="E13" s="8">
        <f>IFERROR((E$44-D$44)/ABS(D$44),"n/a")</f>
        <v/>
      </c>
      <c r="F13" s="8">
        <f>IFERROR((F$44-E$44)/ABS(E$44),"n/a")</f>
        <v/>
      </c>
      <c r="G13" s="8">
        <f>IFERROR((G$44-F$44)/ABS(F$44),"n/a")</f>
        <v/>
      </c>
      <c r="H13" s="8">
        <f>IFERROR((H$44-G$44)/ABS(G$44),"n/a")</f>
        <v/>
      </c>
      <c r="I13" s="8">
        <f>IFERROR((I$44-H$44)/ABS(H$44),"n/a")</f>
        <v/>
      </c>
    </row>
    <row r="14">
      <c r="A14" s="7" t="inlineStr">
        <is>
          <t>Tăng trưởng tín dụng</t>
        </is>
      </c>
      <c r="B14" s="8" t="n"/>
      <c r="C14" s="8">
        <f>IFERROR((C$29-B$29)/ABS(B$29),"n/a")</f>
        <v/>
      </c>
      <c r="D14" s="8">
        <f>IFERROR((D$29-C$29)/ABS(C$29),"n/a")</f>
        <v/>
      </c>
      <c r="E14" s="8">
        <f>IFERROR((E$29-D$29)/ABS(D$29),"n/a")</f>
        <v/>
      </c>
      <c r="F14" s="8">
        <f>IFERROR((F$29-E$29)/ABS(E$29),"n/a")</f>
        <v/>
      </c>
      <c r="G14" s="8">
        <f>IFERROR((G$29-F$29)/ABS(F$29),"n/a")</f>
        <v/>
      </c>
      <c r="H14" s="8">
        <f>IFERROR((H$29-G$29)/ABS(G$29),"n/a")</f>
        <v/>
      </c>
      <c r="I14" s="8">
        <f>IFERROR((I$29-H$29)/ABS(H$29),"n/a")</f>
        <v/>
      </c>
    </row>
    <row r="15">
      <c r="A15" s="7" t="inlineStr">
        <is>
          <t>CIR</t>
        </is>
      </c>
      <c r="B15" s="8">
        <f>IFERROR(ABS(B$58)/B$57,"n/a")</f>
        <v/>
      </c>
      <c r="C15" s="8">
        <f>IFERROR(ABS(C$58)/C$57,"n/a")</f>
        <v/>
      </c>
      <c r="D15" s="8">
        <f>IFERROR(ABS(D$58)/D$57,"n/a")</f>
        <v/>
      </c>
      <c r="E15" s="8">
        <f>IFERROR(ABS(E$58)/E$57,"n/a")</f>
        <v/>
      </c>
      <c r="F15" s="8">
        <f>IFERROR(ABS(F$58)/F$57,"n/a")</f>
        <v/>
      </c>
      <c r="G15" s="8">
        <f>IFERROR(ABS(G$58)/G$57,"n/a")</f>
        <v/>
      </c>
      <c r="H15" s="8">
        <f>IFERROR(ABS(H$58)/H$57,"n/a")</f>
        <v/>
      </c>
      <c r="I15" s="8">
        <f>IFERROR(ABS(I$58)/I$57,"n/a")</f>
        <v/>
      </c>
    </row>
    <row r="16">
      <c r="A16" s="12" t="inlineStr">
        <is>
          <t>VCSH/Tổng tài sản</t>
        </is>
      </c>
      <c r="B16" s="13">
        <f>IFERROR(B$49/B$24,"n/a")</f>
        <v/>
      </c>
      <c r="C16" s="13">
        <f>IFERROR(C$49/C$24,"n/a")</f>
        <v/>
      </c>
      <c r="D16" s="13">
        <f>IFERROR(D$49/D$24,"n/a")</f>
        <v/>
      </c>
      <c r="E16" s="13">
        <f>IFERROR(E$49/E$24,"n/a")</f>
        <v/>
      </c>
      <c r="F16" s="13">
        <f>IFERROR(F$49/F$24,"n/a")</f>
        <v/>
      </c>
      <c r="G16" s="13">
        <f>IFERROR(G$49/G$24,"n/a")</f>
        <v/>
      </c>
      <c r="H16" s="13">
        <f>IFERROR(H$49/H$24,"n/a")</f>
        <v/>
      </c>
      <c r="I16" s="13">
        <f>IFERROR(I$49/I$24,"n/a")</f>
        <v/>
      </c>
    </row>
    <row r="17">
      <c r="A17" s="12" t="inlineStr">
        <is>
          <t>Tỷ lệ lãi và phí phải thu/Thu nhập lãi</t>
        </is>
      </c>
      <c r="B17" s="13">
        <f>IFERROR(B59/B$53,"n/a")</f>
        <v/>
      </c>
      <c r="C17" s="13">
        <f>IFERROR(C59/C$53,"n/a")</f>
        <v/>
      </c>
      <c r="D17" s="13">
        <f>IFERROR(D59/D$53,"n/a")</f>
        <v/>
      </c>
      <c r="E17" s="13">
        <f>IFERROR(E59/E$53,"n/a")</f>
        <v/>
      </c>
      <c r="F17" s="13">
        <f>IFERROR(F59/F$53,"n/a")</f>
        <v/>
      </c>
      <c r="G17" s="13">
        <f>IFERROR(G59/G$53,"n/a")</f>
        <v/>
      </c>
      <c r="H17" s="13">
        <f>IFERROR(H59/H$53,"n/a")</f>
        <v/>
      </c>
      <c r="I17" s="13">
        <f>IFERROR(I59/I$53,"n/a")</f>
        <v/>
      </c>
    </row>
    <row r="18">
      <c r="A18" s="7" t="inlineStr">
        <is>
          <t>Thu nhập ngoài lãi/Thu nhập hoạt động</t>
        </is>
      </c>
      <c r="B18" s="8">
        <f>IFERROR(B$56/B$57,"n/a")</f>
        <v/>
      </c>
      <c r="C18" s="8">
        <f>IFERROR(C$56/C$57,"n/a")</f>
        <v/>
      </c>
      <c r="D18" s="8">
        <f>IFERROR(D$56/D$57,"n/a")</f>
        <v/>
      </c>
      <c r="E18" s="8">
        <f>IFERROR(E$56/E$57,"n/a")</f>
        <v/>
      </c>
      <c r="F18" s="8">
        <f>IFERROR(F$56/F$57,"n/a")</f>
        <v/>
      </c>
      <c r="G18" s="8">
        <f>IFERROR(G$56/G$57,"n/a")</f>
        <v/>
      </c>
      <c r="H18" s="8">
        <f>IFERROR(H$56/H$57,"n/a")</f>
        <v/>
      </c>
      <c r="I18" s="8">
        <f>IFERROR(I$56/I$57,"n/a")</f>
        <v/>
      </c>
    </row>
    <row r="19"/>
    <row r="20">
      <c r="A20" s="14" t="inlineStr">
        <is>
          <t>II. DỮ LIỆU TRÍCH XUẤT (tự động dò theo tên khoản mục)</t>
        </is>
      </c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6" t="inlineStr">
        <is>
          <t>Khoản mục</t>
        </is>
      </c>
      <c r="B21" s="17">
        <f>balance_sheet!B1</f>
        <v/>
      </c>
      <c r="C21" s="17">
        <f>balance_sheet!C1</f>
        <v/>
      </c>
      <c r="D21" s="17">
        <f>balance_sheet!D1</f>
        <v/>
      </c>
      <c r="E21" s="17">
        <f>balance_sheet!E1</f>
        <v/>
      </c>
      <c r="F21" s="17">
        <f>balance_sheet!F1</f>
        <v/>
      </c>
      <c r="G21" s="17">
        <f>balance_sheet!G1</f>
        <v/>
      </c>
      <c r="H21" s="17">
        <f>balance_sheet!H1</f>
        <v/>
      </c>
      <c r="I21" s="17">
        <f>balance_sheet!I1</f>
        <v/>
      </c>
    </row>
    <row r="22">
      <c r="A22" s="16" t="inlineStr">
        <is>
          <t>CĐKT</t>
        </is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9" t="n"/>
    </row>
    <row r="23">
      <c r="A23" s="16" t="inlineStr">
        <is>
          <t>Tài sản</t>
        </is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19" t="n"/>
    </row>
    <row r="24">
      <c r="A24" s="20" t="inlineStr">
        <is>
          <t>TỔNG TÀI SẢN</t>
        </is>
      </c>
      <c r="B24" s="21">
        <f>IFERROR(INDEX(balance_sheet!$B:$I,MATCH("TỔNG TÀI SẢN",balance_sheet!$A:$A,0),MATCH(B$21,balance_sheet!$B$1:$I$1,0)),"")</f>
        <v/>
      </c>
      <c r="C24" s="21">
        <f>IFERROR(INDEX(balance_sheet!$B:$I,MATCH("TỔNG TÀI SẢN",balance_sheet!$A:$A,0),MATCH(C$21,balance_sheet!$B$1:$I$1,0)),"")</f>
        <v/>
      </c>
      <c r="D24" s="21">
        <f>IFERROR(INDEX(balance_sheet!$B:$I,MATCH("TỔNG TÀI SẢN",balance_sheet!$A:$A,0),MATCH(D$21,balance_sheet!$B$1:$I$1,0)),"")</f>
        <v/>
      </c>
      <c r="E24" s="21">
        <f>IFERROR(INDEX(balance_sheet!$B:$I,MATCH("TỔNG TÀI SẢN",balance_sheet!$A:$A,0),MATCH(E$21,balance_sheet!$B$1:$I$1,0)),"")</f>
        <v/>
      </c>
      <c r="F24" s="21">
        <f>IFERROR(INDEX(balance_sheet!$B:$I,MATCH("TỔNG TÀI SẢN",balance_sheet!$A:$A,0),MATCH(F$21,balance_sheet!$B$1:$I$1,0)),"")</f>
        <v/>
      </c>
      <c r="G24" s="21">
        <f>IFERROR(INDEX(balance_sheet!$B:$I,MATCH("TỔNG TÀI SẢN",balance_sheet!$A:$A,0),MATCH(G$21,balance_sheet!$B$1:$I$1,0)),"")</f>
        <v/>
      </c>
      <c r="H24" s="21">
        <f>IFERROR(INDEX(balance_sheet!$B:$I,MATCH("TỔNG TÀI SẢN",balance_sheet!$A:$A,0),MATCH(H$21,balance_sheet!$B$1:$I$1,0)),"")</f>
        <v/>
      </c>
      <c r="I24" s="21">
        <f>IFERROR(INDEX(balance_sheet!$B:$I,MATCH("TỔNG TÀI SẢN",balance_sheet!$A:$A,0),MATCH(I$21,balance_sheet!$B$1:$I$1,0)),"")</f>
        <v/>
      </c>
      <c r="J24" s="19" t="n"/>
    </row>
    <row r="25">
      <c r="A25" s="20" t="inlineStr">
        <is>
          <t>Tiền gửi tại Ngân hàng nhà nước Việt Nam</t>
        </is>
      </c>
      <c r="B25" s="21">
        <f>IFERROR(INDEX(balance_sheet!$B:$I,MATCH("Tiền gửi tại Ngân hàng nhà nước Việt Nam",balance_sheet!$A:$A,0),MATCH(B$21,balance_sheet!$B$1:$I$1,0)),"")</f>
        <v/>
      </c>
      <c r="C25" s="21">
        <f>IFERROR(INDEX(balance_sheet!$B:$I,MATCH("Tiền gửi tại Ngân hàng nhà nước Việt Nam",balance_sheet!$A:$A,0),MATCH(C$21,balance_sheet!$B$1:$I$1,0)),"")</f>
        <v/>
      </c>
      <c r="D25" s="21">
        <f>IFERROR(INDEX(balance_sheet!$B:$I,MATCH("Tiền gửi tại Ngân hàng nhà nước Việt Nam",balance_sheet!$A:$A,0),MATCH(D$21,balance_sheet!$B$1:$I$1,0)),"")</f>
        <v/>
      </c>
      <c r="E25" s="21">
        <f>IFERROR(INDEX(balance_sheet!$B:$I,MATCH("Tiền gửi tại Ngân hàng nhà nước Việt Nam",balance_sheet!$A:$A,0),MATCH(E$21,balance_sheet!$B$1:$I$1,0)),"")</f>
        <v/>
      </c>
      <c r="F25" s="21">
        <f>IFERROR(INDEX(balance_sheet!$B:$I,MATCH("Tiền gửi tại Ngân hàng nhà nước Việt Nam",balance_sheet!$A:$A,0),MATCH(F$21,balance_sheet!$B$1:$I$1,0)),"")</f>
        <v/>
      </c>
      <c r="G25" s="21">
        <f>IFERROR(INDEX(balance_sheet!$B:$I,MATCH("Tiền gửi tại Ngân hàng nhà nước Việt Nam",balance_sheet!$A:$A,0),MATCH(G$21,balance_sheet!$B$1:$I$1,0)),"")</f>
        <v/>
      </c>
      <c r="H25" s="21">
        <f>IFERROR(INDEX(balance_sheet!$B:$I,MATCH("Tiền gửi tại Ngân hàng nhà nước Việt Nam",balance_sheet!$A:$A,0),MATCH(H$21,balance_sheet!$B$1:$I$1,0)),"")</f>
        <v/>
      </c>
      <c r="I25" s="21">
        <f>IFERROR(INDEX(balance_sheet!$B:$I,MATCH("Tiền gửi tại Ngân hàng nhà nước Việt Nam",balance_sheet!$A:$A,0),MATCH(I$21,balance_sheet!$B$1:$I$1,0)),"")</f>
        <v/>
      </c>
      <c r="J25" s="19" t="n"/>
    </row>
    <row r="26">
      <c r="A26" s="20" t="inlineStr">
        <is>
          <t>Tiền gửi tại các TCTD khác và cho vay các TCTD khác</t>
        </is>
      </c>
      <c r="B26" s="21">
        <f>IFERROR(INDEX(balance_sheet!$B:$I,MATCH("Tiền gửi tại các TCTD khác và cho vay các TCTD khác",balance_sheet!$A:$A,0),MATCH(B$21,balance_sheet!$B$1:$I$1,0)),"")</f>
        <v/>
      </c>
      <c r="C26" s="21">
        <f>IFERROR(INDEX(balance_sheet!$B:$I,MATCH("Tiền gửi tại các TCTD khác và cho vay các TCTD khác",balance_sheet!$A:$A,0),MATCH(C$21,balance_sheet!$B$1:$I$1,0)),"")</f>
        <v/>
      </c>
      <c r="D26" s="21">
        <f>IFERROR(INDEX(balance_sheet!$B:$I,MATCH("Tiền gửi tại các TCTD khác và cho vay các TCTD khác",balance_sheet!$A:$A,0),MATCH(D$21,balance_sheet!$B$1:$I$1,0)),"")</f>
        <v/>
      </c>
      <c r="E26" s="21">
        <f>IFERROR(INDEX(balance_sheet!$B:$I,MATCH("Tiền gửi tại các TCTD khác và cho vay các TCTD khác",balance_sheet!$A:$A,0),MATCH(E$21,balance_sheet!$B$1:$I$1,0)),"")</f>
        <v/>
      </c>
      <c r="F26" s="21">
        <f>IFERROR(INDEX(balance_sheet!$B:$I,MATCH("Tiền gửi tại các TCTD khác và cho vay các TCTD khác",balance_sheet!$A:$A,0),MATCH(F$21,balance_sheet!$B$1:$I$1,0)),"")</f>
        <v/>
      </c>
      <c r="G26" s="21">
        <f>IFERROR(INDEX(balance_sheet!$B:$I,MATCH("Tiền gửi tại các TCTD khác và cho vay các TCTD khác",balance_sheet!$A:$A,0),MATCH(G$21,balance_sheet!$B$1:$I$1,0)),"")</f>
        <v/>
      </c>
      <c r="H26" s="21">
        <f>IFERROR(INDEX(balance_sheet!$B:$I,MATCH("Tiền gửi tại các TCTD khác và cho vay các TCTD khác",balance_sheet!$A:$A,0),MATCH(H$21,balance_sheet!$B$1:$I$1,0)),"")</f>
        <v/>
      </c>
      <c r="I26" s="21">
        <f>IFERROR(INDEX(balance_sheet!$B:$I,MATCH("Tiền gửi tại các TCTD khác và cho vay các TCTD khác",balance_sheet!$A:$A,0),MATCH(I$21,balance_sheet!$B$1:$I$1,0)),"")</f>
        <v/>
      </c>
      <c r="J26" s="19" t="n"/>
    </row>
    <row r="27">
      <c r="A27" s="20" t="inlineStr">
        <is>
          <t>Dự phòng rủi ro cho cay các TCTC khác</t>
        </is>
      </c>
      <c r="B27" s="21">
        <f>IFERROR(INDEX(balance_sheet!$B:$I,MATCH("Dự phòng rủi ro",balance_sheet!$A:$A,0),MATCH(B$21,balance_sheet!$B$1:$I$1,0)),"")</f>
        <v/>
      </c>
      <c r="C27" s="21">
        <f>IFERROR(INDEX(balance_sheet!$B:$I,MATCH("Dự phòng rủi ro",balance_sheet!$A:$A,0),MATCH(C$21,balance_sheet!$B$1:$I$1,0)),"")</f>
        <v/>
      </c>
      <c r="D27" s="21">
        <f>IFERROR(INDEX(balance_sheet!$B:$I,MATCH("Dự phòng rủi ro",balance_sheet!$A:$A,0),MATCH(D$21,balance_sheet!$B$1:$I$1,0)),"")</f>
        <v/>
      </c>
      <c r="E27" s="21">
        <f>IFERROR(INDEX(balance_sheet!$B:$I,MATCH("Dự phòng rủi ro",balance_sheet!$A:$A,0),MATCH(E$21,balance_sheet!$B$1:$I$1,0)),"")</f>
        <v/>
      </c>
      <c r="F27" s="21">
        <f>IFERROR(INDEX(balance_sheet!$B:$I,MATCH("Dự phòng rủi ro",balance_sheet!$A:$A,0),MATCH(F$21,balance_sheet!$B$1:$I$1,0)),"")</f>
        <v/>
      </c>
      <c r="G27" s="21">
        <f>IFERROR(INDEX(balance_sheet!$B:$I,MATCH("Dự phòng rủi ro",balance_sheet!$A:$A,0),MATCH(G$21,balance_sheet!$B$1:$I$1,0)),"")</f>
        <v/>
      </c>
      <c r="H27" s="21">
        <f>IFERROR(INDEX(balance_sheet!$B:$I,MATCH("Dự phòng rủi ro",balance_sheet!$A:$A,0),MATCH(H$21,balance_sheet!$B$1:$I$1,0)),"")</f>
        <v/>
      </c>
      <c r="I27" s="21">
        <f>IFERROR(INDEX(balance_sheet!$B:$I,MATCH("Dự phòng rủi ro",balance_sheet!$A:$A,0),MATCH(I$21,balance_sheet!$B$1:$I$1,0)),"")</f>
        <v/>
      </c>
      <c r="J27" s="19" t="n"/>
    </row>
    <row r="28">
      <c r="A28" s="20" t="inlineStr">
        <is>
          <t>Chứng khoán kinh doanh</t>
        </is>
      </c>
      <c r="B28" s="21">
        <f>IFERROR(INDEX(balance_sheet!$B:$I,MATCH("Chứng khoán kinh doanh",balance_sheet!$A:$A,0),MATCH(B$21,balance_sheet!$B$1:$I$1,0)),"")</f>
        <v/>
      </c>
      <c r="C28" s="21">
        <f>IFERROR(INDEX(balance_sheet!$B:$I,MATCH("Chứng khoán kinh doanh",balance_sheet!$A:$A,0),MATCH(C$21,balance_sheet!$B$1:$I$1,0)),"")</f>
        <v/>
      </c>
      <c r="D28" s="21">
        <f>IFERROR(INDEX(balance_sheet!$B:$I,MATCH("Chứng khoán kinh doanh",balance_sheet!$A:$A,0),MATCH(D$21,balance_sheet!$B$1:$I$1,0)),"")</f>
        <v/>
      </c>
      <c r="E28" s="21">
        <f>IFERROR(INDEX(balance_sheet!$B:$I,MATCH("Chứng khoán kinh doanh",balance_sheet!$A:$A,0),MATCH(E$21,balance_sheet!$B$1:$I$1,0)),"")</f>
        <v/>
      </c>
      <c r="F28" s="21">
        <f>IFERROR(INDEX(balance_sheet!$B:$I,MATCH("Chứng khoán kinh doanh",balance_sheet!$A:$A,0),MATCH(F$21,balance_sheet!$B$1:$I$1,0)),"")</f>
        <v/>
      </c>
      <c r="G28" s="21">
        <f>IFERROR(INDEX(balance_sheet!$B:$I,MATCH("Chứng khoán kinh doanh",balance_sheet!$A:$A,0),MATCH(G$21,balance_sheet!$B$1:$I$1,0)),"")</f>
        <v/>
      </c>
      <c r="H28" s="21">
        <f>IFERROR(INDEX(balance_sheet!$B:$I,MATCH("Chứng khoán kinh doanh",balance_sheet!$A:$A,0),MATCH(H$21,balance_sheet!$B$1:$I$1,0)),"")</f>
        <v/>
      </c>
      <c r="I28" s="21">
        <f>IFERROR(INDEX(balance_sheet!$B:$I,MATCH("Chứng khoán kinh doanh",balance_sheet!$A:$A,0),MATCH(I$21,balance_sheet!$B$1:$I$1,0)),"")</f>
        <v/>
      </c>
      <c r="J28" s="19" t="n"/>
    </row>
    <row r="29">
      <c r="A29" s="20" t="inlineStr">
        <is>
          <t>Cho vay khách hàng</t>
        </is>
      </c>
      <c r="B29" s="21">
        <f>IFERROR(INDEX(balance_sheet!$B:$I,MATCH("Cho vay khách hàng",balance_sheet!$A:$A,0),MATCH(B$21,balance_sheet!$B$1:$I$1,0)),"")</f>
        <v/>
      </c>
      <c r="C29" s="21">
        <f>IFERROR(INDEX(balance_sheet!$B:$I,MATCH("Cho vay khách hàng",balance_sheet!$A:$A,0),MATCH(C$21,balance_sheet!$B$1:$I$1,0)),"")</f>
        <v/>
      </c>
      <c r="D29" s="21">
        <f>IFERROR(INDEX(balance_sheet!$B:$I,MATCH("Cho vay khách hàng",balance_sheet!$A:$A,0),MATCH(D$21,balance_sheet!$B$1:$I$1,0)),"")</f>
        <v/>
      </c>
      <c r="E29" s="21">
        <f>IFERROR(INDEX(balance_sheet!$B:$I,MATCH("Cho vay khách hàng",balance_sheet!$A:$A,0),MATCH(E$21,balance_sheet!$B$1:$I$1,0)),"")</f>
        <v/>
      </c>
      <c r="F29" s="21">
        <f>IFERROR(INDEX(balance_sheet!$B:$I,MATCH("Cho vay khách hàng",balance_sheet!$A:$A,0),MATCH(F$21,balance_sheet!$B$1:$I$1,0)),"")</f>
        <v/>
      </c>
      <c r="G29" s="21">
        <f>IFERROR(INDEX(balance_sheet!$B:$I,MATCH("Cho vay khách hàng",balance_sheet!$A:$A,0),MATCH(G$21,balance_sheet!$B$1:$I$1,0)),"")</f>
        <v/>
      </c>
      <c r="H29" s="21">
        <f>IFERROR(INDEX(balance_sheet!$B:$I,MATCH("Cho vay khách hàng",balance_sheet!$A:$A,0),MATCH(H$21,balance_sheet!$B$1:$I$1,0)),"")</f>
        <v/>
      </c>
      <c r="I29" s="21">
        <f>IFERROR(INDEX(balance_sheet!$B:$I,MATCH("Cho vay khách hàng",balance_sheet!$A:$A,0),MATCH(I$21,balance_sheet!$B$1:$I$1,0)),"")</f>
        <v/>
      </c>
      <c r="J29" s="19" t="n"/>
    </row>
    <row r="30">
      <c r="A30" s="20" t="inlineStr">
        <is>
          <t>+ Nợ đủ tiêu chuẩn</t>
        </is>
      </c>
      <c r="B30" s="22" t="n"/>
      <c r="C30" s="22" t="n"/>
      <c r="D30" s="22" t="n"/>
      <c r="E30" s="22" t="n">
        <v>349223000000000</v>
      </c>
      <c r="F30" s="22" t="n">
        <v>443975000000000</v>
      </c>
      <c r="G30" s="22" t="n">
        <v>587326000000000</v>
      </c>
      <c r="H30" s="22" t="n">
        <v>751876000000000</v>
      </c>
      <c r="I30" s="22" t="n">
        <v>1059782000000000</v>
      </c>
      <c r="J30" s="23" t="n"/>
    </row>
    <row r="31">
      <c r="A31" s="20" t="inlineStr">
        <is>
          <t>+ Nợ cần chú ý</t>
        </is>
      </c>
      <c r="B31" s="22" t="n"/>
      <c r="C31" s="22" t="n"/>
      <c r="D31" s="22" t="n"/>
      <c r="E31" s="22" t="n">
        <v>3913000000000</v>
      </c>
      <c r="F31" s="22" t="n">
        <v>7809000000000</v>
      </c>
      <c r="G31" s="22" t="n">
        <v>13918000000000</v>
      </c>
      <c r="H31" s="22" t="n">
        <v>12197000000000</v>
      </c>
      <c r="I31" s="22" t="n">
        <v>10210000000000</v>
      </c>
      <c r="J31" s="19" t="n"/>
    </row>
    <row r="32">
      <c r="A32" s="20" t="inlineStr">
        <is>
          <t>+ Nợ dưới tiêu chuẩn</t>
        </is>
      </c>
      <c r="B32" s="22" t="n"/>
      <c r="C32" s="22" t="n"/>
      <c r="D32" s="22" t="n"/>
      <c r="E32" s="22" t="n">
        <v>1433000000000</v>
      </c>
      <c r="F32" s="22" t="n">
        <v>1517000000000</v>
      </c>
      <c r="G32" s="22" t="n">
        <v>3211000000000</v>
      </c>
      <c r="H32" s="22" t="n">
        <v>3380000000000</v>
      </c>
      <c r="I32" s="22" t="n">
        <v>3276000000000</v>
      </c>
      <c r="J32" s="19" t="n"/>
    </row>
    <row r="33">
      <c r="A33" s="20" t="inlineStr">
        <is>
          <t>+ Nợ nghi ngờ</t>
        </is>
      </c>
      <c r="B33" s="22" t="n"/>
      <c r="C33" s="22" t="n"/>
      <c r="D33" s="22" t="n"/>
      <c r="E33" s="22" t="n">
        <v>1015000000000</v>
      </c>
      <c r="F33" s="22" t="n">
        <v>1221000000000</v>
      </c>
      <c r="G33" s="22" t="n">
        <v>3704000000000</v>
      </c>
      <c r="H33" s="22" t="n">
        <v>4599000000000</v>
      </c>
      <c r="I33" s="22" t="n">
        <v>4330000000000</v>
      </c>
      <c r="J33" s="19" t="n"/>
    </row>
    <row r="34">
      <c r="A34" s="20" t="inlineStr">
        <is>
          <t>+ Nợ có khả năng mất vốn</t>
        </is>
      </c>
      <c r="B34" s="22" t="n"/>
      <c r="C34" s="22" t="n"/>
      <c r="D34" s="22" t="n"/>
      <c r="E34" s="22" t="n">
        <v>819000000000</v>
      </c>
      <c r="F34" s="22" t="n">
        <v>2293000000000</v>
      </c>
      <c r="G34" s="22" t="n">
        <v>2890000000000</v>
      </c>
      <c r="H34" s="22" t="n">
        <v>4607000000000</v>
      </c>
      <c r="I34" s="22" t="n">
        <v>6421000000000</v>
      </c>
      <c r="J34" s="23" t="n"/>
    </row>
    <row r="35">
      <c r="A35" s="24" t="inlineStr">
        <is>
          <t>Nợ xấu</t>
        </is>
      </c>
      <c r="B35" s="25">
        <f>SUM(B32:B34)</f>
        <v/>
      </c>
      <c r="C35" s="25">
        <f>SUM(C32:C34)</f>
        <v/>
      </c>
      <c r="D35" s="25">
        <f>SUM(D32:D34)</f>
        <v/>
      </c>
      <c r="E35" s="25">
        <f>SUM(E32:E34)</f>
        <v/>
      </c>
      <c r="F35" s="25">
        <f>SUM(F32:F34)</f>
        <v/>
      </c>
      <c r="G35" s="25">
        <f>SUM(G32:G34)</f>
        <v/>
      </c>
      <c r="H35" s="25">
        <f>SUM(H32:H34)</f>
        <v/>
      </c>
      <c r="I35" s="25">
        <f>SUM(I32:I34)</f>
        <v/>
      </c>
      <c r="J35" s="26" t="n"/>
    </row>
    <row r="36">
      <c r="A36" s="20" t="inlineStr">
        <is>
          <t>Cho vay KDBĐS</t>
        </is>
      </c>
      <c r="B36" s="22" t="n"/>
      <c r="C36" s="22" t="n"/>
      <c r="D36" s="22" t="n"/>
      <c r="E36" s="22" t="n">
        <v>12632000000000</v>
      </c>
      <c r="F36" s="22" t="n">
        <v>21358000000000</v>
      </c>
      <c r="G36" s="22" t="n">
        <v>43268000000000</v>
      </c>
      <c r="H36" s="22" t="n">
        <v>64141000000000</v>
      </c>
      <c r="I36" s="22" t="n">
        <v>121189000000000</v>
      </c>
      <c r="J36" s="19" t="n"/>
    </row>
    <row r="37">
      <c r="A37" s="20" t="inlineStr">
        <is>
          <t>Dự phòng rủi ro cho vay khách hàng</t>
        </is>
      </c>
      <c r="B37" s="21">
        <f>IFERROR(INDEX(balance_sheet!$B:$I,MATCH("Dự phòng rủi ro cho vay khách hàng",balance_sheet!$A:$A,0),MATCH(B$21,balance_sheet!$B$1:$I$1,0)),"")</f>
        <v/>
      </c>
      <c r="C37" s="21">
        <f>IFERROR(INDEX(balance_sheet!$B:$I,MATCH("Dự phòng rủi ro cho vay khách hàng",balance_sheet!$A:$A,0),MATCH(C$21,balance_sheet!$B$1:$I$1,0)),"")</f>
        <v/>
      </c>
      <c r="D37" s="21">
        <f>IFERROR(INDEX(balance_sheet!$B:$I,MATCH("Dự phòng rủi ro cho vay khách hàng",balance_sheet!$A:$A,0),MATCH(D$21,balance_sheet!$B$1:$I$1,0)),"")</f>
        <v/>
      </c>
      <c r="E37" s="21">
        <f>IFERROR(INDEX(balance_sheet!$B:$I,MATCH("Dự phòng rủi ro cho vay khách hàng",balance_sheet!$A:$A,0),MATCH(E$21,balance_sheet!$B$1:$I$1,0)),"")</f>
        <v/>
      </c>
      <c r="F37" s="21">
        <f>IFERROR(INDEX(balance_sheet!$B:$I,MATCH("Dự phòng rủi ro cho vay khách hàng",balance_sheet!$A:$A,0),MATCH(F$21,balance_sheet!$B$1:$I$1,0)),"")</f>
        <v/>
      </c>
      <c r="G37" s="21">
        <f>IFERROR(INDEX(balance_sheet!$B:$I,MATCH("Dự phòng rủi ro cho vay khách hàng",balance_sheet!$A:$A,0),MATCH(G$21,balance_sheet!$B$1:$I$1,0)),"")</f>
        <v/>
      </c>
      <c r="H37" s="21">
        <f>IFERROR(INDEX(balance_sheet!$B:$I,MATCH("Dự phòng rủi ro cho vay khách hàng",balance_sheet!$A:$A,0),MATCH(H$21,balance_sheet!$B$1:$I$1,0)),"")</f>
        <v/>
      </c>
      <c r="I37" s="21">
        <f>IFERROR(INDEX(balance_sheet!$B:$I,MATCH("Dự phòng rủi ro cho vay khách hàng",balance_sheet!$A:$A,0),MATCH(I$21,balance_sheet!$B$1:$I$1,0)),"")</f>
        <v/>
      </c>
      <c r="J37" s="19" t="n"/>
    </row>
    <row r="38">
      <c r="A38" s="20" t="inlineStr">
        <is>
          <t>Chứng khoán đầu tư</t>
        </is>
      </c>
      <c r="B38" s="21">
        <f>IFERROR(INDEX(balance_sheet!$B:$I,MATCH("Chứng khoán đầu tư",balance_sheet!$A:$A,0),MATCH(B$21,balance_sheet!$B$1:$I$1,0)),"")</f>
        <v/>
      </c>
      <c r="C38" s="21">
        <f>IFERROR(INDEX(balance_sheet!$B:$I,MATCH("Chứng khoán đầu tư",balance_sheet!$A:$A,0),MATCH(C$21,balance_sheet!$B$1:$I$1,0)),"")</f>
        <v/>
      </c>
      <c r="D38" s="21">
        <f>IFERROR(INDEX(balance_sheet!$B:$I,MATCH("Chứng khoán đầu tư",balance_sheet!$A:$A,0),MATCH(D$21,balance_sheet!$B$1:$I$1,0)),"")</f>
        <v/>
      </c>
      <c r="E38" s="21">
        <f>IFERROR(INDEX(balance_sheet!$B:$I,MATCH("Chứng khoán đầu tư",balance_sheet!$A:$A,0),MATCH(E$21,balance_sheet!$B$1:$I$1,0)),"")</f>
        <v/>
      </c>
      <c r="F38" s="21">
        <f>IFERROR(INDEX(balance_sheet!$B:$I,MATCH("Chứng khoán đầu tư",balance_sheet!$A:$A,0),MATCH(F$21,balance_sheet!$B$1:$I$1,0)),"")</f>
        <v/>
      </c>
      <c r="G38" s="21">
        <f>IFERROR(INDEX(balance_sheet!$B:$I,MATCH("Chứng khoán đầu tư",balance_sheet!$A:$A,0),MATCH(G$21,balance_sheet!$B$1:$I$1,0)),"")</f>
        <v/>
      </c>
      <c r="H38" s="21">
        <f>IFERROR(INDEX(balance_sheet!$B:$I,MATCH("Chứng khoán đầu tư",balance_sheet!$A:$A,0),MATCH(H$21,balance_sheet!$B$1:$I$1,0)),"")</f>
        <v/>
      </c>
      <c r="I38" s="21">
        <f>IFERROR(INDEX(balance_sheet!$B:$I,MATCH("Chứng khoán đầu tư",balance_sheet!$A:$A,0),MATCH(I$21,balance_sheet!$B$1:$I$1,0)),"")</f>
        <v/>
      </c>
      <c r="J38" s="19" t="n"/>
    </row>
    <row r="39">
      <c r="A39" s="20" t="inlineStr">
        <is>
          <t>Dự phòng giảm giá chứng khoán đầu tư</t>
        </is>
      </c>
      <c r="B39" s="21">
        <f>IFERROR(INDEX(balance_sheet!$B:$I,MATCH("Dự phòng giảm giá chứng khoán đầu tư",balance_sheet!$A:$A,0),MATCH(B$21,balance_sheet!$B$1:$I$1,0)),"")</f>
        <v/>
      </c>
      <c r="C39" s="21">
        <f>IFERROR(INDEX(balance_sheet!$B:$I,MATCH("Dự phòng giảm giá chứng khoán đầu tư",balance_sheet!$A:$A,0),MATCH(C$21,balance_sheet!$B$1:$I$1,0)),"")</f>
        <v/>
      </c>
      <c r="D39" s="21">
        <f>IFERROR(INDEX(balance_sheet!$B:$I,MATCH("Dự phòng giảm giá chứng khoán đầu tư",balance_sheet!$A:$A,0),MATCH(D$21,balance_sheet!$B$1:$I$1,0)),"")</f>
        <v/>
      </c>
      <c r="E39" s="21">
        <f>IFERROR(INDEX(balance_sheet!$B:$I,MATCH("Dự phòng giảm giá chứng khoán đầu tư",balance_sheet!$A:$A,0),MATCH(E$21,balance_sheet!$B$1:$I$1,0)),"")</f>
        <v/>
      </c>
      <c r="F39" s="21">
        <f>IFERROR(INDEX(balance_sheet!$B:$I,MATCH("Dự phòng giảm giá chứng khoán đầu tư",balance_sheet!$A:$A,0),MATCH(F$21,balance_sheet!$B$1:$I$1,0)),"")</f>
        <v/>
      </c>
      <c r="G39" s="21">
        <f>IFERROR(INDEX(balance_sheet!$B:$I,MATCH("Dự phòng giảm giá chứng khoán đầu tư",balance_sheet!$A:$A,0),MATCH(G$21,balance_sheet!$B$1:$I$1,0)),"")</f>
        <v/>
      </c>
      <c r="H39" s="21">
        <f>IFERROR(INDEX(balance_sheet!$B:$I,MATCH("Dự phòng giảm giá chứng khoán đầu tư",balance_sheet!$A:$A,0),MATCH(H$21,balance_sheet!$B$1:$I$1,0)),"")</f>
        <v/>
      </c>
      <c r="I39" s="21">
        <f>IFERROR(INDEX(balance_sheet!$B:$I,MATCH("Dự phòng giảm giá chứng khoán đầu tư",balance_sheet!$A:$A,0),MATCH(I$21,balance_sheet!$B$1:$I$1,0)),"")</f>
        <v/>
      </c>
      <c r="J39" s="19" t="n"/>
    </row>
    <row r="40">
      <c r="A40" s="20" t="inlineStr">
        <is>
          <t>Góp vốn, đầu tư dài hạn</t>
        </is>
      </c>
      <c r="B40" s="21">
        <f>IFERROR(INDEX(balance_sheet!$B:$I,MATCH("Góp vốn, đầu tư dài hạn",balance_sheet!$A:$A,0),MATCH(B$21,balance_sheet!$B$1:$I$1,0)),"")</f>
        <v/>
      </c>
      <c r="C40" s="21">
        <f>IFERROR(INDEX(balance_sheet!$B:$I,MATCH("Góp vốn, đầu tư dài hạn",balance_sheet!$A:$A,0),MATCH(C$21,balance_sheet!$B$1:$I$1,0)),"")</f>
        <v/>
      </c>
      <c r="D40" s="21">
        <f>IFERROR(INDEX(balance_sheet!$B:$I,MATCH("Góp vốn, đầu tư dài hạn",balance_sheet!$A:$A,0),MATCH(D$21,balance_sheet!$B$1:$I$1,0)),"")</f>
        <v/>
      </c>
      <c r="E40" s="21">
        <f>IFERROR(INDEX(balance_sheet!$B:$I,MATCH("Góp vốn, đầu tư dài hạn",balance_sheet!$A:$A,0),MATCH(E$21,balance_sheet!$B$1:$I$1,0)),"")</f>
        <v/>
      </c>
      <c r="F40" s="21">
        <f>IFERROR(INDEX(balance_sheet!$B:$I,MATCH("Góp vốn, đầu tư dài hạn",balance_sheet!$A:$A,0),MATCH(F$21,balance_sheet!$B$1:$I$1,0)),"")</f>
        <v/>
      </c>
      <c r="G40" s="21">
        <f>IFERROR(INDEX(balance_sheet!$B:$I,MATCH("Góp vốn, đầu tư dài hạn",balance_sheet!$A:$A,0),MATCH(G$21,balance_sheet!$B$1:$I$1,0)),"")</f>
        <v/>
      </c>
      <c r="H40" s="21">
        <f>IFERROR(INDEX(balance_sheet!$B:$I,MATCH("Góp vốn, đầu tư dài hạn",balance_sheet!$A:$A,0),MATCH(H$21,balance_sheet!$B$1:$I$1,0)),"")</f>
        <v/>
      </c>
      <c r="I40" s="21">
        <f>IFERROR(INDEX(balance_sheet!$B:$I,MATCH("Góp vốn, đầu tư dài hạn",balance_sheet!$A:$A,0),MATCH(I$21,balance_sheet!$B$1:$I$1,0)),"")</f>
        <v/>
      </c>
      <c r="J40" s="19" t="n"/>
    </row>
    <row r="41">
      <c r="A41" s="20" t="inlineStr">
        <is>
          <t>Dự phòng giảm giá đầu tư dài hạn</t>
        </is>
      </c>
      <c r="B41" s="21">
        <f>IFERROR(INDEX(balance_sheet!$B:$I,MATCH("Dự phòng giảm giá đầu tư dài hạn",balance_sheet!$A:$A,0),MATCH(B$21,balance_sheet!$B$1:$I$1,0)),"")</f>
        <v/>
      </c>
      <c r="C41" s="21">
        <f>IFERROR(INDEX(balance_sheet!$B:$I,MATCH("Dự phòng giảm giá đầu tư dài hạn",balance_sheet!$A:$A,0),MATCH(C$21,balance_sheet!$B$1:$I$1,0)),"")</f>
        <v/>
      </c>
      <c r="D41" s="21">
        <f>IFERROR(INDEX(balance_sheet!$B:$I,MATCH("Dự phòng giảm giá đầu tư dài hạn",balance_sheet!$A:$A,0),MATCH(D$21,balance_sheet!$B$1:$I$1,0)),"")</f>
        <v/>
      </c>
      <c r="E41" s="21">
        <f>IFERROR(INDEX(balance_sheet!$B:$I,MATCH("Dự phòng giảm giá đầu tư dài hạn",balance_sheet!$A:$A,0),MATCH(E$21,balance_sheet!$B$1:$I$1,0)),"")</f>
        <v/>
      </c>
      <c r="F41" s="21">
        <f>IFERROR(INDEX(balance_sheet!$B:$I,MATCH("Dự phòng giảm giá đầu tư dài hạn",balance_sheet!$A:$A,0),MATCH(F$21,balance_sheet!$B$1:$I$1,0)),"")</f>
        <v/>
      </c>
      <c r="G41" s="21">
        <f>IFERROR(INDEX(balance_sheet!$B:$I,MATCH("Dự phòng giảm giá đầu tư dài hạn",balance_sheet!$A:$A,0),MATCH(G$21,balance_sheet!$B$1:$I$1,0)),"")</f>
        <v/>
      </c>
      <c r="H41" s="21">
        <f>IFERROR(INDEX(balance_sheet!$B:$I,MATCH("Dự phòng giảm giá đầu tư dài hạn",balance_sheet!$A:$A,0),MATCH(H$21,balance_sheet!$B$1:$I$1,0)),"")</f>
        <v/>
      </c>
      <c r="I41" s="21">
        <f>IFERROR(INDEX(balance_sheet!$B:$I,MATCH("Dự phòng giảm giá đầu tư dài hạn",balance_sheet!$A:$A,0),MATCH(I$21,balance_sheet!$B$1:$I$1,0)),"")</f>
        <v/>
      </c>
      <c r="J41" s="19" t="n"/>
    </row>
    <row r="42">
      <c r="A42" s="20" t="inlineStr">
        <is>
          <t>Tài sản sinh lời</t>
        </is>
      </c>
      <c r="B42" s="25">
        <f>B25+B26-B27+B28+B29+B38-B39+B40-B41</f>
        <v/>
      </c>
      <c r="C42" s="25">
        <f>C25+C26-C27+C28+C29+C38-C39+C40-C41</f>
        <v/>
      </c>
      <c r="D42" s="25">
        <f>D25+D26-D27+D28+D29+D38-D39+D40-D41</f>
        <v/>
      </c>
      <c r="E42" s="25">
        <f>E25+E26-E27+E28+E29+E38-E39+E40-E41</f>
        <v/>
      </c>
      <c r="F42" s="25">
        <f>F25+F26-F27+F28+F29+F38-F39+F40-F41</f>
        <v/>
      </c>
      <c r="G42" s="25">
        <f>G25+G26-G27+G28+G29+G38-G39+G40-G41</f>
        <v/>
      </c>
      <c r="H42" s="25">
        <f>H25+H26-H27+H28+H29+H38-H39+H40-H41</f>
        <v/>
      </c>
      <c r="I42" s="25">
        <f>I25+I26-I27+I28+I29+I38-I39+I40-I41</f>
        <v/>
      </c>
      <c r="J42" s="19" t="n"/>
    </row>
    <row r="43">
      <c r="A43" s="16" t="inlineStr">
        <is>
          <t>Nguồn vốn</t>
        </is>
      </c>
      <c r="B43" s="21" t="n"/>
      <c r="C43" s="21" t="n"/>
      <c r="D43" s="21" t="n"/>
      <c r="E43" s="21" t="n"/>
      <c r="F43" s="21" t="n"/>
      <c r="G43" s="21" t="n"/>
      <c r="H43" s="21" t="n"/>
      <c r="I43" s="21" t="n"/>
      <c r="J43" s="19" t="n"/>
    </row>
    <row r="44">
      <c r="A44" s="20" t="inlineStr">
        <is>
          <t>Tiền gửi khách hàng</t>
        </is>
      </c>
      <c r="B44" s="21">
        <f>IFERROR(INDEX(balance_sheet!$B:$I,MATCH("Tiền gửi của khách hàng",balance_sheet!$A:$A,0),MATCH(B$21,balance_sheet!$B$1:$I$1,0)),"")</f>
        <v/>
      </c>
      <c r="C44" s="21">
        <f>IFERROR(INDEX(balance_sheet!$B:$I,MATCH("Tiền gửi của khách hàng",balance_sheet!$A:$A,0),MATCH(C$21,balance_sheet!$B$1:$I$1,0)),"")</f>
        <v/>
      </c>
      <c r="D44" s="21">
        <f>IFERROR(INDEX(balance_sheet!$B:$I,MATCH("Tiền gửi của khách hàng",balance_sheet!$A:$A,0),MATCH(D$21,balance_sheet!$B$1:$I$1,0)),"")</f>
        <v/>
      </c>
      <c r="E44" s="21">
        <f>IFERROR(INDEX(balance_sheet!$B:$I,MATCH("Tiền gửi của khách hàng",balance_sheet!$A:$A,0),MATCH(E$21,balance_sheet!$B$1:$I$1,0)),"")</f>
        <v/>
      </c>
      <c r="F44" s="21">
        <f>IFERROR(INDEX(balance_sheet!$B:$I,MATCH("Tiền gửi của khách hàng",balance_sheet!$A:$A,0),MATCH(F$21,balance_sheet!$B$1:$I$1,0)),"")</f>
        <v/>
      </c>
      <c r="G44" s="21">
        <f>IFERROR(INDEX(balance_sheet!$B:$I,MATCH("Tiền gửi của khách hàng",balance_sheet!$A:$A,0),MATCH(G$21,balance_sheet!$B$1:$I$1,0)),"")</f>
        <v/>
      </c>
      <c r="H44" s="21">
        <f>IFERROR(INDEX(balance_sheet!$B:$I,MATCH("Tiền gửi của khách hàng",balance_sheet!$A:$A,0),MATCH(H$21,balance_sheet!$B$1:$I$1,0)),"")</f>
        <v/>
      </c>
      <c r="I44" s="21">
        <f>IFERROR(INDEX(balance_sheet!$B:$I,MATCH("Tiền gửi của khách hàng",balance_sheet!$A:$A,0),MATCH(I$21,balance_sheet!$B$1:$I$1,0)),"")</f>
        <v/>
      </c>
      <c r="J44" s="19" t="n"/>
    </row>
    <row r="45">
      <c r="A45" s="20" t="inlineStr">
        <is>
          <t>+ Tiền gửi không kỳ hạn</t>
        </is>
      </c>
      <c r="B45" s="22" t="n"/>
      <c r="C45" s="22" t="n"/>
      <c r="D45" s="22" t="n"/>
      <c r="E45" s="22" t="n">
        <v>171396000000000</v>
      </c>
      <c r="F45" s="22" t="n">
        <v>166972000000000</v>
      </c>
      <c r="G45" s="22" t="n">
        <v>216092000000000</v>
      </c>
      <c r="H45" s="22" t="n">
        <v>271580000000000</v>
      </c>
      <c r="I45" s="22" t="n">
        <v>339353000000000</v>
      </c>
      <c r="J45" s="19" t="n"/>
    </row>
    <row r="46">
      <c r="A46" s="20" t="inlineStr">
        <is>
          <t>+ Tiền gửi có kỳ hạn</t>
        </is>
      </c>
      <c r="B46" s="22" t="n"/>
      <c r="C46" s="22" t="n"/>
      <c r="D46" s="22" t="n"/>
      <c r="E46" s="22" t="n">
        <v>197180000000000</v>
      </c>
      <c r="F46" s="22" t="n">
        <v>263452000000000</v>
      </c>
      <c r="G46" s="22" t="n">
        <v>339421000000000</v>
      </c>
      <c r="H46" s="22" t="n">
        <v>433477000000000</v>
      </c>
      <c r="I46" s="22" t="n">
        <v>573483000000000</v>
      </c>
      <c r="J46" s="19" t="n"/>
    </row>
    <row r="47">
      <c r="A47" s="20" t="inlineStr">
        <is>
          <t>+ Tiền gửi vốn chuyên dùng</t>
        </is>
      </c>
      <c r="B47" s="22" t="n"/>
      <c r="C47" s="22" t="n"/>
      <c r="D47" s="22" t="n"/>
      <c r="E47" s="22" t="n">
        <v>4389000000000</v>
      </c>
      <c r="F47" s="22" t="n">
        <v>2827000000000</v>
      </c>
      <c r="G47" s="22" t="n">
        <v>3264000000000</v>
      </c>
      <c r="H47" s="22" t="n">
        <v>1791000000000</v>
      </c>
      <c r="I47" s="22" t="n">
        <v>1226000000000</v>
      </c>
      <c r="J47" s="19" t="n"/>
    </row>
    <row r="48">
      <c r="A48" s="20" t="inlineStr">
        <is>
          <t>+ Tiền ký quỹ</t>
        </is>
      </c>
      <c r="B48" s="22" t="n"/>
      <c r="C48" s="22" t="n"/>
      <c r="D48" s="22" t="n"/>
      <c r="E48" s="22" t="n">
        <v>11728000000000</v>
      </c>
      <c r="F48" s="22" t="n">
        <v>10355000000000</v>
      </c>
      <c r="G48" s="22" t="n">
        <v>8755000000000</v>
      </c>
      <c r="H48" s="22" t="n">
        <v>7307000000000</v>
      </c>
      <c r="I48" s="22" t="n">
        <v>7307000000000</v>
      </c>
      <c r="J48" s="19" t="n"/>
    </row>
    <row r="49">
      <c r="A49" s="16" t="inlineStr">
        <is>
          <t>VỐN CHỦ SỞ HỮU</t>
        </is>
      </c>
      <c r="B49" s="27">
        <f>IFERROR(INDEX(balance_sheet!$B:$I,MATCH("VỐN CHỦ SỞ HỮU",balance_sheet!$A:$A,0),MATCH(B$21,balance_sheet!$B$1:$I$1,0)),"")</f>
        <v/>
      </c>
      <c r="C49" s="27">
        <f>IFERROR(INDEX(balance_sheet!$B:$I,MATCH("VỐN CHỦ SỞ HỮU",balance_sheet!$A:$A,0),MATCH(C$21,balance_sheet!$B$1:$I$1,0)),"")</f>
        <v/>
      </c>
      <c r="D49" s="27">
        <f>IFERROR(INDEX(balance_sheet!$B:$I,MATCH("VỐN CHỦ SỞ HỮU",balance_sheet!$A:$A,0),MATCH(D$21,balance_sheet!$B$1:$I$1,0)),"")</f>
        <v/>
      </c>
      <c r="E49" s="27">
        <f>IFERROR(INDEX(balance_sheet!$B:$I,MATCH("VỐN CHỦ SỞ HỮU",balance_sheet!$A:$A,0),MATCH(E$21,balance_sheet!$B$1:$I$1,0)),"")</f>
        <v/>
      </c>
      <c r="F49" s="27">
        <f>IFERROR(INDEX(balance_sheet!$B:$I,MATCH("VỐN CHỦ SỞ HỮU",balance_sheet!$A:$A,0),MATCH(F$21,balance_sheet!$B$1:$I$1,0)),"")</f>
        <v/>
      </c>
      <c r="G49" s="27">
        <f>IFERROR(INDEX(balance_sheet!$B:$I,MATCH("VỐN CHỦ SỞ HỮU",balance_sheet!$A:$A,0),MATCH(G$21,balance_sheet!$B$1:$I$1,0)),"")</f>
        <v/>
      </c>
      <c r="H49" s="27">
        <f>IFERROR(INDEX(balance_sheet!$B:$I,MATCH("VỐN CHỦ SỞ HỮU",balance_sheet!$A:$A,0),MATCH(H$21,balance_sheet!$B$1:$I$1,0)),"")</f>
        <v/>
      </c>
      <c r="I49" s="27">
        <f>IFERROR(INDEX(balance_sheet!$B:$I,MATCH("VỐN CHỦ SỞ HỮU",balance_sheet!$A:$A,0),MATCH(I$21,balance_sheet!$B$1:$I$1,0)),"")</f>
        <v/>
      </c>
      <c r="J49" s="27">
        <f>I49+0.9*J61</f>
        <v/>
      </c>
    </row>
    <row r="50">
      <c r="A50" s="28" t="inlineStr">
        <is>
          <t>Tăng VCSH/LN cty mẹ</t>
        </is>
      </c>
      <c r="B50" s="29" t="n"/>
      <c r="C50" s="29">
        <f>(C49-B49)/C61</f>
        <v/>
      </c>
      <c r="D50" s="29">
        <f>(D49-C49)/D61</f>
        <v/>
      </c>
      <c r="E50" s="29">
        <f>(E49-D49)/E61</f>
        <v/>
      </c>
      <c r="F50" s="29">
        <f>(F49-E49)/F61</f>
        <v/>
      </c>
      <c r="G50" s="29">
        <f>(G49-F49)/G61</f>
        <v/>
      </c>
      <c r="H50" s="29">
        <f>(H49-G49)/H61</f>
        <v/>
      </c>
      <c r="I50" s="29">
        <f>(I49-H49)/I61</f>
        <v/>
      </c>
      <c r="J50" s="30" t="n"/>
    </row>
    <row r="51">
      <c r="A51" s="16" t="inlineStr">
        <is>
          <t>Lợi ích của cổ đông thiểu số</t>
        </is>
      </c>
      <c r="B51" s="27">
        <f>IFERROR(INDEX(balance_sheet!$B:$I,MATCH("Lợi ích của cổ đông thiểu số",balance_sheet!$A:$A,0),MATCH(B$21,balance_sheet!$B$1:$I$1,0)),"")</f>
        <v/>
      </c>
      <c r="C51" s="27">
        <f>IFERROR(INDEX(balance_sheet!$B:$I,MATCH("Lợi ích của cổ đông thiểu số",balance_sheet!$A:$A,0),MATCH(C$21,balance_sheet!$B$1:$I$1,0)),"")</f>
        <v/>
      </c>
      <c r="D51" s="27">
        <f>IFERROR(INDEX(balance_sheet!$B:$I,MATCH("Lợi ích của cổ đông thiểu số",balance_sheet!$A:$A,0),MATCH(D$21,balance_sheet!$B$1:$I$1,0)),"")</f>
        <v/>
      </c>
      <c r="E51" s="27">
        <f>IFERROR(INDEX(balance_sheet!$B:$I,MATCH("Lợi ích của cổ đông thiểu số",balance_sheet!$A:$A,0),MATCH(E$21,balance_sheet!$B$1:$I$1,0)),"")</f>
        <v/>
      </c>
      <c r="F51" s="27">
        <f>IFERROR(INDEX(balance_sheet!$B:$I,MATCH("Lợi ích của cổ đông thiểu số",balance_sheet!$A:$A,0),MATCH(F$21,balance_sheet!$B$1:$I$1,0)),"")</f>
        <v/>
      </c>
      <c r="G51" s="27">
        <f>IFERROR(INDEX(balance_sheet!$B:$I,MATCH("Lợi ích của cổ đông thiểu số",balance_sheet!$A:$A,0),MATCH(G$21,balance_sheet!$B$1:$I$1,0)),"")</f>
        <v/>
      </c>
      <c r="H51" s="27">
        <f>IFERROR(INDEX(balance_sheet!$B:$I,MATCH("Lợi ích của cổ đông thiểu số",balance_sheet!$A:$A,0),MATCH(H$21,balance_sheet!$B$1:$I$1,0)),"")</f>
        <v/>
      </c>
      <c r="I51" s="27">
        <f>IFERROR(INDEX(balance_sheet!$B:$I,MATCH("Lợi ích của cổ đông thiểu số",balance_sheet!$A:$A,0),MATCH(I$21,balance_sheet!$B$1:$I$1,0)),"")</f>
        <v/>
      </c>
      <c r="J51" s="31" t="n"/>
    </row>
    <row r="52">
      <c r="A52" s="16" t="inlineStr">
        <is>
          <t>Kết quả hoạt động kinh doanh</t>
        </is>
      </c>
      <c r="B52" s="21" t="n"/>
      <c r="C52" s="21" t="n"/>
      <c r="D52" s="21" t="n"/>
      <c r="E52" s="21" t="n"/>
      <c r="F52" s="21" t="n"/>
      <c r="G52" s="21" t="n"/>
      <c r="H52" s="21" t="n"/>
      <c r="I52" s="21" t="n"/>
      <c r="J52" s="19" t="n"/>
    </row>
    <row r="53">
      <c r="A53" s="20" t="inlineStr">
        <is>
          <t>Thu nhập lãi</t>
        </is>
      </c>
      <c r="B53" s="21">
        <f>IFERROR(INDEX(income_statement!$B:$I,MATCH("Thu nhập lãi và các khoản thu nhập tương tự",income_statement!$A:$A,0),MATCH(B$21,income_statement!$B$1:$I$1,0)),"")</f>
        <v/>
      </c>
      <c r="C53" s="21">
        <f>IFERROR(INDEX(income_statement!$B:$I,MATCH("Thu nhập lãi và các khoản thu nhập tương tự",income_statement!$A:$A,0),MATCH(C$21,income_statement!$B$1:$I$1,0)),"")</f>
        <v/>
      </c>
      <c r="D53" s="21">
        <f>IFERROR(INDEX(income_statement!$B:$I,MATCH("Thu nhập lãi và các khoản thu nhập tương tự",income_statement!$A:$A,0),MATCH(D$21,income_statement!$B$1:$I$1,0)),"")</f>
        <v/>
      </c>
      <c r="E53" s="21">
        <f>IFERROR(INDEX(income_statement!$B:$I,MATCH("Thu nhập lãi và các khoản thu nhập tương tự",income_statement!$A:$A,0),MATCH(E$21,income_statement!$B$1:$I$1,0)),"")</f>
        <v/>
      </c>
      <c r="F53" s="21">
        <f>IFERROR(INDEX(income_statement!$B:$I,MATCH("Thu nhập lãi và các khoản thu nhập tương tự",income_statement!$A:$A,0),MATCH(F$21,income_statement!$B$1:$I$1,0)),"")</f>
        <v/>
      </c>
      <c r="G53" s="21">
        <f>IFERROR(INDEX(income_statement!$B:$I,MATCH("Thu nhập lãi và các khoản thu nhập tương tự",income_statement!$A:$A,0),MATCH(G$21,income_statement!$B$1:$I$1,0)),"")</f>
        <v/>
      </c>
      <c r="H53" s="21">
        <f>IFERROR(INDEX(income_statement!$B:$I,MATCH("Thu nhập lãi và các khoản thu nhập tương tự",income_statement!$A:$A,0),MATCH(H$21,income_statement!$B$1:$I$1,0)),"")</f>
        <v/>
      </c>
      <c r="I53" s="21">
        <f>IFERROR(INDEX(income_statement!$B:$I,MATCH("Thu nhập lãi và các khoản thu nhập tương tự",income_statement!$A:$A,0),MATCH(I$21,income_statement!$B$1:$I$1,0)),"")</f>
        <v/>
      </c>
      <c r="J53" s="19" t="n"/>
    </row>
    <row r="54">
      <c r="A54" s="20" t="inlineStr">
        <is>
          <t>Chi phí lãi</t>
        </is>
      </c>
      <c r="B54" s="21">
        <f>IFERROR(INDEX(income_statement!$B:$I,MATCH("Chi phí lãi và các chi phí tương tự",income_statement!$A:$A,0),MATCH(B$21,income_statement!$B$1:$I$1,0)),"")</f>
        <v/>
      </c>
      <c r="C54" s="21">
        <f>IFERROR(INDEX(income_statement!$B:$I,MATCH("Chi phí lãi và các chi phí tương tự",income_statement!$A:$A,0),MATCH(C$21,income_statement!$B$1:$I$1,0)),"")</f>
        <v/>
      </c>
      <c r="D54" s="21">
        <f>IFERROR(INDEX(income_statement!$B:$I,MATCH("Chi phí lãi và các chi phí tương tự",income_statement!$A:$A,0),MATCH(D$21,income_statement!$B$1:$I$1,0)),"")</f>
        <v/>
      </c>
      <c r="E54" s="21">
        <f>IFERROR(INDEX(income_statement!$B:$I,MATCH("Chi phí lãi và các chi phí tương tự",income_statement!$A:$A,0),MATCH(E$21,income_statement!$B$1:$I$1,0)),"")</f>
        <v/>
      </c>
      <c r="F54" s="21">
        <f>IFERROR(INDEX(income_statement!$B:$I,MATCH("Chi phí lãi và các chi phí tương tự",income_statement!$A:$A,0),MATCH(F$21,income_statement!$B$1:$I$1,0)),"")</f>
        <v/>
      </c>
      <c r="G54" s="21">
        <f>IFERROR(INDEX(income_statement!$B:$I,MATCH("Chi phí lãi và các chi phí tương tự",income_statement!$A:$A,0),MATCH(G$21,income_statement!$B$1:$I$1,0)),"")</f>
        <v/>
      </c>
      <c r="H54" s="21">
        <f>IFERROR(INDEX(income_statement!$B:$I,MATCH("Chi phí lãi và các chi phí tương tự",income_statement!$A:$A,0),MATCH(H$21,income_statement!$B$1:$I$1,0)),"")</f>
        <v/>
      </c>
      <c r="I54" s="21">
        <f>IFERROR(INDEX(income_statement!$B:$I,MATCH("Chi phí lãi và các chi phí tương tự",income_statement!$A:$A,0),MATCH(I$21,income_statement!$B$1:$I$1,0)),"")</f>
        <v/>
      </c>
      <c r="J54" s="19" t="n"/>
    </row>
    <row r="55">
      <c r="A55" s="16" t="inlineStr">
        <is>
          <t>Thu nhập lãi thuần</t>
        </is>
      </c>
      <c r="B55" s="27">
        <f>IFERROR(INDEX(income_statement!$B:$I,MATCH("Thu nhập lãi thuần",income_statement!$A:$A,0),MATCH(B$21,income_statement!$B$1:$I$1,0)),"")</f>
        <v/>
      </c>
      <c r="C55" s="27">
        <f>IFERROR(INDEX(income_statement!$B:$I,MATCH("Thu nhập lãi thuần",income_statement!$A:$A,0),MATCH(C$21,income_statement!$B$1:$I$1,0)),"")</f>
        <v/>
      </c>
      <c r="D55" s="27">
        <f>IFERROR(INDEX(income_statement!$B:$I,MATCH("Thu nhập lãi thuần",income_statement!$A:$A,0),MATCH(D$21,income_statement!$B$1:$I$1,0)),"")</f>
        <v/>
      </c>
      <c r="E55" s="27">
        <f>IFERROR(INDEX(income_statement!$B:$I,MATCH("Thu nhập lãi thuần",income_statement!$A:$A,0),MATCH(E$21,income_statement!$B$1:$I$1,0)),"")</f>
        <v/>
      </c>
      <c r="F55" s="27">
        <f>IFERROR(INDEX(income_statement!$B:$I,MATCH("Thu nhập lãi thuần",income_statement!$A:$A,0),MATCH(F$21,income_statement!$B$1:$I$1,0)),"")</f>
        <v/>
      </c>
      <c r="G55" s="27">
        <f>IFERROR(INDEX(income_statement!$B:$I,MATCH("Thu nhập lãi thuần",income_statement!$A:$A,0),MATCH(G$21,income_statement!$B$1:$I$1,0)),"")</f>
        <v/>
      </c>
      <c r="H55" s="27">
        <f>IFERROR(INDEX(income_statement!$B:$I,MATCH("Thu nhập lãi thuần",income_statement!$A:$A,0),MATCH(H$21,income_statement!$B$1:$I$1,0)),"")</f>
        <v/>
      </c>
      <c r="I55" s="27">
        <f>IFERROR(INDEX(income_statement!$B:$I,MATCH("Thu nhập lãi thuần",income_statement!$A:$A,0),MATCH(I$21,income_statement!$B$1:$I$1,0)),"")</f>
        <v/>
      </c>
      <c r="J55" s="31" t="n"/>
    </row>
    <row r="56">
      <c r="A56" s="20" t="inlineStr">
        <is>
          <t>Thu nhập ngoài lãi</t>
        </is>
      </c>
      <c r="B56" s="25">
        <f>IF(OR(B$57="",B$55=""),"",B$57-B$55)</f>
        <v/>
      </c>
      <c r="C56" s="25">
        <f>IF(OR(C$57="",C$55=""),"",C$57-C$55)</f>
        <v/>
      </c>
      <c r="D56" s="25">
        <f>IF(OR(D$57="",D$55=""),"",D$57-D$55)</f>
        <v/>
      </c>
      <c r="E56" s="25">
        <f>IF(OR(E$57="",E$55=""),"",E$57-E$55)</f>
        <v/>
      </c>
      <c r="F56" s="25">
        <f>IF(OR(F$57="",F$55=""),"",F$57-F$55)</f>
        <v/>
      </c>
      <c r="G56" s="25">
        <f>IF(OR(G$57="",G$55=""),"",G$57-G$55)</f>
        <v/>
      </c>
      <c r="H56" s="25">
        <f>IF(OR(H$57="",H$55=""),"",H$57-H$55)</f>
        <v/>
      </c>
      <c r="I56" s="25">
        <f>IF(OR(I$57="",I$55=""),"",I$57-I$55)</f>
        <v/>
      </c>
      <c r="J56" s="19" t="n"/>
    </row>
    <row r="57">
      <c r="A57" s="20" t="inlineStr">
        <is>
          <t>Tổng thu nhập hoạt động</t>
        </is>
      </c>
      <c r="B57" s="21">
        <f>IFERROR(INDEX(income_statement!$B:$I,MATCH("Tổng thu nhập hoạt động",income_statement!$A:$A,0),MATCH(B$21,income_statement!$B$1:$I$1,0)),"")</f>
        <v/>
      </c>
      <c r="C57" s="21">
        <f>IFERROR(INDEX(income_statement!$B:$I,MATCH("Tổng thu nhập hoạt động",income_statement!$A:$A,0),MATCH(C$21,income_statement!$B$1:$I$1,0)),"")</f>
        <v/>
      </c>
      <c r="D57" s="21">
        <f>IFERROR(INDEX(income_statement!$B:$I,MATCH("Tổng thu nhập hoạt động",income_statement!$A:$A,0),MATCH(D$21,income_statement!$B$1:$I$1,0)),"")</f>
        <v/>
      </c>
      <c r="E57" s="21">
        <f>IFERROR(INDEX(income_statement!$B:$I,MATCH("Tổng thu nhập hoạt động",income_statement!$A:$A,0),MATCH(E$21,income_statement!$B$1:$I$1,0)),"")</f>
        <v/>
      </c>
      <c r="F57" s="21">
        <f>IFERROR(INDEX(income_statement!$B:$I,MATCH("Tổng thu nhập hoạt động",income_statement!$A:$A,0),MATCH(F$21,income_statement!$B$1:$I$1,0)),"")</f>
        <v/>
      </c>
      <c r="G57" s="21">
        <f>IFERROR(INDEX(income_statement!$B:$I,MATCH("Tổng thu nhập hoạt động",income_statement!$A:$A,0),MATCH(G$21,income_statement!$B$1:$I$1,0)),"")</f>
        <v/>
      </c>
      <c r="H57" s="21">
        <f>IFERROR(INDEX(income_statement!$B:$I,MATCH("Tổng thu nhập hoạt động",income_statement!$A:$A,0),MATCH(H$21,income_statement!$B$1:$I$1,0)),"")</f>
        <v/>
      </c>
      <c r="I57" s="21">
        <f>IFERROR(INDEX(income_statement!$B:$I,MATCH("Tổng thu nhập hoạt động",income_statement!$A:$A,0),MATCH(I$21,income_statement!$B$1:$I$1,0)),"")</f>
        <v/>
      </c>
      <c r="J57" s="19" t="n"/>
    </row>
    <row r="58">
      <c r="A58" s="20" t="inlineStr">
        <is>
          <t>Chi phí hoạt động</t>
        </is>
      </c>
      <c r="B58" s="21">
        <f>IFERROR(INDEX(income_statement!$B:$I,MATCH("Chi phí quản lý doanh nghiệp",income_statement!$A:$A,0),MATCH(B$21,income_statement!$B$1:$I$1,0)),"")</f>
        <v/>
      </c>
      <c r="C58" s="21">
        <f>IFERROR(INDEX(income_statement!$B:$I,MATCH("Chi phí quản lý doanh nghiệp",income_statement!$A:$A,0),MATCH(C$21,income_statement!$B$1:$I$1,0)),"")</f>
        <v/>
      </c>
      <c r="D58" s="21">
        <f>IFERROR(INDEX(income_statement!$B:$I,MATCH("Chi phí quản lý doanh nghiệp",income_statement!$A:$A,0),MATCH(D$21,income_statement!$B$1:$I$1,0)),"")</f>
        <v/>
      </c>
      <c r="E58" s="21">
        <f>IFERROR(INDEX(income_statement!$B:$I,MATCH("Chi phí quản lý doanh nghiệp",income_statement!$A:$A,0),MATCH(E$21,income_statement!$B$1:$I$1,0)),"")</f>
        <v/>
      </c>
      <c r="F58" s="21">
        <f>IFERROR(INDEX(income_statement!$B:$I,MATCH("Chi phí quản lý doanh nghiệp",income_statement!$A:$A,0),MATCH(F$21,income_statement!$B$1:$I$1,0)),"")</f>
        <v/>
      </c>
      <c r="G58" s="21">
        <f>IFERROR(INDEX(income_statement!$B:$I,MATCH("Chi phí quản lý doanh nghiệp",income_statement!$A:$A,0),MATCH(G$21,income_statement!$B$1:$I$1,0)),"")</f>
        <v/>
      </c>
      <c r="H58" s="21">
        <f>IFERROR(INDEX(income_statement!$B:$I,MATCH("Chi phí quản lý doanh nghiệp",income_statement!$A:$A,0),MATCH(H$21,income_statement!$B$1:$I$1,0)),"")</f>
        <v/>
      </c>
      <c r="I58" s="21">
        <f>IFERROR(INDEX(income_statement!$B:$I,MATCH("Chi phí quản lý doanh nghiệp",income_statement!$A:$A,0),MATCH(I$21,income_statement!$B$1:$I$1,0)),"")</f>
        <v/>
      </c>
      <c r="J58" s="19" t="n"/>
    </row>
    <row r="59">
      <c r="A59" s="20" t="inlineStr">
        <is>
          <t>Lãi và phí phải thu</t>
        </is>
      </c>
      <c r="B59" s="21">
        <f>IFERROR(INDEX(balance_sheet!$B:$I,MATCH("Các khoản lãi và phí phải thu",balance_sheet!$A:$A,0),MATCH(B$21,balance_sheet!$B$1:$I$1,0)),"")</f>
        <v/>
      </c>
      <c r="C59" s="21">
        <f>IFERROR(INDEX(balance_sheet!$B:$I,MATCH("Các khoản lãi và phí phải thu",balance_sheet!$A:$A,0),MATCH(C$21,balance_sheet!$B$1:$I$1,0)),"")</f>
        <v/>
      </c>
      <c r="D59" s="21">
        <f>IFERROR(INDEX(balance_sheet!$B:$I,MATCH("Các khoản lãi và phí phải thu",balance_sheet!$A:$A,0),MATCH(D$21,balance_sheet!$B$1:$I$1,0)),"")</f>
        <v/>
      </c>
      <c r="E59" s="21">
        <f>IFERROR(INDEX(balance_sheet!$B:$I,MATCH("Các khoản lãi và phí phải thu",balance_sheet!$A:$A,0),MATCH(E$21,balance_sheet!$B$1:$I$1,0)),"")</f>
        <v/>
      </c>
      <c r="F59" s="21">
        <f>IFERROR(INDEX(balance_sheet!$B:$I,MATCH("Các khoản lãi và phí phải thu",balance_sheet!$A:$A,0),MATCH(F$21,balance_sheet!$B$1:$I$1,0)),"")</f>
        <v/>
      </c>
      <c r="G59" s="21">
        <f>IFERROR(INDEX(balance_sheet!$B:$I,MATCH("Các khoản lãi và phí phải thu",balance_sheet!$A:$A,0),MATCH(G$21,balance_sheet!$B$1:$I$1,0)),"")</f>
        <v/>
      </c>
      <c r="H59" s="21">
        <f>IFERROR(INDEX(balance_sheet!$B:$I,MATCH("Các khoản lãi và phí phải thu",balance_sheet!$A:$A,0),MATCH(H$21,balance_sheet!$B$1:$I$1,0)),"")</f>
        <v/>
      </c>
      <c r="I59" s="21">
        <f>IFERROR(INDEX(balance_sheet!$B:$I,MATCH("Các khoản lãi và phí phải thu",balance_sheet!$A:$A,0),MATCH(I$21,balance_sheet!$B$1:$I$1,0)),"")</f>
        <v/>
      </c>
      <c r="J59" s="19" t="n"/>
    </row>
    <row r="60">
      <c r="A60" s="20" t="inlineStr">
        <is>
          <t>LNST</t>
        </is>
      </c>
      <c r="B60" s="21">
        <f>IFERROR(INDEX(income_statement!$B:$I,MATCH("Lợi nhuận sau thuế",income_statement!$A:$A,0),MATCH(B$21,income_statement!$B$1:$I$1,0)),"")</f>
        <v/>
      </c>
      <c r="C60" s="21">
        <f>IFERROR(INDEX(income_statement!$B:$I,MATCH("Lợi nhuận sau thuế",income_statement!$A:$A,0),MATCH(C$21,income_statement!$B$1:$I$1,0)),"")</f>
        <v/>
      </c>
      <c r="D60" s="21">
        <f>IFERROR(INDEX(income_statement!$B:$I,MATCH("Lợi nhuận sau thuế",income_statement!$A:$A,0),MATCH(D$21,income_statement!$B$1:$I$1,0)),"")</f>
        <v/>
      </c>
      <c r="E60" s="21">
        <f>IFERROR(INDEX(income_statement!$B:$I,MATCH("Lợi nhuận sau thuế",income_statement!$A:$A,0),MATCH(E$21,income_statement!$B$1:$I$1,0)),"")</f>
        <v/>
      </c>
      <c r="F60" s="21">
        <f>IFERROR(INDEX(income_statement!$B:$I,MATCH("Lợi nhuận sau thuế",income_statement!$A:$A,0),MATCH(F$21,income_statement!$B$1:$I$1,0)),"")</f>
        <v/>
      </c>
      <c r="G60" s="21">
        <f>IFERROR(INDEX(income_statement!$B:$I,MATCH("Lợi nhuận sau thuế",income_statement!$A:$A,0),MATCH(G$21,income_statement!$B$1:$I$1,0)),"")</f>
        <v/>
      </c>
      <c r="H60" s="21">
        <f>IFERROR(INDEX(income_statement!$B:$I,MATCH("Lợi nhuận sau thuế",income_statement!$A:$A,0),MATCH(H$21,income_statement!$B$1:$I$1,0)),"")</f>
        <v/>
      </c>
      <c r="I60" s="21">
        <f>IFERROR(INDEX(income_statement!$B:$I,MATCH("Lợi nhuận sau thuế",income_statement!$A:$A,0),MATCH(I$21,income_statement!$B$1:$I$1,0)),"")</f>
        <v/>
      </c>
      <c r="J60" s="19" t="n"/>
    </row>
    <row r="61">
      <c r="A61" s="20" t="inlineStr">
        <is>
          <t>LNST CĐ Công ty mẹ</t>
        </is>
      </c>
      <c r="B61" s="21">
        <f>IFERROR(INDEX(income_statement!$B:$I,MATCH("Cổ đông của Công ty mẹ",income_statement!$A:$A,0),MATCH(B$21,income_statement!$B$1:$I$1,0)),"")</f>
        <v/>
      </c>
      <c r="C61" s="21">
        <f>IFERROR(INDEX(income_statement!$B:$I,MATCH("Cổ đông của Công ty mẹ",income_statement!$A:$A,0),MATCH(C$21,income_statement!$B$1:$I$1,0)),"")</f>
        <v/>
      </c>
      <c r="D61" s="21">
        <f>IFERROR(INDEX(income_statement!$B:$I,MATCH("Cổ đông của Công ty mẹ",income_statement!$A:$A,0),MATCH(D$21,income_statement!$B$1:$I$1,0)),"")</f>
        <v/>
      </c>
      <c r="E61" s="21">
        <f>IFERROR(INDEX(income_statement!$B:$I,MATCH("Cổ đông của Công ty mẹ",income_statement!$A:$A,0),MATCH(E$21,income_statement!$B$1:$I$1,0)),"")</f>
        <v/>
      </c>
      <c r="F61" s="21">
        <f>IFERROR(INDEX(income_statement!$B:$I,MATCH("Cổ đông của Công ty mẹ",income_statement!$A:$A,0),MATCH(F$21,income_statement!$B$1:$I$1,0)),"")</f>
        <v/>
      </c>
      <c r="G61" s="21">
        <f>IFERROR(INDEX(income_statement!$B:$I,MATCH("Cổ đông của Công ty mẹ",income_statement!$A:$A,0),MATCH(G$21,income_statement!$B$1:$I$1,0)),"")</f>
        <v/>
      </c>
      <c r="H61" s="21">
        <f>IFERROR(INDEX(income_statement!$B:$I,MATCH("Cổ đông của Công ty mẹ",income_statement!$A:$A,0),MATCH(H$21,income_statement!$B$1:$I$1,0)),"")</f>
        <v/>
      </c>
      <c r="I61" s="21">
        <f>IFERROR(INDEX(income_statement!$B:$I,MATCH("Cổ đông của Công ty mẹ",income_statement!$A:$A,0),MATCH(I$21,income_statement!$B$1:$I$1,0)),"")</f>
        <v/>
      </c>
      <c r="J61" s="21" t="n">
        <v>30415000000000</v>
      </c>
    </row>
    <row r="62">
      <c r="A62" s="20" t="inlineStr">
        <is>
          <t>Tổng lợi nhuận/lỗ trước thuế</t>
        </is>
      </c>
      <c r="B62" s="21">
        <f>IFERROR(INDEX(income_statement!$B:$I,MATCH("Tổng lợi nhuận/lỗ trước thuế",income_statement!$A:$A,0),MATCH(B$21,income_statement!$B$1:$I$1,0)),"")</f>
        <v/>
      </c>
      <c r="C62" s="21">
        <f>IFERROR(INDEX(income_statement!$B:$I,MATCH("Tổng lợi nhuận/lỗ trước thuế",income_statement!$A:$A,0),MATCH(C$21,income_statement!$B$1:$I$1,0)),"")</f>
        <v/>
      </c>
      <c r="D62" s="21">
        <f>IFERROR(INDEX(income_statement!$B:$I,MATCH("Tổng lợi nhuận/lỗ trước thuế",income_statement!$A:$A,0),MATCH(D$21,income_statement!$B$1:$I$1,0)),"")</f>
        <v/>
      </c>
      <c r="E62" s="21">
        <f>IFERROR(INDEX(income_statement!$B:$I,MATCH("Tổng lợi nhuận/lỗ trước thuế",income_statement!$A:$A,0),MATCH(E$21,income_statement!$B$1:$I$1,0)),"")</f>
        <v/>
      </c>
      <c r="F62" s="21">
        <f>IFERROR(INDEX(income_statement!$B:$I,MATCH("Tổng lợi nhuận/lỗ trước thuế",income_statement!$A:$A,0),MATCH(F$21,income_statement!$B$1:$I$1,0)),"")</f>
        <v/>
      </c>
      <c r="G62" s="21">
        <f>IFERROR(INDEX(income_statement!$B:$I,MATCH("Tổng lợi nhuận/lỗ trước thuế",income_statement!$A:$A,0),MATCH(G$21,income_statement!$B$1:$I$1,0)),"")</f>
        <v/>
      </c>
      <c r="H62" s="21">
        <f>IFERROR(INDEX(income_statement!$B:$I,MATCH("Tổng lợi nhuận/lỗ trước thuế",income_statement!$A:$A,0),MATCH(H$21,income_statement!$B$1:$I$1,0)),"")</f>
        <v/>
      </c>
      <c r="I62" s="21">
        <f>IFERROR(INDEX(income_statement!$B:$I,MATCH("Tổng lợi nhuận/lỗ trước thuế",income_statement!$A:$A,0),MATCH(I$21,income_statement!$B$1:$I$1,0)),"")</f>
        <v/>
      </c>
    </row>
  </sheetData>
  <conditionalFormatting sqref="C2:I2">
    <cfRule type="cellIs" priority="5" operator="lessThan" dxfId="0">
      <formula>0.15</formula>
    </cfRule>
    <cfRule type="cellIs" priority="6" operator="greaterThanOrEqual" dxfId="1">
      <formula>0.15</formula>
    </cfRule>
  </conditionalFormatting>
  <conditionalFormatting sqref="C3:I4">
    <cfRule type="cellIs" priority="1" operator="lessThan" dxfId="0">
      <formula>0.1</formula>
    </cfRule>
    <cfRule type="cellIs" priority="2" operator="greaterThan" dxfId="1">
      <formula>0.15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7" customWidth="1" min="1" max="1"/>
    <col width="17.5" customWidth="1" min="2" max="2"/>
    <col width="10.125" customWidth="1" min="7" max="7"/>
    <col width="8.875" customWidth="1" min="10" max="10"/>
  </cols>
  <sheetData>
    <row r="1">
      <c r="A1" s="32" t="n"/>
      <c r="B1" s="32" t="inlineStr">
        <is>
          <t>Q4/2025</t>
        </is>
      </c>
      <c r="C1" s="32" t="inlineStr">
        <is>
          <t>Q1/2026</t>
        </is>
      </c>
      <c r="D1" s="32" t="inlineStr">
        <is>
          <t>Q2/2026</t>
        </is>
      </c>
      <c r="E1" s="32" t="inlineStr">
        <is>
          <t>Q3/2026</t>
        </is>
      </c>
      <c r="F1" s="32" t="inlineStr">
        <is>
          <t>Q4/2026</t>
        </is>
      </c>
    </row>
    <row r="2">
      <c r="A2" s="32" t="inlineStr">
        <is>
          <t>Số CP</t>
        </is>
      </c>
      <c r="B2" s="33" t="n">
        <v>8054999909</v>
      </c>
      <c r="C2" s="33" t="n">
        <v>8054999909</v>
      </c>
      <c r="D2" s="33" t="n">
        <v>8054999909</v>
      </c>
      <c r="E2" s="33" t="n">
        <v>8054999909</v>
      </c>
      <c r="F2" s="33" t="n">
        <v>8054999909</v>
      </c>
    </row>
    <row r="3">
      <c r="A3" s="32" t="inlineStr">
        <is>
          <t>Thị giá</t>
        </is>
      </c>
      <c r="B3" s="33" t="n">
        <v>75100</v>
      </c>
      <c r="C3" s="33" t="n">
        <v>75100</v>
      </c>
      <c r="D3" s="33" t="n">
        <v>75100</v>
      </c>
      <c r="E3" s="33" t="n">
        <v>75100</v>
      </c>
      <c r="F3" s="33" t="n">
        <v>75100</v>
      </c>
    </row>
    <row r="4">
      <c r="A4" s="32" t="inlineStr">
        <is>
          <t>Vốn hoá</t>
        </is>
      </c>
      <c r="B4" s="33">
        <f>B2*B3</f>
        <v/>
      </c>
      <c r="C4" s="33">
        <f>C2*C3</f>
        <v/>
      </c>
      <c r="D4" s="33">
        <f>D2*D3</f>
        <v/>
      </c>
      <c r="E4" s="33">
        <f>E2*E3</f>
        <v/>
      </c>
      <c r="F4" s="33">
        <f>F2*F3</f>
        <v/>
      </c>
    </row>
    <row r="5"/>
    <row r="6">
      <c r="A6" s="32" t="inlineStr">
        <is>
          <t>VCSH</t>
        </is>
      </c>
      <c r="B6" s="33">
        <f>chi_so_tai_chinh!I49</f>
        <v/>
      </c>
      <c r="C6" s="33">
        <f>B$6*(($F$6/$B$6)^(1/4))</f>
        <v/>
      </c>
      <c r="D6" s="33">
        <f>B$6*(($F$6/$B$6)^(2/4))</f>
        <v/>
      </c>
      <c r="E6" s="33">
        <f>B$6*(($F$6/$B$6)^(3/4))</f>
        <v/>
      </c>
      <c r="F6" s="33">
        <f>chi_so_tai_chinh!J49</f>
        <v/>
      </c>
      <c r="G6" s="34" t="n"/>
      <c r="H6" s="34" t="n"/>
      <c r="I6" s="34" t="n"/>
    </row>
    <row r="7">
      <c r="A7" s="32" t="inlineStr">
        <is>
          <t>LICĐKKS</t>
        </is>
      </c>
      <c r="B7" s="35">
        <f>chi_so_tai_chinh!I51</f>
        <v/>
      </c>
      <c r="C7" s="35">
        <f>C6*0.05</f>
        <v/>
      </c>
      <c r="D7" s="35">
        <f>D6*0.05</f>
        <v/>
      </c>
      <c r="E7" s="35">
        <f>E6*0.05</f>
        <v/>
      </c>
      <c r="F7" s="35">
        <f>F6*0.05</f>
        <v/>
      </c>
      <c r="G7" s="36" t="n"/>
      <c r="H7" s="36" t="n"/>
      <c r="I7" s="36" t="n"/>
    </row>
    <row r="8">
      <c r="A8" s="32" t="inlineStr">
        <is>
          <t>BV</t>
        </is>
      </c>
      <c r="B8" s="37">
        <f>B6-B7</f>
        <v/>
      </c>
      <c r="C8" s="37">
        <f>C6-C7</f>
        <v/>
      </c>
      <c r="D8" s="37">
        <f>D6-D7</f>
        <v/>
      </c>
      <c r="E8" s="37">
        <f>E6-E7</f>
        <v/>
      </c>
      <c r="F8" s="37">
        <f>F6-F7</f>
        <v/>
      </c>
    </row>
    <row r="9">
      <c r="A9" s="24" t="inlineStr">
        <is>
          <t>BVPS</t>
        </is>
      </c>
      <c r="B9" s="38">
        <f>B8/B2</f>
        <v/>
      </c>
      <c r="C9" s="38">
        <f>C8/C2</f>
        <v/>
      </c>
      <c r="D9" s="38">
        <f>D8/D2</f>
        <v/>
      </c>
      <c r="E9" s="38">
        <f>E8/E2</f>
        <v/>
      </c>
      <c r="F9" s="38">
        <f>F8/F2</f>
        <v/>
      </c>
    </row>
    <row r="10">
      <c r="A10" s="24" t="inlineStr">
        <is>
          <t>PB</t>
        </is>
      </c>
      <c r="B10" s="39">
        <f>$F$3/B9</f>
        <v/>
      </c>
      <c r="C10" s="39">
        <f>$F$3/C9</f>
        <v/>
      </c>
      <c r="D10" s="39">
        <f>$F$3/D9</f>
        <v/>
      </c>
      <c r="E10" s="39">
        <f>$F$3/E9</f>
        <v/>
      </c>
      <c r="F10" s="39">
        <f>$F$3/F9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4.5" customWidth="1" min="1" max="1"/>
    <col width="11.375" customWidth="1" min="2" max="2"/>
    <col width="12.25" customWidth="1" min="3" max="3"/>
    <col width="15" customWidth="1" min="6" max="6"/>
    <col width="12.125" customWidth="1" min="7" max="7"/>
    <col width="9" customWidth="1" min="8" max="8"/>
  </cols>
  <sheetData>
    <row r="1">
      <c r="A1" s="32" t="inlineStr">
        <is>
          <t>Chỉ tiêu</t>
        </is>
      </c>
      <c r="B1" s="32" t="n">
        <v>2022</v>
      </c>
      <c r="C1" s="32" t="n">
        <v>2023</v>
      </c>
      <c r="D1" s="32" t="n">
        <v>2024</v>
      </c>
      <c r="E1" s="32" t="n">
        <v>2025</v>
      </c>
    </row>
    <row r="2">
      <c r="A2" s="32" t="inlineStr">
        <is>
          <t>Lợi nhuận trước thuế kế hoạch</t>
        </is>
      </c>
      <c r="B2" s="33" t="n">
        <v>20300000</v>
      </c>
      <c r="C2" s="33" t="n">
        <v>26138350</v>
      </c>
      <c r="D2" s="33" t="n">
        <v>28410000</v>
      </c>
      <c r="E2" s="33" t="n">
        <v>32000000</v>
      </c>
    </row>
    <row r="3">
      <c r="A3" s="32" t="inlineStr">
        <is>
          <t>Lợi nhuận trước thuế thu nhập doanh nghiệp</t>
        </is>
      </c>
      <c r="B3" s="33">
        <f>chi_so_tai_chinh!F62/1000000</f>
        <v/>
      </c>
      <c r="C3" s="33">
        <f>chi_so_tai_chinh!G62/1000000</f>
        <v/>
      </c>
      <c r="D3" s="33">
        <f>chi_so_tai_chinh!H62/1000000</f>
        <v/>
      </c>
      <c r="E3" s="33" t="n"/>
    </row>
    <row r="4">
      <c r="A4" s="32" t="inlineStr">
        <is>
          <t>%thực hiện</t>
        </is>
      </c>
      <c r="B4" s="40">
        <f>B3/B2</f>
        <v/>
      </c>
      <c r="C4" s="40">
        <f>C3/C2</f>
        <v/>
      </c>
      <c r="D4" s="40">
        <f>D3/D2</f>
        <v/>
      </c>
      <c r="E4" s="40" t="n"/>
    </row>
    <row r="5"/>
    <row r="6">
      <c r="A6" s="32" t="inlineStr">
        <is>
          <t>Trung vị %thực hiện LN trước thuế</t>
        </is>
      </c>
      <c r="B6" s="40">
        <f>MEDIAN(B4:D4)</f>
        <v/>
      </c>
    </row>
    <row r="7"/>
    <row r="8">
      <c r="A8" s="32" t="inlineStr">
        <is>
          <t>Tỷ lệ hoàn thành LNST trên 95%</t>
        </is>
      </c>
      <c r="B8" s="40">
        <f>COUNTIF(B4:D4,"&gt;=95%")/COUNT(B4:D4)</f>
        <v/>
      </c>
    </row>
  </sheetData>
  <conditionalFormatting sqref="B6">
    <cfRule type="cellIs" priority="2" operator="greaterThanOrEqual" dxfId="1">
      <formula>1</formula>
    </cfRule>
  </conditionalFormatting>
  <conditionalFormatting sqref="B8">
    <cfRule type="cellIs" priority="1" operator="greaterThanOrEqual" dxfId="1">
      <formula>1</formula>
    </cfRule>
  </conditionalFormatting>
  <conditionalFormatting sqref="B4:E4">
    <cfRule type="cellIs" priority="3" operator="greaterThanOrEqual" dxfId="1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2026-10-29T03:12:45Z</dcterms:created>
  <dcterms:modified xsi:type="dcterms:W3CDTF">2026-10-29T03:12:45Z</dcterms:modified>
</cp:coreProperties>
</file>
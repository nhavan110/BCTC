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-* #,##0_-;\-* #,##0_-;_-* &quot;-&quot;_-;_-@_-"/>
    <numFmt numFmtId="166" formatCode="_(* #,##0_);_(* \(#,##0\);_(* &quot;-&quot;??_);_(@_)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0" fontId="5" fillId="3" borderId="2" pivotButton="0" quotePrefix="0" xfId="0"/>
    <xf numFmtId="10" fontId="6" fillId="4" borderId="2" pivotButton="0" quotePrefix="0" xfId="0"/>
    <xf numFmtId="9" fontId="6" fillId="4" borderId="2" pivotButton="0" quotePrefix="0" xfId="0"/>
    <xf numFmtId="9" fontId="6" fillId="5" borderId="2" pivotButton="0" quotePrefix="0" xfId="0"/>
    <xf numFmtId="0" fontId="7" fillId="3" borderId="2" pivotButton="0" quotePrefix="0" xfId="0"/>
    <xf numFmtId="10" fontId="6" fillId="3" borderId="2" pivotButton="0" quotePrefix="0" xfId="0"/>
    <xf numFmtId="0" fontId="3" fillId="6" borderId="2" pivotButton="0" quotePrefix="0" xfId="0"/>
    <xf numFmtId="0" fontId="6" fillId="6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3" fontId="3" fillId="0" borderId="2" applyAlignment="1" pivotButton="0" quotePrefix="0" xfId="0">
      <alignment horizontal="center"/>
    </xf>
    <xf numFmtId="3" fontId="6" fillId="0" borderId="0" pivotButton="0" quotePrefix="0" xfId="0"/>
    <xf numFmtId="0" fontId="4" fillId="0" borderId="2" pivotButton="0" quotePrefix="0" xfId="0"/>
    <xf numFmtId="3" fontId="8" fillId="0" borderId="2" pivotButton="0" quotePrefix="0" xfId="0"/>
    <xf numFmtId="3" fontId="9" fillId="0" borderId="2" pivotButton="0" quotePrefix="0" xfId="0"/>
    <xf numFmtId="3" fontId="9" fillId="0" borderId="0" pivotButton="0" quotePrefix="0" xfId="0"/>
    <xf numFmtId="0" fontId="10" fillId="0" borderId="2" pivotButton="0" quotePrefix="0" xfId="0"/>
    <xf numFmtId="3" fontId="11" fillId="0" borderId="2" pivotButton="0" quotePrefix="0" xfId="0"/>
    <xf numFmtId="3" fontId="10" fillId="0" borderId="0" pivotButton="0" quotePrefix="0" xfId="0"/>
    <xf numFmtId="3" fontId="12" fillId="0" borderId="2" pivotButton="0" quotePrefix="0" xfId="0"/>
    <xf numFmtId="0" fontId="13" fillId="0" borderId="2" pivotButton="0" quotePrefix="0" xfId="0"/>
    <xf numFmtId="9" fontId="13" fillId="0" borderId="2" pivotButton="0" quotePrefix="0" xfId="0"/>
    <xf numFmtId="3" fontId="13" fillId="0" borderId="0" pivotButton="0" quotePrefix="0" xfId="0"/>
    <xf numFmtId="3" fontId="14" fillId="0" borderId="0" pivotButton="0" quotePrefix="0" xfId="0"/>
    <xf numFmtId="0" fontId="6" fillId="0" borderId="2" pivotButton="0" quotePrefix="0" xfId="0"/>
    <xf numFmtId="3" fontId="6" fillId="0" borderId="2" pivotButton="0" quotePrefix="0" xfId="0"/>
    <xf numFmtId="43" fontId="6" fillId="0" borderId="0" pivotButton="0" quotePrefix="0" xfId="0"/>
    <xf numFmtId="165" fontId="6" fillId="0" borderId="2" pivotButton="0" quotePrefix="0" xfId="0"/>
    <xf numFmtId="9" fontId="6" fillId="0" borderId="0" pivotButton="0" quotePrefix="0" xfId="0"/>
    <xf numFmtId="41" fontId="6" fillId="0" borderId="2" pivotButton="0" quotePrefix="0" xfId="0"/>
    <xf numFmtId="166" fontId="10" fillId="0" borderId="2" pivotButton="0" quotePrefix="0" xfId="0"/>
    <xf numFmtId="43" fontId="10" fillId="0" borderId="2" pivotButton="0" quotePrefix="0" xfId="0"/>
    <xf numFmtId="9" fontId="6" fillId="0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n"/>
      <c r="C36" s="4" t="n"/>
      <c r="D36" s="4" t="n"/>
      <c r="E36" s="4" t="n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n"/>
      <c r="C40" s="4" t="n"/>
      <c r="D40" s="4" t="n"/>
      <c r="E40" s="4" t="n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n"/>
      <c r="C77" s="4" t="n"/>
      <c r="D77" s="4" t="n"/>
      <c r="E77" s="4" t="n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47.875" customWidth="1" min="1" max="1"/>
    <col width="17.125" customWidth="1" min="2" max="2"/>
    <col width="18.125" customWidth="1" min="8" max="8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7" t="inlineStr">
        <is>
          <t>ROE</t>
        </is>
      </c>
      <c r="B2" s="8" t="n"/>
      <c r="C2" s="9">
        <f>IFERROR(C$61/AVERAGE(B$49,C$49),"n/a")</f>
        <v/>
      </c>
      <c r="D2" s="9">
        <f>IFERROR(D$61/AVERAGE(C$49,D$49),"n/a")</f>
        <v/>
      </c>
      <c r="E2" s="9">
        <f>IFERROR(E$61/AVERAGE(D$49,E$49),"n/a")</f>
        <v/>
      </c>
      <c r="F2" s="9">
        <f>IFERROR(F$61/AVERAGE(E$49,F$49),"n/a")</f>
        <v/>
      </c>
      <c r="G2" s="9">
        <f>IFERROR(G$61/AVERAGE(F$49,G$49),"n/a")</f>
        <v/>
      </c>
      <c r="H2" s="9">
        <f>IFERROR(H$61/AVERAGE(G$49,H$49),"n/a")</f>
        <v/>
      </c>
      <c r="I2" s="9">
        <f>IFERROR(I$61/AVERAGE(H$49,I$49),"n/a")</f>
        <v/>
      </c>
    </row>
    <row r="3">
      <c r="A3" s="7" t="inlineStr">
        <is>
          <t>Tăng trưởng LNST</t>
        </is>
      </c>
      <c r="B3" s="8" t="n"/>
      <c r="C3" s="10">
        <f>IFERROR((C$61-B$61)/ABS(B$61),"n/a")</f>
        <v/>
      </c>
      <c r="D3" s="10">
        <f>IFERROR((D$61-C$61)/ABS(C$61),"n/a")</f>
        <v/>
      </c>
      <c r="E3" s="10">
        <f>IFERROR((E$61-D$61)/ABS(D$61),"n/a")</f>
        <v/>
      </c>
      <c r="F3" s="10">
        <f>IFERROR((F$61-E$61)/ABS(E$61),"n/a")</f>
        <v/>
      </c>
      <c r="G3" s="10">
        <f>IFERROR((G$61-F$61)/ABS(F$61),"n/a")</f>
        <v/>
      </c>
      <c r="H3" s="10">
        <f>IFERROR((H$61-G$61)/ABS(G$61),"n/a")</f>
        <v/>
      </c>
      <c r="I3" s="10">
        <f>IFERROR((I$61-H$61)/ABS(H$61),"n/a")</f>
        <v/>
      </c>
    </row>
    <row r="4">
      <c r="A4" s="7" t="inlineStr">
        <is>
          <t>Tăng trưởng thu nhập hoạt động</t>
        </is>
      </c>
      <c r="B4" s="8" t="n"/>
      <c r="C4" s="11">
        <f>IFERROR((C$55-B$55)/ABS(B$55),"n/a")</f>
        <v/>
      </c>
      <c r="D4" s="11">
        <f>IFERROR((D$55-C$55)/ABS(C$55),"n/a")</f>
        <v/>
      </c>
      <c r="E4" s="11">
        <f>IFERROR((E$55-D$55)/ABS(D$55),"n/a")</f>
        <v/>
      </c>
      <c r="F4" s="11">
        <f>IFERROR((F$55-E$55)/ABS(E$55),"n/a")</f>
        <v/>
      </c>
      <c r="G4" s="11">
        <f>IFERROR((G$55-F$55)/ABS(F$55),"n/a")</f>
        <v/>
      </c>
      <c r="H4" s="11">
        <f>IFERROR((H$55-G$55)/ABS(G$55),"n/a")</f>
        <v/>
      </c>
      <c r="I4" s="11">
        <f>IFERROR((I$55-H$55)/ABS(H$55),"n/a")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IFERROR(B$55/AVERAGE(B$42,A42),"n/a")</f>
        <v/>
      </c>
      <c r="C6" s="8">
        <f>IFERROR(C$55/AVERAGE(C$42,B42),"n/a")</f>
        <v/>
      </c>
      <c r="D6" s="8">
        <f>IFERROR(D$55/AVERAGE(D$42,C42),"n/a")</f>
        <v/>
      </c>
      <c r="E6" s="8">
        <f>IFERROR(E$55/AVERAGE(E$42,D42),"n/a")</f>
        <v/>
      </c>
      <c r="F6" s="8">
        <f>IFERROR(F$55/AVERAGE(F$42,E42),"n/a")</f>
        <v/>
      </c>
      <c r="G6" s="8">
        <f>IFERROR(G$55/AVERAGE(G$42,F42),"n/a")</f>
        <v/>
      </c>
      <c r="H6" s="8">
        <f>IFERROR(H$55/AVERAGE(H$42,G42),"n/a")</f>
        <v/>
      </c>
      <c r="I6" s="8">
        <f>IFERROR(I$55/AVERAGE(I$42,H42),"n/a")</f>
        <v/>
      </c>
    </row>
    <row r="7">
      <c r="A7" s="7" t="inlineStr">
        <is>
          <t>CASA</t>
        </is>
      </c>
      <c r="B7" s="8" t="n"/>
      <c r="C7" s="8" t="n"/>
      <c r="D7" s="8" t="n"/>
      <c r="E7" s="8">
        <f>IFERROR((D$45+E$45+D$48+E$48)/(D$44+E$44),"n/a")</f>
        <v/>
      </c>
      <c r="F7" s="8">
        <f>IFERROR((E$45+F$45+E$48+F$48)/(E$44+F$44),"n/a")</f>
        <v/>
      </c>
      <c r="G7" s="8">
        <f>IFERROR((F$45+G$45+F$48+G$48)/(F$44+G$44),"n/a")</f>
        <v/>
      </c>
      <c r="H7" s="8">
        <f>IFERROR((G$45+H$45+G$48+H$48)/(G$44+H$44),"n/a")</f>
        <v/>
      </c>
      <c r="I7" s="8">
        <f>IFERROR((H$45+I$45+H$48+I$48)/(H$44+I$44),"n/a")</f>
        <v/>
      </c>
    </row>
    <row r="8">
      <c r="A8" s="7" t="inlineStr">
        <is>
          <t>NPL</t>
        </is>
      </c>
      <c r="B8" s="8" t="n"/>
      <c r="C8" s="8" t="n"/>
      <c r="D8" s="8" t="n"/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IFERROR(ABS(C$54)/AVERAGE(C$42,B42),"n/a")</f>
        <v/>
      </c>
      <c r="D9" s="13">
        <f>IFERROR(ABS(D$54)/AVERAGE(D$42,C42),"n/a")</f>
        <v/>
      </c>
      <c r="E9" s="13">
        <f>IFERROR(ABS(E$54)/AVERAGE(E$42,D42),"n/a")</f>
        <v/>
      </c>
      <c r="F9" s="13">
        <f>IFERROR(ABS(F$54)/AVERAGE(F$42,E42),"n/a")</f>
        <v/>
      </c>
      <c r="G9" s="13">
        <f>IFERROR(ABS(G$54)/AVERAGE(G$42,F42),"n/a")</f>
        <v/>
      </c>
      <c r="H9" s="13">
        <f>IFERROR(ABS(H$54)/AVERAGE(H$42,G42),"n/a")</f>
        <v/>
      </c>
      <c r="I9" s="13">
        <f>IFERROR(ABS(I$54)/AVERAGE(I$42,H42),"n/a")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IFERROR(ABS(B$58)/B$57,"n/a")</f>
        <v/>
      </c>
      <c r="C15" s="8">
        <f>IFERROR(ABS(C$58)/C$57,"n/a")</f>
        <v/>
      </c>
      <c r="D15" s="8">
        <f>IFERROR(ABS(D$58)/D$57,"n/a")</f>
        <v/>
      </c>
      <c r="E15" s="8">
        <f>IFERROR(ABS(E$58)/E$57,"n/a")</f>
        <v/>
      </c>
      <c r="F15" s="8">
        <f>IFERROR(ABS(F$58)/F$57,"n/a")</f>
        <v/>
      </c>
      <c r="G15" s="8">
        <f>IFERROR(ABS(G$58)/G$57,"n/a")</f>
        <v/>
      </c>
      <c r="H15" s="8">
        <f>IFERROR(ABS(H$58)/H$57,"n/a")</f>
        <v/>
      </c>
      <c r="I15" s="8">
        <f>IFERROR(ABS(I$58)/I$57,"n/a")</f>
        <v/>
      </c>
    </row>
    <row r="16">
      <c r="A16" s="12" t="inlineStr">
        <is>
          <t>VCSH/Tổng tài sản</t>
        </is>
      </c>
      <c r="B16" s="13">
        <f>IFERROR(B$49/B$24,"n/a")</f>
        <v/>
      </c>
      <c r="C16" s="13">
        <f>IFERROR(C$49/C$24,"n/a")</f>
        <v/>
      </c>
      <c r="D16" s="13">
        <f>IFERROR(D$49/D$24,"n/a")</f>
        <v/>
      </c>
      <c r="E16" s="13">
        <f>IFERROR(E$49/E$24,"n/a")</f>
        <v/>
      </c>
      <c r="F16" s="13">
        <f>IFERROR(F$49/F$24,"n/a")</f>
        <v/>
      </c>
      <c r="G16" s="13">
        <f>IFERROR(G$49/G$24,"n/a")</f>
        <v/>
      </c>
      <c r="H16" s="13">
        <f>IFERROR(H$49/H$24,"n/a")</f>
        <v/>
      </c>
      <c r="I16" s="13">
        <f>IFERROR(I$49/I$24,"n/a")</f>
        <v/>
      </c>
    </row>
    <row r="17">
      <c r="A17" s="12" t="inlineStr">
        <is>
          <t>Tỷ lệ lãi và phí phải thu/Thu nhập lãi</t>
        </is>
      </c>
      <c r="B17" s="13">
        <f>IFERROR(B59/B$53,"n/a")</f>
        <v/>
      </c>
      <c r="C17" s="13">
        <f>IFERROR(C59/C$53,"n/a")</f>
        <v/>
      </c>
      <c r="D17" s="13">
        <f>IFERROR(D59/D$53,"n/a")</f>
        <v/>
      </c>
      <c r="E17" s="13">
        <f>IFERROR(E59/E$53,"n/a")</f>
        <v/>
      </c>
      <c r="F17" s="13">
        <f>IFERROR(F59/F$53,"n/a")</f>
        <v/>
      </c>
      <c r="G17" s="13">
        <f>IFERROR(G59/G$53,"n/a")</f>
        <v/>
      </c>
      <c r="H17" s="13">
        <f>IFERROR(H59/H$53,"n/a")</f>
        <v/>
      </c>
      <c r="I17" s="13">
        <f>IFERROR(I59/I$53,"n/a")</f>
        <v/>
      </c>
    </row>
    <row r="18">
      <c r="A18" s="7" t="inlineStr">
        <is>
          <t>Thu nhập ngoài lãi/Thu nhập hoạt động</t>
        </is>
      </c>
      <c r="B18" s="8">
        <f>IFERROR(B$56/B$57,"n/a")</f>
        <v/>
      </c>
      <c r="C18" s="8">
        <f>IFERROR(C$56/C$57,"n/a")</f>
        <v/>
      </c>
      <c r="D18" s="8">
        <f>IFERROR(D$56/D$57,"n/a")</f>
        <v/>
      </c>
      <c r="E18" s="8">
        <f>IFERROR(E$56/E$57,"n/a")</f>
        <v/>
      </c>
      <c r="F18" s="8">
        <f>IFERROR(F$56/F$57,"n/a")</f>
        <v/>
      </c>
      <c r="G18" s="8">
        <f>IFERROR(G$56/G$57,"n/a")</f>
        <v/>
      </c>
      <c r="H18" s="8">
        <f>IFERROR(H$56/H$57,"n/a")</f>
        <v/>
      </c>
      <c r="I18" s="8">
        <f>IFERROR(I$56/I$57,"n/a")</f>
        <v/>
      </c>
    </row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cay các TCTC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/>
      <c r="C30" s="22" t="n"/>
      <c r="D30" s="22" t="n"/>
      <c r="E30" s="22" t="n">
        <v>349223000000000</v>
      </c>
      <c r="F30" s="22" t="n">
        <v>443975000000000</v>
      </c>
      <c r="G30" s="22" t="n">
        <v>587326000000000</v>
      </c>
      <c r="H30" s="22" t="n">
        <v>751876000000000</v>
      </c>
      <c r="I30" s="22" t="n">
        <v>1059782000000000</v>
      </c>
      <c r="J30" s="23" t="n"/>
    </row>
    <row r="31">
      <c r="A31" s="20" t="inlineStr">
        <is>
          <t>+ Nợ cần chú ý</t>
        </is>
      </c>
      <c r="B31" s="22" t="n"/>
      <c r="C31" s="22" t="n"/>
      <c r="D31" s="22" t="n"/>
      <c r="E31" s="22" t="n">
        <v>3913000000000</v>
      </c>
      <c r="F31" s="22" t="n">
        <v>7809000000000</v>
      </c>
      <c r="G31" s="22" t="n">
        <v>13918000000000</v>
      </c>
      <c r="H31" s="22" t="n">
        <v>12197000000000</v>
      </c>
      <c r="I31" s="22" t="n">
        <v>10210000000000</v>
      </c>
      <c r="J31" s="19" t="n"/>
    </row>
    <row r="32">
      <c r="A32" s="20" t="inlineStr">
        <is>
          <t>+ Nợ dưới tiêu chuẩn</t>
        </is>
      </c>
      <c r="B32" s="22" t="n"/>
      <c r="C32" s="22" t="n"/>
      <c r="D32" s="22" t="n"/>
      <c r="E32" s="22" t="n">
        <v>1433000000000</v>
      </c>
      <c r="F32" s="22" t="n">
        <v>1517000000000</v>
      </c>
      <c r="G32" s="22" t="n">
        <v>3211000000000</v>
      </c>
      <c r="H32" s="22" t="n">
        <v>3380000000000</v>
      </c>
      <c r="I32" s="22" t="n">
        <v>3276000000000</v>
      </c>
      <c r="J32" s="19" t="n"/>
    </row>
    <row r="33">
      <c r="A33" s="20" t="inlineStr">
        <is>
          <t>+ Nợ nghi ngờ</t>
        </is>
      </c>
      <c r="B33" s="22" t="n"/>
      <c r="C33" s="22" t="n"/>
      <c r="D33" s="22" t="n"/>
      <c r="E33" s="22" t="n">
        <v>1015000000000</v>
      </c>
      <c r="F33" s="22" t="n">
        <v>1221000000000</v>
      </c>
      <c r="G33" s="22" t="n">
        <v>3704000000000</v>
      </c>
      <c r="H33" s="22" t="n">
        <v>4599000000000</v>
      </c>
      <c r="I33" s="22" t="n">
        <v>4330000000000</v>
      </c>
      <c r="J33" s="19" t="n"/>
    </row>
    <row r="34">
      <c r="A34" s="20" t="inlineStr">
        <is>
          <t>+ Nợ có khả năng mất vốn</t>
        </is>
      </c>
      <c r="B34" s="22" t="n"/>
      <c r="C34" s="22" t="n"/>
      <c r="D34" s="22" t="n"/>
      <c r="E34" s="22" t="n">
        <v>819000000000</v>
      </c>
      <c r="F34" s="22" t="n">
        <v>2293000000000</v>
      </c>
      <c r="G34" s="22" t="n">
        <v>2890000000000</v>
      </c>
      <c r="H34" s="22" t="n">
        <v>4607000000000</v>
      </c>
      <c r="I34" s="22" t="n">
        <v>6421000000000</v>
      </c>
      <c r="J34" s="23" t="n"/>
    </row>
    <row r="35">
      <c r="A35" s="24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26" t="n"/>
    </row>
    <row r="36">
      <c r="A36" s="20" t="inlineStr">
        <is>
          <t>Cho vay KDBĐS</t>
        </is>
      </c>
      <c r="B36" s="22" t="n"/>
      <c r="C36" s="22" t="n"/>
      <c r="D36" s="22" t="n"/>
      <c r="E36" s="22" t="n">
        <v>12632000000000</v>
      </c>
      <c r="F36" s="22" t="n">
        <v>21358000000000</v>
      </c>
      <c r="G36" s="22" t="n">
        <v>43268000000000</v>
      </c>
      <c r="H36" s="22" t="n">
        <v>64141000000000</v>
      </c>
      <c r="I36" s="22" t="n">
        <v>121189000000000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19" t="n"/>
    </row>
    <row r="43">
      <c r="A43" s="16" t="inlineStr">
        <is>
          <t>Nguồn vốn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/>
      <c r="C45" s="22" t="n"/>
      <c r="D45" s="22" t="n"/>
      <c r="E45" s="22" t="n">
        <v>171396000000000</v>
      </c>
      <c r="F45" s="22" t="n">
        <v>166972000000000</v>
      </c>
      <c r="G45" s="22" t="n">
        <v>216092000000000</v>
      </c>
      <c r="H45" s="22" t="n">
        <v>271580000000000</v>
      </c>
      <c r="I45" s="22" t="n">
        <v>339353000000000</v>
      </c>
      <c r="J45" s="19" t="n"/>
    </row>
    <row r="46">
      <c r="A46" s="20" t="inlineStr">
        <is>
          <t>+ Tiền gửi có kỳ hạn</t>
        </is>
      </c>
      <c r="B46" s="22" t="n"/>
      <c r="C46" s="22" t="n"/>
      <c r="D46" s="22" t="n"/>
      <c r="E46" s="22" t="n">
        <v>197180000000000</v>
      </c>
      <c r="F46" s="22" t="n">
        <v>263452000000000</v>
      </c>
      <c r="G46" s="22" t="n">
        <v>339421000000000</v>
      </c>
      <c r="H46" s="22" t="n">
        <v>433477000000000</v>
      </c>
      <c r="I46" s="22" t="n">
        <v>573483000000000</v>
      </c>
      <c r="J46" s="19" t="n"/>
    </row>
    <row r="47">
      <c r="A47" s="20" t="inlineStr">
        <is>
          <t>+ Tiền gửi vốn chuyên dùng</t>
        </is>
      </c>
      <c r="B47" s="22" t="n"/>
      <c r="C47" s="22" t="n"/>
      <c r="D47" s="22" t="n"/>
      <c r="E47" s="22" t="n">
        <v>4389000000000</v>
      </c>
      <c r="F47" s="22" t="n">
        <v>2827000000000</v>
      </c>
      <c r="G47" s="22" t="n">
        <v>3264000000000</v>
      </c>
      <c r="H47" s="22" t="n">
        <v>1791000000000</v>
      </c>
      <c r="I47" s="22" t="n">
        <v>1226000000000</v>
      </c>
      <c r="J47" s="19" t="n"/>
    </row>
    <row r="48">
      <c r="A48" s="20" t="inlineStr">
        <is>
          <t>+ Tiền ký quỹ</t>
        </is>
      </c>
      <c r="B48" s="22" t="n"/>
      <c r="C48" s="22" t="n"/>
      <c r="D48" s="22" t="n"/>
      <c r="E48" s="22" t="n">
        <v>11728000000000</v>
      </c>
      <c r="F48" s="22" t="n">
        <v>10355000000000</v>
      </c>
      <c r="G48" s="22" t="n">
        <v>8755000000000</v>
      </c>
      <c r="H48" s="22" t="n">
        <v>7307000000000</v>
      </c>
      <c r="I48" s="22" t="n">
        <v>7307000000000</v>
      </c>
      <c r="J48" s="19" t="n"/>
    </row>
    <row r="49">
      <c r="A49" s="16" t="inlineStr">
        <is>
          <t>VỐN CHỦ SỞ HỮU</t>
        </is>
      </c>
      <c r="B49" s="27">
        <f>IFERROR(INDEX(balance_sheet!$B:$I,MATCH("VỐN CHỦ SỞ HỮU",balance_sheet!$A:$A,0),MATCH(B$21,balance_sheet!$B$1:$I$1,0)),"")</f>
        <v/>
      </c>
      <c r="C49" s="27">
        <f>IFERROR(INDEX(balance_sheet!$B:$I,MATCH("VỐN CHỦ SỞ HỮU",balance_sheet!$A:$A,0),MATCH(C$21,balance_sheet!$B$1:$I$1,0)),"")</f>
        <v/>
      </c>
      <c r="D49" s="27">
        <f>IFERROR(INDEX(balance_sheet!$B:$I,MATCH("VỐN CHỦ SỞ HỮU",balance_sheet!$A:$A,0),MATCH(D$21,balance_sheet!$B$1:$I$1,0)),"")</f>
        <v/>
      </c>
      <c r="E49" s="27">
        <f>IFERROR(INDEX(balance_sheet!$B:$I,MATCH("VỐN CHỦ SỞ HỮU",balance_sheet!$A:$A,0),MATCH(E$21,balance_sheet!$B$1:$I$1,0)),"")</f>
        <v/>
      </c>
      <c r="F49" s="27">
        <f>IFERROR(INDEX(balance_sheet!$B:$I,MATCH("VỐN CHỦ SỞ HỮU",balance_sheet!$A:$A,0),MATCH(F$21,balance_sheet!$B$1:$I$1,0)),"")</f>
        <v/>
      </c>
      <c r="G49" s="27">
        <f>IFERROR(INDEX(balance_sheet!$B:$I,MATCH("VỐN CHỦ SỞ HỮU",balance_sheet!$A:$A,0),MATCH(G$21,balance_sheet!$B$1:$I$1,0)),"")</f>
        <v/>
      </c>
      <c r="H49" s="27">
        <f>IFERROR(INDEX(balance_sheet!$B:$I,MATCH("VỐN CHỦ SỞ HỮU",balance_sheet!$A:$A,0),MATCH(H$21,balance_sheet!$B$1:$I$1,0)),"")</f>
        <v/>
      </c>
      <c r="I49" s="27">
        <f>IFERROR(INDEX(balance_sheet!$B:$I,MATCH("VỐN CHỦ SỞ HỮU",balance_sheet!$A:$A,0),MATCH(I$21,balance_sheet!$B$1:$I$1,0)),"")</f>
        <v/>
      </c>
      <c r="J49" s="27">
        <f>I49+0.9*J61</f>
        <v/>
      </c>
    </row>
    <row r="50">
      <c r="A50" s="28" t="inlineStr">
        <is>
          <t>Tăng VCSH/LN cty mẹ</t>
        </is>
      </c>
      <c r="B50" s="29" t="n"/>
      <c r="C50" s="29">
        <f>(C49-B49)/C61</f>
        <v/>
      </c>
      <c r="D50" s="29">
        <f>(D49-C49)/D61</f>
        <v/>
      </c>
      <c r="E50" s="29">
        <f>(E49-D49)/E61</f>
        <v/>
      </c>
      <c r="F50" s="29">
        <f>(F49-E49)/F61</f>
        <v/>
      </c>
      <c r="G50" s="29">
        <f>(G49-F49)/G61</f>
        <v/>
      </c>
      <c r="H50" s="29">
        <f>(H49-G49)/H61</f>
        <v/>
      </c>
      <c r="I50" s="29">
        <f>(I49-H49)/I61</f>
        <v/>
      </c>
      <c r="J50" s="30" t="n"/>
    </row>
    <row r="51">
      <c r="A51" s="16" t="inlineStr">
        <is>
          <t>Lợi ích của cổ đông thiểu số</t>
        </is>
      </c>
      <c r="B51" s="27">
        <f>IFERROR(INDEX(balance_sheet!$B:$I,MATCH("Lợi ích của cổ đông thiểu số",balance_sheet!$A:$A,0),MATCH(B$21,balance_sheet!$B$1:$I$1,0)),"")</f>
        <v/>
      </c>
      <c r="C51" s="27">
        <f>IFERROR(INDEX(balance_sheet!$B:$I,MATCH("Lợi ích của cổ đông thiểu số",balance_sheet!$A:$A,0),MATCH(C$21,balance_sheet!$B$1:$I$1,0)),"")</f>
        <v/>
      </c>
      <c r="D51" s="27">
        <f>IFERROR(INDEX(balance_sheet!$B:$I,MATCH("Lợi ích của cổ đông thiểu số",balance_sheet!$A:$A,0),MATCH(D$21,balance_sheet!$B$1:$I$1,0)),"")</f>
        <v/>
      </c>
      <c r="E51" s="27">
        <f>IFERROR(INDEX(balance_sheet!$B:$I,MATCH("Lợi ích của cổ đông thiểu số",balance_sheet!$A:$A,0),MATCH(E$21,balance_sheet!$B$1:$I$1,0)),"")</f>
        <v/>
      </c>
      <c r="F51" s="27">
        <f>IFERROR(INDEX(balance_sheet!$B:$I,MATCH("Lợi ích của cổ đông thiểu số",balance_sheet!$A:$A,0),MATCH(F$21,balance_sheet!$B$1:$I$1,0)),"")</f>
        <v/>
      </c>
      <c r="G51" s="27">
        <f>IFERROR(INDEX(balance_sheet!$B:$I,MATCH("Lợi ích của cổ đông thiểu số",balance_sheet!$A:$A,0),MATCH(G$21,balance_sheet!$B$1:$I$1,0)),"")</f>
        <v/>
      </c>
      <c r="H51" s="27">
        <f>IFERROR(INDEX(balance_sheet!$B:$I,MATCH("Lợi ích của cổ đông thiểu số",balance_sheet!$A:$A,0),MATCH(H$21,balance_sheet!$B$1:$I$1,0)),"")</f>
        <v/>
      </c>
      <c r="I51" s="27">
        <f>IFERROR(INDEX(balance_sheet!$B:$I,MATCH("Lợi ích của cổ đông thiểu số",balance_sheet!$A:$A,0),MATCH(I$21,balance_sheet!$B$1:$I$1,0)),"")</f>
        <v/>
      </c>
      <c r="J51" s="31" t="n"/>
    </row>
    <row r="52">
      <c r="A52" s="16" t="inlineStr">
        <is>
          <t>Kết quả hoạt động kinh doanh</t>
        </is>
      </c>
      <c r="B52" s="21" t="n"/>
      <c r="C52" s="21" t="n"/>
      <c r="D52" s="21" t="n"/>
      <c r="E52" s="21" t="n"/>
      <c r="F52" s="21" t="n"/>
      <c r="G52" s="21" t="n"/>
      <c r="H52" s="21" t="n"/>
      <c r="I52" s="21" t="n"/>
      <c r="J52" s="19" t="n"/>
    </row>
    <row r="53">
      <c r="A53" s="20" t="inlineStr">
        <is>
          <t>Thu nhập lãi</t>
        </is>
      </c>
      <c r="B53" s="21">
        <f>IFERROR(INDEX(income_statement!$B:$I,MATCH("Thu nhập lãi và các khoản thu nhập tương tự",income_statement!$A:$A,0),MATCH(B$21,income_statement!$B$1:$I$1,0)),"")</f>
        <v/>
      </c>
      <c r="C53" s="21">
        <f>IFERROR(INDEX(income_statement!$B:$I,MATCH("Thu nhập lãi và các khoản thu nhập tương tự",income_statement!$A:$A,0),MATCH(C$21,income_statement!$B$1:$I$1,0)),"")</f>
        <v/>
      </c>
      <c r="D53" s="21">
        <f>IFERROR(INDEX(income_statement!$B:$I,MATCH("Thu nhập lãi và các khoản thu nhập tương tự",income_statement!$A:$A,0),MATCH(D$21,income_statement!$B$1:$I$1,0)),"")</f>
        <v/>
      </c>
      <c r="E53" s="21">
        <f>IFERROR(INDEX(income_statement!$B:$I,MATCH("Thu nhập lãi và các khoản thu nhập tương tự",income_statement!$A:$A,0),MATCH(E$21,income_statement!$B$1:$I$1,0)),"")</f>
        <v/>
      </c>
      <c r="F53" s="21">
        <f>IFERROR(INDEX(income_statement!$B:$I,MATCH("Thu nhập lãi và các khoản thu nhập tương tự",income_statement!$A:$A,0),MATCH(F$21,income_statement!$B$1:$I$1,0)),"")</f>
        <v/>
      </c>
      <c r="G53" s="21">
        <f>IFERROR(INDEX(income_statement!$B:$I,MATCH("Thu nhập lãi và các khoản thu nhập tương tự",income_statement!$A:$A,0),MATCH(G$21,income_statement!$B$1:$I$1,0)),"")</f>
        <v/>
      </c>
      <c r="H53" s="21">
        <f>IFERROR(INDEX(income_statement!$B:$I,MATCH("Thu nhập lãi và các khoản thu nhập tương tự",income_statement!$A:$A,0),MATCH(H$21,income_statement!$B$1:$I$1,0)),"")</f>
        <v/>
      </c>
      <c r="I53" s="21">
        <f>IFERROR(INDEX(income_statement!$B:$I,MATCH("Thu nhập lãi và các khoản thu nhập tương tự",income_statement!$A:$A,0),MATCH(I$21,income_statement!$B$1:$I$1,0)),"")</f>
        <v/>
      </c>
      <c r="J53" s="19" t="n"/>
    </row>
    <row r="54">
      <c r="A54" s="20" t="inlineStr">
        <is>
          <t>Chi phí lãi</t>
        </is>
      </c>
      <c r="B54" s="21">
        <f>IFERROR(INDEX(income_statement!$B:$I,MATCH("Chi phí lãi và các chi phí tương tự",income_statement!$A:$A,0),MATCH(B$21,income_statement!$B$1:$I$1,0)),"")</f>
        <v/>
      </c>
      <c r="C54" s="21">
        <f>IFERROR(INDEX(income_statement!$B:$I,MATCH("Chi phí lãi và các chi phí tương tự",income_statement!$A:$A,0),MATCH(C$21,income_statement!$B$1:$I$1,0)),"")</f>
        <v/>
      </c>
      <c r="D54" s="21">
        <f>IFERROR(INDEX(income_statement!$B:$I,MATCH("Chi phí lãi và các chi phí tương tự",income_statement!$A:$A,0),MATCH(D$21,income_statement!$B$1:$I$1,0)),"")</f>
        <v/>
      </c>
      <c r="E54" s="21">
        <f>IFERROR(INDEX(income_statement!$B:$I,MATCH("Chi phí lãi và các chi phí tương tự",income_statement!$A:$A,0),MATCH(E$21,income_statement!$B$1:$I$1,0)),"")</f>
        <v/>
      </c>
      <c r="F54" s="21">
        <f>IFERROR(INDEX(income_statement!$B:$I,MATCH("Chi phí lãi và các chi phí tương tự",income_statement!$A:$A,0),MATCH(F$21,income_statement!$B$1:$I$1,0)),"")</f>
        <v/>
      </c>
      <c r="G54" s="21">
        <f>IFERROR(INDEX(income_statement!$B:$I,MATCH("Chi phí lãi và các chi phí tương tự",income_statement!$A:$A,0),MATCH(G$21,income_statement!$B$1:$I$1,0)),"")</f>
        <v/>
      </c>
      <c r="H54" s="21">
        <f>IFERROR(INDEX(income_statement!$B:$I,MATCH("Chi phí lãi và các chi phí tương tự",income_statement!$A:$A,0),MATCH(H$21,income_statement!$B$1:$I$1,0)),"")</f>
        <v/>
      </c>
      <c r="I54" s="21">
        <f>IFERROR(INDEX(income_statement!$B:$I,MATCH("Chi phí lãi và các chi phí tương tự",income_statement!$A:$A,0),MATCH(I$21,income_statement!$B$1:$I$1,0)),"")</f>
        <v/>
      </c>
      <c r="J54" s="19" t="n"/>
    </row>
    <row r="55">
      <c r="A55" s="16" t="inlineStr">
        <is>
          <t>Thu nhập lãi thuần</t>
        </is>
      </c>
      <c r="B55" s="27">
        <f>IFERROR(INDEX(income_statement!$B:$I,MATCH("Thu nhập lãi thuần",income_statement!$A:$A,0),MATCH(B$21,income_statement!$B$1:$I$1,0)),"")</f>
        <v/>
      </c>
      <c r="C55" s="27">
        <f>IFERROR(INDEX(income_statement!$B:$I,MATCH("Thu nhập lãi thuần",income_statement!$A:$A,0),MATCH(C$21,income_statement!$B$1:$I$1,0)),"")</f>
        <v/>
      </c>
      <c r="D55" s="27">
        <f>IFERROR(INDEX(income_statement!$B:$I,MATCH("Thu nhập lãi thuần",income_statement!$A:$A,0),MATCH(D$21,income_statement!$B$1:$I$1,0)),"")</f>
        <v/>
      </c>
      <c r="E55" s="27">
        <f>IFERROR(INDEX(income_statement!$B:$I,MATCH("Thu nhập lãi thuần",income_statement!$A:$A,0),MATCH(E$21,income_statement!$B$1:$I$1,0)),"")</f>
        <v/>
      </c>
      <c r="F55" s="27">
        <f>IFERROR(INDEX(income_statement!$B:$I,MATCH("Thu nhập lãi thuần",income_statement!$A:$A,0),MATCH(F$21,income_statement!$B$1:$I$1,0)),"")</f>
        <v/>
      </c>
      <c r="G55" s="27">
        <f>IFERROR(INDEX(income_statement!$B:$I,MATCH("Thu nhập lãi thuần",income_statement!$A:$A,0),MATCH(G$21,income_statement!$B$1:$I$1,0)),"")</f>
        <v/>
      </c>
      <c r="H55" s="27">
        <f>IFERROR(INDEX(income_statement!$B:$I,MATCH("Thu nhập lãi thuần",income_statement!$A:$A,0),MATCH(H$21,income_statement!$B$1:$I$1,0)),"")</f>
        <v/>
      </c>
      <c r="I55" s="27">
        <f>IFERROR(INDEX(income_statement!$B:$I,MATCH("Thu nhập lãi thuần",income_statement!$A:$A,0),MATCH(I$21,income_statement!$B$1:$I$1,0)),"")</f>
        <v/>
      </c>
      <c r="J55" s="31" t="n"/>
    </row>
    <row r="56">
      <c r="A56" s="20" t="inlineStr">
        <is>
          <t>Thu nhập ngoài lãi</t>
        </is>
      </c>
      <c r="B56" s="25">
        <f>IF(OR(B$57="",B$55=""),"",B$57-B$55)</f>
        <v/>
      </c>
      <c r="C56" s="25">
        <f>IF(OR(C$57="",C$55=""),"",C$57-C$55)</f>
        <v/>
      </c>
      <c r="D56" s="25">
        <f>IF(OR(D$57="",D$55=""),"",D$57-D$55)</f>
        <v/>
      </c>
      <c r="E56" s="25">
        <f>IF(OR(E$57="",E$55=""),"",E$57-E$55)</f>
        <v/>
      </c>
      <c r="F56" s="25">
        <f>IF(OR(F$57="",F$55=""),"",F$57-F$55)</f>
        <v/>
      </c>
      <c r="G56" s="25">
        <f>IF(OR(G$57="",G$55=""),"",G$57-G$55)</f>
        <v/>
      </c>
      <c r="H56" s="25">
        <f>IF(OR(H$57="",H$55=""),"",H$57-H$55)</f>
        <v/>
      </c>
      <c r="I56" s="25">
        <f>IF(OR(I$57="",I$55=""),"",I$57-I$55)</f>
        <v/>
      </c>
      <c r="J56" s="19" t="n"/>
    </row>
    <row r="57">
      <c r="A57" s="20" t="inlineStr">
        <is>
          <t>Tổng thu nhập hoạt động</t>
        </is>
      </c>
      <c r="B57" s="21">
        <f>IFERROR(INDEX(income_statement!$B:$I,MATCH("Tổng thu nhập hoạt động",income_statement!$A:$A,0),MATCH(B$21,income_statement!$B$1:$I$1,0)),"")</f>
        <v/>
      </c>
      <c r="C57" s="21">
        <f>IFERROR(INDEX(income_statement!$B:$I,MATCH("Tổng thu nhập hoạt động",income_statement!$A:$A,0),MATCH(C$21,income_statement!$B$1:$I$1,0)),"")</f>
        <v/>
      </c>
      <c r="D57" s="21">
        <f>IFERROR(INDEX(income_statement!$B:$I,MATCH("Tổng thu nhập hoạt động",income_statement!$A:$A,0),MATCH(D$21,income_statement!$B$1:$I$1,0)),"")</f>
        <v/>
      </c>
      <c r="E57" s="21">
        <f>IFERROR(INDEX(income_statement!$B:$I,MATCH("Tổng thu nhập hoạt động",income_statement!$A:$A,0),MATCH(E$21,income_statement!$B$1:$I$1,0)),"")</f>
        <v/>
      </c>
      <c r="F57" s="21">
        <f>IFERROR(INDEX(income_statement!$B:$I,MATCH("Tổng thu nhập hoạt động",income_statement!$A:$A,0),MATCH(F$21,income_statement!$B$1:$I$1,0)),"")</f>
        <v/>
      </c>
      <c r="G57" s="21">
        <f>IFERROR(INDEX(income_statement!$B:$I,MATCH("Tổng thu nhập hoạt động",income_statement!$A:$A,0),MATCH(G$21,income_statement!$B$1:$I$1,0)),"")</f>
        <v/>
      </c>
      <c r="H57" s="21">
        <f>IFERROR(INDEX(income_statement!$B:$I,MATCH("Tổng thu nhập hoạt động",income_statement!$A:$A,0),MATCH(H$21,income_statement!$B$1:$I$1,0)),"")</f>
        <v/>
      </c>
      <c r="I57" s="21">
        <f>IFERROR(INDEX(income_statement!$B:$I,MATCH("Tổng thu nhập hoạt động",income_statement!$A:$A,0),MATCH(I$21,income_statement!$B$1:$I$1,0)),"")</f>
        <v/>
      </c>
      <c r="J57" s="19" t="n"/>
    </row>
    <row r="58">
      <c r="A58" s="20" t="inlineStr">
        <is>
          <t>Chi phí hoạt động</t>
        </is>
      </c>
      <c r="B58" s="21">
        <f>IFERROR(INDEX(income_statement!$B:$I,MATCH("Chi phí quản lý doanh nghiệp",income_statement!$A:$A,0),MATCH(B$21,income_statement!$B$1:$I$1,0)),"")</f>
        <v/>
      </c>
      <c r="C58" s="21">
        <f>IFERROR(INDEX(income_statement!$B:$I,MATCH("Chi phí quản lý doanh nghiệp",income_statement!$A:$A,0),MATCH(C$21,income_statement!$B$1:$I$1,0)),"")</f>
        <v/>
      </c>
      <c r="D58" s="21">
        <f>IFERROR(INDEX(income_statement!$B:$I,MATCH("Chi phí quản lý doanh nghiệp",income_statement!$A:$A,0),MATCH(D$21,income_statement!$B$1:$I$1,0)),"")</f>
        <v/>
      </c>
      <c r="E58" s="21">
        <f>IFERROR(INDEX(income_statement!$B:$I,MATCH("Chi phí quản lý doanh nghiệp",income_statement!$A:$A,0),MATCH(E$21,income_statement!$B$1:$I$1,0)),"")</f>
        <v/>
      </c>
      <c r="F58" s="21">
        <f>IFERROR(INDEX(income_statement!$B:$I,MATCH("Chi phí quản lý doanh nghiệp",income_statement!$A:$A,0),MATCH(F$21,income_statement!$B$1:$I$1,0)),"")</f>
        <v/>
      </c>
      <c r="G58" s="21">
        <f>IFERROR(INDEX(income_statement!$B:$I,MATCH("Chi phí quản lý doanh nghiệp",income_statement!$A:$A,0),MATCH(G$21,income_statement!$B$1:$I$1,0)),"")</f>
        <v/>
      </c>
      <c r="H58" s="21">
        <f>IFERROR(INDEX(income_statement!$B:$I,MATCH("Chi phí quản lý doanh nghiệp",income_statement!$A:$A,0),MATCH(H$21,income_statement!$B$1:$I$1,0)),"")</f>
        <v/>
      </c>
      <c r="I58" s="21">
        <f>IFERROR(INDEX(income_statement!$B:$I,MATCH("Chi phí quản lý doanh nghiệp",income_statement!$A:$A,0),MATCH(I$21,income_statement!$B$1:$I$1,0)),"")</f>
        <v/>
      </c>
      <c r="J58" s="19" t="n"/>
    </row>
    <row r="59">
      <c r="A59" s="20" t="inlineStr">
        <is>
          <t>Lãi và phí phải thu</t>
        </is>
      </c>
      <c r="B59" s="21">
        <f>IFERROR(INDEX(balance_sheet!$B:$I,MATCH("Các khoản lãi và phí phải thu",balance_sheet!$A:$A,0),MATCH(B$21,balance_sheet!$B$1:$I$1,0)),"")</f>
        <v/>
      </c>
      <c r="C59" s="21">
        <f>IFERROR(INDEX(balance_sheet!$B:$I,MATCH("Các khoản lãi và phí phải thu",balance_sheet!$A:$A,0),MATCH(C$21,balance_sheet!$B$1:$I$1,0)),"")</f>
        <v/>
      </c>
      <c r="D59" s="21">
        <f>IFERROR(INDEX(balance_sheet!$B:$I,MATCH("Các khoản lãi và phí phải thu",balance_sheet!$A:$A,0),MATCH(D$21,balance_sheet!$B$1:$I$1,0)),"")</f>
        <v/>
      </c>
      <c r="E59" s="21">
        <f>IFERROR(INDEX(balance_sheet!$B:$I,MATCH("Các khoản lãi và phí phải thu",balance_sheet!$A:$A,0),MATCH(E$21,balance_sheet!$B$1:$I$1,0)),"")</f>
        <v/>
      </c>
      <c r="F59" s="21">
        <f>IFERROR(INDEX(balance_sheet!$B:$I,MATCH("Các khoản lãi và phí phải thu",balance_sheet!$A:$A,0),MATCH(F$21,balance_sheet!$B$1:$I$1,0)),"")</f>
        <v/>
      </c>
      <c r="G59" s="21">
        <f>IFERROR(INDEX(balance_sheet!$B:$I,MATCH("Các khoản lãi và phí phải thu",balance_sheet!$A:$A,0),MATCH(G$21,balance_sheet!$B$1:$I$1,0)),"")</f>
        <v/>
      </c>
      <c r="H59" s="21">
        <f>IFERROR(INDEX(balance_sheet!$B:$I,MATCH("Các khoản lãi và phí phải thu",balance_sheet!$A:$A,0),MATCH(H$21,balance_sheet!$B$1:$I$1,0)),"")</f>
        <v/>
      </c>
      <c r="I59" s="21">
        <f>IFERROR(INDEX(balance_sheet!$B:$I,MATCH("Các khoản lãi và phí phải thu",balance_sheet!$A:$A,0),MATCH(I$21,balance_sheet!$B$1:$I$1,0)),"")</f>
        <v/>
      </c>
      <c r="J59" s="19" t="n"/>
    </row>
    <row r="60">
      <c r="A60" s="20" t="inlineStr">
        <is>
          <t>LNST</t>
        </is>
      </c>
      <c r="B60" s="21">
        <f>IFERROR(INDEX(income_statement!$B:$I,MATCH("Lợi nhuận sau thuế",income_statement!$A:$A,0),MATCH(B$21,income_statement!$B$1:$I$1,0)),"")</f>
        <v/>
      </c>
      <c r="C60" s="21">
        <f>IFERROR(INDEX(income_statement!$B:$I,MATCH("Lợi nhuận sau thuế",income_statement!$A:$A,0),MATCH(C$21,income_statement!$B$1:$I$1,0)),"")</f>
        <v/>
      </c>
      <c r="D60" s="21">
        <f>IFERROR(INDEX(income_statement!$B:$I,MATCH("Lợi nhuận sau thuế",income_statement!$A:$A,0),MATCH(D$21,income_statement!$B$1:$I$1,0)),"")</f>
        <v/>
      </c>
      <c r="E60" s="21">
        <f>IFERROR(INDEX(income_statement!$B:$I,MATCH("Lợi nhuận sau thuế",income_statement!$A:$A,0),MATCH(E$21,income_statement!$B$1:$I$1,0)),"")</f>
        <v/>
      </c>
      <c r="F60" s="21">
        <f>IFERROR(INDEX(income_statement!$B:$I,MATCH("Lợi nhuận sau thuế",income_statement!$A:$A,0),MATCH(F$21,income_statement!$B$1:$I$1,0)),"")</f>
        <v/>
      </c>
      <c r="G60" s="21">
        <f>IFERROR(INDEX(income_statement!$B:$I,MATCH("Lợi nhuận sau thuế",income_statement!$A:$A,0),MATCH(G$21,income_statement!$B$1:$I$1,0)),"")</f>
        <v/>
      </c>
      <c r="H60" s="21">
        <f>IFERROR(INDEX(income_statement!$B:$I,MATCH("Lợi nhuận sau thuế",income_statement!$A:$A,0),MATCH(H$21,income_statement!$B$1:$I$1,0)),"")</f>
        <v/>
      </c>
      <c r="I60" s="21">
        <f>IFERROR(INDEX(income_statement!$B:$I,MATCH("Lợi nhuận sau thuế",income_statement!$A:$A,0),MATCH(I$21,income_statement!$B$1:$I$1,0)),"")</f>
        <v/>
      </c>
      <c r="J60" s="19" t="n"/>
    </row>
    <row r="61">
      <c r="A61" s="20" t="inlineStr">
        <is>
          <t>LNST CĐ Công ty mẹ</t>
        </is>
      </c>
      <c r="B61" s="21">
        <f>IFERROR(INDEX(income_statement!$B:$I,MATCH("Cổ đông của Công ty mẹ",income_statement!$A:$A,0),MATCH(B$21,income_statement!$B$1:$I$1,0)),"")</f>
        <v/>
      </c>
      <c r="C61" s="21">
        <f>IFERROR(INDEX(income_statement!$B:$I,MATCH("Cổ đông của Công ty mẹ",income_statement!$A:$A,0),MATCH(C$21,income_statement!$B$1:$I$1,0)),"")</f>
        <v/>
      </c>
      <c r="D61" s="21">
        <f>IFERROR(INDEX(income_statement!$B:$I,MATCH("Cổ đông của Công ty mẹ",income_statement!$A:$A,0),MATCH(D$21,income_statement!$B$1:$I$1,0)),"")</f>
        <v/>
      </c>
      <c r="E61" s="21">
        <f>IFERROR(INDEX(income_statement!$B:$I,MATCH("Cổ đông của Công ty mẹ",income_statement!$A:$A,0),MATCH(E$21,income_statement!$B$1:$I$1,0)),"")</f>
        <v/>
      </c>
      <c r="F61" s="21">
        <f>IFERROR(INDEX(income_statement!$B:$I,MATCH("Cổ đông của Công ty mẹ",income_statement!$A:$A,0),MATCH(F$21,income_statement!$B$1:$I$1,0)),"")</f>
        <v/>
      </c>
      <c r="G61" s="21">
        <f>IFERROR(INDEX(income_statement!$B:$I,MATCH("Cổ đông của Công ty mẹ",income_statement!$A:$A,0),MATCH(G$21,income_statement!$B$1:$I$1,0)),"")</f>
        <v/>
      </c>
      <c r="H61" s="21">
        <f>IFERROR(INDEX(income_statement!$B:$I,MATCH("Cổ đông của Công ty mẹ",income_statement!$A:$A,0),MATCH(H$21,income_statement!$B$1:$I$1,0)),"")</f>
        <v/>
      </c>
      <c r="I61" s="21">
        <f>IFERROR(INDEX(income_statement!$B:$I,MATCH("Cổ đông của Công ty mẹ",income_statement!$A:$A,0),MATCH(I$21,income_statement!$B$1:$I$1,0)),"")</f>
        <v/>
      </c>
      <c r="J61" s="21" t="n">
        <v>30415000000000</v>
      </c>
    </row>
    <row r="62">
      <c r="A62" s="20" t="inlineStr">
        <is>
          <t>Tổng lợi nhuận/lỗ trước thuế</t>
        </is>
      </c>
      <c r="B62" s="21">
        <f>IFERROR(INDEX(income_statement!$B:$I,MATCH("Tổng lợi nhuận/lỗ trước thuế",income_statement!$A:$A,0),MATCH(B$21,income_statement!$B$1:$I$1,0)),"")</f>
        <v/>
      </c>
      <c r="C62" s="21">
        <f>IFERROR(INDEX(income_statement!$B:$I,MATCH("Tổng lợi nhuận/lỗ trước thuế",income_statement!$A:$A,0),MATCH(C$21,income_statement!$B$1:$I$1,0)),"")</f>
        <v/>
      </c>
      <c r="D62" s="21">
        <f>IFERROR(INDEX(income_statement!$B:$I,MATCH("Tổng lợi nhuận/lỗ trước thuế",income_statement!$A:$A,0),MATCH(D$21,income_statement!$B$1:$I$1,0)),"")</f>
        <v/>
      </c>
      <c r="E62" s="21">
        <f>IFERROR(INDEX(income_statement!$B:$I,MATCH("Tổng lợi nhuận/lỗ trước thuế",income_statement!$A:$A,0),MATCH(E$21,income_statement!$B$1:$I$1,0)),"")</f>
        <v/>
      </c>
      <c r="F62" s="21">
        <f>IFERROR(INDEX(income_statement!$B:$I,MATCH("Tổng lợi nhuận/lỗ trước thuế",income_statement!$A:$A,0),MATCH(F$21,income_statement!$B$1:$I$1,0)),"")</f>
        <v/>
      </c>
      <c r="G62" s="21">
        <f>IFERROR(INDEX(income_statement!$B:$I,MATCH("Tổng lợi nhuận/lỗ trước thuế",income_statement!$A:$A,0),MATCH(G$21,income_statement!$B$1:$I$1,0)),"")</f>
        <v/>
      </c>
      <c r="H62" s="21">
        <f>IFERROR(INDEX(income_statement!$B:$I,MATCH("Tổng lợi nhuận/lỗ trước thuế",income_statement!$A:$A,0),MATCH(H$21,income_statement!$B$1:$I$1,0)),"")</f>
        <v/>
      </c>
      <c r="I62" s="21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7" customWidth="1" min="1" max="1"/>
    <col width="17.5" customWidth="1" min="2" max="2"/>
    <col width="10.125" customWidth="1" min="7" max="7"/>
    <col width="8.875" customWidth="1" min="10" max="10"/>
  </cols>
  <sheetData>
    <row r="1">
      <c r="A1" s="32" t="n"/>
      <c r="B1" s="32" t="inlineStr">
        <is>
          <t>Q4/2025</t>
        </is>
      </c>
      <c r="C1" s="32" t="inlineStr">
        <is>
          <t>Q1/2026</t>
        </is>
      </c>
      <c r="D1" s="32" t="inlineStr">
        <is>
          <t>Q2/2026</t>
        </is>
      </c>
      <c r="E1" s="32" t="inlineStr">
        <is>
          <t>Q3/2026</t>
        </is>
      </c>
      <c r="F1" s="32" t="inlineStr">
        <is>
          <t>Q4/2026</t>
        </is>
      </c>
    </row>
    <row r="2">
      <c r="A2" s="32" t="inlineStr">
        <is>
          <t>Số CP</t>
        </is>
      </c>
      <c r="B2" s="33" t="n">
        <v>8054999909</v>
      </c>
      <c r="C2" s="33" t="n">
        <v>8054999909</v>
      </c>
      <c r="D2" s="33" t="n">
        <v>8054999909</v>
      </c>
      <c r="E2" s="33" t="n">
        <v>8054999909</v>
      </c>
      <c r="F2" s="33" t="n">
        <v>8054999909</v>
      </c>
    </row>
    <row r="3">
      <c r="A3" s="32" t="inlineStr">
        <is>
          <t>Thị giá</t>
        </is>
      </c>
      <c r="B3" s="33" t="n">
        <v>75100</v>
      </c>
      <c r="C3" s="33" t="n">
        <v>75100</v>
      </c>
      <c r="D3" s="33" t="n">
        <v>75100</v>
      </c>
      <c r="E3" s="33" t="n">
        <v>75100</v>
      </c>
      <c r="F3" s="33" t="n">
        <v>75100</v>
      </c>
    </row>
    <row r="4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  <c r="F4" s="33">
        <f>F2*F3</f>
        <v/>
      </c>
    </row>
    <row r="6">
      <c r="A6" s="32" t="inlineStr">
        <is>
          <t>VCSH</t>
        </is>
      </c>
      <c r="B6" s="33">
        <f>chi_so_tai_chinh!I49</f>
        <v/>
      </c>
      <c r="C6" s="33">
        <f>B$6*(($F$6/$B$6)^(1/4))</f>
        <v/>
      </c>
      <c r="D6" s="33">
        <f>B$6*(($F$6/$B$6)^(2/4))</f>
        <v/>
      </c>
      <c r="E6" s="33">
        <f>B$6*(($F$6/$B$6)^(3/4))</f>
        <v/>
      </c>
      <c r="F6" s="33">
        <f>chi_so_tai_chinh!J49</f>
        <v/>
      </c>
      <c r="G6" s="34" t="n"/>
      <c r="H6" s="34" t="n"/>
      <c r="I6" s="34" t="n"/>
    </row>
    <row r="7">
      <c r="A7" s="32" t="inlineStr">
        <is>
          <t>LICĐKKS</t>
        </is>
      </c>
      <c r="B7" s="35">
        <f>chi_so_tai_chinh!I51</f>
        <v/>
      </c>
      <c r="C7" s="35">
        <f>C6*0.05</f>
        <v/>
      </c>
      <c r="D7" s="35">
        <f>D6*0.05</f>
        <v/>
      </c>
      <c r="E7" s="35">
        <f>E6*0.05</f>
        <v/>
      </c>
      <c r="F7" s="35">
        <f>F6*0.05</f>
        <v/>
      </c>
      <c r="G7" s="36" t="n"/>
      <c r="H7" s="36" t="n"/>
      <c r="I7" s="36" t="n"/>
    </row>
    <row r="8">
      <c r="A8" s="32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F8" s="37">
        <f>F6-F7</f>
        <v/>
      </c>
    </row>
    <row r="9">
      <c r="A9" s="24" t="inlineStr">
        <is>
          <t>BVPS</t>
        </is>
      </c>
      <c r="B9" s="38">
        <f>B8/B2</f>
        <v/>
      </c>
      <c r="C9" s="38">
        <f>C8/C2</f>
        <v/>
      </c>
      <c r="D9" s="38">
        <f>D8/D2</f>
        <v/>
      </c>
      <c r="E9" s="38">
        <f>E8/E2</f>
        <v/>
      </c>
      <c r="F9" s="38">
        <f>F8/F2</f>
        <v/>
      </c>
    </row>
    <row r="10">
      <c r="A10" s="24" t="inlineStr">
        <is>
          <t>PB</t>
        </is>
      </c>
      <c r="B10" s="39">
        <f>$F$3/B9</f>
        <v/>
      </c>
      <c r="C10" s="39">
        <f>$F$3/C9</f>
        <v/>
      </c>
      <c r="D10" s="39">
        <f>$F$3/D9</f>
        <v/>
      </c>
      <c r="E10" s="39">
        <f>$F$3/E9</f>
        <v/>
      </c>
      <c r="F10" s="39">
        <f>$F$3/F9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4.5" customWidth="1" min="1" max="1"/>
    <col width="11.375" customWidth="1" min="2" max="2"/>
    <col width="12.25" customWidth="1" min="3" max="3"/>
    <col width="15" customWidth="1" min="6" max="6"/>
    <col width="12.125" customWidth="1" min="7" max="7"/>
    <col width="9" customWidth="1" min="8" max="8"/>
  </cols>
  <sheetData>
    <row r="1">
      <c r="A1" s="32" t="inlineStr">
        <is>
          <t>Chỉ tiêu</t>
        </is>
      </c>
      <c r="B1" s="32" t="n">
        <v>2022</v>
      </c>
      <c r="C1" s="32" t="n">
        <v>2023</v>
      </c>
      <c r="D1" s="32" t="n">
        <v>2024</v>
      </c>
      <c r="E1" s="32" t="n">
        <v>2025</v>
      </c>
    </row>
    <row r="2">
      <c r="A2" s="32" t="inlineStr">
        <is>
          <t>Lợi nhuận trước thuế kế hoạch</t>
        </is>
      </c>
      <c r="B2" s="33" t="n">
        <v>20300000</v>
      </c>
      <c r="C2" s="33" t="n">
        <v>26138350</v>
      </c>
      <c r="D2" s="33" t="n">
        <v>28410000</v>
      </c>
      <c r="E2" s="33" t="n">
        <v>32000000</v>
      </c>
    </row>
    <row r="3">
      <c r="A3" s="32" t="inlineStr">
        <is>
          <t>Lợi nhuận trước thuế thu nhập doanh nghiệp</t>
        </is>
      </c>
      <c r="B3" s="33">
        <f>chi_so_tai_chinh!F62/1000000</f>
        <v/>
      </c>
      <c r="C3" s="33">
        <f>chi_so_tai_chinh!G62/1000000</f>
        <v/>
      </c>
      <c r="D3" s="33">
        <f>chi_so_tai_chinh!H62/1000000</f>
        <v/>
      </c>
      <c r="E3" s="33" t="n"/>
    </row>
    <row r="4">
      <c r="A4" s="32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 t="n"/>
    </row>
    <row r="6">
      <c r="A6" s="32" t="inlineStr">
        <is>
          <t>Trung vị %thực hiện LN trước thuế</t>
        </is>
      </c>
      <c r="B6" s="40">
        <f>MEDIAN(B4:D4)</f>
        <v/>
      </c>
    </row>
    <row r="8">
      <c r="A8" s="32" t="inlineStr">
        <is>
          <t>Tỷ lệ hoàn thành LNST trên 95%</t>
        </is>
      </c>
      <c r="B8" s="40">
        <f>COUNTIF(B4:D4,"&gt;=95%")/COUNT(B4:D4)</f>
        <v/>
      </c>
    </row>
  </sheetData>
  <conditionalFormatting sqref="B6">
    <cfRule type="cellIs" priority="2" operator="greaterThanOrEqual" dxfId="1">
      <formula>1</formula>
    </cfRule>
  </conditionalFormatting>
  <conditionalFormatting sqref="B8">
    <cfRule type="cellIs" priority="1" operator="greaterThanOrEqual" dxfId="1">
      <formula>1</formula>
    </cfRule>
  </conditionalFormatting>
  <conditionalFormatting sqref="B4:E4">
    <cfRule type="cellIs" priority="3" operator="greaterThanOrEqual" dxfId="1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2026-10-28T04:23:31Z</dcterms:created>
  <dcterms:modified xsi:type="dcterms:W3CDTF">2026-10-28T04:35:59Z</dcterms:modified>
</cp:coreProperties>
</file>
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450" windowWidth="12000" windowHeight="6450" tabRatio="600" firstSheet="2" activeTab="3" autoFilterDateGrouping="1"/>
  </bookViews>
  <sheets>
    <sheet name="balance_sheet" sheetId="1" state="visible" r:id="rId1"/>
    <sheet name="income_statement" sheetId="2" state="visible" r:id="rId2"/>
    <sheet name="cash_flow" sheetId="3" state="visible" r:id="rId3"/>
    <sheet name="chi_so_tai_chinh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;\(#,##0\);\-"/>
    <numFmt numFmtId="165" formatCode="0.0%"/>
    <numFmt numFmtId="166" formatCode="#,##0;\(#,##0\);&quot;-&quot;"/>
    <numFmt numFmtId="167" formatCode="#,##0;(#,##0);&quot;-&quot;"/>
  </numFmts>
  <fonts count="14">
    <font>
      <name val="Arial"/>
      <family val="2"/>
      <color theme="1"/>
      <sz val="11"/>
      <scheme val="minor"/>
    </font>
    <font>
      <name val="Tahoma"/>
      <sz val="10"/>
    </font>
    <font>
      <name val="Tahoma"/>
      <charset val="1"/>
      <family val="2"/>
      <b val="1"/>
      <sz val="10"/>
    </font>
    <font>
      <name val="Tahoma"/>
      <charset val="1"/>
      <family val="2"/>
      <sz val="10"/>
    </font>
    <font>
      <name val="Tahoma"/>
      <charset val="1"/>
      <family val="2"/>
      <color theme="1"/>
      <sz val="10"/>
    </font>
    <font>
      <name val="Tahoma"/>
      <charset val="1"/>
      <family val="2"/>
      <color rgb="FF008000"/>
      <sz val="10"/>
    </font>
    <font>
      <name val="Tahoma"/>
      <charset val="1"/>
      <family val="2"/>
      <b val="1"/>
      <color theme="1"/>
      <sz val="10"/>
    </font>
    <font>
      <name val="Tahoma"/>
      <family val="2"/>
      <color theme="1"/>
      <sz val="10"/>
    </font>
    <font>
      <name val="Arial"/>
      <family val="2"/>
      <b val="1"/>
      <color theme="1"/>
      <sz val="11"/>
      <scheme val="minor"/>
    </font>
    <font>
      <name val="Tahoma"/>
      <charset val="1"/>
      <family val="2"/>
      <b val="1"/>
      <color rgb="FF008000"/>
      <sz val="10"/>
    </font>
    <font>
      <name val="Tahoma"/>
      <family val="2"/>
      <b val="1"/>
      <sz val="10"/>
    </font>
    <font>
      <name val="Tahoma"/>
      <b val="1"/>
      <color rgb="FFFFFFFF"/>
      <sz val="11"/>
    </font>
    <font>
      <name val="Tahoma"/>
      <family val="2"/>
      <color rgb="FF000000"/>
      <sz val="10"/>
    </font>
    <font>
      <name val="Tahoma"/>
      <b val="1"/>
      <color rgb="00FFFFFF"/>
    </font>
  </fonts>
  <fills count="7">
    <fill>
      <patternFill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1F4E78"/>
      </patternFill>
    </fill>
    <fill>
      <patternFill patternType="solid">
        <fgColor theme="5" tint="0.7999816888943144"/>
        <bgColor rgb="FFFBE4D5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1" fontId="2" fillId="0" borderId="2" applyAlignment="1" pivotButton="0" quotePrefix="0" xfId="0">
      <alignment horizontal="center"/>
    </xf>
    <xf numFmtId="0" fontId="2" fillId="2" borderId="0" pivotButton="0" quotePrefix="0" xfId="0"/>
    <xf numFmtId="0" fontId="4" fillId="2" borderId="0" pivotButton="0" quotePrefix="0" xfId="0"/>
    <xf numFmtId="0" fontId="2" fillId="0" borderId="3" pivotButton="0" quotePrefix="0" xfId="0"/>
    <xf numFmtId="1" fontId="2" fillId="0" borderId="3" applyAlignment="1" pivotButton="0" quotePrefix="0" xfId="0">
      <alignment horizontal="center"/>
    </xf>
    <xf numFmtId="0" fontId="3" fillId="0" borderId="3" pivotButton="0" quotePrefix="0" xfId="0"/>
    <xf numFmtId="164" fontId="5" fillId="0" borderId="3" pivotButton="0" quotePrefix="0" xfId="0"/>
    <xf numFmtId="0" fontId="6" fillId="0" borderId="2" pivotButton="0" quotePrefix="0" xfId="0"/>
    <xf numFmtId="0" fontId="4" fillId="0" borderId="2" pivotButton="0" quotePrefix="0" xfId="0"/>
    <xf numFmtId="165" fontId="4" fillId="0" borderId="2" pivotButton="0" quotePrefix="0" xfId="0"/>
    <xf numFmtId="164" fontId="4" fillId="0" borderId="2" pivotButton="0" quotePrefix="0" xfId="0"/>
    <xf numFmtId="1" fontId="4" fillId="0" borderId="2" pivotButton="0" quotePrefix="0" xfId="0"/>
    <xf numFmtId="0" fontId="2" fillId="3" borderId="2" pivotButton="0" quotePrefix="0" xfId="0"/>
    <xf numFmtId="1" fontId="2" fillId="3" borderId="2" applyAlignment="1" pivotButton="0" quotePrefix="0" xfId="0">
      <alignment horizontal="center"/>
    </xf>
    <xf numFmtId="0" fontId="3" fillId="3" borderId="2" pivotButton="0" quotePrefix="0" xfId="0"/>
    <xf numFmtId="164" fontId="9" fillId="0" borderId="3" pivotButton="0" quotePrefix="0" xfId="0"/>
    <xf numFmtId="0" fontId="8" fillId="0" borderId="0" pivotButton="0" quotePrefix="0" xfId="0"/>
    <xf numFmtId="0" fontId="10" fillId="0" borderId="1" pivotButton="0" quotePrefix="0" xfId="0"/>
    <xf numFmtId="0" fontId="11" fillId="4" borderId="4" applyAlignment="1" pivotButton="0" quotePrefix="0" xfId="0">
      <alignment horizontal="left"/>
    </xf>
    <xf numFmtId="0" fontId="11" fillId="4" borderId="4" applyAlignment="1" pivotButton="0" quotePrefix="0" xfId="0">
      <alignment horizontal="center"/>
    </xf>
    <xf numFmtId="0" fontId="1" fillId="0" borderId="4" pivotButton="0" quotePrefix="0" xfId="0"/>
    <xf numFmtId="166" fontId="1" fillId="0" borderId="4" pivotButton="0" quotePrefix="0" xfId="0"/>
    <xf numFmtId="0" fontId="10" fillId="3" borderId="2" pivotButton="0" quotePrefix="0" xfId="0"/>
    <xf numFmtId="165" fontId="12" fillId="3" borderId="2" pivotButton="0" quotePrefix="0" xfId="0"/>
    <xf numFmtId="9" fontId="7" fillId="5" borderId="2" pivotButton="0" quotePrefix="0" xfId="0"/>
    <xf numFmtId="9" fontId="12" fillId="3" borderId="2" pivotButton="0" quotePrefix="0" xfId="0"/>
    <xf numFmtId="1" fontId="12" fillId="3" borderId="2" pivotButton="0" quotePrefix="0" xfId="0"/>
    <xf numFmtId="0" fontId="13" fillId="6" borderId="5" applyAlignment="1" pivotButton="0" quotePrefix="0" xfId="0">
      <alignment horizontal="left"/>
    </xf>
    <xf numFmtId="0" fontId="13" fillId="6" borderId="5" applyAlignment="1" pivotButton="0" quotePrefix="0" xfId="0">
      <alignment horizontal="center"/>
    </xf>
    <xf numFmtId="0" fontId="1" fillId="0" borderId="5" pivotButton="0" quotePrefix="0" xfId="0"/>
    <xf numFmtId="167" fontId="1" fillId="0" borderId="5" pivotButton="0" quotePrefix="0" xfId="0"/>
    <xf numFmtId="165" fontId="12" fillId="3" borderId="2" pivotButton="0" quotePrefix="0" xfId="0"/>
    <xf numFmtId="164" fontId="5" fillId="0" borderId="3" pivotButton="0" quotePrefix="0" xfId="0"/>
    <xf numFmtId="164" fontId="9" fillId="0" borderId="3" pivotButton="0" quotePrefix="0" xfId="0"/>
    <xf numFmtId="165" fontId="4" fillId="0" borderId="2" pivotButton="0" quotePrefix="0" xfId="0"/>
    <xf numFmtId="164" fontId="4" fillId="0" borderId="2" pivotButton="0" quotePrefix="0" xfId="0"/>
  </cellXfs>
  <cellStyles count="1">
    <cellStyle name="Normal" xfId="0" builtinId="0"/>
  </cellStyles>
  <dxfs count="66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solid">
          <fgColor theme="9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9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 patternType="solid">
          <fgColor theme="9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9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solid">
          <fgColor theme="9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9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solid">
          <fgColor theme="9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9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0" customWidth="1" min="12" max="12"/>
    <col width="20" customWidth="1" min="13" max="13"/>
  </cols>
  <sheetData>
    <row r="1">
      <c r="A1" s="28" t="inlineStr">
        <is>
          <t>item</t>
        </is>
      </c>
      <c r="B1" s="29" t="inlineStr">
        <is>
          <t>2018-Q1</t>
        </is>
      </c>
      <c r="C1" s="29" t="inlineStr">
        <is>
          <t>2018-Q2</t>
        </is>
      </c>
      <c r="D1" s="29" t="inlineStr">
        <is>
          <t>2018-Q3</t>
        </is>
      </c>
      <c r="E1" s="29" t="inlineStr">
        <is>
          <t>2018-Q4</t>
        </is>
      </c>
      <c r="F1" s="29" t="inlineStr">
        <is>
          <t>2024-Q3</t>
        </is>
      </c>
      <c r="G1" s="29" t="inlineStr">
        <is>
          <t>2024-Q4</t>
        </is>
      </c>
      <c r="H1" s="29" t="inlineStr">
        <is>
          <t>2025-Q1</t>
        </is>
      </c>
      <c r="I1" s="29" t="inlineStr">
        <is>
          <t>2025-Q2</t>
        </is>
      </c>
      <c r="J1" s="29" t="inlineStr">
        <is>
          <t>2025-Q3</t>
        </is>
      </c>
      <c r="K1" s="29" t="inlineStr">
        <is>
          <t>2025-Q4</t>
        </is>
      </c>
      <c r="L1" s="29" t="inlineStr">
        <is>
          <t>2026-Q1</t>
        </is>
      </c>
      <c r="M1" s="29" t="inlineStr">
        <is>
          <t>2026-Q2</t>
        </is>
      </c>
    </row>
    <row r="2">
      <c r="A2" s="30" t="inlineStr">
        <is>
          <t>TÀI SẢN NGẮN HẠN</t>
        </is>
      </c>
      <c r="B2" s="31" t="n">
        <v>15891378282225</v>
      </c>
      <c r="C2" s="31" t="n">
        <v>16757931160407</v>
      </c>
      <c r="D2" s="31" t="n">
        <v>17461655201328</v>
      </c>
      <c r="E2" s="31" t="n">
        <v>18373436282760</v>
      </c>
      <c r="F2" s="31" t="n">
        <v>42605105704316</v>
      </c>
      <c r="G2" s="31" t="n">
        <v>45535942846453</v>
      </c>
      <c r="H2" s="31" t="n">
        <v>46075510989597</v>
      </c>
      <c r="I2" s="31" t="n">
        <v>52711179992741</v>
      </c>
      <c r="J2" s="31" t="n">
        <v>53632976863548</v>
      </c>
      <c r="K2" s="31" t="n">
        <v>58137438254908</v>
      </c>
      <c r="L2" s="31" t="n">
        <v>41527873060120</v>
      </c>
      <c r="M2" s="31" t="n">
        <v>45603129033273</v>
      </c>
    </row>
    <row r="3">
      <c r="A3" s="30" t="inlineStr">
        <is>
          <t>Tiền và tương đương tiền</t>
        </is>
      </c>
      <c r="B3" s="31" t="n">
        <v>3076144406971</v>
      </c>
      <c r="C3" s="31" t="n">
        <v>4060090013409</v>
      </c>
      <c r="D3" s="31" t="n">
        <v>3982145134665</v>
      </c>
      <c r="E3" s="31" t="n">
        <v>3926316297829</v>
      </c>
      <c r="F3" s="31" t="n">
        <v>7935632407357</v>
      </c>
      <c r="G3" s="31" t="n">
        <v>9315440438884</v>
      </c>
      <c r="H3" s="31" t="n">
        <v>6755645214252</v>
      </c>
      <c r="I3" s="31" t="n">
        <v>10019630995136</v>
      </c>
      <c r="J3" s="31" t="n">
        <v>9853512731370</v>
      </c>
      <c r="K3" s="31" t="n">
        <v>10522105729992</v>
      </c>
      <c r="L3" s="31" t="n">
        <v>7993577611642</v>
      </c>
      <c r="M3" s="31" t="n">
        <v>8843161132730</v>
      </c>
    </row>
    <row r="4">
      <c r="A4" s="30" t="inlineStr">
        <is>
          <t>Tiền</t>
        </is>
      </c>
      <c r="B4" s="31" t="n">
        <v>1543897642209</v>
      </c>
      <c r="C4" s="31" t="n">
        <v>2414897073339</v>
      </c>
      <c r="D4" s="31" t="n">
        <v>2414203134665</v>
      </c>
      <c r="E4" s="31" t="n">
        <v>2704220233385</v>
      </c>
      <c r="F4" s="31" t="n">
        <v>5251361305952</v>
      </c>
      <c r="G4" s="31" t="n">
        <v>6725619929289</v>
      </c>
      <c r="H4" s="31" t="n">
        <v>5342746710936</v>
      </c>
      <c r="I4" s="31" t="n">
        <v>7755450852909</v>
      </c>
      <c r="J4" s="31" t="n">
        <v>7677693654613</v>
      </c>
      <c r="K4" s="31" t="n">
        <v>8084751080186</v>
      </c>
      <c r="L4" s="31" t="n">
        <v>5022685693032</v>
      </c>
      <c r="M4" s="31" t="n">
        <v>5829076231076</v>
      </c>
    </row>
    <row r="5">
      <c r="A5" s="30" t="inlineStr">
        <is>
          <t>Các khoản tương đương tiền</t>
        </is>
      </c>
      <c r="B5" s="31" t="n">
        <v>1532246764762</v>
      </c>
      <c r="C5" s="31" t="n">
        <v>1645192940070</v>
      </c>
      <c r="D5" s="31" t="n">
        <v>1567942000000</v>
      </c>
      <c r="E5" s="31" t="n">
        <v>1222096064444</v>
      </c>
      <c r="F5" s="31" t="n">
        <v>2684271101405</v>
      </c>
      <c r="G5" s="31" t="n">
        <v>2589820509595</v>
      </c>
      <c r="H5" s="31" t="n">
        <v>1412898503316</v>
      </c>
      <c r="I5" s="31" t="n">
        <v>2264180142227</v>
      </c>
      <c r="J5" s="31" t="n">
        <v>2175819076757</v>
      </c>
      <c r="K5" s="31" t="n">
        <v>2437354649806</v>
      </c>
      <c r="L5" s="31" t="n">
        <v>2970891918610</v>
      </c>
      <c r="M5" s="31" t="n">
        <v>3014084901654</v>
      </c>
    </row>
    <row r="6">
      <c r="A6" s="30" t="inlineStr">
        <is>
          <t>Đầu tư ngắn hạn</t>
        </is>
      </c>
      <c r="B6" s="31" t="n">
        <v>0</v>
      </c>
      <c r="C6" s="31" t="n">
        <v>0</v>
      </c>
      <c r="D6" s="31" t="n">
        <v>0</v>
      </c>
      <c r="E6" s="31" t="n">
        <v>0</v>
      </c>
      <c r="F6" s="31" t="n">
        <v>0</v>
      </c>
      <c r="G6" s="31" t="n">
        <v>0</v>
      </c>
      <c r="H6" s="31" t="n">
        <v>0</v>
      </c>
      <c r="I6" s="31" t="n">
        <v>0</v>
      </c>
      <c r="J6" s="31" t="n">
        <v>0</v>
      </c>
      <c r="K6" s="31" t="n">
        <v>0</v>
      </c>
      <c r="L6" s="31" t="n">
        <v>0</v>
      </c>
      <c r="M6" s="31" t="n">
        <v>0</v>
      </c>
    </row>
    <row r="7">
      <c r="A7" s="30" t="inlineStr">
        <is>
          <t>Đầu tư ngắn hạn</t>
        </is>
      </c>
      <c r="B7" s="31" t="n"/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1" t="n"/>
    </row>
    <row r="8">
      <c r="A8" s="30" t="inlineStr">
        <is>
          <t>Dự phòng giảm giá</t>
        </is>
      </c>
      <c r="B8" s="31" t="n">
        <v>0</v>
      </c>
      <c r="C8" s="31" t="n">
        <v>0</v>
      </c>
      <c r="D8" s="31" t="n">
        <v>0</v>
      </c>
      <c r="E8" s="31" t="n">
        <v>0</v>
      </c>
      <c r="F8" s="31" t="n">
        <v>0</v>
      </c>
      <c r="G8" s="31" t="n">
        <v>0</v>
      </c>
      <c r="H8" s="31" t="n">
        <v>0</v>
      </c>
      <c r="I8" s="31" t="n">
        <v>0</v>
      </c>
      <c r="J8" s="31" t="n">
        <v>0</v>
      </c>
      <c r="K8" s="31" t="n">
        <v>0</v>
      </c>
      <c r="L8" s="31" t="n">
        <v>0</v>
      </c>
      <c r="M8" s="31" t="n">
        <v>0</v>
      </c>
    </row>
    <row r="9">
      <c r="A9" s="30" t="inlineStr">
        <is>
          <t>Các khoản phải thu</t>
        </is>
      </c>
      <c r="B9" s="31" t="n">
        <v>5709635608502</v>
      </c>
      <c r="C9" s="31" t="n">
        <v>5429554630371</v>
      </c>
      <c r="D9" s="31" t="n">
        <v>5704790784580</v>
      </c>
      <c r="E9" s="31" t="n">
        <v>6424005050090</v>
      </c>
      <c r="F9" s="31" t="n">
        <v>11875150699489</v>
      </c>
      <c r="G9" s="31" t="n">
        <v>11381523992803</v>
      </c>
      <c r="H9" s="31" t="n">
        <v>11997831491115</v>
      </c>
      <c r="I9" s="31" t="n">
        <v>12525313635530</v>
      </c>
      <c r="J9" s="31" t="n">
        <v>13077014449004</v>
      </c>
      <c r="K9" s="31" t="n">
        <v>14402017450105</v>
      </c>
      <c r="L9" s="31" t="n">
        <v>12347990314058</v>
      </c>
      <c r="M9" s="31" t="n">
        <v>13337195685489</v>
      </c>
    </row>
    <row r="10">
      <c r="A10" s="30" t="inlineStr">
        <is>
          <t>Phải thu khách hàng</t>
        </is>
      </c>
      <c r="B10" s="31" t="n">
        <v>4294239451525</v>
      </c>
      <c r="C10" s="31" t="n">
        <v>4226917957363</v>
      </c>
      <c r="D10" s="31" t="n">
        <v>4528134142815</v>
      </c>
      <c r="E10" s="31" t="n">
        <v>5561140201834</v>
      </c>
      <c r="F10" s="31" t="n">
        <v>10799828515307</v>
      </c>
      <c r="G10" s="31" t="n">
        <v>10537019113380</v>
      </c>
      <c r="H10" s="31" t="n">
        <v>10855474371546</v>
      </c>
      <c r="I10" s="31" t="n">
        <v>11175300447724</v>
      </c>
      <c r="J10" s="31" t="n">
        <v>11454536291628</v>
      </c>
      <c r="K10" s="31" t="n">
        <v>12734600596550</v>
      </c>
      <c r="L10" s="31" t="n">
        <v>10175295201576</v>
      </c>
      <c r="M10" s="31" t="n">
        <v>10850961897809</v>
      </c>
    </row>
    <row r="11">
      <c r="A11" s="30" t="inlineStr">
        <is>
          <t>Trả trước người bán</t>
        </is>
      </c>
      <c r="B11" s="31" t="n">
        <v>277095606491</v>
      </c>
      <c r="C11" s="31" t="n">
        <v>235001535974</v>
      </c>
      <c r="D11" s="31" t="n">
        <v>244173236292</v>
      </c>
      <c r="E11" s="31" t="n">
        <v>218427501076</v>
      </c>
      <c r="F11" s="31" t="n">
        <v>566097011978</v>
      </c>
      <c r="G11" s="31" t="n">
        <v>610379845664</v>
      </c>
      <c r="H11" s="31" t="n">
        <v>654479702711</v>
      </c>
      <c r="I11" s="31" t="n">
        <v>806039137690</v>
      </c>
      <c r="J11" s="31" t="n">
        <v>801251699142</v>
      </c>
      <c r="K11" s="31" t="n">
        <v>952737932722</v>
      </c>
      <c r="L11" s="31" t="n">
        <v>1476727313028</v>
      </c>
      <c r="M11" s="31" t="n">
        <v>1702428776286</v>
      </c>
    </row>
    <row r="12">
      <c r="A12" s="30" t="inlineStr">
        <is>
          <t>Phải thu nội bộ</t>
        </is>
      </c>
      <c r="B12" s="31" t="n">
        <v>0</v>
      </c>
      <c r="C12" s="31" t="n">
        <v>0</v>
      </c>
      <c r="D12" s="31" t="n">
        <v>0</v>
      </c>
      <c r="E12" s="31" t="n">
        <v>0</v>
      </c>
      <c r="F12" s="31" t="n">
        <v>0</v>
      </c>
      <c r="G12" s="31" t="n">
        <v>0</v>
      </c>
      <c r="H12" s="31" t="n">
        <v>0</v>
      </c>
      <c r="I12" s="31" t="n">
        <v>0</v>
      </c>
      <c r="J12" s="31" t="n">
        <v>0</v>
      </c>
      <c r="K12" s="31" t="n">
        <v>0</v>
      </c>
      <c r="L12" s="31" t="n">
        <v>0</v>
      </c>
      <c r="M12" s="31" t="n">
        <v>0</v>
      </c>
    </row>
    <row r="13">
      <c r="A13" s="30" t="inlineStr">
        <is>
          <t>Phải thu hợp đồng xây dựng đang thực hiện</t>
        </is>
      </c>
      <c r="B13" s="31" t="n">
        <v>397506401676</v>
      </c>
      <c r="C13" s="31" t="n">
        <v>320334466918</v>
      </c>
      <c r="D13" s="31" t="n">
        <v>302501200783</v>
      </c>
      <c r="E13" s="31" t="n">
        <v>251954356007</v>
      </c>
      <c r="F13" s="31" t="n">
        <v>194158152911</v>
      </c>
      <c r="G13" s="31" t="n">
        <v>136097256629</v>
      </c>
      <c r="H13" s="31" t="n">
        <v>153811104201</v>
      </c>
      <c r="I13" s="31" t="n">
        <v>164046117155</v>
      </c>
      <c r="J13" s="31" t="n">
        <v>192402178808</v>
      </c>
      <c r="K13" s="31" t="n">
        <v>200405269967</v>
      </c>
      <c r="L13" s="31" t="n">
        <v>255231754306</v>
      </c>
      <c r="M13" s="31" t="n">
        <v>301798692991</v>
      </c>
    </row>
    <row r="14">
      <c r="A14" s="30" t="inlineStr">
        <is>
          <t>Phải thu khác</t>
        </is>
      </c>
      <c r="B14" s="31" t="n">
        <v>936916307722</v>
      </c>
      <c r="C14" s="31" t="n">
        <v>860480152541</v>
      </c>
      <c r="D14" s="31" t="n">
        <v>874036723665</v>
      </c>
      <c r="E14" s="31" t="n">
        <v>656239850891</v>
      </c>
      <c r="F14" s="31" t="n">
        <v>900121856114</v>
      </c>
      <c r="G14" s="31" t="n">
        <v>707751585399</v>
      </c>
      <c r="H14" s="31" t="n">
        <v>894960947874</v>
      </c>
      <c r="I14" s="31" t="n">
        <v>988041181778</v>
      </c>
      <c r="J14" s="31" t="n">
        <v>1196855208054</v>
      </c>
      <c r="K14" s="31" t="n">
        <v>1091244484321</v>
      </c>
      <c r="L14" s="31" t="n">
        <v>783125213986</v>
      </c>
      <c r="M14" s="31" t="n">
        <v>811355755133</v>
      </c>
    </row>
    <row r="15">
      <c r="A15" s="30" t="inlineStr">
        <is>
          <t>Dự phòng nợ khó đòi</t>
        </is>
      </c>
      <c r="B15" s="31" t="n">
        <v>-196122158912</v>
      </c>
      <c r="C15" s="31" t="n">
        <v>-213179482425</v>
      </c>
      <c r="D15" s="31" t="n">
        <v>-244054518975</v>
      </c>
      <c r="E15" s="31" t="n">
        <v>-264666908906</v>
      </c>
      <c r="F15" s="31" t="n">
        <v>-618598751821</v>
      </c>
      <c r="G15" s="31" t="n">
        <v>-619531925859</v>
      </c>
      <c r="H15" s="31" t="n">
        <v>-570652543118</v>
      </c>
      <c r="I15" s="31" t="n">
        <v>-618183101143</v>
      </c>
      <c r="J15" s="31" t="n">
        <v>-613258400119</v>
      </c>
      <c r="K15" s="31" t="n">
        <v>-586166744274</v>
      </c>
      <c r="L15" s="31" t="n">
        <v>-342389168838</v>
      </c>
      <c r="M15" s="31" t="n">
        <v>-329349436730</v>
      </c>
    </row>
    <row r="16">
      <c r="A16" s="30" t="inlineStr">
        <is>
          <t>Hàng tồn kho, ròng</t>
        </is>
      </c>
      <c r="B16" s="31" t="n">
        <v>1181169445667</v>
      </c>
      <c r="C16" s="31" t="n">
        <v>1276158251807</v>
      </c>
      <c r="D16" s="31" t="n">
        <v>1545244045730</v>
      </c>
      <c r="E16" s="31" t="n">
        <v>1340687216347</v>
      </c>
      <c r="F16" s="31" t="n">
        <v>2059110974322</v>
      </c>
      <c r="G16" s="31" t="n">
        <v>1856756949030</v>
      </c>
      <c r="H16" s="31" t="n">
        <v>2107939084995</v>
      </c>
      <c r="I16" s="31" t="n">
        <v>2074111218172</v>
      </c>
      <c r="J16" s="31" t="n">
        <v>2050315910017</v>
      </c>
      <c r="K16" s="31" t="n">
        <v>2193769802339</v>
      </c>
      <c r="L16" s="31" t="n">
        <v>1094571460159</v>
      </c>
      <c r="M16" s="31" t="n">
        <v>1255307762494</v>
      </c>
    </row>
    <row r="17">
      <c r="A17" s="30" t="inlineStr">
        <is>
          <t>Hàng tồn kho</t>
        </is>
      </c>
      <c r="B17" s="31" t="n">
        <v>1184516592782</v>
      </c>
      <c r="C17" s="31" t="n">
        <v>1279505398922</v>
      </c>
      <c r="D17" s="31" t="n">
        <v>1548591192845</v>
      </c>
      <c r="E17" s="31" t="n">
        <v>1401302666378</v>
      </c>
      <c r="F17" s="31" t="n">
        <v>2193960954794</v>
      </c>
      <c r="G17" s="31" t="n">
        <v>1990224486513</v>
      </c>
      <c r="H17" s="31" t="n">
        <v>2238873166859</v>
      </c>
      <c r="I17" s="31" t="n">
        <v>2157814116939</v>
      </c>
      <c r="J17" s="31" t="n">
        <v>2134346913983</v>
      </c>
      <c r="K17" s="31" t="n">
        <v>2277393610177</v>
      </c>
      <c r="L17" s="31" t="n">
        <v>1163844658543</v>
      </c>
      <c r="M17" s="31" t="n">
        <v>1324570896589</v>
      </c>
    </row>
    <row r="18">
      <c r="A18" s="30" t="inlineStr">
        <is>
          <t>Dự phòng giảm giá hàng tồn kho</t>
        </is>
      </c>
      <c r="B18" s="31" t="n">
        <v>-3347147115</v>
      </c>
      <c r="C18" s="31" t="n">
        <v>-3347147115</v>
      </c>
      <c r="D18" s="31" t="n">
        <v>-3347147115</v>
      </c>
      <c r="E18" s="31" t="n">
        <v>-60615450031</v>
      </c>
      <c r="F18" s="31" t="n">
        <v>-134849980472</v>
      </c>
      <c r="G18" s="31" t="n">
        <v>-133467537483</v>
      </c>
      <c r="H18" s="31" t="n">
        <v>-130934081864</v>
      </c>
      <c r="I18" s="31" t="n">
        <v>-83702898767</v>
      </c>
      <c r="J18" s="31" t="n">
        <v>-84031003966</v>
      </c>
      <c r="K18" s="31" t="n">
        <v>-83623807838</v>
      </c>
      <c r="L18" s="31" t="n">
        <v>-69273198384</v>
      </c>
      <c r="M18" s="31" t="n">
        <v>-69263134095</v>
      </c>
    </row>
    <row r="19">
      <c r="A19" s="30" t="inlineStr">
        <is>
          <t>Tài sản lưu động khác</t>
        </is>
      </c>
      <c r="B19" s="31" t="n">
        <v>0</v>
      </c>
      <c r="C19" s="31" t="n">
        <v>0</v>
      </c>
      <c r="D19" s="31" t="n">
        <v>0</v>
      </c>
      <c r="E19" s="31" t="n">
        <v>0</v>
      </c>
      <c r="F19" s="31" t="n">
        <v>0</v>
      </c>
      <c r="G19" s="31" t="n">
        <v>0</v>
      </c>
      <c r="H19" s="31" t="n">
        <v>0</v>
      </c>
      <c r="I19" s="31" t="n">
        <v>0</v>
      </c>
      <c r="J19" s="31" t="n">
        <v>0</v>
      </c>
      <c r="K19" s="31" t="n">
        <v>0</v>
      </c>
      <c r="L19" s="31" t="n">
        <v>0</v>
      </c>
      <c r="M19" s="31" t="n">
        <v>0</v>
      </c>
    </row>
    <row r="20">
      <c r="A20" s="30" t="inlineStr">
        <is>
          <t>Chi phí trả trước ngắn hạn</t>
        </is>
      </c>
      <c r="B20" s="31" t="n">
        <v>879062494371</v>
      </c>
      <c r="C20" s="31" t="n">
        <v>940997401052</v>
      </c>
      <c r="D20" s="31" t="n">
        <v>975412895475</v>
      </c>
      <c r="E20" s="31" t="n">
        <v>960963814812</v>
      </c>
      <c r="F20" s="31" t="n">
        <v>617798475447</v>
      </c>
      <c r="G20" s="31" t="n">
        <v>479707218558</v>
      </c>
      <c r="H20" s="31" t="n">
        <v>664880944825</v>
      </c>
      <c r="I20" s="31" t="n">
        <v>721172649340</v>
      </c>
      <c r="J20" s="31" t="n">
        <v>727367088616</v>
      </c>
      <c r="K20" s="31" t="n">
        <v>641974035769</v>
      </c>
      <c r="L20" s="31" t="n">
        <v>592431670183</v>
      </c>
      <c r="M20" s="31" t="n">
        <v>1160908912190</v>
      </c>
    </row>
    <row r="21">
      <c r="A21" s="30" t="inlineStr">
        <is>
          <t>Thuế GTGT được khấu trừ</t>
        </is>
      </c>
      <c r="B21" s="31" t="n">
        <v>151913612547</v>
      </c>
      <c r="C21" s="31" t="n">
        <v>147367655647</v>
      </c>
      <c r="D21" s="31" t="n">
        <v>167530162696</v>
      </c>
      <c r="E21" s="31" t="n">
        <v>138812602015</v>
      </c>
      <c r="F21" s="31" t="n">
        <v>604630088228</v>
      </c>
      <c r="G21" s="31" t="n">
        <v>648697117785</v>
      </c>
      <c r="H21" s="31" t="n">
        <v>641338640115</v>
      </c>
      <c r="I21" s="31" t="n">
        <v>636667509274</v>
      </c>
      <c r="J21" s="31" t="n">
        <v>665436755637</v>
      </c>
      <c r="K21" s="31" t="n">
        <v>609517465104</v>
      </c>
      <c r="L21" s="31" t="n">
        <v>626239248109</v>
      </c>
      <c r="M21" s="31" t="n">
        <v>704794019592</v>
      </c>
    </row>
    <row r="22">
      <c r="A22" s="30" t="inlineStr">
        <is>
          <t>Phải thu thuế khác</t>
        </is>
      </c>
      <c r="B22" s="31" t="n">
        <v>94914468583</v>
      </c>
      <c r="C22" s="31" t="n">
        <v>37482924362</v>
      </c>
      <c r="D22" s="31" t="n">
        <v>19396053560</v>
      </c>
      <c r="E22" s="31" t="n">
        <v>14655587560</v>
      </c>
      <c r="F22" s="31" t="n">
        <v>70187936409</v>
      </c>
      <c r="G22" s="31" t="n">
        <v>68603442585</v>
      </c>
      <c r="H22" s="31" t="n">
        <v>139497628510</v>
      </c>
      <c r="I22" s="31" t="n">
        <v>114884275311</v>
      </c>
      <c r="J22" s="31" t="n">
        <v>133744369072</v>
      </c>
      <c r="K22" s="31" t="n">
        <v>137067034159</v>
      </c>
      <c r="L22" s="31" t="n">
        <v>121526875562</v>
      </c>
      <c r="M22" s="31" t="n">
        <v>173343548253</v>
      </c>
    </row>
    <row r="23">
      <c r="A23" s="30" t="inlineStr">
        <is>
          <t>Tài sản lưu động khác</t>
        </is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</row>
    <row r="24">
      <c r="A24" s="30" t="inlineStr">
        <is>
          <t>TÀI SẢN DÀI HẠN</t>
        </is>
      </c>
      <c r="B24" s="31" t="n">
        <v>9119541571431</v>
      </c>
      <c r="C24" s="31" t="n">
        <v>9528214377917</v>
      </c>
      <c r="D24" s="31" t="n">
        <v>10619213737485</v>
      </c>
      <c r="E24" s="31" t="n">
        <v>11352494084644</v>
      </c>
      <c r="F24" s="31" t="n">
        <v>24976481427066</v>
      </c>
      <c r="G24" s="31" t="n">
        <v>26464052832167</v>
      </c>
      <c r="H24" s="31" t="n">
        <v>27922162132192</v>
      </c>
      <c r="I24" s="31" t="n">
        <v>28554895462630</v>
      </c>
      <c r="J24" s="31" t="n">
        <v>29105328066901</v>
      </c>
      <c r="K24" s="31" t="n">
        <v>30004553379717</v>
      </c>
      <c r="L24" s="31" t="n">
        <v>27058221725097</v>
      </c>
      <c r="M24" s="31" t="n">
        <v>27959976826227</v>
      </c>
    </row>
    <row r="25">
      <c r="A25" s="30" t="inlineStr">
        <is>
          <t>Phải thu dài hạn</t>
        </is>
      </c>
      <c r="B25" s="31" t="n">
        <v>247216967692</v>
      </c>
      <c r="C25" s="31" t="n">
        <v>246396148990</v>
      </c>
      <c r="D25" s="31" t="n">
        <v>254769962478</v>
      </c>
      <c r="E25" s="31" t="n">
        <v>109788240926</v>
      </c>
      <c r="F25" s="31" t="n">
        <v>346824501151</v>
      </c>
      <c r="G25" s="31" t="n">
        <v>331646166008</v>
      </c>
      <c r="H25" s="31" t="n">
        <v>433719282180</v>
      </c>
      <c r="I25" s="31" t="n">
        <v>555386499326</v>
      </c>
      <c r="J25" s="31" t="n">
        <v>576978545154</v>
      </c>
      <c r="K25" s="31" t="n">
        <v>564342065270</v>
      </c>
      <c r="L25" s="31" t="n">
        <v>529064080853</v>
      </c>
      <c r="M25" s="31" t="n">
        <v>546945165671</v>
      </c>
    </row>
    <row r="26">
      <c r="A26" s="30" t="inlineStr">
        <is>
          <t>Phải thu khách hàng dài hạn</t>
        </is>
      </c>
      <c r="B26" s="31" t="n">
        <v>161551680000</v>
      </c>
      <c r="C26" s="31" t="n">
        <v>161551680000</v>
      </c>
      <c r="D26" s="31" t="n">
        <v>161551680000</v>
      </c>
      <c r="E26" s="31" t="n">
        <v>0</v>
      </c>
      <c r="F26" s="31" t="n">
        <v>0</v>
      </c>
      <c r="G26" s="31" t="n">
        <v>0</v>
      </c>
      <c r="H26" s="31" t="n">
        <v>0</v>
      </c>
      <c r="I26" s="31" t="n">
        <v>0</v>
      </c>
      <c r="J26" s="31" t="n">
        <v>0</v>
      </c>
      <c r="K26" s="31" t="n">
        <v>0</v>
      </c>
      <c r="L26" s="31" t="n">
        <v>0</v>
      </c>
      <c r="M26" s="31" t="n">
        <v>0</v>
      </c>
    </row>
    <row r="27">
      <c r="A27" s="30" t="inlineStr">
        <is>
          <t>Phải thu nội bộ dài hạn</t>
        </is>
      </c>
      <c r="B27" s="31" t="n">
        <v>0</v>
      </c>
      <c r="C27" s="31" t="n">
        <v>0</v>
      </c>
      <c r="D27" s="31" t="n">
        <v>0</v>
      </c>
      <c r="E27" s="31" t="n">
        <v>0</v>
      </c>
      <c r="F27" s="31" t="n">
        <v>0</v>
      </c>
      <c r="G27" s="31" t="n">
        <v>0</v>
      </c>
      <c r="H27" s="31" t="n">
        <v>0</v>
      </c>
      <c r="I27" s="31" t="n">
        <v>0</v>
      </c>
      <c r="J27" s="31" t="n">
        <v>0</v>
      </c>
      <c r="K27" s="31" t="n">
        <v>0</v>
      </c>
      <c r="L27" s="31" t="n">
        <v>0</v>
      </c>
      <c r="M27" s="31" t="n">
        <v>0</v>
      </c>
    </row>
    <row r="28">
      <c r="A28" s="30" t="inlineStr">
        <is>
          <t>Phải thu dài hạn khác</t>
        </is>
      </c>
      <c r="B28" s="31" t="n">
        <v>140394461510</v>
      </c>
      <c r="C28" s="31" t="n">
        <v>139573642808</v>
      </c>
      <c r="D28" s="31" t="n">
        <v>147947456296</v>
      </c>
      <c r="E28" s="31" t="n">
        <v>164124620037</v>
      </c>
      <c r="F28" s="31" t="n">
        <v>398299567069</v>
      </c>
      <c r="G28" s="31" t="n">
        <v>381508926294</v>
      </c>
      <c r="H28" s="31" t="n">
        <v>482857117398</v>
      </c>
      <c r="I28" s="31" t="n">
        <v>602496864928</v>
      </c>
      <c r="J28" s="31" t="n">
        <v>624504027254</v>
      </c>
      <c r="K28" s="31" t="n">
        <v>611435814893</v>
      </c>
      <c r="L28" s="31" t="n">
        <v>581436563490</v>
      </c>
      <c r="M28" s="31" t="n">
        <v>599317648308</v>
      </c>
    </row>
    <row r="29">
      <c r="A29" s="30" t="inlineStr">
        <is>
          <t>Dự phòng phải thu dài hạn</t>
        </is>
      </c>
      <c r="B29" s="31" t="n">
        <v>-54729173818</v>
      </c>
      <c r="C29" s="31" t="n">
        <v>-54729173818</v>
      </c>
      <c r="D29" s="31" t="n">
        <v>-54729173818</v>
      </c>
      <c r="E29" s="31" t="n">
        <v>-54729173818</v>
      </c>
      <c r="F29" s="31" t="n">
        <v>-52372482637</v>
      </c>
      <c r="G29" s="31" t="n">
        <v>-52372482637</v>
      </c>
      <c r="H29" s="31" t="n">
        <v>-52372482637</v>
      </c>
      <c r="I29" s="31" t="n">
        <v>-52372482637</v>
      </c>
      <c r="J29" s="31" t="n">
        <v>-52372482637</v>
      </c>
      <c r="K29" s="31" t="n">
        <v>-52372482637</v>
      </c>
      <c r="L29" s="31" t="n">
        <v>-52372482637</v>
      </c>
      <c r="M29" s="31" t="n">
        <v>-52372482637</v>
      </c>
    </row>
    <row r="30">
      <c r="A30" s="30" t="inlineStr">
        <is>
          <t>Tài sản cố định</t>
        </is>
      </c>
      <c r="B30" s="31" t="n">
        <v>5189934475460</v>
      </c>
      <c r="C30" s="31" t="n">
        <v>5418766783628</v>
      </c>
      <c r="D30" s="31" t="n">
        <v>5601853847035</v>
      </c>
      <c r="E30" s="31" t="n">
        <v>6513735578258</v>
      </c>
      <c r="F30" s="31" t="n">
        <v>14439270982491</v>
      </c>
      <c r="G30" s="31" t="n">
        <v>14816131186204</v>
      </c>
      <c r="H30" s="31" t="n">
        <v>15548353983782</v>
      </c>
      <c r="I30" s="31" t="n">
        <v>16736349598106</v>
      </c>
      <c r="J30" s="31" t="n">
        <v>16990519914677</v>
      </c>
      <c r="K30" s="31" t="n">
        <v>17288541848861</v>
      </c>
      <c r="L30" s="31" t="n">
        <v>11625313235550</v>
      </c>
      <c r="M30" s="31" t="n">
        <v>11823522287408</v>
      </c>
    </row>
    <row r="31">
      <c r="A31" s="30" t="inlineStr">
        <is>
          <t>GTCL TSCĐ hữu hình</t>
        </is>
      </c>
      <c r="B31" s="31" t="n">
        <v>4541394101405</v>
      </c>
      <c r="C31" s="31" t="n">
        <v>4583203024348</v>
      </c>
      <c r="D31" s="31" t="n">
        <v>4775652459126</v>
      </c>
      <c r="E31" s="31" t="n">
        <v>5207125950106</v>
      </c>
      <c r="F31" s="31" t="n">
        <v>12896881546915</v>
      </c>
      <c r="G31" s="31" t="n">
        <v>12774567961718</v>
      </c>
      <c r="H31" s="31" t="n">
        <v>13567762652609</v>
      </c>
      <c r="I31" s="31" t="n">
        <v>14918062033907</v>
      </c>
      <c r="J31" s="31" t="n">
        <v>15156746699358</v>
      </c>
      <c r="K31" s="31" t="n">
        <v>15359168484059</v>
      </c>
      <c r="L31" s="31" t="n">
        <v>10218840964598</v>
      </c>
      <c r="M31" s="31" t="n">
        <v>10401695456564</v>
      </c>
    </row>
    <row r="32">
      <c r="A32" s="30" t="inlineStr">
        <is>
          <t>Nguyên giá TSCĐ hữu hình</t>
        </is>
      </c>
      <c r="B32" s="31" t="n">
        <v>8419195875081</v>
      </c>
      <c r="C32" s="31" t="n">
        <v>8604654317375</v>
      </c>
      <c r="D32" s="31" t="n">
        <v>8812874138516</v>
      </c>
      <c r="E32" s="31" t="n">
        <v>9471378508230</v>
      </c>
      <c r="F32" s="31" t="n">
        <v>24158069038149</v>
      </c>
      <c r="G32" s="31" t="n">
        <v>24457733666511</v>
      </c>
      <c r="H32" s="31" t="n">
        <v>25711539128956</v>
      </c>
      <c r="I32" s="31" t="n">
        <v>27579702921559</v>
      </c>
      <c r="J32" s="31" t="n">
        <v>28394940253483</v>
      </c>
      <c r="K32" s="31" t="n">
        <v>29122042372002</v>
      </c>
      <c r="L32" s="31" t="n">
        <v>14897139420348</v>
      </c>
      <c r="M32" s="31" t="n">
        <v>15338988173671</v>
      </c>
    </row>
    <row r="33">
      <c r="A33" s="30" t="inlineStr">
        <is>
          <t>Khấu hao lũy kế TSCĐ hữu hình</t>
        </is>
      </c>
      <c r="B33" s="31" t="n">
        <v>-3877801773676</v>
      </c>
      <c r="C33" s="31" t="n">
        <v>-4021451293027</v>
      </c>
      <c r="D33" s="31" t="n">
        <v>-4037221679390</v>
      </c>
      <c r="E33" s="31" t="n">
        <v>-4264252558124</v>
      </c>
      <c r="F33" s="31" t="n">
        <v>-11261187491234</v>
      </c>
      <c r="G33" s="31" t="n">
        <v>-11683165704793</v>
      </c>
      <c r="H33" s="31" t="n">
        <v>-12143776476347</v>
      </c>
      <c r="I33" s="31" t="n">
        <v>-12661640887652</v>
      </c>
      <c r="J33" s="31" t="n">
        <v>-13238193554125</v>
      </c>
      <c r="K33" s="31" t="n">
        <v>-13762873887943</v>
      </c>
      <c r="L33" s="31" t="n">
        <v>-4678298455750</v>
      </c>
      <c r="M33" s="31" t="n">
        <v>-4937292717107</v>
      </c>
    </row>
    <row r="34">
      <c r="A34" s="30" t="inlineStr">
        <is>
          <t>GTCL tài sản thuê tài chính</t>
        </is>
      </c>
      <c r="B34" s="31" t="n">
        <v>3495231807</v>
      </c>
      <c r="C34" s="31" t="n">
        <v>3177674790</v>
      </c>
      <c r="D34" s="31" t="n">
        <v>2916435006</v>
      </c>
      <c r="E34" s="31" t="n">
        <v>3024593397</v>
      </c>
      <c r="F34" s="31" t="n">
        <v>2382853627</v>
      </c>
      <c r="G34" s="31" t="n">
        <v>2042708364</v>
      </c>
      <c r="H34" s="31" t="n">
        <v>1950397239</v>
      </c>
      <c r="I34" s="31" t="n">
        <v>1829838007</v>
      </c>
      <c r="J34" s="31" t="n">
        <v>1574138434</v>
      </c>
      <c r="K34" s="31" t="n">
        <v>1277212606</v>
      </c>
      <c r="L34" s="31" t="n">
        <v>1049774612</v>
      </c>
      <c r="M34" s="31" t="n">
        <v>886963877</v>
      </c>
    </row>
    <row r="35">
      <c r="A35" s="30" t="inlineStr">
        <is>
          <t>Nguyên giá tài sản thuê tài chính</t>
        </is>
      </c>
      <c r="B35" s="31" t="n">
        <v>4877814576</v>
      </c>
      <c r="C35" s="31" t="n">
        <v>4777471909</v>
      </c>
      <c r="D35" s="31" t="n">
        <v>4748885916</v>
      </c>
      <c r="E35" s="31" t="n">
        <v>5208542803</v>
      </c>
      <c r="F35" s="31" t="n">
        <v>5990257244</v>
      </c>
      <c r="G35" s="31" t="n">
        <v>5716034788</v>
      </c>
      <c r="H35" s="31" t="n">
        <v>5982014084</v>
      </c>
      <c r="I35" s="31" t="n">
        <v>6236727728</v>
      </c>
      <c r="J35" s="31" t="n">
        <v>6143580020</v>
      </c>
      <c r="K35" s="31" t="n">
        <v>5871006196</v>
      </c>
      <c r="L35" s="31" t="n">
        <v>5791871860</v>
      </c>
      <c r="M35" s="31" t="n">
        <v>2717640000</v>
      </c>
    </row>
    <row r="36">
      <c r="A36" s="30" t="inlineStr">
        <is>
          <t>Khấu hao lũy kế tài sản thuê tài chính</t>
        </is>
      </c>
      <c r="B36" s="31" t="n">
        <v>-1382582769</v>
      </c>
      <c r="C36" s="31" t="n">
        <v>-1599797119</v>
      </c>
      <c r="D36" s="31" t="n">
        <v>-1832450910</v>
      </c>
      <c r="E36" s="31" t="n">
        <v>-2183949406</v>
      </c>
      <c r="F36" s="31" t="n">
        <v>-3607403617</v>
      </c>
      <c r="G36" s="31" t="n">
        <v>-3673326424</v>
      </c>
      <c r="H36" s="31" t="n">
        <v>-4031616845</v>
      </c>
      <c r="I36" s="31" t="n">
        <v>-4406889721</v>
      </c>
      <c r="J36" s="31" t="n">
        <v>-4569441586</v>
      </c>
      <c r="K36" s="31" t="n">
        <v>-4593793590</v>
      </c>
      <c r="L36" s="31" t="n">
        <v>-4742097248</v>
      </c>
      <c r="M36" s="31" t="n">
        <v>-1830676123</v>
      </c>
    </row>
    <row r="37">
      <c r="A37" s="30" t="inlineStr">
        <is>
          <t>GTCL tài sản cố định vô hình</t>
        </is>
      </c>
      <c r="B37" s="31" t="n">
        <v>645045142248</v>
      </c>
      <c r="C37" s="31" t="n">
        <v>832386084490</v>
      </c>
      <c r="D37" s="31" t="n">
        <v>823284952903</v>
      </c>
      <c r="E37" s="31" t="n">
        <v>1303585034755</v>
      </c>
      <c r="F37" s="31" t="n">
        <v>1540006581949</v>
      </c>
      <c r="G37" s="31" t="n">
        <v>2039520516122</v>
      </c>
      <c r="H37" s="31" t="n">
        <v>1978640933934</v>
      </c>
      <c r="I37" s="31" t="n">
        <v>1816457726192</v>
      </c>
      <c r="J37" s="31" t="n">
        <v>1832199076885</v>
      </c>
      <c r="K37" s="31" t="n">
        <v>1928096152196</v>
      </c>
      <c r="L37" s="31" t="n">
        <v>1405422496340</v>
      </c>
      <c r="M37" s="31" t="n">
        <v>1420939866967</v>
      </c>
    </row>
    <row r="38">
      <c r="A38" s="30" t="inlineStr">
        <is>
          <t>Nguyên giá TSCĐ vô hình</t>
        </is>
      </c>
      <c r="B38" s="31" t="n">
        <v>1136457956217</v>
      </c>
      <c r="C38" s="31" t="n">
        <v>1358444973347</v>
      </c>
      <c r="D38" s="31" t="n">
        <v>1385727804951</v>
      </c>
      <c r="E38" s="31" t="n">
        <v>1915362421263</v>
      </c>
      <c r="F38" s="31" t="n">
        <v>3072611297376</v>
      </c>
      <c r="G38" s="31" t="n">
        <v>3656302027788</v>
      </c>
      <c r="H38" s="31" t="n">
        <v>3676618000169</v>
      </c>
      <c r="I38" s="31" t="n">
        <v>3570802607022</v>
      </c>
      <c r="J38" s="31" t="n">
        <v>3682298917937</v>
      </c>
      <c r="K38" s="31" t="n">
        <v>3868883110367</v>
      </c>
      <c r="L38" s="31" t="n">
        <v>2741680041457</v>
      </c>
      <c r="M38" s="31" t="n">
        <v>2842565339777</v>
      </c>
    </row>
    <row r="39">
      <c r="A39" s="30" t="inlineStr">
        <is>
          <t>Khấu hao lũy kế TSCĐ vô hình</t>
        </is>
      </c>
      <c r="B39" s="31" t="n">
        <v>-491412813969</v>
      </c>
      <c r="C39" s="31" t="n">
        <v>-526058888857</v>
      </c>
      <c r="D39" s="31" t="n">
        <v>-562442852048</v>
      </c>
      <c r="E39" s="31" t="n">
        <v>-611777386508</v>
      </c>
      <c r="F39" s="31" t="n">
        <v>-1532604715427</v>
      </c>
      <c r="G39" s="31" t="n">
        <v>-1616781511666</v>
      </c>
      <c r="H39" s="31" t="n">
        <v>-1697977066235</v>
      </c>
      <c r="I39" s="31" t="n">
        <v>-1754344880830</v>
      </c>
      <c r="J39" s="31" t="n">
        <v>-1850099841052</v>
      </c>
      <c r="K39" s="31" t="n">
        <v>-1940786958171</v>
      </c>
      <c r="L39" s="31" t="n">
        <v>-1336257545117</v>
      </c>
      <c r="M39" s="31" t="n">
        <v>-1421625472810</v>
      </c>
    </row>
    <row r="40">
      <c r="A40" s="30" t="inlineStr">
        <is>
          <t>Xây dựng cơ bản đang dang dở (trước 2015)</t>
        </is>
      </c>
      <c r="B40" s="31" t="n">
        <v>0</v>
      </c>
      <c r="C40" s="31" t="n">
        <v>0</v>
      </c>
      <c r="D40" s="31" t="n">
        <v>0</v>
      </c>
      <c r="E40" s="31" t="n">
        <v>0</v>
      </c>
      <c r="F40" s="31" t="n">
        <v>0</v>
      </c>
      <c r="G40" s="31" t="n">
        <v>0</v>
      </c>
      <c r="H40" s="31" t="n">
        <v>0</v>
      </c>
      <c r="I40" s="31" t="n">
        <v>0</v>
      </c>
      <c r="J40" s="31" t="n">
        <v>0</v>
      </c>
      <c r="K40" s="31" t="n">
        <v>0</v>
      </c>
      <c r="L40" s="31" t="n">
        <v>0</v>
      </c>
      <c r="M40" s="31" t="n">
        <v>0</v>
      </c>
    </row>
    <row r="41">
      <c r="A41" s="30" t="inlineStr">
        <is>
          <t>Giá trị ròng tài sản đầu tư</t>
        </is>
      </c>
      <c r="B41" s="31" t="n">
        <v>0</v>
      </c>
      <c r="C41" s="31" t="n">
        <v>0</v>
      </c>
      <c r="D41" s="31" t="n">
        <v>0</v>
      </c>
      <c r="E41" s="31" t="n">
        <v>0</v>
      </c>
      <c r="F41" s="31" t="n">
        <v>0</v>
      </c>
      <c r="G41" s="31" t="n">
        <v>0</v>
      </c>
      <c r="H41" s="31" t="n">
        <v>0</v>
      </c>
      <c r="I41" s="31" t="n">
        <v>0</v>
      </c>
      <c r="J41" s="31" t="n">
        <v>0</v>
      </c>
      <c r="K41" s="31" t="n">
        <v>0</v>
      </c>
      <c r="L41" s="31" t="n">
        <v>0</v>
      </c>
      <c r="M41" s="31" t="n">
        <v>0</v>
      </c>
    </row>
    <row r="42">
      <c r="A42" s="30" t="inlineStr">
        <is>
          <t>Nguyên giá tài sản đầu tư</t>
        </is>
      </c>
      <c r="B42" s="31" t="n">
        <v>0</v>
      </c>
      <c r="C42" s="31" t="n">
        <v>0</v>
      </c>
      <c r="D42" s="31" t="n">
        <v>0</v>
      </c>
      <c r="E42" s="31" t="n">
        <v>0</v>
      </c>
      <c r="F42" s="31" t="n">
        <v>0</v>
      </c>
      <c r="G42" s="31" t="n">
        <v>0</v>
      </c>
      <c r="H42" s="31" t="n">
        <v>0</v>
      </c>
      <c r="I42" s="31" t="n">
        <v>0</v>
      </c>
      <c r="J42" s="31" t="n">
        <v>0</v>
      </c>
      <c r="K42" s="31" t="n">
        <v>0</v>
      </c>
      <c r="L42" s="31" t="n">
        <v>0</v>
      </c>
      <c r="M42" s="31" t="n">
        <v>0</v>
      </c>
    </row>
    <row r="43">
      <c r="A43" s="30" t="inlineStr">
        <is>
          <t>Khấu hao lũy kế tài sản đầu tư</t>
        </is>
      </c>
      <c r="B43" s="31" t="n">
        <v>0</v>
      </c>
      <c r="C43" s="31" t="n">
        <v>0</v>
      </c>
      <c r="D43" s="31" t="n">
        <v>0</v>
      </c>
      <c r="E43" s="31" t="n">
        <v>0</v>
      </c>
      <c r="F43" s="31" t="n">
        <v>0</v>
      </c>
      <c r="G43" s="31" t="n">
        <v>0</v>
      </c>
      <c r="H43" s="31" t="n">
        <v>0</v>
      </c>
      <c r="I43" s="31" t="n">
        <v>0</v>
      </c>
      <c r="J43" s="31" t="n">
        <v>0</v>
      </c>
      <c r="K43" s="31" t="n">
        <v>0</v>
      </c>
      <c r="L43" s="31" t="n">
        <v>0</v>
      </c>
      <c r="M43" s="31" t="n">
        <v>0</v>
      </c>
    </row>
    <row r="44">
      <c r="A44" s="30" t="inlineStr">
        <is>
          <t>Đầu tư dài hạn</t>
        </is>
      </c>
      <c r="B44" s="31" t="n">
        <v>1850084969756</v>
      </c>
      <c r="C44" s="31" t="n">
        <v>1925316091686</v>
      </c>
      <c r="D44" s="31" t="n">
        <v>2000007909095</v>
      </c>
      <c r="E44" s="31" t="n">
        <v>2202466649730</v>
      </c>
      <c r="F44" s="31" t="n">
        <v>3214141461080</v>
      </c>
      <c r="G44" s="31" t="n">
        <v>3318095237260</v>
      </c>
      <c r="H44" s="31" t="n">
        <v>3526503466795</v>
      </c>
      <c r="I44" s="31" t="n">
        <v>3814048381835</v>
      </c>
      <c r="J44" s="31" t="n">
        <v>3982982376038</v>
      </c>
      <c r="K44" s="31" t="n">
        <v>4737863994182</v>
      </c>
      <c r="L44" s="31" t="n">
        <v>10525098646332</v>
      </c>
      <c r="M44" s="31" t="n">
        <v>11130697973623</v>
      </c>
    </row>
    <row r="45">
      <c r="A45" s="30" t="inlineStr">
        <is>
          <t>Đầu tư vào các công ty con</t>
        </is>
      </c>
      <c r="B45" s="31" t="n">
        <v>0</v>
      </c>
      <c r="C45" s="31" t="n">
        <v>0</v>
      </c>
      <c r="D45" s="31" t="n">
        <v>0</v>
      </c>
      <c r="E45" s="31" t="n">
        <v>0</v>
      </c>
      <c r="F45" s="31" t="n">
        <v>0</v>
      </c>
      <c r="G45" s="31" t="n">
        <v>0</v>
      </c>
      <c r="H45" s="31" t="n">
        <v>0</v>
      </c>
      <c r="I45" s="31" t="n">
        <v>0</v>
      </c>
      <c r="J45" s="31" t="n">
        <v>0</v>
      </c>
      <c r="K45" s="31" t="n">
        <v>0</v>
      </c>
      <c r="L45" s="31" t="n">
        <v>0</v>
      </c>
      <c r="M45" s="31" t="n">
        <v>0</v>
      </c>
    </row>
    <row r="46">
      <c r="A46" s="30" t="inlineStr">
        <is>
          <t>Đầu tư vào các công ty liên kết</t>
        </is>
      </c>
      <c r="B46" s="31" t="n">
        <v>1411807900711</v>
      </c>
      <c r="C46" s="31" t="n">
        <v>1498426522640</v>
      </c>
      <c r="D46" s="31" t="n">
        <v>1584505840050</v>
      </c>
      <c r="E46" s="31" t="n">
        <v>1676231689527</v>
      </c>
      <c r="F46" s="31" t="n">
        <v>2107973088950</v>
      </c>
      <c r="G46" s="31" t="n">
        <v>2281222436752</v>
      </c>
      <c r="H46" s="31" t="n">
        <v>2496646180033</v>
      </c>
      <c r="I46" s="31" t="n">
        <v>2749087174920</v>
      </c>
      <c r="J46" s="31" t="n">
        <v>2926769962921</v>
      </c>
      <c r="K46" s="31" t="n">
        <v>3581128517425</v>
      </c>
      <c r="L46" s="31" t="n">
        <v>9410217695173</v>
      </c>
      <c r="M46" s="31" t="n">
        <v>9994654773920</v>
      </c>
    </row>
    <row r="47">
      <c r="A47" s="30" t="inlineStr">
        <is>
          <t>Đầu tư dài hạn khác</t>
        </is>
      </c>
      <c r="B47" s="31" t="n">
        <v>749294842700</v>
      </c>
      <c r="C47" s="31" t="n">
        <v>749364823537</v>
      </c>
      <c r="D47" s="31" t="n">
        <v>749521251289</v>
      </c>
      <c r="E47" s="31" t="n">
        <v>793360844792</v>
      </c>
      <c r="F47" s="31" t="n">
        <v>3127281986657</v>
      </c>
      <c r="G47" s="31" t="n">
        <v>3393737969842</v>
      </c>
      <c r="H47" s="31" t="n">
        <v>3422494535673</v>
      </c>
      <c r="I47" s="31" t="n">
        <v>3489039064306</v>
      </c>
      <c r="J47" s="31" t="n">
        <v>3467604969734</v>
      </c>
      <c r="K47" s="31" t="n">
        <v>3823762975906</v>
      </c>
      <c r="L47" s="31" t="n">
        <v>3822196436118</v>
      </c>
      <c r="M47" s="31" t="n">
        <v>3860276807460</v>
      </c>
    </row>
    <row r="48">
      <c r="A48" s="30" t="inlineStr">
        <is>
          <t>Dự phòng giảm giá đầu tư dài hạn</t>
        </is>
      </c>
      <c r="B48" s="31" t="n">
        <v>-311017773655</v>
      </c>
      <c r="C48" s="31" t="n">
        <v>-322475254491</v>
      </c>
      <c r="D48" s="31" t="n">
        <v>-334019182244</v>
      </c>
      <c r="E48" s="31" t="n">
        <v>-267125884589</v>
      </c>
      <c r="F48" s="31" t="n">
        <v>-2021313614527</v>
      </c>
      <c r="G48" s="31" t="n">
        <v>-2357065169334</v>
      </c>
      <c r="H48" s="31" t="n">
        <v>-2392837248911</v>
      </c>
      <c r="I48" s="31" t="n">
        <v>-2424277857391</v>
      </c>
      <c r="J48" s="31" t="n">
        <v>-2411392556617</v>
      </c>
      <c r="K48" s="31" t="n">
        <v>-2667027499149</v>
      </c>
      <c r="L48" s="31" t="n">
        <v>-2710089987125</v>
      </c>
      <c r="M48" s="31" t="n">
        <v>-2726634298442</v>
      </c>
    </row>
    <row r="49">
      <c r="A49" s="30" t="inlineStr">
        <is>
          <t>Lợi thế thương mại (trước 2015)</t>
        </is>
      </c>
      <c r="B49" s="31" t="n">
        <v>0</v>
      </c>
      <c r="C49" s="31" t="n">
        <v>0</v>
      </c>
      <c r="D49" s="31" t="n">
        <v>0</v>
      </c>
      <c r="E49" s="31" t="n">
        <v>0</v>
      </c>
      <c r="F49" s="31" t="n">
        <v>0</v>
      </c>
      <c r="G49" s="31" t="n">
        <v>0</v>
      </c>
      <c r="H49" s="31" t="n">
        <v>0</v>
      </c>
      <c r="I49" s="31" t="n">
        <v>0</v>
      </c>
      <c r="J49" s="31" t="n">
        <v>0</v>
      </c>
      <c r="K49" s="31" t="n">
        <v>0</v>
      </c>
      <c r="L49" s="31" t="n">
        <v>0</v>
      </c>
      <c r="M49" s="31" t="n">
        <v>0</v>
      </c>
    </row>
    <row r="50">
      <c r="A50" s="30" t="inlineStr">
        <is>
          <t>Tài sản dài hạn khác</t>
        </is>
      </c>
      <c r="B50" s="31" t="n">
        <v>861998585534</v>
      </c>
      <c r="C50" s="31" t="n">
        <v>962335366522</v>
      </c>
      <c r="D50" s="31" t="n">
        <v>1648577505179</v>
      </c>
      <c r="E50" s="31" t="n">
        <v>1351725531977</v>
      </c>
      <c r="F50" s="31" t="n">
        <v>5501511121171</v>
      </c>
      <c r="G50" s="31" t="n">
        <v>5438413518284</v>
      </c>
      <c r="H50" s="31" t="n">
        <v>5600891937741</v>
      </c>
      <c r="I50" s="31" t="n">
        <v>5696418377281</v>
      </c>
      <c r="J50" s="31" t="n">
        <v>5915455046818</v>
      </c>
      <c r="K50" s="31" t="n">
        <v>5808727466506</v>
      </c>
      <c r="L50" s="31" t="n">
        <v>3399067564489</v>
      </c>
      <c r="M50" s="31" t="n">
        <v>3413291406189</v>
      </c>
    </row>
    <row r="51">
      <c r="A51" s="30" t="inlineStr">
        <is>
          <t>Trả trước dài hạn</t>
        </is>
      </c>
      <c r="B51" s="31" t="n">
        <v>822692250912</v>
      </c>
      <c r="C51" s="31" t="n">
        <v>854881589772</v>
      </c>
      <c r="D51" s="31" t="n">
        <v>892811476111</v>
      </c>
      <c r="E51" s="31" t="n">
        <v>988477952687</v>
      </c>
      <c r="F51" s="31" t="n">
        <v>3447179472476</v>
      </c>
      <c r="G51" s="31" t="n">
        <v>3765187625417</v>
      </c>
      <c r="H51" s="31" t="n">
        <v>3785638253320</v>
      </c>
      <c r="I51" s="31" t="n">
        <v>3961673550929</v>
      </c>
      <c r="J51" s="31" t="n">
        <v>4112639286448</v>
      </c>
      <c r="K51" s="31" t="n">
        <v>4200230383066</v>
      </c>
      <c r="L51" s="31" t="n">
        <v>1748044165862</v>
      </c>
      <c r="M51" s="31" t="n">
        <v>1772807068658</v>
      </c>
    </row>
    <row r="52">
      <c r="A52" s="30" t="inlineStr">
        <is>
          <t>Thuế thu nhập hoãn lại</t>
        </is>
      </c>
      <c r="B52" s="31" t="n">
        <v>2864161020</v>
      </c>
      <c r="C52" s="31" t="n">
        <v>332481380</v>
      </c>
      <c r="D52" s="31" t="n">
        <v>337156047</v>
      </c>
      <c r="E52" s="31" t="n">
        <v>335327364</v>
      </c>
      <c r="F52" s="31" t="n">
        <v>281716928073</v>
      </c>
      <c r="G52" s="31" t="n">
        <v>356966680614</v>
      </c>
      <c r="H52" s="31" t="n">
        <v>569727369002</v>
      </c>
      <c r="I52" s="31" t="n">
        <v>314696412607</v>
      </c>
      <c r="J52" s="31" t="n">
        <v>251711896960</v>
      </c>
      <c r="K52" s="31" t="n">
        <v>257727308967</v>
      </c>
      <c r="L52" s="31" t="n">
        <v>225408582305</v>
      </c>
      <c r="M52" s="31" t="n">
        <v>333045601495</v>
      </c>
    </row>
    <row r="53">
      <c r="A53" s="30" t="inlineStr">
        <is>
          <t>Các tài sản dài hạn khác</t>
        </is>
      </c>
      <c r="B53" s="31" t="n">
        <v>0</v>
      </c>
      <c r="C53" s="31" t="n">
        <v>68980308735</v>
      </c>
      <c r="D53" s="31" t="n">
        <v>0</v>
      </c>
      <c r="E53" s="31" t="n">
        <v>0</v>
      </c>
      <c r="F53" s="31" t="n">
        <v>0</v>
      </c>
      <c r="G53" s="31" t="n">
        <v>0</v>
      </c>
      <c r="H53" s="31" t="n">
        <v>0</v>
      </c>
      <c r="I53" s="31" t="n">
        <v>0</v>
      </c>
      <c r="J53" s="31" t="n">
        <v>0</v>
      </c>
      <c r="K53" s="31" t="n">
        <v>0</v>
      </c>
      <c r="L53" s="31" t="n">
        <v>978136521462</v>
      </c>
      <c r="M53" s="31" t="n">
        <v>935367485878</v>
      </c>
    </row>
    <row r="54">
      <c r="A54" s="30" t="inlineStr">
        <is>
          <t>TỔNG CỘNG TÀI SẢN</t>
        </is>
      </c>
      <c r="B54" s="31" t="n">
        <v>25010919853656</v>
      </c>
      <c r="C54" s="31" t="n">
        <v>26286145538324</v>
      </c>
      <c r="D54" s="31" t="n">
        <v>28080868938813</v>
      </c>
      <c r="E54" s="31" t="n">
        <v>29725930367404</v>
      </c>
      <c r="F54" s="31" t="n">
        <v>67581587131382</v>
      </c>
      <c r="G54" s="31" t="n">
        <v>71999995678620</v>
      </c>
      <c r="H54" s="31" t="n">
        <v>73997673121789</v>
      </c>
      <c r="I54" s="31" t="n">
        <v>81266075455371</v>
      </c>
      <c r="J54" s="31" t="n">
        <v>82738304930449</v>
      </c>
      <c r="K54" s="31" t="n">
        <v>88141991634625</v>
      </c>
      <c r="L54" s="31" t="n">
        <v>68586094785217</v>
      </c>
      <c r="M54" s="31" t="n">
        <v>73563105859500</v>
      </c>
    </row>
    <row r="55">
      <c r="A55" s="30" t="inlineStr">
        <is>
          <t>NỢ PHẢI TRẢ</t>
        </is>
      </c>
      <c r="B55" s="31" t="n">
        <v>11111083511698</v>
      </c>
      <c r="C55" s="31" t="n">
        <v>12400576249250</v>
      </c>
      <c r="D55" s="31" t="n">
        <v>13916060196857</v>
      </c>
      <c r="E55" s="31" t="n">
        <v>14963120976839</v>
      </c>
      <c r="F55" s="31" t="n">
        <v>32217402904957</v>
      </c>
      <c r="G55" s="31" t="n">
        <v>36272455573820</v>
      </c>
      <c r="H55" s="31" t="n">
        <v>36101018424847</v>
      </c>
      <c r="I55" s="31" t="n">
        <v>41393292129716</v>
      </c>
      <c r="J55" s="31" t="n">
        <v>39907781019976</v>
      </c>
      <c r="K55" s="31" t="n">
        <v>44393950887086</v>
      </c>
      <c r="L55" s="31" t="n">
        <v>28464058214856</v>
      </c>
      <c r="M55" s="31" t="n">
        <v>32567425051243</v>
      </c>
    </row>
    <row r="56">
      <c r="A56" s="30" t="inlineStr">
        <is>
          <t>Nợ ngắn hạn</t>
        </is>
      </c>
      <c r="B56" s="31" t="n">
        <v>10523957829819</v>
      </c>
      <c r="C56" s="31" t="n">
        <v>11901667720854</v>
      </c>
      <c r="D56" s="31" t="n">
        <v>13360081506284</v>
      </c>
      <c r="E56" s="31" t="n">
        <v>14432174582903</v>
      </c>
      <c r="F56" s="31" t="n">
        <v>30969636903539</v>
      </c>
      <c r="G56" s="31" t="n">
        <v>34836184067740</v>
      </c>
      <c r="H56" s="31" t="n">
        <v>33917117422503</v>
      </c>
      <c r="I56" s="31" t="n">
        <v>37683199470884</v>
      </c>
      <c r="J56" s="31" t="n">
        <v>36285959995924</v>
      </c>
      <c r="K56" s="31" t="n">
        <v>41524928721230</v>
      </c>
      <c r="L56" s="31" t="n">
        <v>25696151990523</v>
      </c>
      <c r="M56" s="31" t="n">
        <v>29194331060043</v>
      </c>
    </row>
    <row r="57">
      <c r="A57" s="30" t="inlineStr">
        <is>
          <t>Vay ngắn hạn</t>
        </is>
      </c>
      <c r="B57" s="31" t="n">
        <v>4993557964115</v>
      </c>
      <c r="C57" s="31" t="n">
        <v>5971944040829</v>
      </c>
      <c r="D57" s="31" t="n">
        <v>6716837131564</v>
      </c>
      <c r="E57" s="31" t="n">
        <v>6603319589348</v>
      </c>
      <c r="F57" s="31" t="n">
        <v>14167809581083</v>
      </c>
      <c r="G57" s="31" t="n">
        <v>14446238451323</v>
      </c>
      <c r="H57" s="31" t="n">
        <v>18320209599285</v>
      </c>
      <c r="I57" s="31" t="n">
        <v>20297311111107</v>
      </c>
      <c r="J57" s="31" t="n">
        <v>16906417104678</v>
      </c>
      <c r="K57" s="31" t="n">
        <v>19169697497955</v>
      </c>
      <c r="L57" s="31" t="n">
        <v>14491358043012</v>
      </c>
      <c r="M57" s="31" t="n">
        <v>16368916886521</v>
      </c>
    </row>
    <row r="58">
      <c r="A58" s="30" t="inlineStr">
        <is>
          <t>Phải trả người bán</t>
        </is>
      </c>
      <c r="B58" s="31" t="n">
        <v>1619004057743</v>
      </c>
      <c r="C58" s="31" t="n">
        <v>1618107863526</v>
      </c>
      <c r="D58" s="31" t="n">
        <v>1899540092890</v>
      </c>
      <c r="E58" s="31" t="n">
        <v>2510848379420</v>
      </c>
      <c r="F58" s="31" t="n">
        <v>3096588816686</v>
      </c>
      <c r="G58" s="31" t="n">
        <v>4423912840298</v>
      </c>
      <c r="H58" s="31" t="n">
        <v>3244393302947</v>
      </c>
      <c r="I58" s="31" t="n">
        <v>3048129830899</v>
      </c>
      <c r="J58" s="31" t="n">
        <v>2987803426808</v>
      </c>
      <c r="K58" s="31" t="n">
        <v>3837081314767</v>
      </c>
      <c r="L58" s="31" t="n">
        <v>1852714940817</v>
      </c>
      <c r="M58" s="31" t="n">
        <v>2156010634465</v>
      </c>
    </row>
    <row r="59">
      <c r="A59" s="30" t="inlineStr">
        <is>
          <t>Người mua trả tiền trước</t>
        </is>
      </c>
      <c r="B59" s="31" t="n">
        <v>650265625121</v>
      </c>
      <c r="C59" s="31" t="n">
        <v>576244037368</v>
      </c>
      <c r="D59" s="31" t="n">
        <v>611546728222</v>
      </c>
      <c r="E59" s="31" t="n">
        <v>418652248691</v>
      </c>
      <c r="F59" s="31" t="n">
        <v>561493915003</v>
      </c>
      <c r="G59" s="31" t="n">
        <v>562066755666</v>
      </c>
      <c r="H59" s="31" t="n">
        <v>601277867861</v>
      </c>
      <c r="I59" s="31" t="n">
        <v>832680973164</v>
      </c>
      <c r="J59" s="31" t="n">
        <v>889386954751</v>
      </c>
      <c r="K59" s="31" t="n">
        <v>734726007595</v>
      </c>
      <c r="L59" s="31" t="n">
        <v>824581395679</v>
      </c>
      <c r="M59" s="31" t="n">
        <v>1033356254269</v>
      </c>
    </row>
    <row r="60">
      <c r="A60" s="30" t="inlineStr">
        <is>
          <t>Thuế và các khoản phải trả Nhà nước</t>
        </is>
      </c>
      <c r="B60" s="31" t="n">
        <v>200483212608</v>
      </c>
      <c r="C60" s="31" t="n">
        <v>243955140677</v>
      </c>
      <c r="D60" s="31" t="n">
        <v>307795291077</v>
      </c>
      <c r="E60" s="31" t="n">
        <v>384269739107</v>
      </c>
      <c r="F60" s="31" t="n">
        <v>1674374835631</v>
      </c>
      <c r="G60" s="31" t="n">
        <v>2298821801748</v>
      </c>
      <c r="H60" s="31" t="n">
        <v>1121444348802</v>
      </c>
      <c r="I60" s="31" t="n">
        <v>1444374187645</v>
      </c>
      <c r="J60" s="31" t="n">
        <v>1688953475754</v>
      </c>
      <c r="K60" s="31" t="n">
        <v>2199487107880</v>
      </c>
      <c r="L60" s="31" t="n">
        <v>930835170311</v>
      </c>
      <c r="M60" s="31" t="n">
        <v>1241667525613</v>
      </c>
    </row>
    <row r="61">
      <c r="A61" s="30" t="inlineStr">
        <is>
          <t>Phải trả người lao động</t>
        </is>
      </c>
      <c r="B61" s="31" t="n">
        <v>650692627199</v>
      </c>
      <c r="C61" s="31" t="n">
        <v>717908322257</v>
      </c>
      <c r="D61" s="31" t="n">
        <v>921464864946</v>
      </c>
      <c r="E61" s="31" t="n">
        <v>1195445438205</v>
      </c>
      <c r="F61" s="31" t="n">
        <v>4450898103166</v>
      </c>
      <c r="G61" s="31" t="n">
        <v>4341013546853</v>
      </c>
      <c r="H61" s="31" t="n">
        <v>3131535196468</v>
      </c>
      <c r="I61" s="31" t="n">
        <v>4948810580669</v>
      </c>
      <c r="J61" s="31" t="n">
        <v>5855479855263</v>
      </c>
      <c r="K61" s="31" t="n">
        <v>5724811126353</v>
      </c>
      <c r="L61" s="31" t="n">
        <v>2381460234023</v>
      </c>
      <c r="M61" s="31" t="n">
        <v>3349945087206</v>
      </c>
    </row>
    <row r="62">
      <c r="A62" s="30" t="inlineStr">
        <is>
          <t>Chi phí phải trả</t>
        </is>
      </c>
      <c r="B62" s="31" t="n">
        <v>596563173742</v>
      </c>
      <c r="C62" s="31" t="n">
        <v>968626938378</v>
      </c>
      <c r="D62" s="31" t="n">
        <v>876558995840</v>
      </c>
      <c r="E62" s="31" t="n">
        <v>841818881252</v>
      </c>
      <c r="F62" s="31" t="n">
        <v>1331750914463</v>
      </c>
      <c r="G62" s="31" t="n">
        <v>1241089122260</v>
      </c>
      <c r="H62" s="31" t="n">
        <v>1333924968064</v>
      </c>
      <c r="I62" s="31" t="n">
        <v>1316015133539</v>
      </c>
      <c r="J62" s="31" t="n">
        <v>1288325325852</v>
      </c>
      <c r="K62" s="31" t="n">
        <v>1765446702057</v>
      </c>
      <c r="L62" s="31" t="n">
        <v>1297318040710</v>
      </c>
      <c r="M62" s="31" t="n">
        <v>1226527799254</v>
      </c>
    </row>
    <row r="63">
      <c r="A63" s="30" t="inlineStr">
        <is>
          <t>Phải trả nội bộ</t>
        </is>
      </c>
      <c r="B63" s="31" t="n">
        <v>0</v>
      </c>
      <c r="C63" s="31" t="n">
        <v>0</v>
      </c>
      <c r="D63" s="31" t="n">
        <v>0</v>
      </c>
      <c r="E63" s="31" t="n">
        <v>0</v>
      </c>
      <c r="F63" s="31" t="n">
        <v>0</v>
      </c>
      <c r="G63" s="31" t="n">
        <v>0</v>
      </c>
      <c r="H63" s="31" t="n">
        <v>0</v>
      </c>
      <c r="I63" s="31" t="n">
        <v>0</v>
      </c>
      <c r="J63" s="31" t="n">
        <v>0</v>
      </c>
      <c r="K63" s="31" t="n">
        <v>0</v>
      </c>
      <c r="L63" s="31" t="n">
        <v>0</v>
      </c>
      <c r="M63" s="31" t="n">
        <v>0</v>
      </c>
    </row>
    <row r="64">
      <c r="A64" s="30" t="inlineStr">
        <is>
          <t>Phải trả về xây dựng cơ bản</t>
        </is>
      </c>
      <c r="B64" s="31" t="n">
        <v>20401408500</v>
      </c>
      <c r="C64" s="31" t="n">
        <v>22992601562</v>
      </c>
      <c r="D64" s="31" t="n">
        <v>22103359702</v>
      </c>
      <c r="E64" s="31" t="n">
        <v>46755636205</v>
      </c>
      <c r="F64" s="31" t="n">
        <v>73935649016</v>
      </c>
      <c r="G64" s="31" t="n">
        <v>92738882375</v>
      </c>
      <c r="H64" s="31" t="n">
        <v>101890782709</v>
      </c>
      <c r="I64" s="31" t="n">
        <v>146279877893</v>
      </c>
      <c r="J64" s="31" t="n">
        <v>97274560617</v>
      </c>
      <c r="K64" s="31" t="n">
        <v>85650109236</v>
      </c>
      <c r="L64" s="31" t="n">
        <v>72097049140</v>
      </c>
      <c r="M64" s="31" t="n">
        <v>96625877044</v>
      </c>
    </row>
    <row r="65">
      <c r="A65" s="30" t="inlineStr">
        <is>
          <t>Phải trả khác</t>
        </is>
      </c>
      <c r="B65" s="31" t="n">
        <v>289020263287</v>
      </c>
      <c r="C65" s="31" t="n">
        <v>273073631807</v>
      </c>
      <c r="D65" s="31" t="n">
        <v>372252000760</v>
      </c>
      <c r="E65" s="31" t="n">
        <v>336615389409</v>
      </c>
      <c r="F65" s="31" t="n">
        <v>867644213813</v>
      </c>
      <c r="G65" s="31" t="n">
        <v>874015837328</v>
      </c>
      <c r="H65" s="31" t="n">
        <v>1251531665774</v>
      </c>
      <c r="I65" s="31" t="n">
        <v>791618953091</v>
      </c>
      <c r="J65" s="31" t="n">
        <v>886287256355</v>
      </c>
      <c r="K65" s="31" t="n">
        <v>1014754880632</v>
      </c>
      <c r="L65" s="31" t="n">
        <v>586509033785</v>
      </c>
      <c r="M65" s="31" t="n">
        <v>578496760995</v>
      </c>
    </row>
    <row r="66">
      <c r="A66" s="30" t="inlineStr">
        <is>
          <t>Dự phòng các khoản phải trả ngắn hạn</t>
        </is>
      </c>
      <c r="B66" s="31" t="n">
        <v>5390121823</v>
      </c>
      <c r="C66" s="31" t="n">
        <v>5145730117</v>
      </c>
      <c r="D66" s="31" t="n">
        <v>5040725678</v>
      </c>
      <c r="E66" s="31" t="n">
        <v>31354115546</v>
      </c>
      <c r="F66" s="31" t="n">
        <v>68122659088</v>
      </c>
      <c r="G66" s="31" t="n">
        <v>496600145127</v>
      </c>
      <c r="H66" s="31" t="n">
        <v>469541169378</v>
      </c>
      <c r="I66" s="31" t="n">
        <v>445896728018</v>
      </c>
      <c r="J66" s="31" t="n">
        <v>447281435201</v>
      </c>
      <c r="K66" s="31" t="n">
        <v>599498384069</v>
      </c>
      <c r="L66" s="31" t="n">
        <v>568429169238</v>
      </c>
      <c r="M66" s="31" t="n">
        <v>288730515471</v>
      </c>
    </row>
    <row r="67">
      <c r="A67" s="30" t="inlineStr">
        <is>
          <t>Quỹ khen thưởng, phúc lợi</t>
        </is>
      </c>
      <c r="B67" s="31" t="n">
        <v>223076342833</v>
      </c>
      <c r="C67" s="31" t="n">
        <v>174161975906</v>
      </c>
      <c r="D67" s="31" t="n">
        <v>169355751843</v>
      </c>
      <c r="E67" s="31" t="n">
        <v>452173917022</v>
      </c>
      <c r="F67" s="31" t="n">
        <v>1067832843209</v>
      </c>
      <c r="G67" s="31" t="n">
        <v>1835037318363</v>
      </c>
      <c r="H67" s="31" t="n">
        <v>1651013852183</v>
      </c>
      <c r="I67" s="31" t="n">
        <v>1506718165310</v>
      </c>
      <c r="J67" s="31" t="n">
        <v>1466277560451</v>
      </c>
      <c r="K67" s="31" t="n">
        <v>2160076871985</v>
      </c>
      <c r="L67" s="31" t="n">
        <v>1576181989047</v>
      </c>
      <c r="M67" s="31" t="n">
        <v>1486454818794</v>
      </c>
    </row>
    <row r="68">
      <c r="A68" s="30" t="inlineStr">
        <is>
          <t>Nợ dài hạn</t>
        </is>
      </c>
      <c r="B68" s="31" t="n">
        <v>587125681879</v>
      </c>
      <c r="C68" s="31" t="n">
        <v>498908528396</v>
      </c>
      <c r="D68" s="31" t="n">
        <v>555978690573</v>
      </c>
      <c r="E68" s="31" t="n">
        <v>530946393936</v>
      </c>
      <c r="F68" s="31" t="n">
        <v>1247766001418</v>
      </c>
      <c r="G68" s="31" t="n">
        <v>1436271506080</v>
      </c>
      <c r="H68" s="31" t="n">
        <v>2183901002344</v>
      </c>
      <c r="I68" s="31" t="n">
        <v>3710092658832</v>
      </c>
      <c r="J68" s="31" t="n">
        <v>3621821024052</v>
      </c>
      <c r="K68" s="31" t="n">
        <v>2869022165856</v>
      </c>
      <c r="L68" s="31" t="n">
        <v>2767906224333</v>
      </c>
      <c r="M68" s="31" t="n">
        <v>3373093991200</v>
      </c>
    </row>
    <row r="69">
      <c r="A69" s="30" t="inlineStr">
        <is>
          <t>Phải trả nhà cung cấp dài hạn</t>
        </is>
      </c>
      <c r="B69" s="31" t="n">
        <v>0</v>
      </c>
      <c r="C69" s="31" t="n">
        <v>0</v>
      </c>
      <c r="D69" s="31" t="n">
        <v>0</v>
      </c>
      <c r="E69" s="31" t="n">
        <v>0</v>
      </c>
      <c r="F69" s="31" t="n">
        <v>0</v>
      </c>
      <c r="G69" s="31" t="n">
        <v>0</v>
      </c>
      <c r="H69" s="31" t="n">
        <v>0</v>
      </c>
      <c r="I69" s="31" t="n">
        <v>0</v>
      </c>
      <c r="J69" s="31" t="n">
        <v>0</v>
      </c>
      <c r="K69" s="31" t="n">
        <v>0</v>
      </c>
      <c r="L69" s="31" t="n">
        <v>0</v>
      </c>
      <c r="M69" s="31" t="n">
        <v>0</v>
      </c>
    </row>
    <row r="70">
      <c r="A70" s="30" t="inlineStr">
        <is>
          <t>Phải trả nội bộ dài hạn</t>
        </is>
      </c>
      <c r="B70" s="31" t="n">
        <v>0</v>
      </c>
      <c r="C70" s="31" t="n">
        <v>0</v>
      </c>
      <c r="D70" s="31" t="n">
        <v>0</v>
      </c>
      <c r="E70" s="31" t="n">
        <v>0</v>
      </c>
      <c r="F70" s="31" t="n">
        <v>0</v>
      </c>
      <c r="G70" s="31" t="n">
        <v>0</v>
      </c>
      <c r="H70" s="31" t="n">
        <v>0</v>
      </c>
      <c r="I70" s="31" t="n">
        <v>0</v>
      </c>
      <c r="J70" s="31" t="n">
        <v>0</v>
      </c>
      <c r="K70" s="31" t="n">
        <v>0</v>
      </c>
      <c r="L70" s="31" t="n">
        <v>0</v>
      </c>
      <c r="M70" s="31" t="n">
        <v>0</v>
      </c>
    </row>
    <row r="71">
      <c r="A71" s="30" t="inlineStr">
        <is>
          <t>Phải trả dài hạn khác</t>
        </is>
      </c>
      <c r="B71" s="31" t="n">
        <v>407510920</v>
      </c>
      <c r="C71" s="31" t="n">
        <v>7499794396</v>
      </c>
      <c r="D71" s="31" t="n">
        <v>107084562160</v>
      </c>
      <c r="E71" s="31" t="n">
        <v>108962237984</v>
      </c>
      <c r="F71" s="31" t="n">
        <v>191578670665</v>
      </c>
      <c r="G71" s="31" t="n">
        <v>183788442785</v>
      </c>
      <c r="H71" s="31" t="n">
        <v>174873393589</v>
      </c>
      <c r="I71" s="31" t="n">
        <v>146036731316</v>
      </c>
      <c r="J71" s="31" t="n">
        <v>148623774023</v>
      </c>
      <c r="K71" s="31" t="n">
        <v>149213186822</v>
      </c>
      <c r="L71" s="31" t="n">
        <v>144425098064</v>
      </c>
      <c r="M71" s="31" t="n">
        <v>144842348914</v>
      </c>
    </row>
    <row r="72">
      <c r="A72" s="30" t="inlineStr">
        <is>
          <t>Vay dài hạn</t>
        </is>
      </c>
      <c r="B72" s="31" t="n">
        <v>491988687629</v>
      </c>
      <c r="C72" s="31" t="n">
        <v>404863295760</v>
      </c>
      <c r="D72" s="31" t="n">
        <v>302022093735</v>
      </c>
      <c r="E72" s="31" t="n">
        <v>366793322852</v>
      </c>
      <c r="F72" s="31" t="n">
        <v>478259485405</v>
      </c>
      <c r="G72" s="31" t="n">
        <v>501115537075</v>
      </c>
      <c r="H72" s="31" t="n">
        <v>987681080191</v>
      </c>
      <c r="I72" s="31" t="n">
        <v>2739611909827</v>
      </c>
      <c r="J72" s="31" t="n">
        <v>2681435422290</v>
      </c>
      <c r="K72" s="31" t="n">
        <v>1903789988184</v>
      </c>
      <c r="L72" s="31" t="n">
        <v>1605069048520</v>
      </c>
      <c r="M72" s="31" t="n">
        <v>2080610610531</v>
      </c>
    </row>
    <row r="73">
      <c r="A73" s="30" t="inlineStr">
        <is>
          <t>Thuế thu nhập hoãn lại</t>
        </is>
      </c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</row>
    <row r="74">
      <c r="A74" s="30" t="inlineStr">
        <is>
          <t>Dự phòng trợ cấp thôi việc</t>
        </is>
      </c>
      <c r="B74" s="31" t="n">
        <v>0</v>
      </c>
      <c r="C74" s="31" t="n">
        <v>0</v>
      </c>
      <c r="D74" s="31" t="n">
        <v>0</v>
      </c>
      <c r="E74" s="31" t="n">
        <v>0</v>
      </c>
      <c r="F74" s="31" t="n">
        <v>0</v>
      </c>
      <c r="G74" s="31" t="n">
        <v>0</v>
      </c>
      <c r="H74" s="31" t="n">
        <v>0</v>
      </c>
      <c r="I74" s="31" t="n">
        <v>0</v>
      </c>
      <c r="J74" s="31" t="n">
        <v>0</v>
      </c>
      <c r="K74" s="31" t="n">
        <v>0</v>
      </c>
      <c r="L74" s="31" t="n">
        <v>0</v>
      </c>
      <c r="M74" s="31" t="n">
        <v>0</v>
      </c>
    </row>
    <row r="75">
      <c r="A75" s="30" t="inlineStr">
        <is>
          <t>Dự phòng các khoản nợ dài hạn</t>
        </is>
      </c>
      <c r="B75" s="31" t="n">
        <v>2829268096</v>
      </c>
      <c r="C75" s="31" t="n">
        <v>2537768853</v>
      </c>
      <c r="D75" s="31" t="n">
        <v>2210880475</v>
      </c>
      <c r="E75" s="31" t="n">
        <v>7857755298</v>
      </c>
      <c r="F75" s="31" t="n">
        <v>159682175736</v>
      </c>
      <c r="G75" s="31" t="n">
        <v>262864215119</v>
      </c>
      <c r="H75" s="31" t="n">
        <v>302827405368</v>
      </c>
      <c r="I75" s="31" t="n">
        <v>355154902907</v>
      </c>
      <c r="J75" s="31" t="n">
        <v>382749454108</v>
      </c>
      <c r="K75" s="31" t="n">
        <v>405858410471</v>
      </c>
      <c r="L75" s="31" t="n">
        <v>441640477170</v>
      </c>
      <c r="M75" s="31" t="n">
        <v>468308723263</v>
      </c>
    </row>
    <row r="76">
      <c r="A76" s="30" t="inlineStr">
        <is>
          <t>Doanh thu chưa thực hiện</t>
        </is>
      </c>
      <c r="B76" s="31" t="n">
        <v>48843957931</v>
      </c>
      <c r="C76" s="31" t="n">
        <v>83483091724</v>
      </c>
      <c r="D76" s="31" t="n">
        <v>144131901873</v>
      </c>
      <c r="E76" s="31" t="n">
        <v>46805654155</v>
      </c>
      <c r="F76" s="31" t="n">
        <v>136336645256</v>
      </c>
      <c r="G76" s="31" t="n">
        <v>131344534204</v>
      </c>
      <c r="H76" s="31" t="n">
        <v>148599657911</v>
      </c>
      <c r="I76" s="31" t="n">
        <v>154400605892</v>
      </c>
      <c r="J76" s="31" t="n">
        <v>157108380388</v>
      </c>
      <c r="K76" s="31" t="n">
        <v>152241175129</v>
      </c>
      <c r="L76" s="31" t="n">
        <v>351170921991</v>
      </c>
      <c r="M76" s="31" t="n">
        <v>346094610714</v>
      </c>
    </row>
    <row r="77">
      <c r="A77" s="30" t="inlineStr">
        <is>
          <t>Quỹ phát triển khoa học công nghệ</t>
        </is>
      </c>
      <c r="B77" s="31" t="n">
        <v>192096283</v>
      </c>
      <c r="C77" s="31" t="n">
        <v>192096283</v>
      </c>
      <c r="D77" s="31" t="n">
        <v>192096283</v>
      </c>
      <c r="E77" s="31" t="n">
        <v>192096283</v>
      </c>
      <c r="F77" s="31" t="n">
        <v>192096283</v>
      </c>
      <c r="G77" s="31" t="n">
        <v>192096283</v>
      </c>
      <c r="H77" s="31" t="n">
        <v>192096283</v>
      </c>
      <c r="I77" s="31" t="n">
        <v>192096283</v>
      </c>
      <c r="J77" s="31" t="n">
        <v>192096283</v>
      </c>
      <c r="K77" s="31" t="n">
        <v>192096283</v>
      </c>
      <c r="L77" s="31" t="n">
        <v>192096283</v>
      </c>
      <c r="M77" s="31" t="n">
        <v>192096283</v>
      </c>
    </row>
    <row r="78">
      <c r="A78" s="30" t="inlineStr">
        <is>
          <t>Vốn chủ sở hữu</t>
        </is>
      </c>
      <c r="B78" s="31" t="n">
        <v>13899836341958</v>
      </c>
      <c r="C78" s="31" t="n">
        <v>13885569289074</v>
      </c>
      <c r="D78" s="31" t="n">
        <v>14164808741956</v>
      </c>
      <c r="E78" s="31" t="n">
        <v>14762809390565</v>
      </c>
      <c r="F78" s="31" t="n">
        <v>35364184226425</v>
      </c>
      <c r="G78" s="31" t="n">
        <v>35727540104800</v>
      </c>
      <c r="H78" s="31" t="n">
        <v>37896654696942</v>
      </c>
      <c r="I78" s="31" t="n">
        <v>39872783325655</v>
      </c>
      <c r="J78" s="31" t="n">
        <v>42830523910473</v>
      </c>
      <c r="K78" s="31" t="n">
        <v>43748040747539</v>
      </c>
      <c r="L78" s="31" t="n">
        <v>40122036570361</v>
      </c>
      <c r="M78" s="31" t="n">
        <v>40995680808257</v>
      </c>
    </row>
    <row r="79">
      <c r="A79" s="30" t="inlineStr">
        <is>
          <t>Vốn và các quỹ</t>
        </is>
      </c>
      <c r="B79" s="31" t="n">
        <v>13897086341958</v>
      </c>
      <c r="C79" s="31" t="n">
        <v>13882819289074</v>
      </c>
      <c r="D79" s="31" t="n">
        <v>14162058741956</v>
      </c>
      <c r="E79" s="31" t="n">
        <v>14760059390565</v>
      </c>
      <c r="F79" s="31" t="n">
        <v>35361434226425</v>
      </c>
      <c r="G79" s="31" t="n">
        <v>35724790104800</v>
      </c>
      <c r="H79" s="31" t="n">
        <v>37893904696942</v>
      </c>
      <c r="I79" s="31" t="n">
        <v>39870033325655</v>
      </c>
      <c r="J79" s="31" t="n">
        <v>42827773910473</v>
      </c>
      <c r="K79" s="31" t="n">
        <v>43745290747539</v>
      </c>
      <c r="L79" s="31" t="n">
        <v>40122036570361</v>
      </c>
      <c r="M79" s="31" t="n">
        <v>40995680808257</v>
      </c>
    </row>
    <row r="80">
      <c r="A80" s="30" t="inlineStr">
        <is>
          <t>Vốn góp</t>
        </is>
      </c>
      <c r="B80" s="31" t="n">
        <v>5309611050000</v>
      </c>
      <c r="C80" s="31" t="n">
        <v>6136367720000</v>
      </c>
      <c r="D80" s="31" t="n">
        <v>6136367720000</v>
      </c>
      <c r="E80" s="31" t="n">
        <v>6136367720000</v>
      </c>
      <c r="F80" s="31" t="n">
        <v>14604480660000</v>
      </c>
      <c r="G80" s="31" t="n">
        <v>14710691830000</v>
      </c>
      <c r="H80" s="31" t="n">
        <v>14710691830000</v>
      </c>
      <c r="I80" s="31" t="n">
        <v>14813301220000</v>
      </c>
      <c r="J80" s="31" t="n">
        <v>17035071210000</v>
      </c>
      <c r="K80" s="31" t="n">
        <v>17035071210000</v>
      </c>
      <c r="L80" s="31" t="n">
        <v>17035071210000</v>
      </c>
      <c r="M80" s="31" t="n">
        <v>17035071210000</v>
      </c>
    </row>
    <row r="81">
      <c r="A81" s="30" t="inlineStr">
        <is>
          <t>Thặng dư vốn cổ phần</t>
        </is>
      </c>
      <c r="B81" s="31" t="n">
        <v>49465703201</v>
      </c>
      <c r="C81" s="31" t="n">
        <v>49465703201</v>
      </c>
      <c r="D81" s="31" t="n">
        <v>49465703201</v>
      </c>
      <c r="E81" s="31" t="n">
        <v>49465703201</v>
      </c>
      <c r="F81" s="31" t="n">
        <v>49713213411</v>
      </c>
      <c r="G81" s="31" t="n">
        <v>49713213411</v>
      </c>
      <c r="H81" s="31" t="n">
        <v>49713213411</v>
      </c>
      <c r="I81" s="31" t="n">
        <v>49713213411</v>
      </c>
      <c r="J81" s="31" t="n">
        <v>49713213411</v>
      </c>
      <c r="K81" s="31" t="n">
        <v>49713213411</v>
      </c>
      <c r="L81" s="31" t="n">
        <v>49713213411</v>
      </c>
      <c r="M81" s="31" t="n">
        <v>49713213411</v>
      </c>
    </row>
    <row r="82">
      <c r="A82" s="30" t="inlineStr">
        <is>
          <t>Vốn khác</t>
        </is>
      </c>
      <c r="B82" s="31" t="n">
        <v>287829523052</v>
      </c>
      <c r="C82" s="31" t="n">
        <v>631969693052</v>
      </c>
      <c r="D82" s="31" t="n">
        <v>631969693052</v>
      </c>
      <c r="E82" s="31" t="n">
        <v>667035271273</v>
      </c>
      <c r="F82" s="31" t="n">
        <v>1928079706361</v>
      </c>
      <c r="G82" s="31" t="n">
        <v>1929012703454</v>
      </c>
      <c r="H82" s="31" t="n">
        <v>1929012703454</v>
      </c>
      <c r="I82" s="31" t="n">
        <v>3445303270339</v>
      </c>
      <c r="J82" s="31" t="n">
        <v>3499547369952</v>
      </c>
      <c r="K82" s="31" t="n">
        <v>3499547369952</v>
      </c>
      <c r="L82" s="31" t="n">
        <v>855267876251</v>
      </c>
      <c r="M82" s="31" t="n">
        <v>1043127203439</v>
      </c>
    </row>
    <row r="83">
      <c r="A83" s="30" t="inlineStr">
        <is>
          <t>Cổ phiếu quỹ</t>
        </is>
      </c>
      <c r="B83" s="31" t="n">
        <v>-823760000</v>
      </c>
      <c r="C83" s="31" t="n">
        <v>-823760000</v>
      </c>
      <c r="D83" s="31" t="n">
        <v>-823760000</v>
      </c>
      <c r="E83" s="31" t="n">
        <v>-823760000</v>
      </c>
      <c r="F83" s="31" t="n">
        <v>0</v>
      </c>
      <c r="G83" s="31" t="n">
        <v>0</v>
      </c>
      <c r="H83" s="31" t="n">
        <v>0</v>
      </c>
      <c r="I83" s="31" t="n">
        <v>0</v>
      </c>
      <c r="J83" s="31" t="n">
        <v>0</v>
      </c>
      <c r="K83" s="31" t="n">
        <v>0</v>
      </c>
      <c r="L83" s="31" t="n">
        <v>0</v>
      </c>
      <c r="M83" s="31" t="n">
        <v>0</v>
      </c>
    </row>
    <row r="84">
      <c r="A84" s="30" t="inlineStr">
        <is>
          <t>Chênh lệch đánh giá lại tài sản</t>
        </is>
      </c>
      <c r="B84" s="31" t="n">
        <v>0</v>
      </c>
      <c r="C84" s="31" t="n">
        <v>0</v>
      </c>
      <c r="D84" s="31" t="n">
        <v>0</v>
      </c>
      <c r="E84" s="31" t="n">
        <v>0</v>
      </c>
      <c r="F84" s="31" t="n">
        <v>0</v>
      </c>
      <c r="G84" s="31" t="n">
        <v>0</v>
      </c>
      <c r="H84" s="31" t="n">
        <v>0</v>
      </c>
      <c r="I84" s="31" t="n">
        <v>0</v>
      </c>
      <c r="J84" s="31" t="n">
        <v>0</v>
      </c>
      <c r="K84" s="31" t="n">
        <v>0</v>
      </c>
      <c r="L84" s="31" t="n">
        <v>0</v>
      </c>
      <c r="M84" s="31" t="n">
        <v>0</v>
      </c>
    </row>
    <row r="85">
      <c r="A85" s="30" t="inlineStr">
        <is>
          <t>Chênh lệch tỷ giá</t>
        </is>
      </c>
      <c r="B85" s="31" t="n">
        <v>16226773656</v>
      </c>
      <c r="C85" s="31" t="n">
        <v>17135477127</v>
      </c>
      <c r="D85" s="31" t="n">
        <v>22286595244</v>
      </c>
      <c r="E85" s="31" t="n">
        <v>5539231746</v>
      </c>
      <c r="F85" s="31" t="n">
        <v>-29631639215</v>
      </c>
      <c r="G85" s="31" t="n">
        <v>-49485560860</v>
      </c>
      <c r="H85" s="31" t="n">
        <v>13708111052</v>
      </c>
      <c r="I85" s="31" t="n">
        <v>-2943195191</v>
      </c>
      <c r="J85" s="31" t="n">
        <v>-27681339351</v>
      </c>
      <c r="K85" s="31" t="n">
        <v>-70185856586</v>
      </c>
      <c r="L85" s="31" t="n">
        <v>-108259470829</v>
      </c>
      <c r="M85" s="31" t="n">
        <v>-131741954400</v>
      </c>
    </row>
    <row r="86">
      <c r="A86" s="30" t="inlineStr">
        <is>
          <t>Quỹ đầu tư và phát triển</t>
        </is>
      </c>
      <c r="B86" s="31" t="n">
        <v>173708814233</v>
      </c>
      <c r="C86" s="31" t="n">
        <v>167077476888</v>
      </c>
      <c r="D86" s="31" t="n">
        <v>167094186985</v>
      </c>
      <c r="E86" s="31" t="n">
        <v>223908928276</v>
      </c>
      <c r="F86" s="31" t="n">
        <v>1785871347912</v>
      </c>
      <c r="G86" s="31" t="n">
        <v>2033289141535</v>
      </c>
      <c r="H86" s="31" t="n">
        <v>2071074307101</v>
      </c>
      <c r="I86" s="31" t="n">
        <v>1153142943064</v>
      </c>
      <c r="J86" s="31" t="n">
        <v>1237865469600</v>
      </c>
      <c r="K86" s="31" t="n">
        <v>1575367587172</v>
      </c>
      <c r="L86" s="31" t="n">
        <v>1326445413495</v>
      </c>
      <c r="M86" s="31" t="n">
        <v>1393729943076</v>
      </c>
    </row>
    <row r="87">
      <c r="A87" s="30" t="inlineStr">
        <is>
          <t>Quỹ dự phòng tài chính</t>
        </is>
      </c>
      <c r="B87" s="31" t="n">
        <v>0</v>
      </c>
      <c r="C87" s="31" t="n">
        <v>0</v>
      </c>
      <c r="D87" s="31" t="n">
        <v>0</v>
      </c>
      <c r="E87" s="31" t="n">
        <v>0</v>
      </c>
      <c r="F87" s="31" t="n">
        <v>0</v>
      </c>
      <c r="G87" s="31" t="n">
        <v>0</v>
      </c>
      <c r="H87" s="31" t="n">
        <v>0</v>
      </c>
      <c r="I87" s="31" t="n">
        <v>0</v>
      </c>
      <c r="J87" s="31" t="n">
        <v>0</v>
      </c>
      <c r="K87" s="31" t="n">
        <v>0</v>
      </c>
      <c r="L87" s="31" t="n">
        <v>0</v>
      </c>
      <c r="M87" s="31" t="n">
        <v>0</v>
      </c>
    </row>
    <row r="88">
      <c r="A88" s="30" t="inlineStr">
        <is>
          <t>Quỹ khác</t>
        </is>
      </c>
      <c r="B88" s="31" t="n">
        <v>87231276674</v>
      </c>
      <c r="C88" s="31" t="n">
        <v>87230135824</v>
      </c>
      <c r="D88" s="31" t="n">
        <v>87248317474</v>
      </c>
      <c r="E88" s="31" t="n">
        <v>87230283704</v>
      </c>
      <c r="F88" s="31" t="n">
        <v>87730484825</v>
      </c>
      <c r="G88" s="31" t="n">
        <v>87730484825</v>
      </c>
      <c r="H88" s="31" t="n">
        <v>91579141774</v>
      </c>
      <c r="I88" s="31" t="n">
        <v>87228267320</v>
      </c>
      <c r="J88" s="31" t="n">
        <v>88263628887</v>
      </c>
      <c r="K88" s="31" t="n">
        <v>88263628887</v>
      </c>
      <c r="L88" s="31" t="n">
        <v>91013628887</v>
      </c>
      <c r="M88" s="31" t="n">
        <v>91013628887</v>
      </c>
    </row>
    <row r="89">
      <c r="A89" s="30" t="inlineStr">
        <is>
          <t>Lãi chưa phân phối</t>
        </is>
      </c>
      <c r="B89" s="31" t="n">
        <v>6019674680916</v>
      </c>
      <c r="C89" s="31" t="n">
        <v>4670505451280</v>
      </c>
      <c r="D89" s="31" t="n">
        <v>4776113278181</v>
      </c>
      <c r="E89" s="31" t="n">
        <v>5289520781802</v>
      </c>
      <c r="F89" s="31" t="n">
        <v>11263802921306</v>
      </c>
      <c r="G89" s="31" t="n">
        <v>11030528671431</v>
      </c>
      <c r="H89" s="31" t="n">
        <v>13205526456323</v>
      </c>
      <c r="I89" s="31" t="n">
        <v>13754755729692</v>
      </c>
      <c r="J89" s="31" t="n">
        <v>13905342142939</v>
      </c>
      <c r="K89" s="31" t="n">
        <v>14302416791936</v>
      </c>
      <c r="L89" s="31" t="n">
        <v>19702755221930</v>
      </c>
      <c r="M89" s="31" t="n">
        <v>20370550280517</v>
      </c>
    </row>
    <row r="90">
      <c r="A90" s="30" t="inlineStr">
        <is>
          <t>Quỹ hỗ trợ sắp xếp doanh nghiệp</t>
        </is>
      </c>
      <c r="B90" s="31" t="n">
        <v>0</v>
      </c>
      <c r="C90" s="31" t="n">
        <v>0</v>
      </c>
      <c r="D90" s="31" t="n">
        <v>0</v>
      </c>
      <c r="E90" s="31" t="n">
        <v>0</v>
      </c>
      <c r="F90" s="31" t="n">
        <v>0</v>
      </c>
      <c r="G90" s="31" t="n">
        <v>0</v>
      </c>
      <c r="H90" s="31" t="n">
        <v>0</v>
      </c>
      <c r="I90" s="31" t="n">
        <v>0</v>
      </c>
      <c r="J90" s="31" t="n">
        <v>0</v>
      </c>
      <c r="K90" s="31" t="n">
        <v>0</v>
      </c>
      <c r="L90" s="31" t="n">
        <v>0</v>
      </c>
      <c r="M90" s="31" t="n">
        <v>0</v>
      </c>
    </row>
    <row r="91">
      <c r="A91" s="30" t="inlineStr">
        <is>
          <t>Vốn Ngân sách nhà nước và quỹ khác</t>
        </is>
      </c>
      <c r="B91" s="31" t="n">
        <v>2750000000</v>
      </c>
      <c r="C91" s="31" t="n">
        <v>2750000000</v>
      </c>
      <c r="D91" s="31" t="n">
        <v>2750000000</v>
      </c>
      <c r="E91" s="31" t="n">
        <v>2750000000</v>
      </c>
      <c r="F91" s="31" t="n">
        <v>2750000000</v>
      </c>
      <c r="G91" s="31" t="n">
        <v>2750000000</v>
      </c>
      <c r="H91" s="31" t="n">
        <v>2750000000</v>
      </c>
      <c r="I91" s="31" t="n">
        <v>2750000000</v>
      </c>
      <c r="J91" s="31" t="n">
        <v>2750000000</v>
      </c>
      <c r="K91" s="31" t="n">
        <v>2750000000</v>
      </c>
      <c r="L91" s="31" t="n">
        <v>0</v>
      </c>
      <c r="M91" s="31" t="n">
        <v>0</v>
      </c>
    </row>
    <row r="92">
      <c r="A92" s="30" t="inlineStr">
        <is>
          <t>Quỹ khen thưởng, phúc lợi (trước 2010)</t>
        </is>
      </c>
      <c r="B92" s="31" t="n">
        <v>0</v>
      </c>
      <c r="C92" s="31" t="n">
        <v>0</v>
      </c>
      <c r="D92" s="31" t="n">
        <v>0</v>
      </c>
      <c r="E92" s="31" t="n">
        <v>0</v>
      </c>
      <c r="F92" s="31" t="n">
        <v>0</v>
      </c>
      <c r="G92" s="31" t="n">
        <v>0</v>
      </c>
      <c r="H92" s="31" t="n">
        <v>0</v>
      </c>
      <c r="I92" s="31" t="n">
        <v>0</v>
      </c>
      <c r="J92" s="31" t="n">
        <v>0</v>
      </c>
      <c r="K92" s="31" t="n">
        <v>0</v>
      </c>
      <c r="L92" s="31" t="n">
        <v>0</v>
      </c>
      <c r="M92" s="31" t="n">
        <v>0</v>
      </c>
    </row>
    <row r="93">
      <c r="A93" s="30" t="inlineStr">
        <is>
          <t>Vốn ngân sách nhà nước và quỹ khác</t>
        </is>
      </c>
      <c r="B93" s="31" t="n">
        <v>2750000000</v>
      </c>
      <c r="C93" s="31" t="n">
        <v>2750000000</v>
      </c>
      <c r="D93" s="31" t="n">
        <v>2750000000</v>
      </c>
      <c r="E93" s="31" t="n">
        <v>2750000000</v>
      </c>
      <c r="F93" s="31" t="n">
        <v>2750000000</v>
      </c>
      <c r="G93" s="31" t="n">
        <v>2750000000</v>
      </c>
      <c r="H93" s="31" t="n">
        <v>2750000000</v>
      </c>
      <c r="I93" s="31" t="n">
        <v>2750000000</v>
      </c>
      <c r="J93" s="31" t="n">
        <v>2750000000</v>
      </c>
      <c r="K93" s="31" t="n">
        <v>2750000000</v>
      </c>
      <c r="L93" s="31" t="n">
        <v>0</v>
      </c>
      <c r="M93" s="31" t="n">
        <v>0</v>
      </c>
    </row>
    <row r="94">
      <c r="A94" s="30" t="inlineStr">
        <is>
          <t>Lợi ích của cổ đông thiểu số</t>
        </is>
      </c>
      <c r="B94" s="31" t="n">
        <v>0</v>
      </c>
      <c r="C94" s="31" t="n">
        <v>0</v>
      </c>
      <c r="D94" s="31" t="n">
        <v>0</v>
      </c>
      <c r="E94" s="31" t="n">
        <v>0</v>
      </c>
      <c r="F94" s="31" t="n">
        <v>0</v>
      </c>
      <c r="G94" s="31" t="n">
        <v>0</v>
      </c>
      <c r="H94" s="31" t="n">
        <v>0</v>
      </c>
      <c r="I94" s="31" t="n">
        <v>0</v>
      </c>
      <c r="J94" s="31" t="n">
        <v>0</v>
      </c>
      <c r="K94" s="31" t="n">
        <v>0</v>
      </c>
      <c r="L94" s="31" t="n">
        <v>0</v>
      </c>
      <c r="M94" s="31" t="n">
        <v>0</v>
      </c>
    </row>
    <row r="95">
      <c r="A95" s="30" t="inlineStr">
        <is>
          <t>Tổng cộng nguồn vốn</t>
        </is>
      </c>
      <c r="B95" s="31" t="n">
        <v>25010919853656</v>
      </c>
      <c r="C95" s="31" t="n">
        <v>26286145538324</v>
      </c>
      <c r="D95" s="31" t="n">
        <v>28080868938813</v>
      </c>
      <c r="E95" s="31" t="n">
        <v>29725930367404</v>
      </c>
      <c r="F95" s="31" t="n">
        <v>67581587131382</v>
      </c>
      <c r="G95" s="31" t="n">
        <v>71999995678620</v>
      </c>
      <c r="H95" s="31" t="n">
        <v>73997673121789</v>
      </c>
      <c r="I95" s="31" t="n">
        <v>81266075455371</v>
      </c>
      <c r="J95" s="31" t="n">
        <v>82738304930449</v>
      </c>
      <c r="K95" s="31" t="n">
        <v>88141991634625</v>
      </c>
      <c r="L95" s="31" t="n">
        <v>68586094785217</v>
      </c>
      <c r="M95" s="31" t="n">
        <v>73563105859500</v>
      </c>
    </row>
    <row r="96">
      <c r="A96" s="30" t="inlineStr">
        <is>
          <t>Cổ phiếu ưu đãi</t>
        </is>
      </c>
      <c r="B96" s="31" t="n">
        <v>0</v>
      </c>
      <c r="C96" s="31" t="n">
        <v>0</v>
      </c>
      <c r="D96" s="31" t="n">
        <v>0</v>
      </c>
      <c r="E96" s="31" t="n">
        <v>0</v>
      </c>
      <c r="F96" s="31" t="n">
        <v>0</v>
      </c>
      <c r="G96" s="31" t="n">
        <v>0</v>
      </c>
      <c r="H96" s="31" t="n">
        <v>0</v>
      </c>
      <c r="I96" s="31" t="n">
        <v>0</v>
      </c>
      <c r="J96" s="31" t="n">
        <v>0</v>
      </c>
      <c r="K96" s="31" t="n">
        <v>0</v>
      </c>
      <c r="L96" s="31" t="n">
        <v>0</v>
      </c>
      <c r="M96" s="31" t="n">
        <v>0</v>
      </c>
    </row>
    <row r="97">
      <c r="A97" s="30" t="inlineStr">
        <is>
          <t>Đầu tư nắm giữ đến ngày đáo hạn</t>
        </is>
      </c>
      <c r="B97" s="31" t="n">
        <v>0</v>
      </c>
      <c r="C97" s="31" t="n">
        <v>0</v>
      </c>
      <c r="D97" s="31" t="n">
        <v>0</v>
      </c>
      <c r="E97" s="31" t="n">
        <v>0</v>
      </c>
      <c r="F97" s="31" t="n">
        <v>200000000</v>
      </c>
      <c r="G97" s="31" t="n">
        <v>200000000</v>
      </c>
      <c r="H97" s="31" t="n">
        <v>200000000</v>
      </c>
      <c r="I97" s="31" t="n">
        <v>200000000</v>
      </c>
      <c r="J97" s="31" t="n">
        <v>0</v>
      </c>
      <c r="K97" s="31" t="n">
        <v>0</v>
      </c>
      <c r="L97" s="31" t="n">
        <v>2774502166</v>
      </c>
      <c r="M97" s="31" t="n">
        <v>2400690685</v>
      </c>
    </row>
    <row r="98">
      <c r="A98" s="30" t="inlineStr">
        <is>
          <t>Vốn kinh doanh ở các đơn vị trực thuộc</t>
        </is>
      </c>
      <c r="B98" s="31" t="n">
        <v>0</v>
      </c>
      <c r="C98" s="31" t="n">
        <v>0</v>
      </c>
      <c r="D98" s="31" t="n">
        <v>0</v>
      </c>
      <c r="E98" s="31" t="n">
        <v>0</v>
      </c>
      <c r="F98" s="31" t="n">
        <v>0</v>
      </c>
      <c r="G98" s="31" t="n">
        <v>0</v>
      </c>
      <c r="H98" s="31" t="n">
        <v>0</v>
      </c>
      <c r="I98" s="31" t="n">
        <v>0</v>
      </c>
      <c r="J98" s="31" t="n">
        <v>0</v>
      </c>
      <c r="K98" s="31" t="n">
        <v>0</v>
      </c>
      <c r="L98" s="31" t="n">
        <v>0</v>
      </c>
      <c r="M98" s="31" t="n">
        <v>0</v>
      </c>
    </row>
    <row r="99">
      <c r="A99" s="30" t="inlineStr">
        <is>
          <t>Tài sản thiếu cần xử lý</t>
        </is>
      </c>
      <c r="B99" s="31" t="n">
        <v>0</v>
      </c>
      <c r="C99" s="31" t="n">
        <v>0</v>
      </c>
      <c r="D99" s="31" t="n">
        <v>0</v>
      </c>
      <c r="E99" s="31" t="n">
        <v>0</v>
      </c>
      <c r="F99" s="31" t="n">
        <v>0</v>
      </c>
      <c r="G99" s="31" t="n">
        <v>0</v>
      </c>
      <c r="H99" s="31" t="n">
        <v>0</v>
      </c>
      <c r="I99" s="31" t="n">
        <v>0</v>
      </c>
      <c r="J99" s="31" t="n">
        <v>0</v>
      </c>
      <c r="K99" s="31" t="n">
        <v>0</v>
      </c>
      <c r="L99" s="31" t="n">
        <v>0</v>
      </c>
      <c r="M99" s="31" t="n">
        <v>0</v>
      </c>
    </row>
    <row r="100">
      <c r="A100" s="30" t="inlineStr">
        <is>
          <t>Phải thu cho vay ngắn hạn</t>
        </is>
      </c>
      <c r="B100" s="31" t="n">
        <v>0</v>
      </c>
      <c r="C100" s="31" t="n">
        <v>0</v>
      </c>
      <c r="D100" s="31" t="n">
        <v>0</v>
      </c>
      <c r="E100" s="31" t="n">
        <v>910049188</v>
      </c>
      <c r="F100" s="31" t="n">
        <v>33543915000</v>
      </c>
      <c r="G100" s="31" t="n">
        <v>9808117590</v>
      </c>
      <c r="H100" s="31" t="n">
        <v>9757907901</v>
      </c>
      <c r="I100" s="31" t="n">
        <v>10069852326</v>
      </c>
      <c r="J100" s="31" t="n">
        <v>45227471491</v>
      </c>
      <c r="K100" s="31" t="n">
        <v>9195910819</v>
      </c>
      <c r="L100" s="31" t="n">
        <v>0</v>
      </c>
      <c r="M100" s="31" t="n">
        <v>0</v>
      </c>
    </row>
    <row r="101">
      <c r="A101" s="30" t="inlineStr">
        <is>
          <t>Giao dịch mua bán lại trái phiếu Chính phủ</t>
        </is>
      </c>
      <c r="B101" s="31" t="n">
        <v>0</v>
      </c>
      <c r="C101" s="31" t="n">
        <v>0</v>
      </c>
      <c r="D101" s="31" t="n">
        <v>0</v>
      </c>
      <c r="E101" s="31" t="n">
        <v>0</v>
      </c>
      <c r="F101" s="31" t="n">
        <v>0</v>
      </c>
      <c r="G101" s="31" t="n">
        <v>0</v>
      </c>
      <c r="H101" s="31" t="n">
        <v>0</v>
      </c>
      <c r="I101" s="31" t="n">
        <v>0</v>
      </c>
      <c r="J101" s="31" t="n">
        <v>0</v>
      </c>
      <c r="K101" s="31" t="n">
        <v>0</v>
      </c>
      <c r="L101" s="31" t="n">
        <v>0</v>
      </c>
      <c r="M101" s="31" t="n">
        <v>0</v>
      </c>
    </row>
    <row r="102">
      <c r="A102" s="30" t="inlineStr">
        <is>
          <t>Trả trước người bán dài hạn</t>
        </is>
      </c>
      <c r="B102" s="31" t="n">
        <v>0</v>
      </c>
      <c r="C102" s="31" t="n">
        <v>0</v>
      </c>
      <c r="D102" s="31" t="n">
        <v>0</v>
      </c>
      <c r="E102" s="31" t="n">
        <v>0</v>
      </c>
      <c r="F102" s="31" t="n">
        <v>0</v>
      </c>
      <c r="G102" s="31" t="n">
        <v>0</v>
      </c>
      <c r="H102" s="31" t="n">
        <v>0</v>
      </c>
      <c r="I102" s="31" t="n">
        <v>0</v>
      </c>
      <c r="J102" s="31" t="n">
        <v>0</v>
      </c>
      <c r="K102" s="31" t="n">
        <v>0</v>
      </c>
      <c r="L102" s="31" t="n">
        <v>0</v>
      </c>
      <c r="M102" s="31" t="n">
        <v>0</v>
      </c>
    </row>
    <row r="103">
      <c r="A103" s="30" t="inlineStr">
        <is>
          <t>Phải thu cho vay dài hạn</t>
        </is>
      </c>
      <c r="B103" s="31" t="n">
        <v>0</v>
      </c>
      <c r="C103" s="31" t="n">
        <v>0</v>
      </c>
      <c r="D103" s="31" t="n">
        <v>0</v>
      </c>
      <c r="E103" s="31" t="n">
        <v>392794707</v>
      </c>
      <c r="F103" s="31" t="n">
        <v>897416719</v>
      </c>
      <c r="G103" s="31" t="n">
        <v>2509722351</v>
      </c>
      <c r="H103" s="31" t="n">
        <v>3234647419</v>
      </c>
      <c r="I103" s="31" t="n">
        <v>5262117035</v>
      </c>
      <c r="J103" s="31" t="n">
        <v>4847000537</v>
      </c>
      <c r="K103" s="31" t="n">
        <v>5278733014</v>
      </c>
      <c r="L103" s="31" t="n">
        <v>0</v>
      </c>
      <c r="M103" s="31" t="n">
        <v>0</v>
      </c>
    </row>
    <row r="104">
      <c r="A104" s="30" t="inlineStr">
        <is>
          <t>Tài sản dở dang dài hạn</t>
        </is>
      </c>
      <c r="B104" s="31" t="n">
        <v>970306572989</v>
      </c>
      <c r="C104" s="31" t="n">
        <v>975399987091</v>
      </c>
      <c r="D104" s="31" t="n">
        <v>1114004513698</v>
      </c>
      <c r="E104" s="31" t="n">
        <v>1174778083753</v>
      </c>
      <c r="F104" s="31" t="n">
        <v>1474733361173</v>
      </c>
      <c r="G104" s="31" t="n">
        <v>2559766724411</v>
      </c>
      <c r="H104" s="31" t="n">
        <v>2812693461694</v>
      </c>
      <c r="I104" s="31" t="n">
        <v>1752692606082</v>
      </c>
      <c r="J104" s="31" t="n">
        <v>1639392184214</v>
      </c>
      <c r="K104" s="31" t="n">
        <v>1605078004898</v>
      </c>
      <c r="L104" s="31" t="n">
        <v>979678197873</v>
      </c>
      <c r="M104" s="31" t="n">
        <v>1045519993336</v>
      </c>
    </row>
    <row r="105">
      <c r="A105" s="30" t="inlineStr">
        <is>
          <t>Chi phí sản xuất, kinh doanh dở dang dài hạn</t>
        </is>
      </c>
      <c r="B105" s="31" t="n">
        <v>0</v>
      </c>
      <c r="C105" s="31" t="n">
        <v>0</v>
      </c>
      <c r="D105" s="31" t="n">
        <v>0</v>
      </c>
      <c r="E105" s="31" t="n">
        <v>0</v>
      </c>
      <c r="F105" s="31" t="n">
        <v>0</v>
      </c>
      <c r="G105" s="31" t="n">
        <v>0</v>
      </c>
      <c r="H105" s="31" t="n">
        <v>0</v>
      </c>
      <c r="I105" s="31" t="n">
        <v>0</v>
      </c>
      <c r="J105" s="31" t="n">
        <v>0</v>
      </c>
      <c r="K105" s="31" t="n">
        <v>0</v>
      </c>
      <c r="L105" s="31" t="n">
        <v>0</v>
      </c>
      <c r="M105" s="31" t="n">
        <v>0</v>
      </c>
    </row>
    <row r="106">
      <c r="A106" s="30" t="inlineStr">
        <is>
          <t>Đầu tư nắm giữ đến ngày đáo hạn</t>
        </is>
      </c>
      <c r="B106" s="31" t="n"/>
      <c r="C106" s="31" t="n"/>
      <c r="D106" s="31" t="n"/>
      <c r="E106" s="31" t="n"/>
      <c r="F106" s="31" t="n"/>
      <c r="G106" s="31" t="n"/>
      <c r="H106" s="31" t="n"/>
      <c r="I106" s="31" t="n"/>
      <c r="J106" s="31" t="n"/>
      <c r="K106" s="31" t="n"/>
      <c r="L106" s="31" t="n"/>
      <c r="M106" s="31" t="n"/>
    </row>
    <row r="107">
      <c r="A107" s="30" t="inlineStr">
        <is>
          <t>Thiết bị, vật tư, phụ tùng thay thế dài hạn</t>
        </is>
      </c>
      <c r="B107" s="31" t="n">
        <v>0</v>
      </c>
      <c r="C107" s="31" t="n">
        <v>0</v>
      </c>
      <c r="D107" s="31" t="n">
        <v>0</v>
      </c>
      <c r="E107" s="31" t="n">
        <v>0</v>
      </c>
      <c r="F107" s="31" t="n">
        <v>0</v>
      </c>
      <c r="G107" s="31" t="n">
        <v>0</v>
      </c>
      <c r="H107" s="31" t="n">
        <v>0</v>
      </c>
      <c r="I107" s="31" t="n">
        <v>0</v>
      </c>
      <c r="J107" s="31" t="n">
        <v>0</v>
      </c>
      <c r="K107" s="31" t="n">
        <v>0</v>
      </c>
      <c r="L107" s="31" t="n">
        <v>0</v>
      </c>
      <c r="M107" s="31" t="n">
        <v>0</v>
      </c>
    </row>
    <row r="108">
      <c r="A108" s="30" t="inlineStr">
        <is>
          <t>Doanh thu chưa thực hiện ngắn hạn</t>
        </is>
      </c>
      <c r="B108" s="31" t="n">
        <v>1275503032848</v>
      </c>
      <c r="C108" s="31" t="n">
        <v>1329507438427</v>
      </c>
      <c r="D108" s="31" t="n">
        <v>1457586563762</v>
      </c>
      <c r="E108" s="31" t="n">
        <v>1610921248698</v>
      </c>
      <c r="F108" s="31" t="n">
        <v>3609185372381</v>
      </c>
      <c r="G108" s="31" t="n">
        <v>4224649366399</v>
      </c>
      <c r="H108" s="31" t="n">
        <v>2690354669032</v>
      </c>
      <c r="I108" s="31" t="n">
        <v>2905363929549</v>
      </c>
      <c r="J108" s="31" t="n">
        <v>3772473040194</v>
      </c>
      <c r="K108" s="31" t="n">
        <v>4233698718701</v>
      </c>
      <c r="L108" s="31" t="n">
        <v>1095442672376</v>
      </c>
      <c r="M108" s="31" t="n">
        <v>1346949156101</v>
      </c>
    </row>
    <row r="109">
      <c r="A109" s="30" t="inlineStr">
        <is>
          <t>Quỹ bình ổn giá</t>
        </is>
      </c>
      <c r="B109" s="31" t="n">
        <v>0</v>
      </c>
      <c r="C109" s="31" t="n">
        <v>0</v>
      </c>
      <c r="D109" s="31" t="n">
        <v>0</v>
      </c>
      <c r="E109" s="31" t="n">
        <v>0</v>
      </c>
      <c r="F109" s="31" t="n">
        <v>0</v>
      </c>
      <c r="G109" s="31" t="n">
        <v>0</v>
      </c>
      <c r="H109" s="31" t="n">
        <v>0</v>
      </c>
      <c r="I109" s="31" t="n">
        <v>0</v>
      </c>
      <c r="J109" s="31" t="n">
        <v>0</v>
      </c>
      <c r="K109" s="31" t="n">
        <v>0</v>
      </c>
      <c r="L109" s="31" t="n">
        <v>0</v>
      </c>
      <c r="M109" s="31" t="n">
        <v>0</v>
      </c>
    </row>
    <row r="110">
      <c r="A110" s="30" t="inlineStr">
        <is>
          <t>Giao dịch mua bán lại trái phiếu chính phủ</t>
        </is>
      </c>
      <c r="B110" s="31" t="n">
        <v>0</v>
      </c>
      <c r="C110" s="31" t="n">
        <v>0</v>
      </c>
      <c r="D110" s="31" t="n">
        <v>0</v>
      </c>
      <c r="E110" s="31" t="n">
        <v>0</v>
      </c>
      <c r="F110" s="31" t="n">
        <v>0</v>
      </c>
      <c r="G110" s="31" t="n">
        <v>0</v>
      </c>
      <c r="H110" s="31" t="n">
        <v>0</v>
      </c>
      <c r="I110" s="31" t="n">
        <v>0</v>
      </c>
      <c r="J110" s="31" t="n">
        <v>0</v>
      </c>
      <c r="K110" s="31" t="n">
        <v>0</v>
      </c>
      <c r="L110" s="31" t="n">
        <v>0</v>
      </c>
      <c r="M110" s="31" t="n">
        <v>0</v>
      </c>
    </row>
    <row r="111">
      <c r="A111" s="30" t="inlineStr">
        <is>
          <t>Người mua trả tiền trước dài hạn</t>
        </is>
      </c>
      <c r="B111" s="31" t="n">
        <v>40000000000</v>
      </c>
      <c r="C111" s="31" t="n">
        <v>0</v>
      </c>
      <c r="D111" s="31" t="n">
        <v>0</v>
      </c>
      <c r="E111" s="31" t="n">
        <v>0</v>
      </c>
      <c r="F111" s="31" t="n">
        <v>0</v>
      </c>
      <c r="G111" s="31" t="n">
        <v>0</v>
      </c>
      <c r="H111" s="31" t="n">
        <v>0</v>
      </c>
      <c r="I111" s="31" t="n">
        <v>0</v>
      </c>
      <c r="J111" s="31" t="n">
        <v>0</v>
      </c>
      <c r="K111" s="31" t="n">
        <v>0</v>
      </c>
      <c r="L111" s="31" t="n">
        <v>0</v>
      </c>
      <c r="M111" s="31" t="n">
        <v>0</v>
      </c>
    </row>
    <row r="112">
      <c r="A112" s="30" t="inlineStr">
        <is>
          <t>Chi phí phải trả dài hạn</t>
        </is>
      </c>
      <c r="B112" s="31" t="n">
        <v>0</v>
      </c>
      <c r="C112" s="31" t="n">
        <v>0</v>
      </c>
      <c r="D112" s="31" t="n">
        <v>0</v>
      </c>
      <c r="E112" s="31" t="n">
        <v>0</v>
      </c>
      <c r="F112" s="31" t="n">
        <v>0</v>
      </c>
      <c r="G112" s="31" t="n">
        <v>0</v>
      </c>
      <c r="H112" s="31" t="n">
        <v>0</v>
      </c>
      <c r="I112" s="31" t="n">
        <v>0</v>
      </c>
      <c r="J112" s="31" t="n">
        <v>0</v>
      </c>
      <c r="K112" s="31" t="n">
        <v>0</v>
      </c>
      <c r="L112" s="31" t="n">
        <v>0</v>
      </c>
      <c r="M112" s="31" t="n">
        <v>0</v>
      </c>
    </row>
    <row r="113">
      <c r="A113" s="30" t="inlineStr">
        <is>
          <t>Phải trả nội bộ về vốn kinh doanh</t>
        </is>
      </c>
      <c r="B113" s="31" t="n">
        <v>0</v>
      </c>
      <c r="C113" s="31" t="n">
        <v>0</v>
      </c>
      <c r="D113" s="31" t="n">
        <v>0</v>
      </c>
      <c r="E113" s="31" t="n">
        <v>0</v>
      </c>
      <c r="F113" s="31" t="n">
        <v>0</v>
      </c>
      <c r="G113" s="31" t="n">
        <v>0</v>
      </c>
      <c r="H113" s="31" t="n">
        <v>0</v>
      </c>
      <c r="I113" s="31" t="n">
        <v>0</v>
      </c>
      <c r="J113" s="31" t="n">
        <v>0</v>
      </c>
      <c r="K113" s="31" t="n">
        <v>0</v>
      </c>
      <c r="L113" s="31" t="n">
        <v>0</v>
      </c>
      <c r="M113" s="31" t="n">
        <v>0</v>
      </c>
    </row>
    <row r="114">
      <c r="A114" s="30" t="inlineStr">
        <is>
          <t>Trái phiếu chuyển đổi</t>
        </is>
      </c>
      <c r="B114" s="31" t="n">
        <v>0</v>
      </c>
      <c r="C114" s="31" t="n">
        <v>0</v>
      </c>
      <c r="D114" s="31" t="n">
        <v>0</v>
      </c>
      <c r="E114" s="31" t="n">
        <v>0</v>
      </c>
      <c r="F114" s="31" t="n">
        <v>0</v>
      </c>
      <c r="G114" s="31" t="n">
        <v>0</v>
      </c>
      <c r="H114" s="31" t="n">
        <v>0</v>
      </c>
      <c r="I114" s="31" t="n">
        <v>0</v>
      </c>
      <c r="J114" s="31" t="n">
        <v>0</v>
      </c>
      <c r="K114" s="31" t="n">
        <v>0</v>
      </c>
      <c r="L114" s="31" t="n">
        <v>0</v>
      </c>
      <c r="M114" s="31" t="n">
        <v>0</v>
      </c>
    </row>
    <row r="115">
      <c r="A115" s="30" t="inlineStr">
        <is>
          <t>Cổ phiếu ưu đãi</t>
        </is>
      </c>
      <c r="B115" s="31" t="n"/>
      <c r="C115" s="31" t="n"/>
      <c r="D115" s="31" t="n"/>
      <c r="E115" s="31" t="n"/>
      <c r="F115" s="31" t="n"/>
      <c r="G115" s="31" t="n"/>
      <c r="H115" s="31" t="n"/>
      <c r="I115" s="31" t="n"/>
      <c r="J115" s="31" t="n"/>
      <c r="K115" s="31" t="n"/>
      <c r="L115" s="31" t="n"/>
      <c r="M115" s="31" t="n"/>
    </row>
    <row r="116">
      <c r="A116" s="30" t="inlineStr">
        <is>
          <t>Cổ phiếu phổ thông</t>
        </is>
      </c>
      <c r="B116" s="31" t="n">
        <v>5309611050000</v>
      </c>
      <c r="C116" s="31" t="n">
        <v>6136367720000</v>
      </c>
      <c r="D116" s="31" t="n">
        <v>6136367720000</v>
      </c>
      <c r="E116" s="31" t="n">
        <v>6136367720000</v>
      </c>
      <c r="F116" s="31" t="n">
        <v>14604480660000</v>
      </c>
      <c r="G116" s="31" t="n">
        <v>14710691830000</v>
      </c>
      <c r="H116" s="31" t="n">
        <v>14710691830000</v>
      </c>
      <c r="I116" s="31" t="n">
        <v>14813301220000</v>
      </c>
      <c r="J116" s="31" t="n">
        <v>17035071210000</v>
      </c>
      <c r="K116" s="31" t="n">
        <v>17035071210000</v>
      </c>
      <c r="L116" s="31" t="n">
        <v>17035071210000</v>
      </c>
      <c r="M116" s="31" t="n">
        <v>17035071210000</v>
      </c>
    </row>
    <row r="117">
      <c r="A117" s="30" t="inlineStr">
        <is>
          <t>Quyền chọn chuyển đổi trái phiếu</t>
        </is>
      </c>
      <c r="B117" s="31" t="n">
        <v>0</v>
      </c>
      <c r="C117" s="31" t="n">
        <v>0</v>
      </c>
      <c r="D117" s="31" t="n">
        <v>0</v>
      </c>
      <c r="E117" s="31" t="n">
        <v>0</v>
      </c>
      <c r="F117" s="31" t="n">
        <v>0</v>
      </c>
      <c r="G117" s="31" t="n">
        <v>0</v>
      </c>
      <c r="H117" s="31" t="n">
        <v>0</v>
      </c>
      <c r="I117" s="31" t="n">
        <v>0</v>
      </c>
      <c r="J117" s="31" t="n">
        <v>0</v>
      </c>
      <c r="K117" s="31" t="n">
        <v>0</v>
      </c>
      <c r="L117" s="31" t="n">
        <v>0</v>
      </c>
      <c r="M117" s="31" t="n">
        <v>0</v>
      </c>
    </row>
    <row r="118">
      <c r="A118" s="30" t="inlineStr">
        <is>
          <t>LNST chưa phân phối lũy kế đến cuối kỳ trước</t>
        </is>
      </c>
      <c r="B118" s="31" t="n">
        <v>5510660958805</v>
      </c>
      <c r="C118" s="31" t="n">
        <v>3567209383296</v>
      </c>
      <c r="D118" s="31" t="n">
        <v>3561453681597</v>
      </c>
      <c r="E118" s="31" t="n">
        <v>3515481219968</v>
      </c>
      <c r="F118" s="31" t="n">
        <v>5501785086737</v>
      </c>
      <c r="G118" s="31" t="n">
        <v>5458228109134</v>
      </c>
      <c r="H118" s="31" t="n">
        <v>11031225069798</v>
      </c>
      <c r="I118" s="31" t="n">
        <v>9318475419282</v>
      </c>
      <c r="J118" s="31" t="n">
        <v>7034262059129</v>
      </c>
      <c r="K118" s="31" t="n">
        <v>7369582215178</v>
      </c>
      <c r="L118" s="31" t="n">
        <v>17215383634831</v>
      </c>
      <c r="M118" s="31" t="n">
        <v>15315702173126</v>
      </c>
    </row>
    <row r="119">
      <c r="A119" s="30" t="inlineStr">
        <is>
          <t>LNST chưa phân phối kỳ này</t>
        </is>
      </c>
      <c r="B119" s="31" t="n">
        <v>509013722111</v>
      </c>
      <c r="C119" s="31" t="n">
        <v>1103296067984</v>
      </c>
      <c r="D119" s="31" t="n">
        <v>1214659596584</v>
      </c>
      <c r="E119" s="31" t="n">
        <v>1774039561834</v>
      </c>
      <c r="F119" s="31" t="n">
        <v>5762017834569</v>
      </c>
      <c r="G119" s="31" t="n">
        <v>5572300562297</v>
      </c>
      <c r="H119" s="31" t="n">
        <v>2174301386525</v>
      </c>
      <c r="I119" s="31" t="n">
        <v>4436280310410</v>
      </c>
      <c r="J119" s="31" t="n">
        <v>6871080083810</v>
      </c>
      <c r="K119" s="31" t="n">
        <v>6932834576758</v>
      </c>
      <c r="L119" s="31" t="n">
        <v>2487371587099</v>
      </c>
      <c r="M119" s="31" t="n">
        <v>5054848107391</v>
      </c>
    </row>
    <row r="120">
      <c r="A120" s="30" t="inlineStr">
        <is>
          <t>Xây dựng cơ bản đang dở dang</t>
        </is>
      </c>
      <c r="B120" s="31" t="n">
        <v>970306572989</v>
      </c>
      <c r="C120" s="31" t="n">
        <v>975399987091</v>
      </c>
      <c r="D120" s="31" t="n">
        <v>1114004513698</v>
      </c>
      <c r="E120" s="31" t="n">
        <v>1174778083753</v>
      </c>
      <c r="F120" s="31" t="n">
        <v>1474733361173</v>
      </c>
      <c r="G120" s="31" t="n">
        <v>2559766724411</v>
      </c>
      <c r="H120" s="31" t="n">
        <v>2812693461694</v>
      </c>
      <c r="I120" s="31" t="n">
        <v>1752692606082</v>
      </c>
      <c r="J120" s="31" t="n">
        <v>1639392184214</v>
      </c>
      <c r="K120" s="31" t="n">
        <v>1605078004898</v>
      </c>
      <c r="L120" s="31" t="n">
        <v>979678197873</v>
      </c>
      <c r="M120" s="31" t="n">
        <v>1045519993336</v>
      </c>
    </row>
    <row r="121">
      <c r="A121" s="30" t="inlineStr">
        <is>
          <t>Lợi thế thương mại</t>
        </is>
      </c>
      <c r="B121" s="31" t="n">
        <v>0</v>
      </c>
      <c r="C121" s="31" t="n">
        <v>0</v>
      </c>
      <c r="D121" s="31" t="n">
        <v>717504213182</v>
      </c>
      <c r="E121" s="31" t="n">
        <v>326017723180</v>
      </c>
      <c r="F121" s="31" t="n">
        <v>1434724678776</v>
      </c>
      <c r="G121" s="31" t="n">
        <v>1097458206678</v>
      </c>
      <c r="H121" s="31" t="n">
        <v>1066102117874</v>
      </c>
      <c r="I121" s="31" t="n">
        <v>1157563156639</v>
      </c>
      <c r="J121" s="31" t="n">
        <v>1175980649927</v>
      </c>
      <c r="K121" s="31" t="n">
        <v>1015730266161</v>
      </c>
      <c r="L121" s="31" t="n">
        <v>0</v>
      </c>
      <c r="M121" s="31" t="n">
        <v>0</v>
      </c>
    </row>
    <row r="122">
      <c r="A122" s="30" t="inlineStr">
        <is>
          <t>Lợi ích cổ đông không kiểm soát</t>
        </is>
      </c>
      <c r="B122" s="31" t="n">
        <v>1954162280226</v>
      </c>
      <c r="C122" s="31" t="n">
        <v>2123891391702</v>
      </c>
      <c r="D122" s="31" t="n">
        <v>2292337007819</v>
      </c>
      <c r="E122" s="31" t="n">
        <v>2301815230563</v>
      </c>
      <c r="F122" s="31" t="n">
        <v>5671387531825</v>
      </c>
      <c r="G122" s="31" t="n">
        <v>5933309621004</v>
      </c>
      <c r="H122" s="31" t="n">
        <v>5822598933827</v>
      </c>
      <c r="I122" s="31" t="n">
        <v>6569531877020</v>
      </c>
      <c r="J122" s="31" t="n">
        <v>7039652215035</v>
      </c>
      <c r="K122" s="31" t="n">
        <v>7265096802767</v>
      </c>
      <c r="L122" s="31" t="n">
        <v>1170029477216</v>
      </c>
      <c r="M122" s="31" t="n">
        <v>1144217283327</v>
      </c>
    </row>
    <row r="123">
      <c r="A123" s="30" t="inlineStr">
        <is>
          <t>Nguồn kinh phí đã hình thành TSCĐ</t>
        </is>
      </c>
      <c r="B123" s="31" t="n">
        <v>0</v>
      </c>
      <c r="C123" s="31" t="n">
        <v>0</v>
      </c>
      <c r="D123" s="31" t="n">
        <v>0</v>
      </c>
      <c r="E123" s="31" t="n">
        <v>0</v>
      </c>
      <c r="F123" s="31" t="n">
        <v>0</v>
      </c>
      <c r="G123" s="31" t="n">
        <v>0</v>
      </c>
      <c r="H123" s="31" t="n">
        <v>0</v>
      </c>
      <c r="I123" s="31" t="n">
        <v>0</v>
      </c>
      <c r="J123" s="31" t="n">
        <v>0</v>
      </c>
      <c r="K123" s="31" t="n">
        <v>0</v>
      </c>
      <c r="L123" s="31" t="n">
        <v>0</v>
      </c>
      <c r="M123" s="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1" customWidth="1" min="9" max="9"/>
    <col width="21" customWidth="1" min="10" max="10"/>
    <col width="21" customWidth="1" min="11" max="11"/>
    <col width="20" customWidth="1" min="12" max="12"/>
    <col width="20" customWidth="1" min="13" max="13"/>
  </cols>
  <sheetData>
    <row r="1">
      <c r="A1" s="28" t="inlineStr">
        <is>
          <t>item</t>
        </is>
      </c>
      <c r="B1" s="29" t="inlineStr">
        <is>
          <t>2018-Q1</t>
        </is>
      </c>
      <c r="C1" s="29" t="inlineStr">
        <is>
          <t>2018-Q2</t>
        </is>
      </c>
      <c r="D1" s="29" t="inlineStr">
        <is>
          <t>2018-Q3</t>
        </is>
      </c>
      <c r="E1" s="29" t="inlineStr">
        <is>
          <t>2018-Q4</t>
        </is>
      </c>
      <c r="F1" s="29" t="inlineStr">
        <is>
          <t>2024-Q3</t>
        </is>
      </c>
      <c r="G1" s="29" t="inlineStr">
        <is>
          <t>2024-Q4</t>
        </is>
      </c>
      <c r="H1" s="29" t="inlineStr">
        <is>
          <t>2025-Q1</t>
        </is>
      </c>
      <c r="I1" s="29" t="inlineStr">
        <is>
          <t>2025-Q2</t>
        </is>
      </c>
      <c r="J1" s="29" t="inlineStr">
        <is>
          <t>2025-Q3</t>
        </is>
      </c>
      <c r="K1" s="29" t="inlineStr">
        <is>
          <t>2025-Q4</t>
        </is>
      </c>
      <c r="L1" s="29" t="inlineStr">
        <is>
          <t>2026-Q1</t>
        </is>
      </c>
      <c r="M1" s="29" t="inlineStr">
        <is>
          <t>2026-Q2</t>
        </is>
      </c>
    </row>
    <row r="2">
      <c r="A2" s="30" t="inlineStr">
        <is>
          <t>Doanh thu bán hàng và cung cấp dịch vụ</t>
        </is>
      </c>
      <c r="B2" s="31" t="n">
        <v>4756965340838</v>
      </c>
      <c r="C2" s="31" t="n">
        <v>5479349328640</v>
      </c>
      <c r="D2" s="31" t="n">
        <v>6047729557924</v>
      </c>
      <c r="E2" s="31" t="n">
        <v>6975082049864</v>
      </c>
      <c r="F2" s="31" t="n">
        <v>15972397069700</v>
      </c>
      <c r="G2" s="31" t="n">
        <v>17651065378939</v>
      </c>
      <c r="H2" s="31" t="n">
        <v>16064980391264</v>
      </c>
      <c r="I2" s="31" t="n">
        <v>16658335760739</v>
      </c>
      <c r="J2" s="31" t="n">
        <v>17225507121683</v>
      </c>
      <c r="K2" s="31" t="n">
        <v>20258865670867</v>
      </c>
      <c r="L2" s="31" t="n">
        <v>12485836704352</v>
      </c>
      <c r="M2" s="31" t="n">
        <v>13810340987151</v>
      </c>
    </row>
    <row r="3">
      <c r="A3" s="30" t="inlineStr">
        <is>
          <t>Các khoản giảm trừ doanh thu</t>
        </is>
      </c>
      <c r="B3" s="31" t="n">
        <v>-6196729221</v>
      </c>
      <c r="C3" s="31" t="n">
        <v>-5086604540</v>
      </c>
      <c r="D3" s="31" t="n">
        <v>-11670624489</v>
      </c>
      <c r="E3" s="31" t="n">
        <v>-22635461291</v>
      </c>
      <c r="F3" s="31" t="n">
        <v>-69575353943</v>
      </c>
      <c r="G3" s="31" t="n">
        <v>-43247573048</v>
      </c>
      <c r="H3" s="31" t="n">
        <v>-6839448804</v>
      </c>
      <c r="I3" s="31" t="n">
        <v>-33622720672</v>
      </c>
      <c r="J3" s="31" t="n">
        <v>-20985896381</v>
      </c>
      <c r="K3" s="31" t="n">
        <v>-33415777986</v>
      </c>
      <c r="L3" s="31" t="n">
        <v>-5839497577</v>
      </c>
      <c r="M3" s="31" t="n">
        <v>-21837525952</v>
      </c>
    </row>
    <row r="4">
      <c r="A4" s="30" t="inlineStr">
        <is>
          <t>Doanh thu thuần</t>
        </is>
      </c>
      <c r="B4" s="31" t="n">
        <v>4750768611617</v>
      </c>
      <c r="C4" s="31" t="n">
        <v>5474262724100</v>
      </c>
      <c r="D4" s="31" t="n">
        <v>6036058933435</v>
      </c>
      <c r="E4" s="31" t="n">
        <v>6952446588573</v>
      </c>
      <c r="F4" s="31" t="n">
        <v>15902821715757</v>
      </c>
      <c r="G4" s="31" t="n">
        <v>17607817805891</v>
      </c>
      <c r="H4" s="31" t="n">
        <v>16058140942460</v>
      </c>
      <c r="I4" s="31" t="n">
        <v>16624713040067</v>
      </c>
      <c r="J4" s="31" t="n">
        <v>17204521225302</v>
      </c>
      <c r="K4" s="31" t="n">
        <v>20225449892881</v>
      </c>
      <c r="L4" s="31" t="n">
        <v>12479997206775</v>
      </c>
      <c r="M4" s="31" t="n">
        <v>13788503461199</v>
      </c>
    </row>
    <row r="5">
      <c r="A5" s="30" t="inlineStr">
        <is>
          <t>Giá vốn hàng bán</t>
        </is>
      </c>
      <c r="B5" s="31" t="n">
        <v>-2895208284813</v>
      </c>
      <c r="C5" s="31" t="n">
        <v>-3473590126697</v>
      </c>
      <c r="D5" s="31" t="n">
        <v>-3740388690646</v>
      </c>
      <c r="E5" s="31" t="n">
        <v>-4381235841117</v>
      </c>
      <c r="F5" s="31" t="n">
        <v>-9743866051351</v>
      </c>
      <c r="G5" s="31" t="n">
        <v>-11230248103366</v>
      </c>
      <c r="H5" s="31" t="n">
        <v>-9756793038194</v>
      </c>
      <c r="I5" s="31" t="n">
        <v>-10603672997092</v>
      </c>
      <c r="J5" s="31" t="n">
        <v>-10685654746292</v>
      </c>
      <c r="K5" s="31" t="n">
        <v>-13178174806719</v>
      </c>
      <c r="L5" s="31" t="n">
        <v>-8235107316087</v>
      </c>
      <c r="M5" s="31" t="n">
        <v>-9508759180985</v>
      </c>
    </row>
    <row r="6">
      <c r="A6" s="30" t="inlineStr">
        <is>
          <t>Lợi nhuận gộp</t>
        </is>
      </c>
      <c r="B6" s="31" t="n">
        <v>1855560326804</v>
      </c>
      <c r="C6" s="31" t="n">
        <v>2000672597403</v>
      </c>
      <c r="D6" s="31" t="n">
        <v>2295670242789</v>
      </c>
      <c r="E6" s="31" t="n">
        <v>2571210747456</v>
      </c>
      <c r="F6" s="31" t="n">
        <v>6158955664406</v>
      </c>
      <c r="G6" s="31" t="n">
        <v>6377569702525</v>
      </c>
      <c r="H6" s="31" t="n">
        <v>6301347904266</v>
      </c>
      <c r="I6" s="31" t="n">
        <v>6021040042975</v>
      </c>
      <c r="J6" s="31" t="n">
        <v>6518866479010</v>
      </c>
      <c r="K6" s="31" t="n">
        <v>7047275086162</v>
      </c>
      <c r="L6" s="31" t="n">
        <v>4244889890688</v>
      </c>
      <c r="M6" s="31" t="n">
        <v>4279744280214</v>
      </c>
    </row>
    <row r="7">
      <c r="A7" s="30" t="inlineStr">
        <is>
          <t>Doanh thu hoạt động tài chính</t>
        </is>
      </c>
      <c r="B7" s="31" t="n">
        <v>153492560984</v>
      </c>
      <c r="C7" s="31" t="n">
        <v>112699870321</v>
      </c>
      <c r="D7" s="31" t="n">
        <v>124076383785</v>
      </c>
      <c r="E7" s="31" t="n">
        <v>216866279123</v>
      </c>
      <c r="F7" s="31" t="n">
        <v>326689006856</v>
      </c>
      <c r="G7" s="31" t="n">
        <v>582674583940</v>
      </c>
      <c r="H7" s="31" t="n">
        <v>573331893191</v>
      </c>
      <c r="I7" s="31" t="n">
        <v>1237012067887</v>
      </c>
      <c r="J7" s="31" t="n">
        <v>613110473502</v>
      </c>
      <c r="K7" s="31" t="n">
        <v>553701922193</v>
      </c>
      <c r="L7" s="31" t="n">
        <v>415863869179</v>
      </c>
      <c r="M7" s="31" t="n">
        <v>582702088944</v>
      </c>
    </row>
    <row r="8">
      <c r="A8" s="30" t="inlineStr">
        <is>
          <t>Chi phí tài chính</t>
        </is>
      </c>
      <c r="B8" s="31" t="n">
        <v>-142295399439</v>
      </c>
      <c r="C8" s="31" t="n">
        <v>-70016554956</v>
      </c>
      <c r="D8" s="31" t="n">
        <v>-66603046663</v>
      </c>
      <c r="E8" s="31" t="n">
        <v>-89173349173</v>
      </c>
      <c r="F8" s="31" t="n">
        <v>-308178806879</v>
      </c>
      <c r="G8" s="31" t="n">
        <v>-831375395433</v>
      </c>
      <c r="H8" s="31" t="n">
        <v>-311343769364</v>
      </c>
      <c r="I8" s="31" t="n">
        <v>-531385256080</v>
      </c>
      <c r="J8" s="31" t="n">
        <v>-352575079871</v>
      </c>
      <c r="K8" s="31" t="n">
        <v>-476744596151</v>
      </c>
      <c r="L8" s="31" t="n">
        <v>-367211384721</v>
      </c>
      <c r="M8" s="31" t="n">
        <v>-301567378414</v>
      </c>
    </row>
    <row r="9">
      <c r="A9" s="30" t="inlineStr">
        <is>
          <t>Chi phí lãi vay</t>
        </is>
      </c>
      <c r="B9" s="31" t="n">
        <v>-46408615422</v>
      </c>
      <c r="C9" s="31" t="n">
        <v>-55088753336</v>
      </c>
      <c r="D9" s="31" t="n">
        <v>-62035657522</v>
      </c>
      <c r="E9" s="31" t="n">
        <v>-74811405467</v>
      </c>
      <c r="F9" s="31" t="n">
        <v>-128825950601</v>
      </c>
      <c r="G9" s="31" t="n">
        <v>-134854268998</v>
      </c>
      <c r="H9" s="31" t="n">
        <v>-152389538333</v>
      </c>
      <c r="I9" s="31" t="n">
        <v>-216761295705</v>
      </c>
      <c r="J9" s="31" t="n">
        <v>-233582914481</v>
      </c>
      <c r="K9" s="31" t="n">
        <v>-207025852637</v>
      </c>
      <c r="L9" s="31" t="n">
        <v>-179461207664</v>
      </c>
      <c r="M9" s="31" t="n">
        <v>-212582739626</v>
      </c>
    </row>
    <row r="10">
      <c r="A10" s="30" t="inlineStr">
        <is>
          <t>Chi phí bán hàng</t>
        </is>
      </c>
      <c r="B10" s="31" t="n">
        <v>-422707405722</v>
      </c>
      <c r="C10" s="31" t="n">
        <v>-451959254396</v>
      </c>
      <c r="D10" s="31" t="n">
        <v>-507534958450</v>
      </c>
      <c r="E10" s="31" t="n">
        <v>-665496334471</v>
      </c>
      <c r="F10" s="31" t="n">
        <v>-1563862943636</v>
      </c>
      <c r="G10" s="31" t="n">
        <v>-1594938073232</v>
      </c>
      <c r="H10" s="31" t="n">
        <v>-1828785929282</v>
      </c>
      <c r="I10" s="31" t="n">
        <v>-1790295896888</v>
      </c>
      <c r="J10" s="31" t="n">
        <v>-1916582832643</v>
      </c>
      <c r="K10" s="31" t="n">
        <v>-2026995981641</v>
      </c>
      <c r="L10" s="31" t="n">
        <v>-1002337155317</v>
      </c>
      <c r="M10" s="31" t="n">
        <v>-1149052845981</v>
      </c>
    </row>
    <row r="11">
      <c r="A11" s="30" t="inlineStr">
        <is>
          <t>Chi phí quản lý doanh nghiệp</t>
        </is>
      </c>
      <c r="B11" s="31" t="n">
        <v>-770426481175</v>
      </c>
      <c r="C11" s="31" t="n">
        <v>-829766036904</v>
      </c>
      <c r="D11" s="31" t="n">
        <v>-900927435586</v>
      </c>
      <c r="E11" s="31" t="n">
        <v>-1057696129042</v>
      </c>
      <c r="F11" s="31" t="n">
        <v>-1807957864952</v>
      </c>
      <c r="G11" s="31" t="n">
        <v>-1729950878232</v>
      </c>
      <c r="H11" s="31" t="n">
        <v>-1877437056836</v>
      </c>
      <c r="I11" s="31" t="n">
        <v>-1913677311579</v>
      </c>
      <c r="J11" s="31" t="n">
        <v>-1647276732839</v>
      </c>
      <c r="K11" s="31" t="n">
        <v>-1898934296550</v>
      </c>
      <c r="L11" s="31" t="n">
        <v>-1210282662926</v>
      </c>
      <c r="M11" s="31" t="n">
        <v>-1282674105890</v>
      </c>
    </row>
    <row r="12">
      <c r="A12" s="30" t="inlineStr">
        <is>
          <t>Lãi/(lỗ) từ hoạt động kinh doanh</t>
        </is>
      </c>
      <c r="B12" s="31" t="n">
        <v>771385943104</v>
      </c>
      <c r="C12" s="31" t="n">
        <v>879551998573</v>
      </c>
      <c r="D12" s="31" t="n">
        <v>1057301204429</v>
      </c>
      <c r="E12" s="31" t="n">
        <v>1086434591271</v>
      </c>
      <c r="F12" s="31" t="n">
        <v>2948226004570</v>
      </c>
      <c r="G12" s="31" t="n">
        <v>2920874681756</v>
      </c>
      <c r="H12" s="31" t="n">
        <v>2993843378813</v>
      </c>
      <c r="I12" s="31" t="n">
        <v>3129408582030</v>
      </c>
      <c r="J12" s="31" t="n">
        <v>3346375732746</v>
      </c>
      <c r="K12" s="31" t="n">
        <v>3482048271187</v>
      </c>
      <c r="L12" s="31" t="n">
        <v>2747763827050</v>
      </c>
      <c r="M12" s="31" t="n">
        <v>2885709265076</v>
      </c>
    </row>
    <row r="13">
      <c r="A13" s="30" t="inlineStr">
        <is>
          <t>Thu nhập khác</t>
        </is>
      </c>
      <c r="B13" s="31" t="n">
        <v>33761809018</v>
      </c>
      <c r="C13" s="31" t="n">
        <v>27692097787</v>
      </c>
      <c r="D13" s="31" t="n">
        <v>13190925207</v>
      </c>
      <c r="E13" s="31" t="n">
        <v>-14195905985</v>
      </c>
      <c r="F13" s="31" t="n">
        <v>34674999189</v>
      </c>
      <c r="G13" s="31" t="n">
        <v>68481380356</v>
      </c>
      <c r="H13" s="31" t="n">
        <v>39212521539</v>
      </c>
      <c r="I13" s="31" t="n">
        <v>28751046396</v>
      </c>
      <c r="J13" s="31" t="n">
        <v>34839399621</v>
      </c>
      <c r="K13" s="31" t="n">
        <v>40089602924</v>
      </c>
      <c r="L13" s="31" t="n">
        <v>61674012142</v>
      </c>
      <c r="M13" s="31" t="n">
        <v>28202699736</v>
      </c>
    </row>
    <row r="14">
      <c r="A14" s="30" t="inlineStr">
        <is>
          <t>Chi phí khác</t>
        </is>
      </c>
      <c r="B14" s="31" t="n">
        <v>-24369541270</v>
      </c>
      <c r="C14" s="31" t="n">
        <v>-929876011</v>
      </c>
      <c r="D14" s="31" t="n">
        <v>-19815203633</v>
      </c>
      <c r="E14" s="31" t="n">
        <v>42294318080</v>
      </c>
      <c r="F14" s="31" t="n">
        <v>-74280370385</v>
      </c>
      <c r="G14" s="31" t="n">
        <v>-30860884043</v>
      </c>
      <c r="H14" s="31" t="n">
        <v>-8362389503</v>
      </c>
      <c r="I14" s="31" t="n">
        <v>-17127043966</v>
      </c>
      <c r="J14" s="31" t="n">
        <v>-6476534277</v>
      </c>
      <c r="K14" s="31" t="n">
        <v>-18969733714</v>
      </c>
      <c r="L14" s="31" t="n">
        <v>-5593557516</v>
      </c>
      <c r="M14" s="31" t="n">
        <v>-3519930328</v>
      </c>
    </row>
    <row r="15">
      <c r="A15" s="30" t="inlineStr">
        <is>
          <t>Thu nhập khác, ròng</t>
        </is>
      </c>
      <c r="B15" s="31" t="n">
        <v>9392267748</v>
      </c>
      <c r="C15" s="31" t="n">
        <v>26762221776</v>
      </c>
      <c r="D15" s="31" t="n">
        <v>-6624278426</v>
      </c>
      <c r="E15" s="31" t="n">
        <v>28098412095</v>
      </c>
      <c r="F15" s="31" t="n">
        <v>-39605371196</v>
      </c>
      <c r="G15" s="31" t="n">
        <v>37620496313</v>
      </c>
      <c r="H15" s="31" t="n">
        <v>30850132036</v>
      </c>
      <c r="I15" s="31" t="n">
        <v>11624002430</v>
      </c>
      <c r="J15" s="31" t="n">
        <v>28362865344</v>
      </c>
      <c r="K15" s="31" t="n">
        <v>21119869210</v>
      </c>
      <c r="L15" s="31" t="n">
        <v>56080454626</v>
      </c>
      <c r="M15" s="31" t="n">
        <v>24682769408</v>
      </c>
    </row>
    <row r="16">
      <c r="A16" s="30" t="inlineStr">
        <is>
          <t>Lãi/(lỗ) từ công ty liên doanh</t>
        </is>
      </c>
      <c r="B16" s="31" t="n">
        <v>0</v>
      </c>
      <c r="C16" s="31" t="n">
        <v>0</v>
      </c>
      <c r="D16" s="31" t="n">
        <v>0</v>
      </c>
      <c r="E16" s="31" t="n">
        <v>0</v>
      </c>
      <c r="F16" s="31" t="n">
        <v>0</v>
      </c>
      <c r="G16" s="31" t="n">
        <v>0</v>
      </c>
      <c r="H16" s="31" t="n">
        <v>0</v>
      </c>
      <c r="I16" s="31" t="n">
        <v>0</v>
      </c>
      <c r="J16" s="31" t="n">
        <v>0</v>
      </c>
      <c r="K16" s="31" t="n">
        <v>0</v>
      </c>
      <c r="L16" s="31" t="n">
        <v>0</v>
      </c>
      <c r="M16" s="31" t="n">
        <v>0</v>
      </c>
    </row>
    <row r="17">
      <c r="A17" s="30" t="inlineStr">
        <is>
          <t>Lãi/(lỗ) trước thuế</t>
        </is>
      </c>
      <c r="B17" s="31" t="n">
        <v>780778210852</v>
      </c>
      <c r="C17" s="31" t="n">
        <v>906314220349</v>
      </c>
      <c r="D17" s="31" t="n">
        <v>1050676926003</v>
      </c>
      <c r="E17" s="31" t="n">
        <v>1114533003366</v>
      </c>
      <c r="F17" s="31" t="n">
        <v>2908620633374</v>
      </c>
      <c r="G17" s="31" t="n">
        <v>2958495178069</v>
      </c>
      <c r="H17" s="31" t="n">
        <v>3024693510849</v>
      </c>
      <c r="I17" s="31" t="n">
        <v>3141032584460</v>
      </c>
      <c r="J17" s="31" t="n">
        <v>3374738598090</v>
      </c>
      <c r="K17" s="31" t="n">
        <v>3503168140397</v>
      </c>
      <c r="L17" s="31" t="n">
        <v>2803844281676</v>
      </c>
      <c r="M17" s="31" t="n">
        <v>2910392034484</v>
      </c>
    </row>
    <row r="18">
      <c r="A18" s="30" t="inlineStr">
        <is>
          <t>Thuế thu nhập doanh nghiệp - hiện thời</t>
        </is>
      </c>
      <c r="B18" s="31" t="n">
        <v>-106062709043</v>
      </c>
      <c r="C18" s="31" t="n">
        <v>-147070816024</v>
      </c>
      <c r="D18" s="31" t="n">
        <v>-160198530011</v>
      </c>
      <c r="E18" s="31" t="n">
        <v>-186086845761</v>
      </c>
      <c r="F18" s="31" t="n">
        <v>-441224951554</v>
      </c>
      <c r="G18" s="31" t="n">
        <v>-530698618727</v>
      </c>
      <c r="H18" s="31" t="n">
        <v>-377287599563</v>
      </c>
      <c r="I18" s="31" t="n">
        <v>-463961750401</v>
      </c>
      <c r="J18" s="31" t="n">
        <v>-589553627034</v>
      </c>
      <c r="K18" s="31" t="n">
        <v>-486195215444</v>
      </c>
      <c r="L18" s="31" t="n">
        <v>-454678597413</v>
      </c>
      <c r="M18" s="31" t="n">
        <v>-268616407190</v>
      </c>
    </row>
    <row r="19">
      <c r="A19" s="30" t="inlineStr">
        <is>
          <t>Thuế thu nhập doanh nghiệp - hoãn lại</t>
        </is>
      </c>
      <c r="B19" s="31" t="n">
        <v>-21947069543</v>
      </c>
      <c r="C19" s="31" t="n">
        <v>-214570816</v>
      </c>
      <c r="D19" s="31" t="n">
        <v>-214570816</v>
      </c>
      <c r="E19" s="31" t="n">
        <v>-2014306016</v>
      </c>
      <c r="F19" s="31" t="n">
        <v>11201940680</v>
      </c>
      <c r="G19" s="31" t="n">
        <v>73049924176</v>
      </c>
      <c r="H19" s="31" t="n">
        <v>-51848430977</v>
      </c>
      <c r="I19" s="31" t="n">
        <v>63200566619</v>
      </c>
      <c r="J19" s="31" t="n">
        <v>116360781594</v>
      </c>
      <c r="K19" s="31" t="n">
        <v>-22008107857</v>
      </c>
      <c r="L19" s="31" t="n">
        <v>127624149218</v>
      </c>
      <c r="M19" s="31" t="n">
        <v>-71436527673</v>
      </c>
    </row>
    <row r="20">
      <c r="A20" s="30" t="inlineStr">
        <is>
          <t>Chi phí thuế thu nhập doanh nghiệp</t>
        </is>
      </c>
      <c r="B20" s="31" t="n">
        <v>-128009778586</v>
      </c>
      <c r="C20" s="31" t="n">
        <v>-147285386840</v>
      </c>
      <c r="D20" s="31" t="n">
        <v>-160413100827</v>
      </c>
      <c r="E20" s="31" t="n">
        <v>-188101151777</v>
      </c>
      <c r="F20" s="31" t="n">
        <v>-430023010874</v>
      </c>
      <c r="G20" s="31" t="n">
        <v>-457648694551</v>
      </c>
      <c r="H20" s="31" t="n">
        <v>-429136030540</v>
      </c>
      <c r="I20" s="31" t="n">
        <v>-400761183782</v>
      </c>
      <c r="J20" s="31" t="n">
        <v>-473192845440</v>
      </c>
      <c r="K20" s="31" t="n">
        <v>-508203323301</v>
      </c>
      <c r="L20" s="31" t="n">
        <v>-327054448195</v>
      </c>
      <c r="M20" s="31" t="n">
        <v>-340052934863</v>
      </c>
    </row>
    <row r="21">
      <c r="A21" s="30" t="inlineStr">
        <is>
          <t>Lãi/(lỗ) thuần sau thuế</t>
        </is>
      </c>
      <c r="B21" s="31" t="n">
        <v>652768432266</v>
      </c>
      <c r="C21" s="31" t="n">
        <v>759028833509</v>
      </c>
      <c r="D21" s="31" t="n">
        <v>890263825176</v>
      </c>
      <c r="E21" s="31" t="n">
        <v>926431851589</v>
      </c>
      <c r="F21" s="31" t="n">
        <v>2478597622500</v>
      </c>
      <c r="G21" s="31" t="n">
        <v>2500846483518</v>
      </c>
      <c r="H21" s="31" t="n">
        <v>2595557480309</v>
      </c>
      <c r="I21" s="31" t="n">
        <v>2740271400678</v>
      </c>
      <c r="J21" s="31" t="n">
        <v>2901545752650</v>
      </c>
      <c r="K21" s="31" t="n">
        <v>2994964817096</v>
      </c>
      <c r="L21" s="31" t="n">
        <v>2476789833481</v>
      </c>
      <c r="M21" s="31" t="n">
        <v>2570339099621</v>
      </c>
    </row>
    <row r="22">
      <c r="A22" s="30" t="inlineStr">
        <is>
          <t>Lợi ích của cổ đông thiểu số</t>
        </is>
      </c>
      <c r="B22" s="31" t="n">
        <v>143754710155</v>
      </c>
      <c r="C22" s="31" t="n">
        <v>164746487636</v>
      </c>
      <c r="D22" s="31" t="n">
        <v>165345900576</v>
      </c>
      <c r="E22" s="31" t="n">
        <v>139971410692</v>
      </c>
      <c r="F22" s="31" t="n">
        <v>389745410092</v>
      </c>
      <c r="G22" s="31" t="n">
        <v>406120515813</v>
      </c>
      <c r="H22" s="31" t="n">
        <v>421256093784</v>
      </c>
      <c r="I22" s="31" t="n">
        <v>482808812555</v>
      </c>
      <c r="J22" s="31" t="n">
        <v>466704317918</v>
      </c>
      <c r="K22" s="31" t="n">
        <v>485442596976</v>
      </c>
      <c r="L22" s="31" t="n">
        <v>-10581753618</v>
      </c>
      <c r="M22" s="31" t="n">
        <v>2752085187</v>
      </c>
    </row>
    <row r="23">
      <c r="A23" s="30" t="inlineStr">
        <is>
          <t>Lợi nhuận của Cổ đông của Công ty mẹ</t>
        </is>
      </c>
      <c r="B23" s="31" t="n">
        <v>509013722111</v>
      </c>
      <c r="C23" s="31" t="n">
        <v>594282345873</v>
      </c>
      <c r="D23" s="31" t="n">
        <v>724917924600</v>
      </c>
      <c r="E23" s="31" t="n">
        <v>786460440897</v>
      </c>
      <c r="F23" s="31" t="n">
        <v>2088852212408</v>
      </c>
      <c r="G23" s="31" t="n">
        <v>2094725967705</v>
      </c>
      <c r="H23" s="31" t="n">
        <v>2174301386525</v>
      </c>
      <c r="I23" s="31" t="n">
        <v>2257462588123</v>
      </c>
      <c r="J23" s="31" t="n">
        <v>2434841434732</v>
      </c>
      <c r="K23" s="31" t="n">
        <v>2509522220120</v>
      </c>
      <c r="L23" s="31" t="n">
        <v>2487371587099</v>
      </c>
      <c r="M23" s="31" t="n">
        <v>2567587014434</v>
      </c>
    </row>
    <row r="24">
      <c r="A24" s="30" t="inlineStr">
        <is>
          <t>Lãi cơ bản trên cổ phiếu (VND)</t>
        </is>
      </c>
      <c r="B24" s="31" t="n">
        <v>959</v>
      </c>
      <c r="C24" s="31" t="n">
        <v>971</v>
      </c>
      <c r="D24" s="31" t="n">
        <v>1184</v>
      </c>
      <c r="E24" s="31" t="n">
        <v>913</v>
      </c>
      <c r="F24" s="31" t="n">
        <v>1430</v>
      </c>
      <c r="G24" s="31" t="n">
        <v>347</v>
      </c>
      <c r="H24" s="31" t="n">
        <v>1478</v>
      </c>
      <c r="I24" s="31" t="n">
        <v>1135</v>
      </c>
      <c r="J24" s="31" t="n">
        <v>1036</v>
      </c>
      <c r="K24" s="31" t="n">
        <v>1173</v>
      </c>
      <c r="L24" s="31" t="n">
        <v>1460</v>
      </c>
      <c r="M24" s="31" t="n">
        <v>1507</v>
      </c>
    </row>
    <row r="25">
      <c r="A25" s="30" t="inlineStr">
        <is>
          <t>Lãi trên cổ phiếu pha loãng (VND)</t>
        </is>
      </c>
      <c r="B25" s="31" t="n">
        <v>959</v>
      </c>
      <c r="C25" s="31" t="n">
        <v>971</v>
      </c>
      <c r="D25" s="31" t="n">
        <v>1184</v>
      </c>
      <c r="E25" s="31" t="n">
        <v>913</v>
      </c>
      <c r="F25" s="31" t="n">
        <v>1430</v>
      </c>
      <c r="G25" s="31" t="n">
        <v>347</v>
      </c>
      <c r="H25" s="31" t="n">
        <v>1478</v>
      </c>
      <c r="I25" s="31" t="n">
        <v>1135</v>
      </c>
      <c r="J25" s="31" t="n">
        <v>1036</v>
      </c>
      <c r="K25" s="31" t="n">
        <v>1173</v>
      </c>
      <c r="L25" s="31" t="n">
        <v>1460</v>
      </c>
      <c r="M25" s="31" t="n">
        <v>1507</v>
      </c>
    </row>
    <row r="26">
      <c r="A26" s="30" t="inlineStr">
        <is>
          <t>Lãi/(lỗ) từ công ty liên doanh (từ năm 2015)</t>
        </is>
      </c>
      <c r="B26" s="31" t="n">
        <v>97762341652</v>
      </c>
      <c r="C26" s="31" t="n">
        <v>117921377105</v>
      </c>
      <c r="D26" s="31" t="n">
        <v>112620018554</v>
      </c>
      <c r="E26" s="31" t="n">
        <v>110723377378</v>
      </c>
      <c r="F26" s="31" t="n">
        <v>142580948775</v>
      </c>
      <c r="G26" s="31" t="n">
        <v>116894742188</v>
      </c>
      <c r="H26" s="31" t="n">
        <v>136730336838</v>
      </c>
      <c r="I26" s="31" t="n">
        <v>106714935715</v>
      </c>
      <c r="J26" s="31" t="n">
        <v>130833425587</v>
      </c>
      <c r="K26" s="31" t="n">
        <v>283746137174</v>
      </c>
      <c r="L26" s="31" t="n">
        <v>666841270147</v>
      </c>
      <c r="M26" s="31" t="n">
        <v>756557226203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0" customWidth="1" min="12" max="12"/>
    <col width="20" customWidth="1" min="13" max="13"/>
  </cols>
  <sheetData>
    <row r="1">
      <c r="A1" s="28" t="inlineStr">
        <is>
          <t>item</t>
        </is>
      </c>
      <c r="B1" s="29" t="inlineStr">
        <is>
          <t>2018-Q1</t>
        </is>
      </c>
      <c r="C1" s="29" t="inlineStr">
        <is>
          <t>2018-Q2</t>
        </is>
      </c>
      <c r="D1" s="29" t="inlineStr">
        <is>
          <t>2018-Q3</t>
        </is>
      </c>
      <c r="E1" s="29" t="inlineStr">
        <is>
          <t>2018-Q4</t>
        </is>
      </c>
      <c r="F1" s="29" t="inlineStr">
        <is>
          <t>2024-Q3</t>
        </is>
      </c>
      <c r="G1" s="29" t="inlineStr">
        <is>
          <t>2024-Q4</t>
        </is>
      </c>
      <c r="H1" s="29" t="inlineStr">
        <is>
          <t>2025-Q1</t>
        </is>
      </c>
      <c r="I1" s="29" t="inlineStr">
        <is>
          <t>2025-Q2</t>
        </is>
      </c>
      <c r="J1" s="29" t="inlineStr">
        <is>
          <t>2025-Q3</t>
        </is>
      </c>
      <c r="K1" s="29" t="inlineStr">
        <is>
          <t>2025-Q4</t>
        </is>
      </c>
      <c r="L1" s="29" t="inlineStr">
        <is>
          <t>2026-Q1</t>
        </is>
      </c>
      <c r="M1" s="29" t="inlineStr">
        <is>
          <t>2026-Q2</t>
        </is>
      </c>
    </row>
    <row r="2">
      <c r="A2" s="30" t="inlineStr">
        <is>
          <t>Lợi nhuận/(lỗ) trước thuế</t>
        </is>
      </c>
      <c r="B2" s="31" t="n">
        <v>780778210852</v>
      </c>
      <c r="C2" s="31" t="n">
        <v>906314220349</v>
      </c>
      <c r="D2" s="31" t="n">
        <v>1050676926003</v>
      </c>
      <c r="E2" s="31" t="n">
        <v>1114533003366</v>
      </c>
      <c r="F2" s="31" t="n">
        <v>2908620633374</v>
      </c>
      <c r="G2" s="31" t="n">
        <v>2958495178069</v>
      </c>
      <c r="H2" s="31" t="n">
        <v>3024693510849</v>
      </c>
      <c r="I2" s="31" t="n">
        <v>3141032584460</v>
      </c>
      <c r="J2" s="31" t="n">
        <v>3374738598090</v>
      </c>
      <c r="K2" s="31" t="n">
        <v>3503168140398</v>
      </c>
      <c r="L2" s="31" t="n">
        <v>2803844281676</v>
      </c>
      <c r="M2" s="31" t="n">
        <v>2910392034484</v>
      </c>
    </row>
    <row r="3">
      <c r="A3" s="30" t="inlineStr">
        <is>
          <t>Khấu hao TSCĐ và BĐSĐT</t>
        </is>
      </c>
      <c r="B3" s="31" t="n">
        <v>274120905699</v>
      </c>
      <c r="C3" s="31" t="n">
        <v>286031373028</v>
      </c>
      <c r="D3" s="31" t="n">
        <v>310650048095</v>
      </c>
      <c r="E3" s="31" t="n">
        <v>293889676252</v>
      </c>
      <c r="F3" s="31" t="n">
        <v>644267304242</v>
      </c>
      <c r="G3" s="31" t="n">
        <v>643307118661</v>
      </c>
      <c r="H3" s="31" t="n">
        <v>644023121646</v>
      </c>
      <c r="I3" s="31" t="n">
        <v>721965579781</v>
      </c>
      <c r="J3" s="31" t="n">
        <v>734178712672</v>
      </c>
      <c r="K3" s="31" t="n">
        <v>814010946633</v>
      </c>
      <c r="L3" s="31" t="n">
        <v>409926454508</v>
      </c>
      <c r="M3" s="31" t="n">
        <v>434700759221</v>
      </c>
    </row>
    <row r="4">
      <c r="A4" s="30" t="inlineStr">
        <is>
          <t>Chi phí dự phòng</t>
        </is>
      </c>
      <c r="B4" s="31" t="n">
        <v>28467536958</v>
      </c>
      <c r="C4" s="31" t="n">
        <v>28004591987</v>
      </c>
      <c r="D4" s="31" t="n">
        <v>19008011926</v>
      </c>
      <c r="E4" s="31" t="n">
        <v>45064328632</v>
      </c>
      <c r="F4" s="31" t="n">
        <v>184625096550</v>
      </c>
      <c r="G4" s="31" t="n">
        <v>869017513957</v>
      </c>
      <c r="H4" s="31" t="n">
        <v>85128981266</v>
      </c>
      <c r="I4" s="31" t="n">
        <v>57938863082</v>
      </c>
      <c r="J4" s="31" t="n">
        <v>47498611636</v>
      </c>
      <c r="K4" s="31" t="n">
        <v>460839826670</v>
      </c>
      <c r="L4" s="31" t="n">
        <v>67698461987</v>
      </c>
      <c r="M4" s="31" t="n">
        <v>-243980987282</v>
      </c>
    </row>
    <row r="5">
      <c r="A5" s="30" t="inlineStr">
        <is>
          <t>Lãi/lỗ chênh lệch tỷ giá hối đoái do đánh giá lại các khoản mục tiền tệ có gốc ngoại tệ</t>
        </is>
      </c>
      <c r="B5" s="31" t="n">
        <v>36234011948</v>
      </c>
      <c r="C5" s="31" t="n">
        <v>-34393594223</v>
      </c>
      <c r="D5" s="31" t="n">
        <v>903961400</v>
      </c>
      <c r="E5" s="31" t="n">
        <v>15882975907</v>
      </c>
      <c r="F5" s="31" t="n">
        <v>181991482518</v>
      </c>
      <c r="G5" s="31" t="n">
        <v>-70305066169</v>
      </c>
      <c r="H5" s="31" t="n">
        <v>-71839057689</v>
      </c>
      <c r="I5" s="31" t="n">
        <v>-64717262394</v>
      </c>
      <c r="J5" s="31" t="n">
        <v>29175508927</v>
      </c>
      <c r="K5" s="31" t="n">
        <v>79604350765</v>
      </c>
      <c r="L5" s="31" t="n">
        <v>64372325595</v>
      </c>
      <c r="M5" s="31" t="n">
        <v>-39196611562</v>
      </c>
    </row>
    <row r="6">
      <c r="A6" s="30" t="inlineStr">
        <is>
          <t>Lãi/(lỗ) từ thanh lý tài sản cố định</t>
        </is>
      </c>
      <c r="B6" s="31" t="n">
        <v>0</v>
      </c>
      <c r="C6" s="31" t="n">
        <v>0</v>
      </c>
      <c r="D6" s="31" t="n">
        <v>0</v>
      </c>
      <c r="E6" s="31" t="n">
        <v>0</v>
      </c>
      <c r="F6" s="31" t="n">
        <v>0</v>
      </c>
      <c r="G6" s="31" t="n">
        <v>0</v>
      </c>
      <c r="H6" s="31" t="n">
        <v>0</v>
      </c>
      <c r="I6" s="31" t="n">
        <v>0</v>
      </c>
      <c r="J6" s="31" t="n">
        <v>0</v>
      </c>
      <c r="K6" s="31" t="n">
        <v>0</v>
      </c>
      <c r="L6" s="31" t="n">
        <v>0</v>
      </c>
      <c r="M6" s="31" t="n">
        <v>0</v>
      </c>
    </row>
    <row r="7">
      <c r="A7" s="30" t="inlineStr">
        <is>
          <t>(Lãi)/lỗ từ hoạt động đầu tư</t>
        </is>
      </c>
      <c r="B7" s="31" t="n">
        <v>-172895957104</v>
      </c>
      <c r="C7" s="31" t="n">
        <v>-208220407371</v>
      </c>
      <c r="D7" s="31" t="n">
        <v>-172477711339</v>
      </c>
      <c r="E7" s="31" t="n">
        <v>-207710076287</v>
      </c>
      <c r="F7" s="31" t="n">
        <v>-456702528472</v>
      </c>
      <c r="G7" s="31" t="n">
        <v>-510810581685</v>
      </c>
      <c r="H7" s="31" t="n">
        <v>-490145755006</v>
      </c>
      <c r="I7" s="31" t="n">
        <v>-749583262000</v>
      </c>
      <c r="J7" s="31" t="n">
        <v>-588504116817</v>
      </c>
      <c r="K7" s="31" t="n">
        <v>-747606912187</v>
      </c>
      <c r="L7" s="31" t="n">
        <v>-1039456492471</v>
      </c>
      <c r="M7" s="31" t="n">
        <v>-1231983872126</v>
      </c>
    </row>
    <row r="8">
      <c r="A8" s="30" t="inlineStr">
        <is>
          <t>Chi phí lãi vay</t>
        </is>
      </c>
      <c r="B8" s="31" t="n">
        <v>46408615422</v>
      </c>
      <c r="C8" s="31" t="n">
        <v>55088753336</v>
      </c>
      <c r="D8" s="31" t="n">
        <v>62035657522</v>
      </c>
      <c r="E8" s="31" t="n">
        <v>74811405467</v>
      </c>
      <c r="F8" s="31" t="n">
        <v>128825950601</v>
      </c>
      <c r="G8" s="31" t="n">
        <v>134854268998</v>
      </c>
      <c r="H8" s="31" t="n">
        <v>152389538333</v>
      </c>
      <c r="I8" s="31" t="n">
        <v>216761295705</v>
      </c>
      <c r="J8" s="31" t="n">
        <v>233582914481</v>
      </c>
      <c r="K8" s="31" t="n">
        <v>207025852637</v>
      </c>
      <c r="L8" s="31" t="n">
        <v>179461207664</v>
      </c>
      <c r="M8" s="31" t="n">
        <v>212582739626</v>
      </c>
    </row>
    <row r="9">
      <c r="A9" s="30" t="inlineStr">
        <is>
          <t>Thu lãi và cổ tức</t>
        </is>
      </c>
      <c r="B9" s="31" t="n">
        <v>0</v>
      </c>
      <c r="C9" s="31" t="n">
        <v>0</v>
      </c>
      <c r="D9" s="31" t="n">
        <v>0</v>
      </c>
      <c r="E9" s="31" t="n">
        <v>0</v>
      </c>
      <c r="F9" s="31" t="n">
        <v>0</v>
      </c>
      <c r="G9" s="31" t="n">
        <v>0</v>
      </c>
      <c r="H9" s="31" t="n">
        <v>0</v>
      </c>
      <c r="I9" s="31" t="n">
        <v>0</v>
      </c>
      <c r="J9" s="31" t="n">
        <v>0</v>
      </c>
      <c r="K9" s="31" t="n">
        <v>0</v>
      </c>
      <c r="L9" s="31" t="n">
        <v>0</v>
      </c>
      <c r="M9" s="31" t="n">
        <v>0</v>
      </c>
    </row>
    <row r="10">
      <c r="A10" s="30" t="inlineStr">
        <is>
          <t>Lợi nhuận/(lỗ) từ hoạt động kinh doanh trước những thay đổi vốn lưu động</t>
        </is>
      </c>
      <c r="B10" s="31" t="n">
        <v>993113323775</v>
      </c>
      <c r="C10" s="31" t="n">
        <v>1032824937106</v>
      </c>
      <c r="D10" s="31" t="n">
        <v>1270796893607</v>
      </c>
      <c r="E10" s="31" t="n">
        <v>1336471313337</v>
      </c>
      <c r="F10" s="31" t="n">
        <v>3591627938813</v>
      </c>
      <c r="G10" s="31" t="n">
        <v>4024558431831</v>
      </c>
      <c r="H10" s="31" t="n">
        <v>3344250339399</v>
      </c>
      <c r="I10" s="31" t="n">
        <v>3323397798634</v>
      </c>
      <c r="J10" s="31" t="n">
        <v>3830670228989</v>
      </c>
      <c r="K10" s="31" t="n">
        <v>4317042204916</v>
      </c>
      <c r="L10" s="31" t="n">
        <v>2485846238959</v>
      </c>
      <c r="M10" s="31" t="n">
        <v>2042514062361</v>
      </c>
    </row>
    <row r="11">
      <c r="A11" s="30" t="inlineStr">
        <is>
          <t>(Tăng)/giảm các khoản phải thu</t>
        </is>
      </c>
      <c r="B11" s="31" t="n">
        <v>430508628152</v>
      </c>
      <c r="C11" s="31" t="n">
        <v>182885124689</v>
      </c>
      <c r="D11" s="31" t="n">
        <v>-132202396055</v>
      </c>
      <c r="E11" s="31" t="n">
        <v>-609437968983</v>
      </c>
      <c r="F11" s="31" t="n">
        <v>-1241612260855</v>
      </c>
      <c r="G11" s="31" t="n">
        <v>422213671904</v>
      </c>
      <c r="H11" s="31" t="n">
        <v>-595412339418</v>
      </c>
      <c r="I11" s="31" t="n">
        <v>-307854255428</v>
      </c>
      <c r="J11" s="31" t="n">
        <v>-532628876071</v>
      </c>
      <c r="K11" s="31" t="n">
        <v>-1438926498554</v>
      </c>
      <c r="L11" s="31" t="n">
        <v>-884569389703</v>
      </c>
      <c r="M11" s="31" t="n">
        <v>-951608710275</v>
      </c>
    </row>
    <row r="12">
      <c r="A12" s="30" t="inlineStr">
        <is>
          <t>(Tăng)/giảm hàng tồn kho</t>
        </is>
      </c>
      <c r="B12" s="31" t="n">
        <v>-117726206731</v>
      </c>
      <c r="C12" s="31" t="n">
        <v>-19213297489</v>
      </c>
      <c r="D12" s="31" t="n">
        <v>-304249171946</v>
      </c>
      <c r="E12" s="31" t="n">
        <v>212080457476</v>
      </c>
      <c r="F12" s="31" t="n">
        <v>-173093145210</v>
      </c>
      <c r="G12" s="31" t="n">
        <v>203736468281</v>
      </c>
      <c r="H12" s="31" t="n">
        <v>-248648680346</v>
      </c>
      <c r="I12" s="31" t="n">
        <v>33156557092</v>
      </c>
      <c r="J12" s="31" t="n">
        <v>23467202956</v>
      </c>
      <c r="K12" s="31" t="n">
        <v>-143046696194</v>
      </c>
      <c r="L12" s="31" t="n">
        <v>-328180087981</v>
      </c>
      <c r="M12" s="31" t="n">
        <v>-88520567085</v>
      </c>
    </row>
    <row r="13">
      <c r="A13" s="30" t="inlineStr">
        <is>
          <t>Tăng/(giảm) các khoản phải trả</t>
        </is>
      </c>
      <c r="B13" s="31" t="n">
        <v>-997380363984</v>
      </c>
      <c r="C13" s="31" t="n">
        <v>483241975302</v>
      </c>
      <c r="D13" s="31" t="n">
        <v>356373275503</v>
      </c>
      <c r="E13" s="31" t="n">
        <v>770616410068</v>
      </c>
      <c r="F13" s="31" t="n">
        <v>1662964903692</v>
      </c>
      <c r="G13" s="31" t="n">
        <v>1178663906552</v>
      </c>
      <c r="H13" s="31" t="n">
        <v>-3168677797967</v>
      </c>
      <c r="I13" s="31" t="n">
        <v>1937186010413</v>
      </c>
      <c r="J13" s="31" t="n">
        <v>1915125309361</v>
      </c>
      <c r="K13" s="31" t="n">
        <v>1872793733609</v>
      </c>
      <c r="L13" s="31" t="n">
        <v>-2597208629257</v>
      </c>
      <c r="M13" s="31" t="n">
        <v>1671622980109</v>
      </c>
    </row>
    <row r="14">
      <c r="A14" s="30" t="inlineStr">
        <is>
          <t>(Tăng)/giảm chi phí trả trước</t>
        </is>
      </c>
      <c r="B14" s="31" t="n">
        <v>-130373073840</v>
      </c>
      <c r="C14" s="31" t="n">
        <v>-94124245541</v>
      </c>
      <c r="D14" s="31" t="n">
        <v>-61974044140</v>
      </c>
      <c r="E14" s="31" t="n">
        <v>-81217395913</v>
      </c>
      <c r="F14" s="31" t="n">
        <v>-166500663328</v>
      </c>
      <c r="G14" s="31" t="n">
        <v>-179916896052</v>
      </c>
      <c r="H14" s="31" t="n">
        <v>-205624354170</v>
      </c>
      <c r="I14" s="31" t="n">
        <v>-232106924674</v>
      </c>
      <c r="J14" s="31" t="n">
        <v>-155675161774</v>
      </c>
      <c r="K14" s="31" t="n">
        <v>-2198043771</v>
      </c>
      <c r="L14" s="31" t="n">
        <v>-364231426766</v>
      </c>
      <c r="M14" s="31" t="n">
        <v>-594033910399</v>
      </c>
    </row>
    <row r="15">
      <c r="A15" s="30" t="inlineStr">
        <is>
          <t>Tiền lãi vay đã trả</t>
        </is>
      </c>
      <c r="B15" s="31" t="n">
        <v>-44399653219</v>
      </c>
      <c r="C15" s="31" t="n">
        <v>-49019408948</v>
      </c>
      <c r="D15" s="31" t="n">
        <v>-58402678854</v>
      </c>
      <c r="E15" s="31" t="n">
        <v>-111721558534</v>
      </c>
      <c r="F15" s="31" t="n">
        <v>-198428414709</v>
      </c>
      <c r="G15" s="31" t="n">
        <v>-124205428778</v>
      </c>
      <c r="H15" s="31" t="n">
        <v>-161803237457</v>
      </c>
      <c r="I15" s="31" t="n">
        <v>-177254861198</v>
      </c>
      <c r="J15" s="31" t="n">
        <v>-244250547102</v>
      </c>
      <c r="K15" s="31" t="n">
        <v>-229165608776</v>
      </c>
      <c r="L15" s="31" t="n">
        <v>-156930706535</v>
      </c>
      <c r="M15" s="31" t="n">
        <v>-216107365350</v>
      </c>
    </row>
    <row r="16">
      <c r="A16" s="30" t="inlineStr">
        <is>
          <t>Thuế thu nhập doanh nghiệp đã nộp</t>
        </is>
      </c>
      <c r="B16" s="31" t="n">
        <v>-162818299787</v>
      </c>
      <c r="C16" s="31" t="n">
        <v>-27353070197</v>
      </c>
      <c r="D16" s="31" t="n">
        <v>-75623913999</v>
      </c>
      <c r="E16" s="31" t="n">
        <v>-164118149356</v>
      </c>
      <c r="F16" s="31" t="n">
        <v>-228190332417</v>
      </c>
      <c r="G16" s="31" t="n">
        <v>-114629531066</v>
      </c>
      <c r="H16" s="31" t="n">
        <v>-1286964186262</v>
      </c>
      <c r="I16" s="31" t="n">
        <v>-241660887432</v>
      </c>
      <c r="J16" s="31" t="n">
        <v>-452247490721</v>
      </c>
      <c r="K16" s="31" t="n">
        <v>-257197692890</v>
      </c>
      <c r="L16" s="31" t="n">
        <v>-979468791211</v>
      </c>
      <c r="M16" s="31" t="n">
        <v>-71991607704</v>
      </c>
    </row>
    <row r="17">
      <c r="A17" s="30" t="inlineStr">
        <is>
          <t>Tiền thu khác từ hoạt động kinh doanh</t>
        </is>
      </c>
      <c r="B17" s="31" t="n">
        <v>0</v>
      </c>
      <c r="C17" s="31" t="n">
        <v>0</v>
      </c>
      <c r="D17" s="31" t="n">
        <v>0</v>
      </c>
      <c r="E17" s="31" t="n">
        <v>0</v>
      </c>
      <c r="F17" s="31" t="n">
        <v>0</v>
      </c>
      <c r="G17" s="31" t="n">
        <v>0</v>
      </c>
      <c r="H17" s="31" t="n">
        <v>0</v>
      </c>
      <c r="I17" s="31" t="n">
        <v>0</v>
      </c>
      <c r="J17" s="31" t="n">
        <v>0</v>
      </c>
      <c r="K17" s="31" t="n">
        <v>0</v>
      </c>
      <c r="L17" s="31" t="n">
        <v>0</v>
      </c>
      <c r="M17" s="31" t="n">
        <v>0</v>
      </c>
    </row>
    <row r="18">
      <c r="A18" s="30" t="inlineStr">
        <is>
          <t>Tiền chi khác cho hoạt động kinh doanh</t>
        </is>
      </c>
      <c r="B18" s="31" t="n">
        <v>-88490091653</v>
      </c>
      <c r="C18" s="31" t="n">
        <v>-55546845121</v>
      </c>
      <c r="D18" s="31" t="n">
        <v>-23402629020</v>
      </c>
      <c r="E18" s="31" t="n">
        <v>-76287444863</v>
      </c>
      <c r="F18" s="31" t="n">
        <v>-10823229000</v>
      </c>
      <c r="G18" s="31" t="n">
        <v>-13864424110</v>
      </c>
      <c r="H18" s="31" t="n">
        <v>-184023466180</v>
      </c>
      <c r="I18" s="31" t="n">
        <v>-144386436677</v>
      </c>
      <c r="J18" s="31" t="n">
        <v>-40440604859</v>
      </c>
      <c r="K18" s="31" t="n">
        <v>-10850821537</v>
      </c>
      <c r="L18" s="31" t="n">
        <v>-23070924698</v>
      </c>
      <c r="M18" s="31" t="n">
        <v>-89727170253</v>
      </c>
    </row>
    <row r="19">
      <c r="A19" s="30" t="inlineStr">
        <is>
          <t>Lưu chuyển tiền tệ ròng từ các hoạt động sản xuất kinh doanh</t>
        </is>
      </c>
      <c r="B19" s="31" t="n">
        <v>-117565737287</v>
      </c>
      <c r="C19" s="31" t="n">
        <v>1453695169801</v>
      </c>
      <c r="D19" s="31" t="n">
        <v>971315335096</v>
      </c>
      <c r="E19" s="31" t="n">
        <v>1276385663232</v>
      </c>
      <c r="F19" s="31" t="n">
        <v>3235944796986</v>
      </c>
      <c r="G19" s="31" t="n">
        <v>5396556198562</v>
      </c>
      <c r="H19" s="31" t="n">
        <v>-2506903722401</v>
      </c>
      <c r="I19" s="31" t="n">
        <v>4190477000730</v>
      </c>
      <c r="J19" s="31" t="n">
        <v>4344020060779</v>
      </c>
      <c r="K19" s="31" t="n">
        <v>4108450576803</v>
      </c>
      <c r="L19" s="31" t="n">
        <v>-2847813717192</v>
      </c>
      <c r="M19" s="31" t="n">
        <v>1702147711404</v>
      </c>
    </row>
    <row r="20">
      <c r="A20" s="30" t="inlineStr">
        <is>
          <t>Tiền chi để mua sắm, xây dựng TSCĐ và các tài sản dài hạn khác</t>
        </is>
      </c>
      <c r="B20" s="31" t="n">
        <v>-602935284388</v>
      </c>
      <c r="C20" s="31" t="n">
        <v>-658374370301</v>
      </c>
      <c r="D20" s="31" t="n">
        <v>-375579980322</v>
      </c>
      <c r="E20" s="31" t="n">
        <v>-816785919496</v>
      </c>
      <c r="F20" s="31" t="n">
        <v>-876954143250</v>
      </c>
      <c r="G20" s="31" t="n">
        <v>-838077306200</v>
      </c>
      <c r="H20" s="31" t="n">
        <v>-2607427905351</v>
      </c>
      <c r="I20" s="31" t="n">
        <v>-687830960368</v>
      </c>
      <c r="J20" s="31" t="n">
        <v>-830371040007</v>
      </c>
      <c r="K20" s="31" t="n">
        <v>-972289444130</v>
      </c>
      <c r="L20" s="31" t="n">
        <v>-589068929719</v>
      </c>
      <c r="M20" s="31" t="n">
        <v>-747414308012</v>
      </c>
    </row>
    <row r="21">
      <c r="A21" s="30" t="inlineStr">
        <is>
          <t>Tiền thu từ thanh lý, nhượng bán TSCĐ và các tài sản dài hạn khác</t>
        </is>
      </c>
      <c r="B21" s="31" t="n">
        <v>16349167</v>
      </c>
      <c r="C21" s="31" t="n">
        <v>417340235</v>
      </c>
      <c r="D21" s="31" t="n">
        <v>308615268</v>
      </c>
      <c r="E21" s="31" t="n">
        <v>30974137</v>
      </c>
      <c r="F21" s="31" t="n">
        <v>1616251625</v>
      </c>
      <c r="G21" s="31" t="n">
        <v>697620442</v>
      </c>
      <c r="H21" s="31" t="n">
        <v>3212123070</v>
      </c>
      <c r="I21" s="31" t="n">
        <v>810291524</v>
      </c>
      <c r="J21" s="31" t="n">
        <v>2509745476</v>
      </c>
      <c r="K21" s="31" t="n">
        <v>782056649</v>
      </c>
      <c r="L21" s="31" t="n">
        <v>2080740035</v>
      </c>
      <c r="M21" s="31" t="n">
        <v>990213854</v>
      </c>
    </row>
    <row r="22">
      <c r="A22" s="30" t="inlineStr">
        <is>
          <t>Tiền chi cho vay, mua các công cụ nợ của đơn vị khác</t>
        </is>
      </c>
      <c r="B22" s="31" t="n">
        <v>-420153483511</v>
      </c>
      <c r="C22" s="31" t="n">
        <v>420153483511</v>
      </c>
      <c r="D22" s="31" t="n">
        <v>-686733112549</v>
      </c>
      <c r="E22" s="31" t="n">
        <v>-500859589485</v>
      </c>
      <c r="F22" s="31" t="n">
        <v>-8247959851394</v>
      </c>
      <c r="G22" s="31" t="n">
        <v>-12927219472332</v>
      </c>
      <c r="H22" s="31" t="n">
        <v>-10159337998571</v>
      </c>
      <c r="I22" s="31" t="n">
        <v>-17090346868606</v>
      </c>
      <c r="J22" s="31" t="n">
        <v>-10246875400883</v>
      </c>
      <c r="K22" s="31" t="n">
        <v>-19515962555746</v>
      </c>
      <c r="L22" s="31" t="n">
        <v>-8105033405809</v>
      </c>
      <c r="M22" s="31" t="n">
        <v>-8970887005433</v>
      </c>
    </row>
    <row r="23">
      <c r="A23" s="30" t="inlineStr">
        <is>
          <t>Tiền thu hồi cho vay, bán lại các công cụ nợ của đơn vị khác</t>
        </is>
      </c>
      <c r="B23" s="31" t="n">
        <v>0</v>
      </c>
      <c r="C23" s="31" t="n">
        <v>-485877271686</v>
      </c>
      <c r="D23" s="31" t="n">
        <v>485877271686</v>
      </c>
      <c r="E23" s="31" t="n">
        <v>0</v>
      </c>
      <c r="F23" s="31" t="n">
        <v>8725918508280</v>
      </c>
      <c r="G23" s="31" t="n">
        <v>10606724400366</v>
      </c>
      <c r="H23" s="31" t="n">
        <v>8175498984215</v>
      </c>
      <c r="I23" s="31" t="n">
        <v>14236985730372</v>
      </c>
      <c r="J23" s="31" t="n">
        <v>9706147048362</v>
      </c>
      <c r="K23" s="31" t="n">
        <v>17046161206333</v>
      </c>
      <c r="L23" s="31" t="n">
        <v>6907782688785</v>
      </c>
      <c r="M23" s="31" t="n">
        <v>7738571528490</v>
      </c>
    </row>
    <row r="24">
      <c r="A24" s="30" t="inlineStr">
        <is>
          <t>Tiền chi đầu tư góp vốn vào đơn vị khác</t>
        </is>
      </c>
      <c r="B24" s="31" t="n">
        <v>0</v>
      </c>
      <c r="C24" s="31" t="n">
        <v>-79534620000</v>
      </c>
      <c r="D24" s="31" t="n">
        <v>-630488949233</v>
      </c>
      <c r="E24" s="31" t="n">
        <v>480000000</v>
      </c>
      <c r="F24" s="31" t="n">
        <v>-94349648464</v>
      </c>
      <c r="G24" s="31" t="n">
        <v>-267882879016</v>
      </c>
      <c r="H24" s="31" t="n">
        <v>-94356673179</v>
      </c>
      <c r="I24" s="31" t="n">
        <v>-131294469705</v>
      </c>
      <c r="J24" s="31" t="n">
        <v>-69458442668</v>
      </c>
      <c r="K24" s="31" t="n">
        <v>-415590467225</v>
      </c>
      <c r="L24" s="31" t="n">
        <v>-737724460792</v>
      </c>
      <c r="M24" s="31" t="n">
        <v>-41912021366</v>
      </c>
    </row>
    <row r="25">
      <c r="A25" s="30" t="inlineStr">
        <is>
          <t>Tiền thu hồi đầu tư góp vốn vào đơn vị khác</t>
        </is>
      </c>
      <c r="B25" s="31" t="n">
        <v>0</v>
      </c>
      <c r="C25" s="31" t="n">
        <v>165900000000</v>
      </c>
      <c r="D25" s="31" t="n">
        <v>0</v>
      </c>
      <c r="E25" s="31" t="n">
        <v>14329124836</v>
      </c>
      <c r="F25" s="31" t="n">
        <v>0</v>
      </c>
      <c r="G25" s="31" t="n">
        <v>48102486048</v>
      </c>
      <c r="H25" s="31" t="n">
        <v>5739731680</v>
      </c>
      <c r="I25" s="31" t="n">
        <v>17433745902</v>
      </c>
      <c r="J25" s="31" t="n">
        <v>0</v>
      </c>
      <c r="K25" s="31" t="n">
        <v>358779074</v>
      </c>
      <c r="L25" s="31" t="n">
        <v>3660000000</v>
      </c>
      <c r="M25" s="31" t="n">
        <v>-294000000</v>
      </c>
    </row>
    <row r="26">
      <c r="A26" s="30" t="inlineStr">
        <is>
          <t>Tiền thu lãi cho vay, cổ tức và lợi nhuận được chia</t>
        </is>
      </c>
      <c r="B26" s="31" t="n">
        <v>96312241294</v>
      </c>
      <c r="C26" s="31" t="n">
        <v>98071267749</v>
      </c>
      <c r="D26" s="31" t="n">
        <v>140991767575</v>
      </c>
      <c r="E26" s="31" t="n">
        <v>138330597114</v>
      </c>
      <c r="F26" s="31" t="n">
        <v>364420147044</v>
      </c>
      <c r="G26" s="31" t="n">
        <v>274299454911</v>
      </c>
      <c r="H26" s="31" t="n">
        <v>279282736376</v>
      </c>
      <c r="I26" s="31" t="n">
        <v>817639763306</v>
      </c>
      <c r="J26" s="31" t="n">
        <v>340788225860</v>
      </c>
      <c r="K26" s="31" t="n">
        <v>563048466611</v>
      </c>
      <c r="L26" s="31" t="n">
        <v>263408177152</v>
      </c>
      <c r="M26" s="31" t="n">
        <v>503935960307</v>
      </c>
    </row>
    <row r="27">
      <c r="A27" s="30" t="inlineStr">
        <is>
          <t>Lưu chuyển tiền thuần từ hoạt động đầu tư</t>
        </is>
      </c>
      <c r="B27" s="31" t="n">
        <v>-926760177438</v>
      </c>
      <c r="C27" s="31" t="n">
        <v>-539244170492</v>
      </c>
      <c r="D27" s="31" t="n">
        <v>-1065624387575</v>
      </c>
      <c r="E27" s="31" t="n">
        <v>-1164474812894</v>
      </c>
      <c r="F27" s="31" t="n">
        <v>-127308736159</v>
      </c>
      <c r="G27" s="31" t="n">
        <v>-3103355695781</v>
      </c>
      <c r="H27" s="31" t="n">
        <v>-4397389001760</v>
      </c>
      <c r="I27" s="31" t="n">
        <v>-2836602767575</v>
      </c>
      <c r="J27" s="31" t="n">
        <v>-1097259863860</v>
      </c>
      <c r="K27" s="31" t="n">
        <v>-3293491958434</v>
      </c>
      <c r="L27" s="31" t="n">
        <v>-2254895190348</v>
      </c>
      <c r="M27" s="31" t="n">
        <v>-1517009632160</v>
      </c>
    </row>
    <row r="28">
      <c r="A28" s="30" t="inlineStr">
        <is>
          <t>Tiền thu từ phát hành cổ phiếu, nhận vốn góp của chủ sở hữu</t>
        </is>
      </c>
      <c r="B28" s="31" t="n">
        <v>0</v>
      </c>
      <c r="C28" s="31" t="n">
        <v>26545560000</v>
      </c>
      <c r="D28" s="31" t="n">
        <v>0</v>
      </c>
      <c r="E28" s="31" t="n">
        <v>0</v>
      </c>
      <c r="F28" s="31" t="n">
        <v>57131819874</v>
      </c>
      <c r="G28" s="31" t="n">
        <v>106211170000</v>
      </c>
      <c r="H28" s="31" t="n">
        <v>0</v>
      </c>
      <c r="I28" s="31" t="n">
        <v>1196229390000</v>
      </c>
      <c r="J28" s="31" t="n">
        <v>3000000</v>
      </c>
      <c r="K28" s="31" t="n">
        <v>2794778</v>
      </c>
      <c r="L28" s="31" t="n">
        <v>2000000</v>
      </c>
      <c r="M28" s="31" t="n">
        <v>65991899</v>
      </c>
    </row>
    <row r="29">
      <c r="A29" s="30" t="inlineStr">
        <is>
          <t>Tiền chi trả vốn góp cho các chủ sở hữu, mua lại cổ phiếu của doanh nghiệp đã phát hành</t>
        </is>
      </c>
      <c r="B29" s="31" t="n">
        <v>0</v>
      </c>
      <c r="C29" s="31" t="n">
        <v>0</v>
      </c>
      <c r="D29" s="31" t="n">
        <v>0</v>
      </c>
      <c r="E29" s="31" t="n">
        <v>0</v>
      </c>
      <c r="F29" s="31" t="n">
        <v>0</v>
      </c>
      <c r="G29" s="31" t="n">
        <v>0</v>
      </c>
      <c r="H29" s="31" t="n">
        <v>0</v>
      </c>
      <c r="I29" s="31" t="n">
        <v>0</v>
      </c>
      <c r="J29" s="31" t="n">
        <v>0</v>
      </c>
      <c r="K29" s="31" t="n">
        <v>0</v>
      </c>
      <c r="L29" s="31" t="n">
        <v>0</v>
      </c>
      <c r="M29" s="31" t="n">
        <v>0</v>
      </c>
    </row>
    <row r="30">
      <c r="A30" s="30" t="inlineStr">
        <is>
          <t>Tiền thu được các khoản đi vay</t>
        </is>
      </c>
      <c r="B30" s="31" t="n">
        <v>2963896342683</v>
      </c>
      <c r="C30" s="31" t="n">
        <v>2920832479563</v>
      </c>
      <c r="D30" s="31" t="n">
        <v>2710640478264</v>
      </c>
      <c r="E30" s="31" t="n">
        <v>1659587216711</v>
      </c>
      <c r="F30" s="31" t="n">
        <v>7449918727586</v>
      </c>
      <c r="G30" s="31" t="n">
        <v>5780557256676</v>
      </c>
      <c r="H30" s="31" t="n">
        <v>12175546656648</v>
      </c>
      <c r="I30" s="31" t="n">
        <v>11552806194767</v>
      </c>
      <c r="J30" s="31" t="n">
        <v>7824889714007</v>
      </c>
      <c r="K30" s="31" t="n">
        <v>11517570319652</v>
      </c>
      <c r="L30" s="31" t="n">
        <v>6750787827303</v>
      </c>
      <c r="M30" s="31" t="n">
        <v>6874693026240</v>
      </c>
    </row>
    <row r="31">
      <c r="A31" s="30" t="inlineStr">
        <is>
          <t>Tiền trả nợ gốc vay</t>
        </is>
      </c>
      <c r="B31" s="31" t="n">
        <v>-2160548216900</v>
      </c>
      <c r="C31" s="31" t="n">
        <v>-2078480355984</v>
      </c>
      <c r="D31" s="31" t="n">
        <v>-2068588589554</v>
      </c>
      <c r="E31" s="31" t="n">
        <v>-1708333529810</v>
      </c>
      <c r="F31" s="31" t="n">
        <v>-9459849670403</v>
      </c>
      <c r="G31" s="31" t="n">
        <v>-5398194818783</v>
      </c>
      <c r="H31" s="31" t="n">
        <v>-7902260870560</v>
      </c>
      <c r="I31" s="31" t="n">
        <v>-7901515047258</v>
      </c>
      <c r="J31" s="31" t="n">
        <v>-11220806613192</v>
      </c>
      <c r="K31" s="31" t="n">
        <v>-9866402296591</v>
      </c>
      <c r="L31" s="31" t="n">
        <v>-4164356153983</v>
      </c>
      <c r="M31" s="31" t="n">
        <v>-4467518054933</v>
      </c>
    </row>
    <row r="32">
      <c r="A32" s="30" t="inlineStr">
        <is>
          <t>Tiền trả nợ gốc thuê tài chính</t>
        </is>
      </c>
      <c r="B32" s="31" t="n">
        <v>0</v>
      </c>
      <c r="C32" s="31" t="n">
        <v>0</v>
      </c>
      <c r="D32" s="31" t="n">
        <v>0</v>
      </c>
      <c r="E32" s="31" t="n">
        <v>0</v>
      </c>
      <c r="F32" s="31" t="n">
        <v>-1400699807</v>
      </c>
      <c r="G32" s="31" t="n">
        <v>-222686386</v>
      </c>
      <c r="H32" s="31" t="n">
        <v>-230583912</v>
      </c>
      <c r="I32" s="31" t="n">
        <v>-262813768</v>
      </c>
      <c r="J32" s="31" t="n">
        <v>-252389781</v>
      </c>
      <c r="K32" s="31" t="n">
        <v>-241007595</v>
      </c>
      <c r="L32" s="31" t="n">
        <v>-239550104</v>
      </c>
      <c r="M32" s="31" t="n">
        <v>-169095237</v>
      </c>
    </row>
    <row r="33">
      <c r="A33" s="30" t="inlineStr">
        <is>
          <t>Cổ tức, lợi nhuận đã trả cho chủ sở hữu</t>
        </is>
      </c>
      <c r="B33" s="31" t="n">
        <v>-163537318875</v>
      </c>
      <c r="C33" s="31" t="n">
        <v>-799403076450</v>
      </c>
      <c r="D33" s="31" t="n">
        <v>-625687714975</v>
      </c>
      <c r="E33" s="31" t="n">
        <v>-118993374075</v>
      </c>
      <c r="F33" s="31" t="n">
        <v>-18119086577</v>
      </c>
      <c r="G33" s="31" t="n">
        <v>-1469515337775</v>
      </c>
      <c r="H33" s="31" t="n">
        <v>-9557000</v>
      </c>
      <c r="I33" s="31" t="n">
        <v>-2865470362188</v>
      </c>
      <c r="J33" s="31" t="n">
        <v>-6194605275</v>
      </c>
      <c r="K33" s="31" t="n">
        <v>-1702079053200</v>
      </c>
      <c r="L33" s="31" t="n">
        <v>-2529850</v>
      </c>
      <c r="M33" s="31" t="n">
        <v>-1712609803875</v>
      </c>
    </row>
    <row r="34">
      <c r="A34" s="30" t="inlineStr">
        <is>
          <t>Tiền lãi đã nhận</t>
        </is>
      </c>
      <c r="B34" s="31" t="n">
        <v>0</v>
      </c>
      <c r="C34" s="31" t="n">
        <v>0</v>
      </c>
      <c r="D34" s="31" t="n">
        <v>0</v>
      </c>
      <c r="E34" s="31" t="n">
        <v>0</v>
      </c>
      <c r="F34" s="31" t="n">
        <v>0</v>
      </c>
      <c r="G34" s="31" t="n">
        <v>0</v>
      </c>
      <c r="H34" s="31" t="n">
        <v>0</v>
      </c>
      <c r="I34" s="31" t="n">
        <v>0</v>
      </c>
      <c r="J34" s="31" t="n">
        <v>0</v>
      </c>
      <c r="K34" s="31" t="n">
        <v>0</v>
      </c>
      <c r="L34" s="31" t="n">
        <v>0</v>
      </c>
      <c r="M34" s="31" t="n">
        <v>0</v>
      </c>
    </row>
    <row r="35">
      <c r="A35" s="30" t="inlineStr">
        <is>
          <t>Lưu chuyển tiền thuần từ hoạt động tài chính</t>
        </is>
      </c>
      <c r="B35" s="31" t="n">
        <v>639810806908</v>
      </c>
      <c r="C35" s="31" t="n">
        <v>69494607129</v>
      </c>
      <c r="D35" s="31" t="n">
        <v>16364173735</v>
      </c>
      <c r="E35" s="31" t="n">
        <v>-167739687174</v>
      </c>
      <c r="F35" s="31" t="n">
        <v>-1972318909327</v>
      </c>
      <c r="G35" s="31" t="n">
        <v>-981164416268</v>
      </c>
      <c r="H35" s="31" t="n">
        <v>4273045645176</v>
      </c>
      <c r="I35" s="31" t="n">
        <v>1981787361553</v>
      </c>
      <c r="J35" s="31" t="n">
        <v>-3402360894241</v>
      </c>
      <c r="K35" s="31" t="n">
        <v>-51149242956</v>
      </c>
      <c r="L35" s="31" t="n">
        <v>2586191593366</v>
      </c>
      <c r="M35" s="31" t="n">
        <v>694462064094</v>
      </c>
    </row>
    <row r="36">
      <c r="A36" s="30" t="inlineStr">
        <is>
          <t>Lưu chuyển tiền thuần trong kỳ</t>
        </is>
      </c>
      <c r="B36" s="31" t="n">
        <v>-404515107817</v>
      </c>
      <c r="C36" s="31" t="n">
        <v>983945606438</v>
      </c>
      <c r="D36" s="31" t="n">
        <v>-77944878744</v>
      </c>
      <c r="E36" s="31" t="n">
        <v>-55828836836</v>
      </c>
      <c r="F36" s="31" t="n">
        <v>1136317151500</v>
      </c>
      <c r="G36" s="31" t="n">
        <v>1312036086513</v>
      </c>
      <c r="H36" s="31" t="n">
        <v>-2631247078985</v>
      </c>
      <c r="I36" s="31" t="n">
        <v>3335661594708</v>
      </c>
      <c r="J36" s="31" t="n">
        <v>-155600697322</v>
      </c>
      <c r="K36" s="31" t="n">
        <v>763809375413</v>
      </c>
      <c r="L36" s="31" t="n">
        <v>-2516517314174</v>
      </c>
      <c r="M36" s="31" t="n">
        <v>879600143338</v>
      </c>
    </row>
    <row r="37">
      <c r="A37" s="30" t="inlineStr">
        <is>
          <t>Tiền và tương đương tiền đầu kỳ</t>
        </is>
      </c>
      <c r="B37" s="31" t="n">
        <v>3480659514788</v>
      </c>
      <c r="C37" s="31" t="n">
        <v>3076144406971</v>
      </c>
      <c r="D37" s="31" t="n">
        <v>4060090013409</v>
      </c>
      <c r="E37" s="31" t="n">
        <v>3982145134665</v>
      </c>
      <c r="F37" s="31" t="n">
        <v>6836262549195</v>
      </c>
      <c r="G37" s="31" t="n">
        <v>7935632407357</v>
      </c>
      <c r="H37" s="31" t="n">
        <v>9315440438884</v>
      </c>
      <c r="I37" s="31" t="n">
        <v>6755645214252</v>
      </c>
      <c r="J37" s="31" t="n">
        <v>10019630995136</v>
      </c>
      <c r="K37" s="31" t="n">
        <v>9853512731370</v>
      </c>
      <c r="L37" s="31" t="n">
        <v>10522105729992</v>
      </c>
      <c r="M37" s="31" t="n">
        <v>7993577611642</v>
      </c>
    </row>
    <row r="38">
      <c r="A38" s="30" t="inlineStr">
        <is>
          <t>Ảnh hưởng của thay đổi tỷ giá hối đoái quy đổi ngoại tệ</t>
        </is>
      </c>
      <c r="B38" s="31" t="n">
        <v>0</v>
      </c>
      <c r="C38" s="31" t="n">
        <v>0</v>
      </c>
      <c r="D38" s="31" t="n">
        <v>0</v>
      </c>
      <c r="E38" s="31" t="n">
        <v>0</v>
      </c>
      <c r="F38" s="31" t="n">
        <v>-36947293338</v>
      </c>
      <c r="G38" s="31" t="n">
        <v>67771945014</v>
      </c>
      <c r="H38" s="31" t="n">
        <v>71451854353</v>
      </c>
      <c r="I38" s="31" t="n">
        <v>-71675813824</v>
      </c>
      <c r="J38" s="31" t="n">
        <v>-10517566444</v>
      </c>
      <c r="K38" s="31" t="n">
        <v>-95216376791</v>
      </c>
      <c r="L38" s="31" t="n">
        <v>-12010804176</v>
      </c>
      <c r="M38" s="31" t="n">
        <v>-30016622250</v>
      </c>
    </row>
    <row r="39">
      <c r="A39" s="30" t="inlineStr">
        <is>
          <t>Tiền và tương đương tiền cuối kỳ</t>
        </is>
      </c>
      <c r="B39" s="31" t="n">
        <v>3076144406971</v>
      </c>
      <c r="C39" s="31" t="n">
        <v>4060090013409</v>
      </c>
      <c r="D39" s="31" t="n">
        <v>3982145134665</v>
      </c>
      <c r="E39" s="31" t="n">
        <v>3926316297829</v>
      </c>
      <c r="F39" s="31" t="n">
        <v>7935632407357</v>
      </c>
      <c r="G39" s="31" t="n">
        <v>9315440438884</v>
      </c>
      <c r="H39" s="31" t="n">
        <v>6755645214252</v>
      </c>
      <c r="I39" s="31" t="n">
        <v>10019630995136</v>
      </c>
      <c r="J39" s="31" t="n">
        <v>9853512731370</v>
      </c>
      <c r="K39" s="31" t="n">
        <v>10522105729992</v>
      </c>
      <c r="L39" s="31" t="n">
        <v>7993577611642</v>
      </c>
      <c r="M39" s="31" t="n">
        <v>8843161132730</v>
      </c>
    </row>
    <row r="40">
      <c r="A40" s="30" t="inlineStr">
        <is>
          <t>Phân bổ lợi thế thương mại</t>
        </is>
      </c>
      <c r="B40" s="31" t="n">
        <v>0</v>
      </c>
      <c r="C40" s="31" t="n">
        <v>0</v>
      </c>
      <c r="D40" s="31" t="n">
        <v>0</v>
      </c>
      <c r="E40" s="31" t="n">
        <v>0</v>
      </c>
      <c r="F40" s="31" t="n">
        <v>0</v>
      </c>
      <c r="G40" s="31" t="n">
        <v>0</v>
      </c>
      <c r="H40" s="31" t="n">
        <v>0</v>
      </c>
      <c r="I40" s="31" t="n">
        <v>0</v>
      </c>
      <c r="J40" s="31" t="n">
        <v>0</v>
      </c>
      <c r="K40" s="31" t="n">
        <v>0</v>
      </c>
      <c r="L40" s="31" t="n">
        <v>0</v>
      </c>
      <c r="M40" s="31" t="n">
        <v>0</v>
      </c>
    </row>
    <row r="41">
      <c r="A41" s="30" t="inlineStr">
        <is>
          <t>Các khoản điều chỉnh khác</t>
        </is>
      </c>
      <c r="B41" s="31" t="n">
        <v>0</v>
      </c>
      <c r="C41" s="31" t="n">
        <v>0</v>
      </c>
      <c r="D41" s="31" t="n">
        <v>0</v>
      </c>
      <c r="E41" s="31" t="n">
        <v>0</v>
      </c>
      <c r="F41" s="31" t="n">
        <v>0</v>
      </c>
      <c r="G41" s="31" t="n">
        <v>0</v>
      </c>
      <c r="H41" s="31" t="n">
        <v>0</v>
      </c>
      <c r="I41" s="31" t="n">
        <v>0</v>
      </c>
      <c r="J41" s="31" t="n">
        <v>0</v>
      </c>
      <c r="K41" s="31" t="n">
        <v>0</v>
      </c>
      <c r="L41" s="31" t="n">
        <v>0</v>
      </c>
      <c r="M41" s="31" t="n">
        <v>0</v>
      </c>
    </row>
    <row r="42">
      <c r="A42" s="30" t="inlineStr">
        <is>
          <t>(Tăng)/giảm chứng khoán kinh doanh</t>
        </is>
      </c>
      <c r="B42" s="31" t="n">
        <v>0</v>
      </c>
      <c r="C42" s="31" t="n">
        <v>0</v>
      </c>
      <c r="D42" s="31" t="n">
        <v>0</v>
      </c>
      <c r="E42" s="31" t="n">
        <v>0</v>
      </c>
      <c r="F42" s="31" t="n">
        <v>0</v>
      </c>
      <c r="G42" s="31" t="n">
        <v>0</v>
      </c>
      <c r="H42" s="31" t="n">
        <v>0</v>
      </c>
      <c r="I42" s="31" t="n">
        <v>0</v>
      </c>
      <c r="J42" s="31" t="n">
        <v>0</v>
      </c>
      <c r="K42" s="31" t="n">
        <v>0</v>
      </c>
      <c r="L42" s="31" t="n">
        <v>0</v>
      </c>
      <c r="M42" s="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5"/>
  <sheetViews>
    <sheetView showGridLines="0" tabSelected="1" zoomScaleNormal="100" workbookViewId="0">
      <selection activeCell="I22" sqref="B2:I22"/>
    </sheetView>
  </sheetViews>
  <sheetFormatPr baseColWidth="8" defaultRowHeight="14.25"/>
  <cols>
    <col width="48.875" bestFit="1" customWidth="1" min="1" max="1"/>
    <col width="17.125" bestFit="1" customWidth="1" min="2" max="9"/>
  </cols>
  <sheetData>
    <row r="1">
      <c r="A1" s="13" t="inlineStr">
        <is>
          <t>Chỉ tiêu</t>
        </is>
      </c>
      <c r="B1" s="14">
        <f>balance_sheet!B1</f>
        <v/>
      </c>
      <c r="C1" s="14">
        <f>balance_sheet!C1</f>
        <v/>
      </c>
      <c r="D1" s="14">
        <f>balance_sheet!D1</f>
        <v/>
      </c>
      <c r="E1" s="14">
        <f>balance_sheet!E1</f>
        <v/>
      </c>
      <c r="F1" s="14">
        <f>balance_sheet!F1</f>
        <v/>
      </c>
      <c r="G1" s="14">
        <f>balance_sheet!G1</f>
        <v/>
      </c>
      <c r="H1" s="14">
        <f>balance_sheet!H1</f>
        <v/>
      </c>
      <c r="I1" s="14">
        <f>balance_sheet!I1</f>
        <v/>
      </c>
    </row>
    <row r="2">
      <c r="A2" s="13" t="inlineStr">
        <is>
          <t>ROE</t>
        </is>
      </c>
      <c r="B2" s="32">
        <f>IFERROR(B$53/((B$41+#REF!)/2),"n/a")</f>
        <v/>
      </c>
      <c r="C2" s="32">
        <f>IFERROR(C$53/((C$41+B$41)/2),"n/a")</f>
        <v/>
      </c>
      <c r="D2" s="32">
        <f>IFERROR(D$53/((D$41+C$41)/2),"n/a")</f>
        <v/>
      </c>
      <c r="E2" s="32">
        <f>IFERROR(E$53/((E$41+D$41)/2),"n/a")</f>
        <v/>
      </c>
      <c r="F2" s="32">
        <f>IFERROR(F$53/((F$41+E$41)/2),"n/a")</f>
        <v/>
      </c>
      <c r="G2" s="32">
        <f>IFERROR(G$53/((G$41+F$41)/2),"n/a")</f>
        <v/>
      </c>
      <c r="H2" s="32">
        <f>IFERROR(H$53/((H$41+G$41)/2),"n/a")</f>
        <v/>
      </c>
      <c r="I2" s="32">
        <f>IFERROR(I$53/((I$41+H$41)/2),"n/a")</f>
        <v/>
      </c>
    </row>
    <row r="3">
      <c r="A3" s="13" t="inlineStr">
        <is>
          <t>ROA</t>
        </is>
      </c>
      <c r="B3" s="32">
        <f>IFERROR(B$53/((B$33+#REF!)/2),"n/a")</f>
        <v/>
      </c>
      <c r="C3" s="32">
        <f>IFERROR(C$53/((C$33+B$33)/2),"n/a")</f>
        <v/>
      </c>
      <c r="D3" s="32">
        <f>IFERROR(D$53/((D$33+C$33)/2),"n/a")</f>
        <v/>
      </c>
      <c r="E3" s="32">
        <f>IFERROR(E$53/((E$33+D$33)/2),"n/a")</f>
        <v/>
      </c>
      <c r="F3" s="32">
        <f>IFERROR(F$53/((F$33+E$33)/2),"n/a")</f>
        <v/>
      </c>
      <c r="G3" s="32">
        <f>IFERROR(G$53/((G$33+F$33)/2),"n/a")</f>
        <v/>
      </c>
      <c r="H3" s="32">
        <f>IFERROR(H$53/((H$33+G$33)/2),"n/a")</f>
        <v/>
      </c>
      <c r="I3" s="32">
        <f>IFERROR(I$53/((I$33+H$33)/2),"n/a")</f>
        <v/>
      </c>
    </row>
    <row r="4">
      <c r="A4" s="23" t="inlineStr">
        <is>
          <t>Tăng trưởng LN Cổ đông Cty mẹ QQ</t>
        </is>
      </c>
      <c r="B4" s="32">
        <f>IFERROR((B$53-#REF!)/ABS(#REF!),"n/a")</f>
        <v/>
      </c>
      <c r="C4" s="25">
        <f>IFERROR((C$53-B$53)/ABS(B$53),"n/a")</f>
        <v/>
      </c>
      <c r="D4" s="25">
        <f>IFERROR((D$53-C$53)/ABS(C$53),"n/a")</f>
        <v/>
      </c>
      <c r="E4" s="25">
        <f>IFERROR((E$53-D$53)/ABS(D$53),"n/a")</f>
        <v/>
      </c>
      <c r="F4" s="25">
        <f>IFERROR((F$53-E$53)/ABS(E$53),"n/a")</f>
        <v/>
      </c>
      <c r="G4" s="25">
        <f>IFERROR((G$53-F$53)/ABS(F$53),"n/a")</f>
        <v/>
      </c>
      <c r="H4" s="25">
        <f>IFERROR((H$53-G$53)/ABS(G$53),"n/a")</f>
        <v/>
      </c>
      <c r="I4" s="25">
        <f>IFERROR((I$53-H$53)/ABS(H$53),"n/a")</f>
        <v/>
      </c>
    </row>
    <row r="5">
      <c r="A5" s="23" t="inlineStr">
        <is>
          <t>Tăng trưởng LN Cổ đông Cty mẹ YY</t>
        </is>
      </c>
      <c r="B5" s="32" t="n"/>
      <c r="C5" s="32" t="n"/>
      <c r="D5" s="32" t="n"/>
      <c r="E5" s="32" t="n"/>
      <c r="F5" s="32">
        <f>IFERROR((F$53-B$53)/ABS(B$53),"n/a")</f>
        <v/>
      </c>
      <c r="G5" s="32">
        <f>IFERROR((G$53-C$53)/ABS(C$53),"n/a")</f>
        <v/>
      </c>
      <c r="H5" s="32">
        <f>IFERROR((H$53-D$53)/ABS(D$53),"n/a")</f>
        <v/>
      </c>
      <c r="I5" s="32">
        <f>IFERROR((I$53-E$53)/ABS(E$53),"n/a")</f>
        <v/>
      </c>
    </row>
    <row r="6">
      <c r="A6" s="23" t="inlineStr">
        <is>
          <t>Tăng trưởng Doanh thu thuần QQ</t>
        </is>
      </c>
      <c r="B6" s="32">
        <f>IFERROR((B$44-#REF!)/ABS(#REF!),"n/a")</f>
        <v/>
      </c>
      <c r="C6" s="25">
        <f>IFERROR((C$44-B$44)/ABS(B$44),"n/a")</f>
        <v/>
      </c>
      <c r="D6" s="25">
        <f>IFERROR((D$44-C$44)/ABS(C$44),"n/a")</f>
        <v/>
      </c>
      <c r="E6" s="25">
        <f>IFERROR((E$44-D$44)/ABS(D$44),"n/a")</f>
        <v/>
      </c>
      <c r="F6" s="25">
        <f>IFERROR((F$44-E$44)/ABS(E$44),"n/a")</f>
        <v/>
      </c>
      <c r="G6" s="25">
        <f>IFERROR((G$44-F$44)/ABS(F$44),"n/a")</f>
        <v/>
      </c>
      <c r="H6" s="25">
        <f>IFERROR((H$44-G$44)/ABS(G$44),"n/a")</f>
        <v/>
      </c>
      <c r="I6" s="25">
        <f>IFERROR((I$44-H$44)/ABS(H$44),"n/a")</f>
        <v/>
      </c>
    </row>
    <row r="7">
      <c r="A7" s="23" t="inlineStr">
        <is>
          <t>Tăng trưởng Doanh thu thuần YY</t>
        </is>
      </c>
      <c r="B7" s="32" t="n"/>
      <c r="C7" s="32" t="n"/>
      <c r="D7" s="32" t="n"/>
      <c r="E7" s="32" t="n"/>
      <c r="F7" s="32">
        <f>IFERROR((F$44-B$44)/ABS(B$44),"n/a")</f>
        <v/>
      </c>
      <c r="G7" s="32">
        <f>IFERROR((G$44-C$44)/ABS(C$44),"n/a")</f>
        <v/>
      </c>
      <c r="H7" s="32">
        <f>IFERROR((H$44-D$44)/ABS(D$44),"n/a")</f>
        <v/>
      </c>
      <c r="I7" s="32">
        <f>IFERROR((I$44-E$44)/ABS(E$44),"n/a")</f>
        <v/>
      </c>
    </row>
    <row r="8">
      <c r="A8" s="13" t="inlineStr">
        <is>
          <t>Biên lợi nhuận gộp</t>
        </is>
      </c>
      <c r="B8" s="32">
        <f>IFERROR(B$46/B$44,"n/a")</f>
        <v/>
      </c>
      <c r="C8" s="32">
        <f>IFERROR(C$46/C$44,"n/a")</f>
        <v/>
      </c>
      <c r="D8" s="32">
        <f>IFERROR(D$46/D$44,"n/a")</f>
        <v/>
      </c>
      <c r="E8" s="32">
        <f>IFERROR(E$46/E$44,"n/a")</f>
        <v/>
      </c>
      <c r="F8" s="32">
        <f>IFERROR(F$46/F$44,"n/a")</f>
        <v/>
      </c>
      <c r="G8" s="32">
        <f>IFERROR(G$46/G$44,"n/a")</f>
        <v/>
      </c>
      <c r="H8" s="32">
        <f>IFERROR(H$46/H$44,"n/a")</f>
        <v/>
      </c>
      <c r="I8" s="32">
        <f>IFERROR(I$46/I$44,"n/a")</f>
        <v/>
      </c>
    </row>
    <row r="9">
      <c r="A9" s="13" t="inlineStr">
        <is>
          <t>Biên lợi nhuận ròng</t>
        </is>
      </c>
      <c r="B9" s="32">
        <f>IFERROR(B$53/B$44,"n/a")</f>
        <v/>
      </c>
      <c r="C9" s="32">
        <f>IFERROR(C$53/C$44,"n/a")</f>
        <v/>
      </c>
      <c r="D9" s="32">
        <f>IFERROR(D$53/D$44,"n/a")</f>
        <v/>
      </c>
      <c r="E9" s="32">
        <f>IFERROR(E$53/E$44,"n/a")</f>
        <v/>
      </c>
      <c r="F9" s="32">
        <f>IFERROR(F$53/F$44,"n/a")</f>
        <v/>
      </c>
      <c r="G9" s="32">
        <f>IFERROR(G$53/G$44,"n/a")</f>
        <v/>
      </c>
      <c r="H9" s="32">
        <f>IFERROR(H$53/H$44,"n/a")</f>
        <v/>
      </c>
      <c r="I9" s="32">
        <f>IFERROR(I$53/I$44,"n/a")</f>
        <v/>
      </c>
    </row>
    <row r="10">
      <c r="A10" s="13" t="inlineStr">
        <is>
          <t>D/E (Nợ vay / Vốn chủ sở hữu)</t>
        </is>
      </c>
      <c r="B10" s="26">
        <f>IFERROR((B$36+B$38)/B$41,"n/a")</f>
        <v/>
      </c>
      <c r="C10" s="26">
        <f>IFERROR((C$36+C$38)/C$41,"n/a")</f>
        <v/>
      </c>
      <c r="D10" s="26">
        <f>IFERROR((D$36+D$38)/D$41,"n/a")</f>
        <v/>
      </c>
      <c r="E10" s="26">
        <f>IFERROR((E$36+E$38)/E$41,"n/a")</f>
        <v/>
      </c>
      <c r="F10" s="26">
        <f>IFERROR((F$36+F$38)/F$41,"n/a")</f>
        <v/>
      </c>
      <c r="G10" s="26">
        <f>IFERROR((G$36+G$38)/G$41,"n/a")</f>
        <v/>
      </c>
      <c r="H10" s="26">
        <f>IFERROR((H$36+H$38)/H$41,"n/a")</f>
        <v/>
      </c>
      <c r="I10" s="26">
        <f>IFERROR((I$36+I$38)/I$41,"n/a")</f>
        <v/>
      </c>
    </row>
    <row r="11">
      <c r="A11" s="15" t="inlineStr">
        <is>
          <t xml:space="preserve">     - Nợ vay dài hạn/Vốn chủ sở hữu</t>
        </is>
      </c>
      <c r="B11" s="26">
        <f>IFERROR(B$38/B$41,"n/a")</f>
        <v/>
      </c>
      <c r="C11" s="26">
        <f>IFERROR(C$38/C$41,"n/a")</f>
        <v/>
      </c>
      <c r="D11" s="26">
        <f>IFERROR(D$38/D$41,"n/a")</f>
        <v/>
      </c>
      <c r="E11" s="26">
        <f>IFERROR(E$38/E$41,"n/a")</f>
        <v/>
      </c>
      <c r="F11" s="26">
        <f>IFERROR(F$38/F$41,"n/a")</f>
        <v/>
      </c>
      <c r="G11" s="26">
        <f>IFERROR(G$38/G$41,"n/a")</f>
        <v/>
      </c>
      <c r="H11" s="26">
        <f>IFERROR(H$38/H$41,"n/a")</f>
        <v/>
      </c>
      <c r="I11" s="26">
        <f>IFERROR(I$38/I$41,"n/a")</f>
        <v/>
      </c>
    </row>
    <row r="12">
      <c r="A12" s="15" t="inlineStr">
        <is>
          <t xml:space="preserve">     - Nợ vay ngắn hạn/Vốn chủ sở hữu</t>
        </is>
      </c>
      <c r="B12" s="26">
        <f>IFERROR(B$36/B$41,"n/a")</f>
        <v/>
      </c>
      <c r="C12" s="26">
        <f>IFERROR(C$36/C$41,"n/a")</f>
        <v/>
      </c>
      <c r="D12" s="26">
        <f>IFERROR(D$36/D$41,"n/a")</f>
        <v/>
      </c>
      <c r="E12" s="26">
        <f>IFERROR(E$36/E$41,"n/a")</f>
        <v/>
      </c>
      <c r="F12" s="26">
        <f>IFERROR(F$36/F$41,"n/a")</f>
        <v/>
      </c>
      <c r="G12" s="26">
        <f>IFERROR(G$36/G$41,"n/a")</f>
        <v/>
      </c>
      <c r="H12" s="26">
        <f>IFERROR(H$36/H$41,"n/a")</f>
        <v/>
      </c>
      <c r="I12" s="26">
        <f>IFERROR(I$36/I$41,"n/a")</f>
        <v/>
      </c>
    </row>
    <row r="13">
      <c r="A13" s="13" t="inlineStr">
        <is>
          <t>Nợ phải trả/Vốn chủ sở hữu</t>
        </is>
      </c>
      <c r="B13" s="26">
        <f>IFERROR(B$40/B$41,"n/a")</f>
        <v/>
      </c>
      <c r="C13" s="26">
        <f>IFERROR(C$40/C$41,"n/a")</f>
        <v/>
      </c>
      <c r="D13" s="26">
        <f>IFERROR(D$40/D$41,"n/a")</f>
        <v/>
      </c>
      <c r="E13" s="26">
        <f>IFERROR(E$40/E$41,"n/a")</f>
        <v/>
      </c>
      <c r="F13" s="26">
        <f>IFERROR(F$40/F$41,"n/a")</f>
        <v/>
      </c>
      <c r="G13" s="26">
        <f>IFERROR(G$40/G$41,"n/a")</f>
        <v/>
      </c>
      <c r="H13" s="26">
        <f>IFERROR(H$40/H$41,"n/a")</f>
        <v/>
      </c>
      <c r="I13" s="26">
        <f>IFERROR(I$40/I$41,"n/a")</f>
        <v/>
      </c>
    </row>
    <row r="14">
      <c r="A14" s="15" t="inlineStr">
        <is>
          <t xml:space="preserve">     - Nợ dài hạn/Vốn chủ sở hữu</t>
        </is>
      </c>
      <c r="B14" s="26">
        <f>IFERROR(B$39/B$41,"n/a")</f>
        <v/>
      </c>
      <c r="C14" s="26">
        <f>IFERROR(C$39/C$41,"n/a")</f>
        <v/>
      </c>
      <c r="D14" s="26">
        <f>IFERROR(D$39/D$41,"n/a")</f>
        <v/>
      </c>
      <c r="E14" s="26">
        <f>IFERROR(E$39/E$41,"n/a")</f>
        <v/>
      </c>
      <c r="F14" s="26">
        <f>IFERROR(F$39/F$41,"n/a")</f>
        <v/>
      </c>
      <c r="G14" s="26">
        <f>IFERROR(G$39/G$41,"n/a")</f>
        <v/>
      </c>
      <c r="H14" s="26">
        <f>IFERROR(H$39/H$41,"n/a")</f>
        <v/>
      </c>
      <c r="I14" s="26">
        <f>IFERROR(I$39/I$41,"n/a")</f>
        <v/>
      </c>
    </row>
    <row r="15">
      <c r="A15" s="15" t="inlineStr">
        <is>
          <t xml:space="preserve">     - Nợ ngắn hạn/Vốn chủ sở hữu</t>
        </is>
      </c>
      <c r="B15" s="26">
        <f>IFERROR(B$37/B$41,"n/a")</f>
        <v/>
      </c>
      <c r="C15" s="26">
        <f>IFERROR(C$37/C$41,"n/a")</f>
        <v/>
      </c>
      <c r="D15" s="26">
        <f>IFERROR(D$37/D$41,"n/a")</f>
        <v/>
      </c>
      <c r="E15" s="26">
        <f>IFERROR(E$37/E$41,"n/a")</f>
        <v/>
      </c>
      <c r="F15" s="26">
        <f>IFERROR(F$37/F$41,"n/a")</f>
        <v/>
      </c>
      <c r="G15" s="26">
        <f>IFERROR(G$37/G$41,"n/a")</f>
        <v/>
      </c>
      <c r="H15" s="26">
        <f>IFERROR(H$37/H$41,"n/a")</f>
        <v/>
      </c>
      <c r="I15" s="26">
        <f>IFERROR(I$37/I$41,"n/a")</f>
        <v/>
      </c>
    </row>
    <row r="16">
      <c r="A16" s="13" t="inlineStr">
        <is>
          <t>Chi phí bán hàng, quản lý/LN gộp</t>
        </is>
      </c>
      <c r="B16" s="32">
        <f>IFERROR((ABS(B$47)+ABS(B$48))/B$46,"n/a")</f>
        <v/>
      </c>
      <c r="C16" s="32">
        <f>IFERROR((ABS(C$47)+ABS(C$48))/C$46,"n/a")</f>
        <v/>
      </c>
      <c r="D16" s="32">
        <f>IFERROR((ABS(D$47)+ABS(D$48))/D$46,"n/a")</f>
        <v/>
      </c>
      <c r="E16" s="32">
        <f>IFERROR((ABS(E$47)+ABS(E$48))/E$46,"n/a")</f>
        <v/>
      </c>
      <c r="F16" s="32">
        <f>IFERROR((ABS(F$47)+ABS(F$48))/F$46,"n/a")</f>
        <v/>
      </c>
      <c r="G16" s="32">
        <f>IFERROR((ABS(G$47)+ABS(G$48))/G$46,"n/a")</f>
        <v/>
      </c>
      <c r="H16" s="32">
        <f>IFERROR((ABS(H$47)+ABS(H$48))/H$46,"n/a")</f>
        <v/>
      </c>
      <c r="I16" s="32">
        <f>IFERROR((ABS(I$47)+ABS(I$48))/I$46,"n/a")</f>
        <v/>
      </c>
    </row>
    <row r="17">
      <c r="A17" s="13" t="inlineStr">
        <is>
          <t>Chi phí lãi vay/LN từ hoạt động kinh doanh</t>
        </is>
      </c>
      <c r="B17" s="32">
        <f>IFERROR(ABS(B$50)/B$49,"n/a")</f>
        <v/>
      </c>
      <c r="C17" s="32">
        <f>IFERROR(ABS(C$50)/C$49,"n/a")</f>
        <v/>
      </c>
      <c r="D17" s="32">
        <f>IFERROR(ABS(D$50)/D$49,"n/a")</f>
        <v/>
      </c>
      <c r="E17" s="32">
        <f>IFERROR(ABS(E$50)/E$49,"n/a")</f>
        <v/>
      </c>
      <c r="F17" s="32">
        <f>IFERROR(ABS(F$50)/F$49,"n/a")</f>
        <v/>
      </c>
      <c r="G17" s="32">
        <f>IFERROR(ABS(G$50)/G$49,"n/a")</f>
        <v/>
      </c>
      <c r="H17" s="32">
        <f>IFERROR(ABS(H$50)/H$49,"n/a")</f>
        <v/>
      </c>
      <c r="I17" s="32">
        <f>IFERROR(ABS(I$50)/I$49,"n/a")</f>
        <v/>
      </c>
    </row>
    <row r="18">
      <c r="A18" s="13" t="inlineStr">
        <is>
          <t>Số ngày phải trả (DPO)</t>
        </is>
      </c>
      <c r="B18" s="27">
        <f>IFERROR(((B$35+#REF!)/2)/ABS(B$45)*365,"n/a")</f>
        <v/>
      </c>
      <c r="C18" s="27">
        <f>IFERROR(((C$35+B$35)/2)/ABS(C$45)*365,"n/a")</f>
        <v/>
      </c>
      <c r="D18" s="27">
        <f>IFERROR(((D$35+C$35)/2)/ABS(D$45)*365,"n/a")</f>
        <v/>
      </c>
      <c r="E18" s="27">
        <f>IFERROR(((E$35+D$35)/2)/ABS(E$45)*365,"n/a")</f>
        <v/>
      </c>
      <c r="F18" s="27">
        <f>IFERROR(((F$35+E$35)/2)/ABS(F$45)*365,"n/a")</f>
        <v/>
      </c>
      <c r="G18" s="27">
        <f>IFERROR(((G$35+F$35)/2)/ABS(G$45)*365,"n/a")</f>
        <v/>
      </c>
      <c r="H18" s="27">
        <f>IFERROR(((H$35+G$35)/2)/ABS(H$45)*365,"n/a")</f>
        <v/>
      </c>
      <c r="I18" s="27">
        <f>IFERROR(((I$35+H$35)/2)/ABS(I$45)*365,"n/a")</f>
        <v/>
      </c>
    </row>
    <row r="19">
      <c r="A19" s="13" t="inlineStr">
        <is>
          <t>Số ngày phải thu (DSO)</t>
        </is>
      </c>
      <c r="B19" s="27">
        <f>IFERROR(((B$29+#REF!)/2)/B$44*365,"n/a")</f>
        <v/>
      </c>
      <c r="C19" s="27">
        <f>IFERROR(((C$29+B$29)/2)/C$44*365,"n/a")</f>
        <v/>
      </c>
      <c r="D19" s="27">
        <f>IFERROR(((D$29+C$29)/2)/D$44*365,"n/a")</f>
        <v/>
      </c>
      <c r="E19" s="27">
        <f>IFERROR(((E$29+D$29)/2)/E$44*365,"n/a")</f>
        <v/>
      </c>
      <c r="F19" s="27">
        <f>IFERROR(((F$29+E$29)/2)/F$44*365,"n/a")</f>
        <v/>
      </c>
      <c r="G19" s="27">
        <f>IFERROR(((G$29+F$29)/2)/G$44*365,"n/a")</f>
        <v/>
      </c>
      <c r="H19" s="27">
        <f>IFERROR(((H$29+G$29)/2)/H$44*365,"n/a")</f>
        <v/>
      </c>
      <c r="I19" s="27">
        <f>IFERROR(((I$29+H$29)/2)/I$44*365,"n/a")</f>
        <v/>
      </c>
    </row>
    <row r="20">
      <c r="A20" s="13" t="inlineStr">
        <is>
          <t>Số ngày tồn kho (DIO)</t>
        </is>
      </c>
      <c r="B20" s="27">
        <f>IFERROR(((B$30+#REF!)/2)/ABS(B$45)*365,"n/a")</f>
        <v/>
      </c>
      <c r="C20" s="27">
        <f>IFERROR(((C$30+B$30)/2)/ABS(C$45)*365,"n/a")</f>
        <v/>
      </c>
      <c r="D20" s="27">
        <f>IFERROR(((D$30+C$30)/2)/ABS(D$45)*365,"n/a")</f>
        <v/>
      </c>
      <c r="E20" s="27">
        <f>IFERROR(((E$30+D$30)/2)/ABS(E$45)*365,"n/a")</f>
        <v/>
      </c>
      <c r="F20" s="27">
        <f>IFERROR(((F$30+E$30)/2)/ABS(F$45)*365,"n/a")</f>
        <v/>
      </c>
      <c r="G20" s="27">
        <f>IFERROR(((G$30+F$30)/2)/ABS(G$45)*365,"n/a")</f>
        <v/>
      </c>
      <c r="H20" s="27">
        <f>IFERROR(((H$30+G$30)/2)/ABS(H$45)*365,"n/a")</f>
        <v/>
      </c>
      <c r="I20" s="27">
        <f>IFERROR(((I$30+H$30)/2)/ABS(I$45)*365,"n/a")</f>
        <v/>
      </c>
    </row>
    <row r="21">
      <c r="A21" s="13" t="inlineStr">
        <is>
          <t>Tiền và tương đương tiền/Tài sản</t>
        </is>
      </c>
      <c r="B21" s="32">
        <f>IFERROR(B$28/B$33,"n/a")</f>
        <v/>
      </c>
      <c r="C21" s="32">
        <f>IFERROR(C$28/C$33,"n/a")</f>
        <v/>
      </c>
      <c r="D21" s="32">
        <f>IFERROR(D$28/D$33,"n/a")</f>
        <v/>
      </c>
      <c r="E21" s="32">
        <f>IFERROR(E$28/E$33,"n/a")</f>
        <v/>
      </c>
      <c r="F21" s="32">
        <f>IFERROR(F$28/F$33,"n/a")</f>
        <v/>
      </c>
      <c r="G21" s="32">
        <f>IFERROR(G$28/G$33,"n/a")</f>
        <v/>
      </c>
      <c r="H21" s="32">
        <f>IFERROR(H$28/H$33,"n/a")</f>
        <v/>
      </c>
      <c r="I21" s="32">
        <f>IFERROR(I$28/I$33,"n/a")</f>
        <v/>
      </c>
    </row>
    <row r="22">
      <c r="A22" s="13" t="inlineStr">
        <is>
          <t>Hàng tồn kho/Tài sản</t>
        </is>
      </c>
      <c r="B22" s="32">
        <f>IFERROR(B$30/B$33,"n/a")</f>
        <v/>
      </c>
      <c r="C22" s="32">
        <f>IFERROR(C$30/C$33,"n/a")</f>
        <v/>
      </c>
      <c r="D22" s="32">
        <f>IFERROR(D$30/D$33,"n/a")</f>
        <v/>
      </c>
      <c r="E22" s="32">
        <f>IFERROR(E$30/E$33,"n/a")</f>
        <v/>
      </c>
      <c r="F22" s="32">
        <f>IFERROR(F$30/F$33,"n/a")</f>
        <v/>
      </c>
      <c r="G22" s="32">
        <f>IFERROR(G$30/G$33,"n/a")</f>
        <v/>
      </c>
      <c r="H22" s="32">
        <f>IFERROR(H$30/H$33,"n/a")</f>
        <v/>
      </c>
      <c r="I22" s="32">
        <f>IFERROR(I$30/I$33,"n/a")</f>
        <v/>
      </c>
    </row>
    <row r="24">
      <c r="A24" s="2" t="inlineStr">
        <is>
          <t>II. DỮ LIỆU TRÍCH XUẤT (tự động dò theo tên khoản mục)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4" t="inlineStr">
        <is>
          <t>Khoản mục</t>
        </is>
      </c>
      <c r="B25" s="5">
        <f>balance_sheet!B1</f>
        <v/>
      </c>
      <c r="C25" s="5">
        <f>balance_sheet!C1</f>
        <v/>
      </c>
      <c r="D25" s="5">
        <f>balance_sheet!D1</f>
        <v/>
      </c>
      <c r="E25" s="5">
        <f>balance_sheet!E1</f>
        <v/>
      </c>
      <c r="F25" s="5">
        <f>balance_sheet!F1</f>
        <v/>
      </c>
      <c r="G25" s="5">
        <f>balance_sheet!G1</f>
        <v/>
      </c>
      <c r="H25" s="5">
        <f>balance_sheet!H1</f>
        <v/>
      </c>
      <c r="I25" s="5">
        <f>balance_sheet!I1</f>
        <v/>
      </c>
    </row>
    <row r="26">
      <c r="A26" s="4" t="inlineStr">
        <is>
          <t>CĐKT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4" t="inlineStr">
        <is>
          <t>Tài sản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6" t="inlineStr">
        <is>
          <t>Tiền và tương đương tiền</t>
        </is>
      </c>
      <c r="B28" s="33">
        <f>IFERROR(INDEX(balance_sheet!$B:$XFD,MATCH("Tiền và tương đương tiền",balance_sheet!$A:$A,0),MATCH(B$25,balance_sheet!$B$1:$XFD$1,0)),"")</f>
        <v/>
      </c>
      <c r="C28" s="33">
        <f>IFERROR(INDEX(balance_sheet!$B:$XFD,MATCH("Tiền và tương đương tiền",balance_sheet!$A:$A,0),MATCH(C$25,balance_sheet!$B$1:$XFD$1,0)),"")</f>
        <v/>
      </c>
      <c r="D28" s="33">
        <f>IFERROR(INDEX(balance_sheet!$B:$XFD,MATCH("Tiền và tương đương tiền",balance_sheet!$A:$A,0),MATCH(D$25,balance_sheet!$B$1:$XFD$1,0)),"")</f>
        <v/>
      </c>
      <c r="E28" s="33">
        <f>IFERROR(INDEX(balance_sheet!$B:$XFD,MATCH("Tiền và tương đương tiền",balance_sheet!$A:$A,0),MATCH(E$25,balance_sheet!$B$1:$XFD$1,0)),"")</f>
        <v/>
      </c>
      <c r="F28" s="33">
        <f>IFERROR(INDEX(balance_sheet!$B:$XFD,MATCH("Tiền và tương đương tiền",balance_sheet!$A:$A,0),MATCH(F$25,balance_sheet!$B$1:$XFD$1,0)),"")</f>
        <v/>
      </c>
      <c r="G28" s="33">
        <f>IFERROR(INDEX(balance_sheet!$B:$XFD,MATCH("Tiền và tương đương tiền",balance_sheet!$A:$A,0),MATCH(G$25,balance_sheet!$B$1:$XFD$1,0)),"")</f>
        <v/>
      </c>
      <c r="H28" s="33">
        <f>IFERROR(INDEX(balance_sheet!$B:$XFD,MATCH("Tiền và tương đương tiền",balance_sheet!$A:$A,0),MATCH(H$25,balance_sheet!$B$1:$XFD$1,0)),"")</f>
        <v/>
      </c>
      <c r="I28" s="33">
        <f>IFERROR(INDEX(balance_sheet!$B:$XFD,MATCH("Tiền và tương đương tiền",balance_sheet!$A:$A,0),MATCH(I$25,balance_sheet!$B$1:$XFD$1,0)),"")</f>
        <v/>
      </c>
    </row>
    <row r="29">
      <c r="A29" s="6" t="inlineStr">
        <is>
          <t>Phải thu khách hàng</t>
        </is>
      </c>
      <c r="B29" s="33">
        <f>IFERROR(INDEX(balance_sheet!$B:$XFD,MATCH("Phải thu khách hàng",balance_sheet!$A:$A,0),MATCH(B$25,balance_sheet!$B$1:$XFD$1,0)),"")</f>
        <v/>
      </c>
      <c r="C29" s="33">
        <f>IFERROR(INDEX(balance_sheet!$B:$XFD,MATCH("Phải thu khách hàng",balance_sheet!$A:$A,0),MATCH(C$25,balance_sheet!$B$1:$XFD$1,0)),"")</f>
        <v/>
      </c>
      <c r="D29" s="33">
        <f>IFERROR(INDEX(balance_sheet!$B:$XFD,MATCH("Phải thu khách hàng",balance_sheet!$A:$A,0),MATCH(D$25,balance_sheet!$B$1:$XFD$1,0)),"")</f>
        <v/>
      </c>
      <c r="E29" s="33">
        <f>IFERROR(INDEX(balance_sheet!$B:$XFD,MATCH("Phải thu khách hàng",balance_sheet!$A:$A,0),MATCH(E$25,balance_sheet!$B$1:$XFD$1,0)),"")</f>
        <v/>
      </c>
      <c r="F29" s="33">
        <f>IFERROR(INDEX(balance_sheet!$B:$XFD,MATCH("Phải thu khách hàng",balance_sheet!$A:$A,0),MATCH(F$25,balance_sheet!$B$1:$XFD$1,0)),"")</f>
        <v/>
      </c>
      <c r="G29" s="33">
        <f>IFERROR(INDEX(balance_sheet!$B:$XFD,MATCH("Phải thu khách hàng",balance_sheet!$A:$A,0),MATCH(G$25,balance_sheet!$B$1:$XFD$1,0)),"")</f>
        <v/>
      </c>
      <c r="H29" s="33">
        <f>IFERROR(INDEX(balance_sheet!$B:$XFD,MATCH("Phải thu khách hàng",balance_sheet!$A:$A,0),MATCH(H$25,balance_sheet!$B$1:$XFD$1,0)),"")</f>
        <v/>
      </c>
      <c r="I29" s="33">
        <f>IFERROR(INDEX(balance_sheet!$B:$XFD,MATCH("Phải thu khách hàng",balance_sheet!$A:$A,0),MATCH(I$25,balance_sheet!$B$1:$XFD$1,0)),"")</f>
        <v/>
      </c>
    </row>
    <row r="30">
      <c r="A30" s="6" t="inlineStr">
        <is>
          <t>Hàng tồn kho, ròng</t>
        </is>
      </c>
      <c r="B30" s="33">
        <f>IFERROR(INDEX(balance_sheet!$B:$XFD,MATCH("Hàng tồn kho, ròng",balance_sheet!$A:$A,0),MATCH(B$25,balance_sheet!$B$1:$XFD$1,0)),"")</f>
        <v/>
      </c>
      <c r="C30" s="33">
        <f>IFERROR(INDEX(balance_sheet!$B:$XFD,MATCH("Hàng tồn kho, ròng",balance_sheet!$A:$A,0),MATCH(C$25,balance_sheet!$B$1:$XFD$1,0)),"")</f>
        <v/>
      </c>
      <c r="D30" s="33">
        <f>IFERROR(INDEX(balance_sheet!$B:$XFD,MATCH("Hàng tồn kho, ròng",balance_sheet!$A:$A,0),MATCH(D$25,balance_sheet!$B$1:$XFD$1,0)),"")</f>
        <v/>
      </c>
      <c r="E30" s="33">
        <f>IFERROR(INDEX(balance_sheet!$B:$XFD,MATCH("Hàng tồn kho, ròng",balance_sheet!$A:$A,0),MATCH(E$25,balance_sheet!$B$1:$XFD$1,0)),"")</f>
        <v/>
      </c>
      <c r="F30" s="33">
        <f>IFERROR(INDEX(balance_sheet!$B:$XFD,MATCH("Hàng tồn kho, ròng",balance_sheet!$A:$A,0),MATCH(F$25,balance_sheet!$B$1:$XFD$1,0)),"")</f>
        <v/>
      </c>
      <c r="G30" s="33">
        <f>IFERROR(INDEX(balance_sheet!$B:$XFD,MATCH("Hàng tồn kho, ròng",balance_sheet!$A:$A,0),MATCH(G$25,balance_sheet!$B$1:$XFD$1,0)),"")</f>
        <v/>
      </c>
      <c r="H30" s="33">
        <f>IFERROR(INDEX(balance_sheet!$B:$XFD,MATCH("Hàng tồn kho, ròng",balance_sheet!$A:$A,0),MATCH(H$25,balance_sheet!$B$1:$XFD$1,0)),"")</f>
        <v/>
      </c>
      <c r="I30" s="33">
        <f>IFERROR(INDEX(balance_sheet!$B:$XFD,MATCH("Hàng tồn kho, ròng",balance_sheet!$A:$A,0),MATCH(I$25,balance_sheet!$B$1:$XFD$1,0)),"")</f>
        <v/>
      </c>
    </row>
    <row r="31">
      <c r="A31" s="6" t="inlineStr">
        <is>
          <t>TÀI SẢN NGẮN HẠN</t>
        </is>
      </c>
      <c r="B31" s="33">
        <f>IFERROR(INDEX(balance_sheet!$B:$XFD,MATCH("TÀI SẢN NGẮN HẠN",balance_sheet!$A:$A,0),MATCH(B$25,balance_sheet!$B$1:$XFD$1,0)),"")</f>
        <v/>
      </c>
      <c r="C31" s="33">
        <f>IFERROR(INDEX(balance_sheet!$B:$XFD,MATCH("TÀI SẢN NGẮN HẠN",balance_sheet!$A:$A,0),MATCH(C$25,balance_sheet!$B$1:$XFD$1,0)),"")</f>
        <v/>
      </c>
      <c r="D31" s="33">
        <f>IFERROR(INDEX(balance_sheet!$B:$XFD,MATCH("TÀI SẢN NGẮN HẠN",balance_sheet!$A:$A,0),MATCH(D$25,balance_sheet!$B$1:$XFD$1,0)),"")</f>
        <v/>
      </c>
      <c r="E31" s="33">
        <f>IFERROR(INDEX(balance_sheet!$B:$XFD,MATCH("TÀI SẢN NGẮN HẠN",balance_sheet!$A:$A,0),MATCH(E$25,balance_sheet!$B$1:$XFD$1,0)),"")</f>
        <v/>
      </c>
      <c r="F31" s="33">
        <f>IFERROR(INDEX(balance_sheet!$B:$XFD,MATCH("TÀI SẢN NGẮN HẠN",balance_sheet!$A:$A,0),MATCH(F$25,balance_sheet!$B$1:$XFD$1,0)),"")</f>
        <v/>
      </c>
      <c r="G31" s="33">
        <f>IFERROR(INDEX(balance_sheet!$B:$XFD,MATCH("TÀI SẢN NGẮN HẠN",balance_sheet!$A:$A,0),MATCH(G$25,balance_sheet!$B$1:$XFD$1,0)),"")</f>
        <v/>
      </c>
      <c r="H31" s="33">
        <f>IFERROR(INDEX(balance_sheet!$B:$XFD,MATCH("TÀI SẢN NGẮN HẠN",balance_sheet!$A:$A,0),MATCH(H$25,balance_sheet!$B$1:$XFD$1,0)),"")</f>
        <v/>
      </c>
      <c r="I31" s="33">
        <f>IFERROR(INDEX(balance_sheet!$B:$XFD,MATCH("TÀI SẢN NGẮN HẠN",balance_sheet!$A:$A,0),MATCH(I$25,balance_sheet!$B$1:$XFD$1,0)),"")</f>
        <v/>
      </c>
    </row>
    <row r="32">
      <c r="A32" s="6" t="inlineStr">
        <is>
          <t>GTCL tài sản cố định vô hình</t>
        </is>
      </c>
      <c r="B32" s="33">
        <f>IFERROR(INDEX(balance_sheet!$B:$XFD,MATCH("GTCL tài sản cố định vô hình",balance_sheet!$A:$A,0),MATCH(B$25,balance_sheet!$B$1:$XFD$1,0)),"")</f>
        <v/>
      </c>
      <c r="C32" s="33">
        <f>IFERROR(INDEX(balance_sheet!$B:$XFD,MATCH("GTCL tài sản cố định vô hình",balance_sheet!$A:$A,0),MATCH(C$25,balance_sheet!$B$1:$XFD$1,0)),"")</f>
        <v/>
      </c>
      <c r="D32" s="33">
        <f>IFERROR(INDEX(balance_sheet!$B:$XFD,MATCH("GTCL tài sản cố định vô hình",balance_sheet!$A:$A,0),MATCH(D$25,balance_sheet!$B$1:$XFD$1,0)),"")</f>
        <v/>
      </c>
      <c r="E32" s="33">
        <f>IFERROR(INDEX(balance_sheet!$B:$XFD,MATCH("GTCL tài sản cố định vô hình",balance_sheet!$A:$A,0),MATCH(E$25,balance_sheet!$B$1:$XFD$1,0)),"")</f>
        <v/>
      </c>
      <c r="F32" s="33">
        <f>IFERROR(INDEX(balance_sheet!$B:$XFD,MATCH("GTCL tài sản cố định vô hình",balance_sheet!$A:$A,0),MATCH(F$25,balance_sheet!$B$1:$XFD$1,0)),"")</f>
        <v/>
      </c>
      <c r="G32" s="33">
        <f>IFERROR(INDEX(balance_sheet!$B:$XFD,MATCH("GTCL tài sản cố định vô hình",balance_sheet!$A:$A,0),MATCH(G$25,balance_sheet!$B$1:$XFD$1,0)),"")</f>
        <v/>
      </c>
      <c r="H32" s="33">
        <f>IFERROR(INDEX(balance_sheet!$B:$XFD,MATCH("GTCL tài sản cố định vô hình",balance_sheet!$A:$A,0),MATCH(H$25,balance_sheet!$B$1:$XFD$1,0)),"")</f>
        <v/>
      </c>
      <c r="I32" s="33">
        <f>IFERROR(INDEX(balance_sheet!$B:$XFD,MATCH("GTCL tài sản cố định vô hình",balance_sheet!$A:$A,0),MATCH(I$25,balance_sheet!$B$1:$XFD$1,0)),"")</f>
        <v/>
      </c>
    </row>
    <row r="33">
      <c r="A33" s="6" t="inlineStr">
        <is>
          <t>TỔNG CỘNG TÀI SẢN</t>
        </is>
      </c>
      <c r="B33" s="33">
        <f>IFERROR(INDEX(balance_sheet!$B:$XFD,MATCH("TỔNG CỘNG TÀI SẢN",balance_sheet!$A:$A,0),MATCH(B$25,balance_sheet!$B$1:$XFD$1,0)),"")</f>
        <v/>
      </c>
      <c r="C33" s="33">
        <f>IFERROR(INDEX(balance_sheet!$B:$XFD,MATCH("TỔNG CỘNG TÀI SẢN",balance_sheet!$A:$A,0),MATCH(C$25,balance_sheet!$B$1:$XFD$1,0)),"")</f>
        <v/>
      </c>
      <c r="D33" s="33">
        <f>IFERROR(INDEX(balance_sheet!$B:$XFD,MATCH("TỔNG CỘNG TÀI SẢN",balance_sheet!$A:$A,0),MATCH(D$25,balance_sheet!$B$1:$XFD$1,0)),"")</f>
        <v/>
      </c>
      <c r="E33" s="33">
        <f>IFERROR(INDEX(balance_sheet!$B:$XFD,MATCH("TỔNG CỘNG TÀI SẢN",balance_sheet!$A:$A,0),MATCH(E$25,balance_sheet!$B$1:$XFD$1,0)),"")</f>
        <v/>
      </c>
      <c r="F33" s="33">
        <f>IFERROR(INDEX(balance_sheet!$B:$XFD,MATCH("TỔNG CỘNG TÀI SẢN",balance_sheet!$A:$A,0),MATCH(F$25,balance_sheet!$B$1:$XFD$1,0)),"")</f>
        <v/>
      </c>
      <c r="G33" s="33">
        <f>IFERROR(INDEX(balance_sheet!$B:$XFD,MATCH("TỔNG CỘNG TÀI SẢN",balance_sheet!$A:$A,0),MATCH(G$25,balance_sheet!$B$1:$XFD$1,0)),"")</f>
        <v/>
      </c>
      <c r="H33" s="33">
        <f>IFERROR(INDEX(balance_sheet!$B:$XFD,MATCH("TỔNG CỘNG TÀI SẢN",balance_sheet!$A:$A,0),MATCH(H$25,balance_sheet!$B$1:$XFD$1,0)),"")</f>
        <v/>
      </c>
      <c r="I33" s="33">
        <f>IFERROR(INDEX(balance_sheet!$B:$XFD,MATCH("TỔNG CỘNG TÀI SẢN",balance_sheet!$A:$A,0),MATCH(I$25,balance_sheet!$B$1:$XFD$1,0)),"")</f>
        <v/>
      </c>
    </row>
    <row r="34">
      <c r="A34" s="4" t="inlineStr">
        <is>
          <t>Nguồn vốn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</row>
    <row r="35">
      <c r="A35" s="6" t="inlineStr">
        <is>
          <t>Phải trả người bán</t>
        </is>
      </c>
      <c r="B35" s="33">
        <f>IFERROR(INDEX(balance_sheet!$B:$XFD,MATCH("Phải trả người bán",balance_sheet!$A:$A,0),MATCH(B$25,balance_sheet!$B$1:$XFD$1,0)),"")</f>
        <v/>
      </c>
      <c r="C35" s="33">
        <f>IFERROR(INDEX(balance_sheet!$B:$XFD,MATCH("Phải trả người bán",balance_sheet!$A:$A,0),MATCH(C$25,balance_sheet!$B$1:$XFD$1,0)),"")</f>
        <v/>
      </c>
      <c r="D35" s="33">
        <f>IFERROR(INDEX(balance_sheet!$B:$XFD,MATCH("Phải trả người bán",balance_sheet!$A:$A,0),MATCH(D$25,balance_sheet!$B$1:$XFD$1,0)),"")</f>
        <v/>
      </c>
      <c r="E35" s="33">
        <f>IFERROR(INDEX(balance_sheet!$B:$XFD,MATCH("Phải trả người bán",balance_sheet!$A:$A,0),MATCH(E$25,balance_sheet!$B$1:$XFD$1,0)),"")</f>
        <v/>
      </c>
      <c r="F35" s="33">
        <f>IFERROR(INDEX(balance_sheet!$B:$XFD,MATCH("Phải trả người bán",balance_sheet!$A:$A,0),MATCH(F$25,balance_sheet!$B$1:$XFD$1,0)),"")</f>
        <v/>
      </c>
      <c r="G35" s="33">
        <f>IFERROR(INDEX(balance_sheet!$B:$XFD,MATCH("Phải trả người bán",balance_sheet!$A:$A,0),MATCH(G$25,balance_sheet!$B$1:$XFD$1,0)),"")</f>
        <v/>
      </c>
      <c r="H35" s="33">
        <f>IFERROR(INDEX(balance_sheet!$B:$XFD,MATCH("Phải trả người bán",balance_sheet!$A:$A,0),MATCH(H$25,balance_sheet!$B$1:$XFD$1,0)),"")</f>
        <v/>
      </c>
      <c r="I35" s="33">
        <f>IFERROR(INDEX(balance_sheet!$B:$XFD,MATCH("Phải trả người bán",balance_sheet!$A:$A,0),MATCH(I$25,balance_sheet!$B$1:$XFD$1,0)),"")</f>
        <v/>
      </c>
    </row>
    <row r="36">
      <c r="A36" s="6" t="inlineStr">
        <is>
          <t>Vay ngắn hạn</t>
        </is>
      </c>
      <c r="B36" s="33">
        <f>IFERROR(INDEX(balance_sheet!$B:$XFD,MATCH("Vay ngắn hạn",balance_sheet!$A:$A,0),MATCH(B$25,balance_sheet!$B$1:$XFD$1,0)),"")</f>
        <v/>
      </c>
      <c r="C36" s="33">
        <f>IFERROR(INDEX(balance_sheet!$B:$XFD,MATCH("Vay ngắn hạn",balance_sheet!$A:$A,0),MATCH(C$25,balance_sheet!$B$1:$XFD$1,0)),"")</f>
        <v/>
      </c>
      <c r="D36" s="33">
        <f>IFERROR(INDEX(balance_sheet!$B:$XFD,MATCH("Vay ngắn hạn",balance_sheet!$A:$A,0),MATCH(D$25,balance_sheet!$B$1:$XFD$1,0)),"")</f>
        <v/>
      </c>
      <c r="E36" s="33">
        <f>IFERROR(INDEX(balance_sheet!$B:$XFD,MATCH("Vay ngắn hạn",balance_sheet!$A:$A,0),MATCH(E$25,balance_sheet!$B$1:$XFD$1,0)),"")</f>
        <v/>
      </c>
      <c r="F36" s="33">
        <f>IFERROR(INDEX(balance_sheet!$B:$XFD,MATCH("Vay ngắn hạn",balance_sheet!$A:$A,0),MATCH(F$25,balance_sheet!$B$1:$XFD$1,0)),"")</f>
        <v/>
      </c>
      <c r="G36" s="33">
        <f>IFERROR(INDEX(balance_sheet!$B:$XFD,MATCH("Vay ngắn hạn",balance_sheet!$A:$A,0),MATCH(G$25,balance_sheet!$B$1:$XFD$1,0)),"")</f>
        <v/>
      </c>
      <c r="H36" s="33">
        <f>IFERROR(INDEX(balance_sheet!$B:$XFD,MATCH("Vay ngắn hạn",balance_sheet!$A:$A,0),MATCH(H$25,balance_sheet!$B$1:$XFD$1,0)),"")</f>
        <v/>
      </c>
      <c r="I36" s="33">
        <f>IFERROR(INDEX(balance_sheet!$B:$XFD,MATCH("Vay ngắn hạn",balance_sheet!$A:$A,0),MATCH(I$25,balance_sheet!$B$1:$XFD$1,0)),"")</f>
        <v/>
      </c>
    </row>
    <row r="37">
      <c r="A37" s="6" t="inlineStr">
        <is>
          <t>Nợ ngắn hạn</t>
        </is>
      </c>
      <c r="B37" s="33">
        <f>IFERROR(INDEX(balance_sheet!$B:$XFD,MATCH("Nợ ngắn hạn",balance_sheet!$A:$A,0),MATCH(B$25,balance_sheet!$B$1:$XFD$1,0)),"")</f>
        <v/>
      </c>
      <c r="C37" s="33">
        <f>IFERROR(INDEX(balance_sheet!$B:$XFD,MATCH("Nợ ngắn hạn",balance_sheet!$A:$A,0),MATCH(C$25,balance_sheet!$B$1:$XFD$1,0)),"")</f>
        <v/>
      </c>
      <c r="D37" s="33">
        <f>IFERROR(INDEX(balance_sheet!$B:$XFD,MATCH("Nợ ngắn hạn",balance_sheet!$A:$A,0),MATCH(D$25,balance_sheet!$B$1:$XFD$1,0)),"")</f>
        <v/>
      </c>
      <c r="E37" s="33">
        <f>IFERROR(INDEX(balance_sheet!$B:$XFD,MATCH("Nợ ngắn hạn",balance_sheet!$A:$A,0),MATCH(E$25,balance_sheet!$B$1:$XFD$1,0)),"")</f>
        <v/>
      </c>
      <c r="F37" s="33">
        <f>IFERROR(INDEX(balance_sheet!$B:$XFD,MATCH("Nợ ngắn hạn",balance_sheet!$A:$A,0),MATCH(F$25,balance_sheet!$B$1:$XFD$1,0)),"")</f>
        <v/>
      </c>
      <c r="G37" s="33">
        <f>IFERROR(INDEX(balance_sheet!$B:$XFD,MATCH("Nợ ngắn hạn",balance_sheet!$A:$A,0),MATCH(G$25,balance_sheet!$B$1:$XFD$1,0)),"")</f>
        <v/>
      </c>
      <c r="H37" s="33">
        <f>IFERROR(INDEX(balance_sheet!$B:$XFD,MATCH("Nợ ngắn hạn",balance_sheet!$A:$A,0),MATCH(H$25,balance_sheet!$B$1:$XFD$1,0)),"")</f>
        <v/>
      </c>
      <c r="I37" s="33">
        <f>IFERROR(INDEX(balance_sheet!$B:$XFD,MATCH("Nợ ngắn hạn",balance_sheet!$A:$A,0),MATCH(I$25,balance_sheet!$B$1:$XFD$1,0)),"")</f>
        <v/>
      </c>
    </row>
    <row r="38">
      <c r="A38" s="6" t="inlineStr">
        <is>
          <t>Vay dài hạn</t>
        </is>
      </c>
      <c r="B38" s="33">
        <f>IFERROR(INDEX(balance_sheet!$B:$XFD,MATCH("Vay dài hạn",balance_sheet!$A:$A,0),MATCH(B$25,balance_sheet!$B$1:$XFD$1,0)),"")</f>
        <v/>
      </c>
      <c r="C38" s="33">
        <f>IFERROR(INDEX(balance_sheet!$B:$XFD,MATCH("Vay dài hạn",balance_sheet!$A:$A,0),MATCH(C$25,balance_sheet!$B$1:$XFD$1,0)),"")</f>
        <v/>
      </c>
      <c r="D38" s="33">
        <f>IFERROR(INDEX(balance_sheet!$B:$XFD,MATCH("Vay dài hạn",balance_sheet!$A:$A,0),MATCH(D$25,balance_sheet!$B$1:$XFD$1,0)),"")</f>
        <v/>
      </c>
      <c r="E38" s="33">
        <f>IFERROR(INDEX(balance_sheet!$B:$XFD,MATCH("Vay dài hạn",balance_sheet!$A:$A,0),MATCH(E$25,balance_sheet!$B$1:$XFD$1,0)),"")</f>
        <v/>
      </c>
      <c r="F38" s="33">
        <f>IFERROR(INDEX(balance_sheet!$B:$XFD,MATCH("Vay dài hạn",balance_sheet!$A:$A,0),MATCH(F$25,balance_sheet!$B$1:$XFD$1,0)),"")</f>
        <v/>
      </c>
      <c r="G38" s="33">
        <f>IFERROR(INDEX(balance_sheet!$B:$XFD,MATCH("Vay dài hạn",balance_sheet!$A:$A,0),MATCH(G$25,balance_sheet!$B$1:$XFD$1,0)),"")</f>
        <v/>
      </c>
      <c r="H38" s="33">
        <f>IFERROR(INDEX(balance_sheet!$B:$XFD,MATCH("Vay dài hạn",balance_sheet!$A:$A,0),MATCH(H$25,balance_sheet!$B$1:$XFD$1,0)),"")</f>
        <v/>
      </c>
      <c r="I38" s="33">
        <f>IFERROR(INDEX(balance_sheet!$B:$XFD,MATCH("Vay dài hạn",balance_sheet!$A:$A,0),MATCH(I$25,balance_sheet!$B$1:$XFD$1,0)),"")</f>
        <v/>
      </c>
    </row>
    <row r="39">
      <c r="A39" s="6" t="inlineStr">
        <is>
          <t>Nợ dài hạn</t>
        </is>
      </c>
      <c r="B39" s="33">
        <f>IFERROR(INDEX(balance_sheet!$B:$XFD,MATCH("Nợ dài hạn",balance_sheet!$A:$A,0),MATCH(B$25,balance_sheet!$B$1:$XFD$1,0)),"")</f>
        <v/>
      </c>
      <c r="C39" s="33">
        <f>IFERROR(INDEX(balance_sheet!$B:$XFD,MATCH("Nợ dài hạn",balance_sheet!$A:$A,0),MATCH(C$25,balance_sheet!$B$1:$XFD$1,0)),"")</f>
        <v/>
      </c>
      <c r="D39" s="33">
        <f>IFERROR(INDEX(balance_sheet!$B:$XFD,MATCH("Nợ dài hạn",balance_sheet!$A:$A,0),MATCH(D$25,balance_sheet!$B$1:$XFD$1,0)),"")</f>
        <v/>
      </c>
      <c r="E39" s="33">
        <f>IFERROR(INDEX(balance_sheet!$B:$XFD,MATCH("Nợ dài hạn",balance_sheet!$A:$A,0),MATCH(E$25,balance_sheet!$B$1:$XFD$1,0)),"")</f>
        <v/>
      </c>
      <c r="F39" s="33">
        <f>IFERROR(INDEX(balance_sheet!$B:$XFD,MATCH("Nợ dài hạn",balance_sheet!$A:$A,0),MATCH(F$25,balance_sheet!$B$1:$XFD$1,0)),"")</f>
        <v/>
      </c>
      <c r="G39" s="33">
        <f>IFERROR(INDEX(balance_sheet!$B:$XFD,MATCH("Nợ dài hạn",balance_sheet!$A:$A,0),MATCH(G$25,balance_sheet!$B$1:$XFD$1,0)),"")</f>
        <v/>
      </c>
      <c r="H39" s="33">
        <f>IFERROR(INDEX(balance_sheet!$B:$XFD,MATCH("Nợ dài hạn",balance_sheet!$A:$A,0),MATCH(H$25,balance_sheet!$B$1:$XFD$1,0)),"")</f>
        <v/>
      </c>
      <c r="I39" s="33">
        <f>IFERROR(INDEX(balance_sheet!$B:$XFD,MATCH("Nợ dài hạn",balance_sheet!$A:$A,0),MATCH(I$25,balance_sheet!$B$1:$XFD$1,0)),"")</f>
        <v/>
      </c>
    </row>
    <row r="40">
      <c r="A40" s="6" t="inlineStr">
        <is>
          <t>NỢ PHẢI TRẢ</t>
        </is>
      </c>
      <c r="B40" s="33">
        <f>IFERROR(INDEX(balance_sheet!$B:$XFD,MATCH("NỢ PHẢI TRẢ",balance_sheet!$A:$A,0),MATCH(B$25,balance_sheet!$B$1:$XFD$1,0)),"")</f>
        <v/>
      </c>
      <c r="C40" s="33">
        <f>IFERROR(INDEX(balance_sheet!$B:$XFD,MATCH("NỢ PHẢI TRẢ",balance_sheet!$A:$A,0),MATCH(C$25,balance_sheet!$B$1:$XFD$1,0)),"")</f>
        <v/>
      </c>
      <c r="D40" s="33">
        <f>IFERROR(INDEX(balance_sheet!$B:$XFD,MATCH("NỢ PHẢI TRẢ",balance_sheet!$A:$A,0),MATCH(D$25,balance_sheet!$B$1:$XFD$1,0)),"")</f>
        <v/>
      </c>
      <c r="E40" s="33">
        <f>IFERROR(INDEX(balance_sheet!$B:$XFD,MATCH("NỢ PHẢI TRẢ",balance_sheet!$A:$A,0),MATCH(E$25,balance_sheet!$B$1:$XFD$1,0)),"")</f>
        <v/>
      </c>
      <c r="F40" s="33">
        <f>IFERROR(INDEX(balance_sheet!$B:$XFD,MATCH("NỢ PHẢI TRẢ",balance_sheet!$A:$A,0),MATCH(F$25,balance_sheet!$B$1:$XFD$1,0)),"")</f>
        <v/>
      </c>
      <c r="G40" s="33">
        <f>IFERROR(INDEX(balance_sheet!$B:$XFD,MATCH("NỢ PHẢI TRẢ",balance_sheet!$A:$A,0),MATCH(G$25,balance_sheet!$B$1:$XFD$1,0)),"")</f>
        <v/>
      </c>
      <c r="H40" s="33">
        <f>IFERROR(INDEX(balance_sheet!$B:$XFD,MATCH("NỢ PHẢI TRẢ",balance_sheet!$A:$A,0),MATCH(H$25,balance_sheet!$B$1:$XFD$1,0)),"")</f>
        <v/>
      </c>
      <c r="I40" s="33">
        <f>IFERROR(INDEX(balance_sheet!$B:$XFD,MATCH("NỢ PHẢI TRẢ",balance_sheet!$A:$A,0),MATCH(I$25,balance_sheet!$B$1:$XFD$1,0)),"")</f>
        <v/>
      </c>
    </row>
    <row r="41" ht="15" customFormat="1" customHeight="1" s="17">
      <c r="A41" s="4" t="inlineStr">
        <is>
          <t>Vốn chủ sở hữu</t>
        </is>
      </c>
      <c r="B41" s="34">
        <f>IFERROR(INDEX(balance_sheet!$B:$XFD,MATCH("Vốn chủ sở hữu",balance_sheet!$A:$A,0),MATCH(B$25,balance_sheet!$B$1:$XFD$1,0)),"")</f>
        <v/>
      </c>
      <c r="C41" s="34">
        <f>IFERROR(INDEX(balance_sheet!$B:$XFD,MATCH("Vốn chủ sở hữu",balance_sheet!$A:$A,0),MATCH(C$25,balance_sheet!$B$1:$XFD$1,0)),"")</f>
        <v/>
      </c>
      <c r="D41" s="34">
        <f>IFERROR(INDEX(balance_sheet!$B:$XFD,MATCH("Vốn chủ sở hữu",balance_sheet!$A:$A,0),MATCH(D$25,balance_sheet!$B$1:$XFD$1,0)),"")</f>
        <v/>
      </c>
      <c r="E41" s="34">
        <f>IFERROR(INDEX(balance_sheet!$B:$XFD,MATCH("Vốn chủ sở hữu",balance_sheet!$A:$A,0),MATCH(E$25,balance_sheet!$B$1:$XFD$1,0)),"")</f>
        <v/>
      </c>
      <c r="F41" s="34">
        <f>IFERROR(INDEX(balance_sheet!$B:$XFD,MATCH("Vốn chủ sở hữu",balance_sheet!$A:$A,0),MATCH(F$25,balance_sheet!$B$1:$XFD$1,0)),"")</f>
        <v/>
      </c>
      <c r="G41" s="34">
        <f>IFERROR(INDEX(balance_sheet!$B:$XFD,MATCH("Vốn chủ sở hữu",balance_sheet!$A:$A,0),MATCH(G$25,balance_sheet!$B$1:$XFD$1,0)),"")</f>
        <v/>
      </c>
      <c r="H41" s="34">
        <f>IFERROR(INDEX(balance_sheet!$B:$XFD,MATCH("Vốn chủ sở hữu",balance_sheet!$A:$A,0),MATCH(H$25,balance_sheet!$B$1:$XFD$1,0)),"")</f>
        <v/>
      </c>
      <c r="I41" s="34">
        <f>IFERROR(INDEX(balance_sheet!$B:$XFD,MATCH("Vốn chủ sở hữu",balance_sheet!$A:$A,0),MATCH(I$25,balance_sheet!$B$1:$XFD$1,0)),"")</f>
        <v/>
      </c>
    </row>
    <row r="42" ht="15" customFormat="1" customHeight="1" s="17">
      <c r="A42" s="4" t="inlineStr">
        <is>
          <t>Lợi ích cổ đông không kiểm soát</t>
        </is>
      </c>
      <c r="B42" s="34">
        <f>IFERROR(INDEX(balance_sheet!$B:$XFD,MATCH("Lợi ích cổ đông không kiểm soát",balance_sheet!$A:$A,0),MATCH(B$25,balance_sheet!$B$1:$XFD$1,0)),"")</f>
        <v/>
      </c>
      <c r="C42" s="34">
        <f>IFERROR(INDEX(balance_sheet!$B:$XFD,MATCH("Lợi ích cổ đông không kiểm soát",balance_sheet!$A:$A,0),MATCH(C$25,balance_sheet!$B$1:$XFD$1,0)),"")</f>
        <v/>
      </c>
      <c r="D42" s="34">
        <f>IFERROR(INDEX(balance_sheet!$B:$XFD,MATCH("Lợi ích cổ đông không kiểm soát",balance_sheet!$A:$A,0),MATCH(D$25,balance_sheet!$B$1:$XFD$1,0)),"")</f>
        <v/>
      </c>
      <c r="E42" s="34">
        <f>IFERROR(INDEX(balance_sheet!$B:$XFD,MATCH("Lợi ích cổ đông không kiểm soát",balance_sheet!$A:$A,0),MATCH(E$25,balance_sheet!$B$1:$XFD$1,0)),"")</f>
        <v/>
      </c>
      <c r="F42" s="34">
        <f>IFERROR(INDEX(balance_sheet!$B:$XFD,MATCH("Lợi ích cổ đông không kiểm soát",balance_sheet!$A:$A,0),MATCH(F$25,balance_sheet!$B$1:$XFD$1,0)),"")</f>
        <v/>
      </c>
      <c r="G42" s="34">
        <f>IFERROR(INDEX(balance_sheet!$B:$XFD,MATCH("Lợi ích cổ đông không kiểm soát",balance_sheet!$A:$A,0),MATCH(G$25,balance_sheet!$B$1:$XFD$1,0)),"")</f>
        <v/>
      </c>
      <c r="H42" s="34">
        <f>IFERROR(INDEX(balance_sheet!$B:$XFD,MATCH("Lợi ích cổ đông không kiểm soát",balance_sheet!$A:$A,0),MATCH(H$25,balance_sheet!$B$1:$XFD$1,0)),"")</f>
        <v/>
      </c>
      <c r="I42" s="34">
        <f>IFERROR(INDEX(balance_sheet!$B:$XFD,MATCH("Lợi ích cổ đông không kiểm soát",balance_sheet!$A:$A,0),MATCH(I$25,balance_sheet!$B$1:$XFD$1,0)),"")</f>
        <v/>
      </c>
    </row>
    <row r="43">
      <c r="A43" s="4" t="inlineStr">
        <is>
          <t>Kết quả hoạt động kinh doanh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</row>
    <row r="44" ht="15" customFormat="1" customHeight="1" s="17">
      <c r="A44" s="4" t="inlineStr">
        <is>
          <t>Doanh thu thuần</t>
        </is>
      </c>
      <c r="B44" s="34">
        <f>IFERROR(INDEX(income_statement!$B:$XFD,MATCH("Doanh thu thuần",income_statement!$A:$A,0),MATCH(B$25,income_statement!$B$1:$XFD$1,0)),"")</f>
        <v/>
      </c>
      <c r="C44" s="34">
        <f>IFERROR(INDEX(income_statement!$B:$XFD,MATCH("Doanh thu thuần",income_statement!$A:$A,0),MATCH(C$25,income_statement!$B$1:$XFD$1,0)),"")</f>
        <v/>
      </c>
      <c r="D44" s="34">
        <f>IFERROR(INDEX(income_statement!$B:$XFD,MATCH("Doanh thu thuần",income_statement!$A:$A,0),MATCH(D$25,income_statement!$B$1:$XFD$1,0)),"")</f>
        <v/>
      </c>
      <c r="E44" s="34">
        <f>IFERROR(INDEX(income_statement!$B:$XFD,MATCH("Doanh thu thuần",income_statement!$A:$A,0),MATCH(E$25,income_statement!$B$1:$XFD$1,0)),"")</f>
        <v/>
      </c>
      <c r="F44" s="34">
        <f>IFERROR(INDEX(income_statement!$B:$XFD,MATCH("Doanh thu thuần",income_statement!$A:$A,0),MATCH(F$25,income_statement!$B$1:$XFD$1,0)),"")</f>
        <v/>
      </c>
      <c r="G44" s="34">
        <f>IFERROR(INDEX(income_statement!$B:$XFD,MATCH("Doanh thu thuần",income_statement!$A:$A,0),MATCH(G$25,income_statement!$B$1:$XFD$1,0)),"")</f>
        <v/>
      </c>
      <c r="H44" s="34">
        <f>IFERROR(INDEX(income_statement!$B:$XFD,MATCH("Doanh thu thuần",income_statement!$A:$A,0),MATCH(H$25,income_statement!$B$1:$XFD$1,0)),"")</f>
        <v/>
      </c>
      <c r="I44" s="34">
        <f>IFERROR(INDEX(income_statement!$B:$XFD,MATCH("Doanh thu thuần",income_statement!$A:$A,0),MATCH(I$25,income_statement!$B$1:$XFD$1,0)),"")</f>
        <v/>
      </c>
    </row>
    <row r="45">
      <c r="A45" s="6" t="inlineStr">
        <is>
          <t>Giá vốn hàng bán</t>
        </is>
      </c>
      <c r="B45" s="33">
        <f>IFERROR(INDEX(income_statement!$B:$XFD,MATCH("Giá vốn hàng bán",income_statement!$A:$A,0),MATCH(B$25,income_statement!$B$1:$XFD$1,0)),"")</f>
        <v/>
      </c>
      <c r="C45" s="33">
        <f>IFERROR(INDEX(income_statement!$B:$XFD,MATCH("Giá vốn hàng bán",income_statement!$A:$A,0),MATCH(C$25,income_statement!$B$1:$XFD$1,0)),"")</f>
        <v/>
      </c>
      <c r="D45" s="33">
        <f>IFERROR(INDEX(income_statement!$B:$XFD,MATCH("Giá vốn hàng bán",income_statement!$A:$A,0),MATCH(D$25,income_statement!$B$1:$XFD$1,0)),"")</f>
        <v/>
      </c>
      <c r="E45" s="33">
        <f>IFERROR(INDEX(income_statement!$B:$XFD,MATCH("Giá vốn hàng bán",income_statement!$A:$A,0),MATCH(E$25,income_statement!$B$1:$XFD$1,0)),"")</f>
        <v/>
      </c>
      <c r="F45" s="33">
        <f>IFERROR(INDEX(income_statement!$B:$XFD,MATCH("Giá vốn hàng bán",income_statement!$A:$A,0),MATCH(F$25,income_statement!$B$1:$XFD$1,0)),"")</f>
        <v/>
      </c>
      <c r="G45" s="33">
        <f>IFERROR(INDEX(income_statement!$B:$XFD,MATCH("Giá vốn hàng bán",income_statement!$A:$A,0),MATCH(G$25,income_statement!$B$1:$XFD$1,0)),"")</f>
        <v/>
      </c>
      <c r="H45" s="33">
        <f>IFERROR(INDEX(income_statement!$B:$XFD,MATCH("Giá vốn hàng bán",income_statement!$A:$A,0),MATCH(H$25,income_statement!$B$1:$XFD$1,0)),"")</f>
        <v/>
      </c>
      <c r="I45" s="33">
        <f>IFERROR(INDEX(income_statement!$B:$XFD,MATCH("Giá vốn hàng bán",income_statement!$A:$A,0),MATCH(I$25,income_statement!$B$1:$XFD$1,0)),"")</f>
        <v/>
      </c>
    </row>
    <row r="46" ht="15" customFormat="1" customHeight="1" s="17">
      <c r="A46" s="4" t="inlineStr">
        <is>
          <t>Lợi nhuận gộp</t>
        </is>
      </c>
      <c r="B46" s="34">
        <f>IFERROR(INDEX(income_statement!$B:$XFD,MATCH("Lợi nhuận gộp",income_statement!$A:$A,0),MATCH(B$25,income_statement!$B$1:$XFD$1,0)),"")</f>
        <v/>
      </c>
      <c r="C46" s="34">
        <f>IFERROR(INDEX(income_statement!$B:$XFD,MATCH("Lợi nhuận gộp",income_statement!$A:$A,0),MATCH(C$25,income_statement!$B$1:$XFD$1,0)),"")</f>
        <v/>
      </c>
      <c r="D46" s="34">
        <f>IFERROR(INDEX(income_statement!$B:$XFD,MATCH("Lợi nhuận gộp",income_statement!$A:$A,0),MATCH(D$25,income_statement!$B$1:$XFD$1,0)),"")</f>
        <v/>
      </c>
      <c r="E46" s="34">
        <f>IFERROR(INDEX(income_statement!$B:$XFD,MATCH("Lợi nhuận gộp",income_statement!$A:$A,0),MATCH(E$25,income_statement!$B$1:$XFD$1,0)),"")</f>
        <v/>
      </c>
      <c r="F46" s="34">
        <f>IFERROR(INDEX(income_statement!$B:$XFD,MATCH("Lợi nhuận gộp",income_statement!$A:$A,0),MATCH(F$25,income_statement!$B$1:$XFD$1,0)),"")</f>
        <v/>
      </c>
      <c r="G46" s="34">
        <f>IFERROR(INDEX(income_statement!$B:$XFD,MATCH("Lợi nhuận gộp",income_statement!$A:$A,0),MATCH(G$25,income_statement!$B$1:$XFD$1,0)),"")</f>
        <v/>
      </c>
      <c r="H46" s="34">
        <f>IFERROR(INDEX(income_statement!$B:$XFD,MATCH("Lợi nhuận gộp",income_statement!$A:$A,0),MATCH(H$25,income_statement!$B$1:$XFD$1,0)),"")</f>
        <v/>
      </c>
      <c r="I46" s="34">
        <f>IFERROR(INDEX(income_statement!$B:$XFD,MATCH("Lợi nhuận gộp",income_statement!$A:$A,0),MATCH(I$25,income_statement!$B$1:$XFD$1,0)),"")</f>
        <v/>
      </c>
    </row>
    <row r="47">
      <c r="A47" s="6" t="inlineStr">
        <is>
          <t>Chi phí bán hàng</t>
        </is>
      </c>
      <c r="B47" s="33">
        <f>IFERROR(INDEX(income_statement!$B:$XFD,MATCH("Chi phí bán hàng",income_statement!$A:$A,0),MATCH(B$25,income_statement!$B$1:$XFD$1,0)),"")</f>
        <v/>
      </c>
      <c r="C47" s="33">
        <f>IFERROR(INDEX(income_statement!$B:$XFD,MATCH("Chi phí bán hàng",income_statement!$A:$A,0),MATCH(C$25,income_statement!$B$1:$XFD$1,0)),"")</f>
        <v/>
      </c>
      <c r="D47" s="33">
        <f>IFERROR(INDEX(income_statement!$B:$XFD,MATCH("Chi phí bán hàng",income_statement!$A:$A,0),MATCH(D$25,income_statement!$B$1:$XFD$1,0)),"")</f>
        <v/>
      </c>
      <c r="E47" s="33">
        <f>IFERROR(INDEX(income_statement!$B:$XFD,MATCH("Chi phí bán hàng",income_statement!$A:$A,0),MATCH(E$25,income_statement!$B$1:$XFD$1,0)),"")</f>
        <v/>
      </c>
      <c r="F47" s="33">
        <f>IFERROR(INDEX(income_statement!$B:$XFD,MATCH("Chi phí bán hàng",income_statement!$A:$A,0),MATCH(F$25,income_statement!$B$1:$XFD$1,0)),"")</f>
        <v/>
      </c>
      <c r="G47" s="33">
        <f>IFERROR(INDEX(income_statement!$B:$XFD,MATCH("Chi phí bán hàng",income_statement!$A:$A,0),MATCH(G$25,income_statement!$B$1:$XFD$1,0)),"")</f>
        <v/>
      </c>
      <c r="H47" s="33">
        <f>IFERROR(INDEX(income_statement!$B:$XFD,MATCH("Chi phí bán hàng",income_statement!$A:$A,0),MATCH(H$25,income_statement!$B$1:$XFD$1,0)),"")</f>
        <v/>
      </c>
      <c r="I47" s="33">
        <f>IFERROR(INDEX(income_statement!$B:$XFD,MATCH("Chi phí bán hàng",income_statement!$A:$A,0),MATCH(I$25,income_statement!$B$1:$XFD$1,0)),"")</f>
        <v/>
      </c>
    </row>
    <row r="48">
      <c r="A48" s="6" t="inlineStr">
        <is>
          <t>Chi phí quản lý doanh nghiệp</t>
        </is>
      </c>
      <c r="B48" s="33">
        <f>IFERROR(INDEX(income_statement!$B:$XFD,MATCH("Chi phí quản lý doanh nghiệp",income_statement!$A:$A,0),MATCH(B$25,income_statement!$B$1:$XFD$1,0)),"")</f>
        <v/>
      </c>
      <c r="C48" s="33">
        <f>IFERROR(INDEX(income_statement!$B:$XFD,MATCH("Chi phí quản lý doanh nghiệp",income_statement!$A:$A,0),MATCH(C$25,income_statement!$B$1:$XFD$1,0)),"")</f>
        <v/>
      </c>
      <c r="D48" s="33">
        <f>IFERROR(INDEX(income_statement!$B:$XFD,MATCH("Chi phí quản lý doanh nghiệp",income_statement!$A:$A,0),MATCH(D$25,income_statement!$B$1:$XFD$1,0)),"")</f>
        <v/>
      </c>
      <c r="E48" s="33">
        <f>IFERROR(INDEX(income_statement!$B:$XFD,MATCH("Chi phí quản lý doanh nghiệp",income_statement!$A:$A,0),MATCH(E$25,income_statement!$B$1:$XFD$1,0)),"")</f>
        <v/>
      </c>
      <c r="F48" s="33">
        <f>IFERROR(INDEX(income_statement!$B:$XFD,MATCH("Chi phí quản lý doanh nghiệp",income_statement!$A:$A,0),MATCH(F$25,income_statement!$B$1:$XFD$1,0)),"")</f>
        <v/>
      </c>
      <c r="G48" s="33">
        <f>IFERROR(INDEX(income_statement!$B:$XFD,MATCH("Chi phí quản lý doanh nghiệp",income_statement!$A:$A,0),MATCH(G$25,income_statement!$B$1:$XFD$1,0)),"")</f>
        <v/>
      </c>
      <c r="H48" s="33">
        <f>IFERROR(INDEX(income_statement!$B:$XFD,MATCH("Chi phí quản lý doanh nghiệp",income_statement!$A:$A,0),MATCH(H$25,income_statement!$B$1:$XFD$1,0)),"")</f>
        <v/>
      </c>
      <c r="I48" s="33">
        <f>IFERROR(INDEX(income_statement!$B:$XFD,MATCH("Chi phí quản lý doanh nghiệp",income_statement!$A:$A,0),MATCH(I$25,income_statement!$B$1:$XFD$1,0)),"")</f>
        <v/>
      </c>
    </row>
    <row r="49">
      <c r="A49" s="6" t="inlineStr">
        <is>
          <t>Lãi/(lỗ) từ hoạt động kinh doanh</t>
        </is>
      </c>
      <c r="B49" s="33">
        <f>IFERROR(INDEX(income_statement!$B:$XFD,MATCH("Lãi/(lỗ) từ hoạt động kinh doanh",income_statement!$A:$A,0),MATCH(B$25,income_statement!$B$1:$XFD$1,0)),"")</f>
        <v/>
      </c>
      <c r="C49" s="33">
        <f>IFERROR(INDEX(income_statement!$B:$XFD,MATCH("Lãi/(lỗ) từ hoạt động kinh doanh",income_statement!$A:$A,0),MATCH(C$25,income_statement!$B$1:$XFD$1,0)),"")</f>
        <v/>
      </c>
      <c r="D49" s="33">
        <f>IFERROR(INDEX(income_statement!$B:$XFD,MATCH("Lãi/(lỗ) từ hoạt động kinh doanh",income_statement!$A:$A,0),MATCH(D$25,income_statement!$B$1:$XFD$1,0)),"")</f>
        <v/>
      </c>
      <c r="E49" s="33">
        <f>IFERROR(INDEX(income_statement!$B:$XFD,MATCH("Lãi/(lỗ) từ hoạt động kinh doanh",income_statement!$A:$A,0),MATCH(E$25,income_statement!$B$1:$XFD$1,0)),"")</f>
        <v/>
      </c>
      <c r="F49" s="33">
        <f>IFERROR(INDEX(income_statement!$B:$XFD,MATCH("Lãi/(lỗ) từ hoạt động kinh doanh",income_statement!$A:$A,0),MATCH(F$25,income_statement!$B$1:$XFD$1,0)),"")</f>
        <v/>
      </c>
      <c r="G49" s="33">
        <f>IFERROR(INDEX(income_statement!$B:$XFD,MATCH("Lãi/(lỗ) từ hoạt động kinh doanh",income_statement!$A:$A,0),MATCH(G$25,income_statement!$B$1:$XFD$1,0)),"")</f>
        <v/>
      </c>
      <c r="H49" s="33">
        <f>IFERROR(INDEX(income_statement!$B:$XFD,MATCH("Lãi/(lỗ) từ hoạt động kinh doanh",income_statement!$A:$A,0),MATCH(H$25,income_statement!$B$1:$XFD$1,0)),"")</f>
        <v/>
      </c>
      <c r="I49" s="33">
        <f>IFERROR(INDEX(income_statement!$B:$XFD,MATCH("Lãi/(lỗ) từ hoạt động kinh doanh",income_statement!$A:$A,0),MATCH(I$25,income_statement!$B$1:$XFD$1,0)),"")</f>
        <v/>
      </c>
    </row>
    <row r="50">
      <c r="A50" s="6" t="inlineStr">
        <is>
          <t>Chi phí lãi vay</t>
        </is>
      </c>
      <c r="B50" s="33">
        <f>IFERROR(INDEX(income_statement!$B:$XFD,MATCH("Chi phí lãi vay",income_statement!$A:$A,0),MATCH(B$25,income_statement!$B$1:$XFD$1,0)),"")</f>
        <v/>
      </c>
      <c r="C50" s="33">
        <f>IFERROR(INDEX(income_statement!$B:$XFD,MATCH("Chi phí lãi vay",income_statement!$A:$A,0),MATCH(C$25,income_statement!$B$1:$XFD$1,0)),"")</f>
        <v/>
      </c>
      <c r="D50" s="33">
        <f>IFERROR(INDEX(income_statement!$B:$XFD,MATCH("Chi phí lãi vay",income_statement!$A:$A,0),MATCH(D$25,income_statement!$B$1:$XFD$1,0)),"")</f>
        <v/>
      </c>
      <c r="E50" s="33">
        <f>IFERROR(INDEX(income_statement!$B:$XFD,MATCH("Chi phí lãi vay",income_statement!$A:$A,0),MATCH(E$25,income_statement!$B$1:$XFD$1,0)),"")</f>
        <v/>
      </c>
      <c r="F50" s="33">
        <f>IFERROR(INDEX(income_statement!$B:$XFD,MATCH("Chi phí lãi vay",income_statement!$A:$A,0),MATCH(F$25,income_statement!$B$1:$XFD$1,0)),"")</f>
        <v/>
      </c>
      <c r="G50" s="33">
        <f>IFERROR(INDEX(income_statement!$B:$XFD,MATCH("Chi phí lãi vay",income_statement!$A:$A,0),MATCH(G$25,income_statement!$B$1:$XFD$1,0)),"")</f>
        <v/>
      </c>
      <c r="H50" s="33">
        <f>IFERROR(INDEX(income_statement!$B:$XFD,MATCH("Chi phí lãi vay",income_statement!$A:$A,0),MATCH(H$25,income_statement!$B$1:$XFD$1,0)),"")</f>
        <v/>
      </c>
      <c r="I50" s="33">
        <f>IFERROR(INDEX(income_statement!$B:$XFD,MATCH("Chi phí lãi vay",income_statement!$A:$A,0),MATCH(I$25,income_statement!$B$1:$XFD$1,0)),"")</f>
        <v/>
      </c>
    </row>
    <row r="51" ht="15" customFormat="1" customHeight="1" s="17">
      <c r="A51" s="18" t="inlineStr">
        <is>
          <t>Lãi/(lỗ) trước thuế</t>
        </is>
      </c>
      <c r="B51" s="34">
        <f>IFERROR(INDEX(income_statement!$B:$XFD,MATCH("Lãi/(lỗ) trước thuế",income_statement!$A:$A,0),MATCH(B$25,income_statement!$B$1:$XFD$1,0)),"")</f>
        <v/>
      </c>
      <c r="C51" s="34">
        <f>IFERROR(INDEX(income_statement!$B:$XFD,MATCH("Lãi/(lỗ) trước thuế",income_statement!$A:$A,0),MATCH(C$25,income_statement!$B$1:$XFD$1,0)),"")</f>
        <v/>
      </c>
      <c r="D51" s="34">
        <f>IFERROR(INDEX(income_statement!$B:$XFD,MATCH("Lãi/(lỗ) trước thuế",income_statement!$A:$A,0),MATCH(D$25,income_statement!$B$1:$XFD$1,0)),"")</f>
        <v/>
      </c>
      <c r="E51" s="34">
        <f>IFERROR(INDEX(income_statement!$B:$XFD,MATCH("Lãi/(lỗ) trước thuế",income_statement!$A:$A,0),MATCH(E$25,income_statement!$B$1:$XFD$1,0)),"")</f>
        <v/>
      </c>
      <c r="F51" s="34">
        <f>IFERROR(INDEX(income_statement!$B:$XFD,MATCH("Lãi/(lỗ) trước thuế",income_statement!$A:$A,0),MATCH(F$25,income_statement!$B$1:$XFD$1,0)),"")</f>
        <v/>
      </c>
      <c r="G51" s="34">
        <f>IFERROR(INDEX(income_statement!$B:$XFD,MATCH("Lãi/(lỗ) trước thuế",income_statement!$A:$A,0),MATCH(G$25,income_statement!$B$1:$XFD$1,0)),"")</f>
        <v/>
      </c>
      <c r="H51" s="34">
        <f>IFERROR(INDEX(income_statement!$B:$XFD,MATCH("Lãi/(lỗ) trước thuế",income_statement!$A:$A,0),MATCH(H$25,income_statement!$B$1:$XFD$1,0)),"")</f>
        <v/>
      </c>
      <c r="I51" s="34">
        <f>IFERROR(INDEX(income_statement!$B:$XFD,MATCH("Lãi/(lỗ) trước thuế",income_statement!$A:$A,0),MATCH(I$25,income_statement!$B$1:$XFD$1,0)),"")</f>
        <v/>
      </c>
    </row>
    <row r="52" ht="15" customFormat="1" customHeight="1" s="17">
      <c r="A52" s="4" t="inlineStr">
        <is>
          <t>Lãi/(lỗ) thuần sau thuế</t>
        </is>
      </c>
      <c r="B52" s="34">
        <f>IFERROR(INDEX(income_statement!$B:$XFD,MATCH("Lãi/(lỗ) thuần sau thuế",income_statement!$A:$A,0),MATCH(B$25,income_statement!$B$1:$XFD$1,0)),"")</f>
        <v/>
      </c>
      <c r="C52" s="34">
        <f>IFERROR(INDEX(income_statement!$B:$XFD,MATCH("Lãi/(lỗ) thuần sau thuế",income_statement!$A:$A,0),MATCH(C$25,income_statement!$B$1:$XFD$1,0)),"")</f>
        <v/>
      </c>
      <c r="D52" s="34">
        <f>IFERROR(INDEX(income_statement!$B:$XFD,MATCH("Lãi/(lỗ) thuần sau thuế",income_statement!$A:$A,0),MATCH(D$25,income_statement!$B$1:$XFD$1,0)),"")</f>
        <v/>
      </c>
      <c r="E52" s="34">
        <f>IFERROR(INDEX(income_statement!$B:$XFD,MATCH("Lãi/(lỗ) thuần sau thuế",income_statement!$A:$A,0),MATCH(E$25,income_statement!$B$1:$XFD$1,0)),"")</f>
        <v/>
      </c>
      <c r="F52" s="34">
        <f>IFERROR(INDEX(income_statement!$B:$XFD,MATCH("Lãi/(lỗ) thuần sau thuế",income_statement!$A:$A,0),MATCH(F$25,income_statement!$B$1:$XFD$1,0)),"")</f>
        <v/>
      </c>
      <c r="G52" s="34">
        <f>IFERROR(INDEX(income_statement!$B:$XFD,MATCH("Lãi/(lỗ) thuần sau thuế",income_statement!$A:$A,0),MATCH(G$25,income_statement!$B$1:$XFD$1,0)),"")</f>
        <v/>
      </c>
      <c r="H52" s="34">
        <f>IFERROR(INDEX(income_statement!$B:$XFD,MATCH("Lãi/(lỗ) thuần sau thuế",income_statement!$A:$A,0),MATCH(H$25,income_statement!$B$1:$XFD$1,0)),"")</f>
        <v/>
      </c>
      <c r="I52" s="34">
        <f>IFERROR(INDEX(income_statement!$B:$XFD,MATCH("Lãi/(lỗ) thuần sau thuế",income_statement!$A:$A,0),MATCH(I$25,income_statement!$B$1:$XFD$1,0)),"")</f>
        <v/>
      </c>
    </row>
    <row r="53" ht="15" customFormat="1" customHeight="1" s="17">
      <c r="A53" s="4" t="inlineStr">
        <is>
          <t>Lợi nhuận của Cổ đông của Công ty mẹ</t>
        </is>
      </c>
      <c r="B53" s="34">
        <f>IFERROR(INDEX(income_statement!$B:$XFD,MATCH("Lợi nhuận của Cổ đông của Công ty mẹ",income_statement!$A:$A,0),MATCH(B$25,income_statement!$B$1:$XFD$1,0)),"")</f>
        <v/>
      </c>
      <c r="C53" s="34">
        <f>IFERROR(INDEX(income_statement!$B:$XFD,MATCH("Lợi nhuận của Cổ đông của Công ty mẹ",income_statement!$A:$A,0),MATCH(C$25,income_statement!$B$1:$XFD$1,0)),"")</f>
        <v/>
      </c>
      <c r="D53" s="34">
        <f>IFERROR(INDEX(income_statement!$B:$XFD,MATCH("Lợi nhuận của Cổ đông của Công ty mẹ",income_statement!$A:$A,0),MATCH(D$25,income_statement!$B$1:$XFD$1,0)),"")</f>
        <v/>
      </c>
      <c r="E53" s="34">
        <f>IFERROR(INDEX(income_statement!$B:$XFD,MATCH("Lợi nhuận của Cổ đông của Công ty mẹ",income_statement!$A:$A,0),MATCH(E$25,income_statement!$B$1:$XFD$1,0)),"")</f>
        <v/>
      </c>
      <c r="F53" s="34">
        <f>IFERROR(INDEX(income_statement!$B:$XFD,MATCH("Lợi nhuận của Cổ đông của Công ty mẹ",income_statement!$A:$A,0),MATCH(F$25,income_statement!$B$1:$XFD$1,0)),"")</f>
        <v/>
      </c>
      <c r="G53" s="34">
        <f>IFERROR(INDEX(income_statement!$B:$XFD,MATCH("Lợi nhuận của Cổ đông của Công ty mẹ",income_statement!$A:$A,0),MATCH(G$25,income_statement!$B$1:$XFD$1,0)),"")</f>
        <v/>
      </c>
      <c r="H53" s="34">
        <f>IFERROR(INDEX(income_statement!$B:$XFD,MATCH("Lợi nhuận của Cổ đông của Công ty mẹ",income_statement!$A:$A,0),MATCH(H$25,income_statement!$B$1:$XFD$1,0)),"")</f>
        <v/>
      </c>
      <c r="I53" s="34">
        <f>IFERROR(INDEX(income_statement!$B:$XFD,MATCH("Lợi nhuận của Cổ đông của Công ty mẹ",income_statement!$A:$A,0),MATCH(I$25,income_statement!$B$1:$XFD$1,0)),"")</f>
        <v/>
      </c>
    </row>
    <row r="54">
      <c r="A54" s="4" t="inlineStr">
        <is>
          <t>Lưu chuyển tiền tệ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6" t="inlineStr">
        <is>
          <t>Khấu hao TSCĐ và BĐSĐT</t>
        </is>
      </c>
      <c r="B55" s="33">
        <f>IFERROR(INDEX(cash_flow!$B:$XFD,MATCH("Khấu hao TSCĐ và BĐSĐT",cash_flow!$A:$A,0),MATCH(B$25,cash_flow!$B$1:$XFD$1,0)),"")</f>
        <v/>
      </c>
      <c r="C55" s="33">
        <f>IFERROR(INDEX(cash_flow!$B:$XFD,MATCH("Khấu hao TSCĐ và BĐSĐT",cash_flow!$A:$A,0),MATCH(C$25,cash_flow!$B$1:$XFD$1,0)),"")</f>
        <v/>
      </c>
      <c r="D55" s="33">
        <f>IFERROR(INDEX(cash_flow!$B:$XFD,MATCH("Khấu hao TSCĐ và BĐSĐT",cash_flow!$A:$A,0),MATCH(D$25,cash_flow!$B$1:$XFD$1,0)),"")</f>
        <v/>
      </c>
      <c r="E55" s="33">
        <f>IFERROR(INDEX(cash_flow!$B:$XFD,MATCH("Khấu hao TSCĐ và BĐSĐT",cash_flow!$A:$A,0),MATCH(E$25,cash_flow!$B$1:$XFD$1,0)),"")</f>
        <v/>
      </c>
      <c r="F55" s="33">
        <f>IFERROR(INDEX(cash_flow!$B:$XFD,MATCH("Khấu hao TSCĐ và BĐSĐT",cash_flow!$A:$A,0),MATCH(F$25,cash_flow!$B$1:$XFD$1,0)),"")</f>
        <v/>
      </c>
      <c r="G55" s="33">
        <f>IFERROR(INDEX(cash_flow!$B:$XFD,MATCH("Khấu hao TSCĐ và BĐSĐT",cash_flow!$A:$A,0),MATCH(G$25,cash_flow!$B$1:$XFD$1,0)),"")</f>
        <v/>
      </c>
      <c r="H55" s="33">
        <f>IFERROR(INDEX(cash_flow!$B:$XFD,MATCH("Khấu hao TSCĐ và BĐSĐT",cash_flow!$A:$A,0),MATCH(H$25,cash_flow!$B$1:$XFD$1,0)),"")</f>
        <v/>
      </c>
      <c r="I55" s="33">
        <f>IFERROR(INDEX(cash_flow!$B:$XFD,MATCH("Khấu hao TSCĐ và BĐSĐT",cash_flow!$A:$A,0),MATCH(I$25,cash_flow!$B$1:$XFD$1,0)),"")</f>
        <v/>
      </c>
    </row>
    <row r="56">
      <c r="A56" s="6" t="inlineStr">
        <is>
          <t>Tiền chi để mua sắm, xây dựng TSCĐ và các tài sản dài hạn khác</t>
        </is>
      </c>
      <c r="B56" s="33">
        <f>IFERROR(INDEX(cash_flow!$B:$XFD,MATCH("Tiền chi để mua sắm, xây dựng TSCĐ và các tài sản dài hạn khác",cash_flow!$A:$A,0),MATCH(B$25,cash_flow!$B$1:$XFD$1,0)),"")</f>
        <v/>
      </c>
      <c r="C56" s="33">
        <f>IFERROR(INDEX(cash_flow!$B:$XFD,MATCH("Tiền chi để mua sắm, xây dựng TSCĐ và các tài sản dài hạn khác",cash_flow!$A:$A,0),MATCH(C$25,cash_flow!$B$1:$XFD$1,0)),"")</f>
        <v/>
      </c>
      <c r="D56" s="33">
        <f>IFERROR(INDEX(cash_flow!$B:$XFD,MATCH("Tiền chi để mua sắm, xây dựng TSCĐ và các tài sản dài hạn khác",cash_flow!$A:$A,0),MATCH(D$25,cash_flow!$B$1:$XFD$1,0)),"")</f>
        <v/>
      </c>
      <c r="E56" s="33">
        <f>IFERROR(INDEX(cash_flow!$B:$XFD,MATCH("Tiền chi để mua sắm, xây dựng TSCĐ và các tài sản dài hạn khác",cash_flow!$A:$A,0),MATCH(E$25,cash_flow!$B$1:$XFD$1,0)),"")</f>
        <v/>
      </c>
      <c r="F56" s="33">
        <f>IFERROR(INDEX(cash_flow!$B:$XFD,MATCH("Tiền chi để mua sắm, xây dựng TSCĐ và các tài sản dài hạn khác",cash_flow!$A:$A,0),MATCH(F$25,cash_flow!$B$1:$XFD$1,0)),"")</f>
        <v/>
      </c>
      <c r="G56" s="33">
        <f>IFERROR(INDEX(cash_flow!$B:$XFD,MATCH("Tiền chi để mua sắm, xây dựng TSCĐ và các tài sản dài hạn khác",cash_flow!$A:$A,0),MATCH(G$25,cash_flow!$B$1:$XFD$1,0)),"")</f>
        <v/>
      </c>
      <c r="H56" s="33">
        <f>IFERROR(INDEX(cash_flow!$B:$XFD,MATCH("Tiền chi để mua sắm, xây dựng TSCĐ và các tài sản dài hạn khác",cash_flow!$A:$A,0),MATCH(H$25,cash_flow!$B$1:$XFD$1,0)),"")</f>
        <v/>
      </c>
      <c r="I56" s="33">
        <f>IFERROR(INDEX(cash_flow!$B:$XFD,MATCH("Tiền chi để mua sắm, xây dựng TSCĐ và các tài sản dài hạn khác",cash_flow!$A:$A,0),MATCH(I$25,cash_flow!$B$1:$XFD$1,0)),"")</f>
        <v/>
      </c>
    </row>
    <row r="57">
      <c r="A57" s="6" t="inlineStr">
        <is>
          <t>Lưu chuyển tiền tệ ròng từ các hoạt động sản xuất kinh doanh</t>
        </is>
      </c>
      <c r="B57" s="33">
        <f>IFERROR(INDEX(cash_flow!$B:$XFD,MATCH("Lưu chuyển tiền tệ ròng từ các hoạt động sản xuất kinh doanh",cash_flow!$A:$A,0),MATCH(B$25,cash_flow!$B$1:$XFD$1,0)),"")</f>
        <v/>
      </c>
      <c r="C57" s="33">
        <f>IFERROR(INDEX(cash_flow!$B:$XFD,MATCH("Lưu chuyển tiền tệ ròng từ các hoạt động sản xuất kinh doanh",cash_flow!$A:$A,0),MATCH(C$25,cash_flow!$B$1:$XFD$1,0)),"")</f>
        <v/>
      </c>
      <c r="D57" s="33">
        <f>IFERROR(INDEX(cash_flow!$B:$XFD,MATCH("Lưu chuyển tiền tệ ròng từ các hoạt động sản xuất kinh doanh",cash_flow!$A:$A,0),MATCH(D$25,cash_flow!$B$1:$XFD$1,0)),"")</f>
        <v/>
      </c>
      <c r="E57" s="33">
        <f>IFERROR(INDEX(cash_flow!$B:$XFD,MATCH("Lưu chuyển tiền tệ ròng từ các hoạt động sản xuất kinh doanh",cash_flow!$A:$A,0),MATCH(E$25,cash_flow!$B$1:$XFD$1,0)),"")</f>
        <v/>
      </c>
      <c r="F57" s="33">
        <f>IFERROR(INDEX(cash_flow!$B:$XFD,MATCH("Lưu chuyển tiền tệ ròng từ các hoạt động sản xuất kinh doanh",cash_flow!$A:$A,0),MATCH(F$25,cash_flow!$B$1:$XFD$1,0)),"")</f>
        <v/>
      </c>
      <c r="G57" s="33">
        <f>IFERROR(INDEX(cash_flow!$B:$XFD,MATCH("Lưu chuyển tiền tệ ròng từ các hoạt động sản xuất kinh doanh",cash_flow!$A:$A,0),MATCH(G$25,cash_flow!$B$1:$XFD$1,0)),"")</f>
        <v/>
      </c>
      <c r="H57" s="33">
        <f>IFERROR(INDEX(cash_flow!$B:$XFD,MATCH("Lưu chuyển tiền tệ ròng từ các hoạt động sản xuất kinh doanh",cash_flow!$A:$A,0),MATCH(H$25,cash_flow!$B$1:$XFD$1,0)),"")</f>
        <v/>
      </c>
      <c r="I57" s="33">
        <f>IFERROR(INDEX(cash_flow!$B:$XFD,MATCH("Lưu chuyển tiền tệ ròng từ các hoạt động sản xuất kinh doanh",cash_flow!$A:$A,0),MATCH(I$25,cash_flow!$B$1:$XFD$1,0)),"")</f>
        <v/>
      </c>
    </row>
    <row r="59">
      <c r="A59" s="8" t="inlineStr">
        <is>
          <t>CHỈ SỐ THÊM</t>
        </is>
      </c>
      <c r="B59" s="1" t="n">
        <v>2026</v>
      </c>
      <c r="C59" s="1" t="n">
        <v>2027</v>
      </c>
      <c r="D59" s="1" t="n">
        <v>2028</v>
      </c>
      <c r="E59" s="1" t="n">
        <v>2029</v>
      </c>
      <c r="F59" s="1" t="n">
        <v>2030</v>
      </c>
      <c r="G59" s="1" t="n">
        <v>2031</v>
      </c>
      <c r="H59" s="1" t="n">
        <v>2032</v>
      </c>
      <c r="I59" s="1" t="n">
        <v>2033</v>
      </c>
    </row>
    <row r="60">
      <c r="A60" s="8" t="inlineStr">
        <is>
          <t>Khả năng sinh lời &amp; hiệu quả sử dụng vốn</t>
        </is>
      </c>
      <c r="B60" s="9" t="n"/>
      <c r="C60" s="9" t="n"/>
      <c r="D60" s="9" t="n"/>
      <c r="E60" s="9" t="n"/>
      <c r="F60" s="9" t="n"/>
      <c r="G60" s="9" t="n"/>
      <c r="H60" s="9" t="n"/>
      <c r="I60" s="9" t="n"/>
    </row>
    <row r="61">
      <c r="A61" s="9" t="inlineStr">
        <is>
          <t>ROCE</t>
        </is>
      </c>
      <c r="B61" s="35">
        <f>IFERROR(B$63/(B$33-B$37),"n/a")</f>
        <v/>
      </c>
      <c r="C61" s="35">
        <f>IFERROR(C$63/(C$33-C$37),"n/a")</f>
        <v/>
      </c>
      <c r="D61" s="35">
        <f>IFERROR(D$63/(D$33-D$37),"n/a")</f>
        <v/>
      </c>
      <c r="E61" s="35">
        <f>IFERROR(E$63/(E$33-E$37),"n/a")</f>
        <v/>
      </c>
      <c r="F61" s="35">
        <f>IFERROR(F$63/(F$33-F$37),"n/a")</f>
        <v/>
      </c>
      <c r="G61" s="35">
        <f>IFERROR(G$63/(G$33-G$37),"n/a")</f>
        <v/>
      </c>
      <c r="H61" s="35">
        <f>IFERROR(H$63/(H$33-H$37),"n/a")</f>
        <v/>
      </c>
      <c r="I61" s="35">
        <f>IFERROR(I$63/(I$33-I$37),"n/a")</f>
        <v/>
      </c>
    </row>
    <row r="62">
      <c r="A62" s="9" t="inlineStr">
        <is>
          <t>CROIC</t>
        </is>
      </c>
      <c r="B62" s="35">
        <f>IFERROR(B$67/(B$33-B$37),"n/a")</f>
        <v/>
      </c>
      <c r="C62" s="35">
        <f>IFERROR(C$67/(C$33-C$37),"n/a")</f>
        <v/>
      </c>
      <c r="D62" s="35">
        <f>IFERROR(D$67/(D$33-D$37),"n/a")</f>
        <v/>
      </c>
      <c r="E62" s="35">
        <f>IFERROR(E$67/(E$33-E$37),"n/a")</f>
        <v/>
      </c>
      <c r="F62" s="35">
        <f>IFERROR(F$67/(F$33-F$37),"n/a")</f>
        <v/>
      </c>
      <c r="G62" s="35">
        <f>IFERROR(G$67/(G$33-G$37),"n/a")</f>
        <v/>
      </c>
      <c r="H62" s="35">
        <f>IFERROR(H$67/(H$33-H$37),"n/a")</f>
        <v/>
      </c>
      <c r="I62" s="35">
        <f>IFERROR(I$67/(I$33-I$37),"n/a")</f>
        <v/>
      </c>
    </row>
    <row r="63">
      <c r="A63" s="9" t="inlineStr">
        <is>
          <t>EBIT</t>
        </is>
      </c>
      <c r="B63" s="36">
        <f>IFERROR(B$49+ABS(B$50),"n/a")</f>
        <v/>
      </c>
      <c r="C63" s="36">
        <f>IFERROR(C$49+ABS(C$50),"n/a")</f>
        <v/>
      </c>
      <c r="D63" s="36">
        <f>IFERROR(D$49+ABS(D$50),"n/a")</f>
        <v/>
      </c>
      <c r="E63" s="36">
        <f>IFERROR(E$49+ABS(E$50),"n/a")</f>
        <v/>
      </c>
      <c r="F63" s="36">
        <f>IFERROR(F$49+ABS(F$50),"n/a")</f>
        <v/>
      </c>
      <c r="G63" s="36">
        <f>IFERROR(G$49+ABS(G$50),"n/a")</f>
        <v/>
      </c>
      <c r="H63" s="36">
        <f>IFERROR(H$49+ABS(H$50),"n/a")</f>
        <v/>
      </c>
      <c r="I63" s="36">
        <f>IFERROR(I$49+ABS(I$50),"n/a")</f>
        <v/>
      </c>
    </row>
    <row r="64">
      <c r="A64" s="9" t="inlineStr">
        <is>
          <t>EBIT/DT</t>
        </is>
      </c>
      <c r="B64" s="35">
        <f>IFERROR(B$63/B$44,"n/a")</f>
        <v/>
      </c>
      <c r="C64" s="35">
        <f>IFERROR(C$63/C$44,"n/a")</f>
        <v/>
      </c>
      <c r="D64" s="35">
        <f>IFERROR(D$63/D$44,"n/a")</f>
        <v/>
      </c>
      <c r="E64" s="35">
        <f>IFERROR(E$63/E$44,"n/a")</f>
        <v/>
      </c>
      <c r="F64" s="35">
        <f>IFERROR(F$63/F$44,"n/a")</f>
        <v/>
      </c>
      <c r="G64" s="35">
        <f>IFERROR(G$63/G$44,"n/a")</f>
        <v/>
      </c>
      <c r="H64" s="35">
        <f>IFERROR(H$63/H$44,"n/a")</f>
        <v/>
      </c>
      <c r="I64" s="35">
        <f>IFERROR(I$63/I$44,"n/a")</f>
        <v/>
      </c>
    </row>
    <row r="65">
      <c r="A65" s="9" t="inlineStr">
        <is>
          <t>DT/TS</t>
        </is>
      </c>
      <c r="B65" s="35">
        <f>IFERROR(B$44/B$33,"n/a")</f>
        <v/>
      </c>
      <c r="C65" s="35">
        <f>IFERROR(C$44/C$33,"n/a")</f>
        <v/>
      </c>
      <c r="D65" s="35">
        <f>IFERROR(D$44/D$33,"n/a")</f>
        <v/>
      </c>
      <c r="E65" s="35">
        <f>IFERROR(E$44/E$33,"n/a")</f>
        <v/>
      </c>
      <c r="F65" s="35">
        <f>IFERROR(F$44/F$33,"n/a")</f>
        <v/>
      </c>
      <c r="G65" s="35">
        <f>IFERROR(G$44/G$33,"n/a")</f>
        <v/>
      </c>
      <c r="H65" s="35">
        <f>IFERROR(H$44/H$33,"n/a")</f>
        <v/>
      </c>
      <c r="I65" s="35">
        <f>IFERROR(I$44/I$33,"n/a")</f>
        <v/>
      </c>
    </row>
    <row r="66">
      <c r="A66" s="8" t="inlineStr">
        <is>
          <t>Dòng tiền &amp; tái đầu tư</t>
        </is>
      </c>
      <c r="B66" s="9" t="n"/>
      <c r="C66" s="9" t="n"/>
      <c r="D66" s="9" t="n"/>
      <c r="E66" s="9" t="n"/>
      <c r="F66" s="9" t="n"/>
      <c r="G66" s="9" t="n"/>
      <c r="H66" s="9" t="n"/>
      <c r="I66" s="9" t="n"/>
    </row>
    <row r="67">
      <c r="A67" s="9" t="inlineStr">
        <is>
          <t>FCF</t>
        </is>
      </c>
      <c r="B67" s="36">
        <f>IFERROR(B$57-ABS(B$56),"n/a")</f>
        <v/>
      </c>
      <c r="C67" s="36">
        <f>IFERROR(C$57-ABS(C$56),"n/a")</f>
        <v/>
      </c>
      <c r="D67" s="36">
        <f>IFERROR(D$57-ABS(D$56),"n/a")</f>
        <v/>
      </c>
      <c r="E67" s="36">
        <f>IFERROR(E$57-ABS(E$56),"n/a")</f>
        <v/>
      </c>
      <c r="F67" s="36">
        <f>IFERROR(F$57-ABS(F$56),"n/a")</f>
        <v/>
      </c>
      <c r="G67" s="36">
        <f>IFERROR(G$57-ABS(G$56),"n/a")</f>
        <v/>
      </c>
      <c r="H67" s="36">
        <f>IFERROR(H$57-ABS(H$56),"n/a")</f>
        <v/>
      </c>
      <c r="I67" s="36">
        <f>IFERROR(I$57-ABS(I$56),"n/a")</f>
        <v/>
      </c>
    </row>
    <row r="68">
      <c r="A68" s="9" t="inlineStr">
        <is>
          <t>FCF/DT</t>
        </is>
      </c>
      <c r="B68" s="35">
        <f>IFERROR(B$67/B$44,"n/a")</f>
        <v/>
      </c>
      <c r="C68" s="35">
        <f>IFERROR(C$67/C$44,"n/a")</f>
        <v/>
      </c>
      <c r="D68" s="35">
        <f>IFERROR(D$67/D$44,"n/a")</f>
        <v/>
      </c>
      <c r="E68" s="35">
        <f>IFERROR(E$67/E$44,"n/a")</f>
        <v/>
      </c>
      <c r="F68" s="35">
        <f>IFERROR(F$67/F$44,"n/a")</f>
        <v/>
      </c>
      <c r="G68" s="35">
        <f>IFERROR(G$67/G$44,"n/a")</f>
        <v/>
      </c>
      <c r="H68" s="35">
        <f>IFERROR(H$67/H$44,"n/a")</f>
        <v/>
      </c>
      <c r="I68" s="35">
        <f>IFERROR(I$67/I$44,"n/a")</f>
        <v/>
      </c>
    </row>
    <row r="69">
      <c r="A69" s="9" t="inlineStr">
        <is>
          <t>FCF/Nợ ngắn hạn</t>
        </is>
      </c>
      <c r="B69" s="35">
        <f>IFERROR(B$67/B$37,"n/a")</f>
        <v/>
      </c>
      <c r="C69" s="35">
        <f>IFERROR(C$67/C$37,"n/a")</f>
        <v/>
      </c>
      <c r="D69" s="35">
        <f>IFERROR(D$67/D$37,"n/a")</f>
        <v/>
      </c>
      <c r="E69" s="35">
        <f>IFERROR(E$67/E$37,"n/a")</f>
        <v/>
      </c>
      <c r="F69" s="35">
        <f>IFERROR(F$67/F$37,"n/a")</f>
        <v/>
      </c>
      <c r="G69" s="35">
        <f>IFERROR(G$67/G$37,"n/a")</f>
        <v/>
      </c>
      <c r="H69" s="35">
        <f>IFERROR(H$67/H$37,"n/a")</f>
        <v/>
      </c>
      <c r="I69" s="35">
        <f>IFERROR(I$67/I$37,"n/a")</f>
        <v/>
      </c>
    </row>
    <row r="70">
      <c r="A70" s="9" t="inlineStr">
        <is>
          <t>Capex</t>
        </is>
      </c>
      <c r="B70" s="36">
        <f>IFERROR(ABS(B$56),"n/a")</f>
        <v/>
      </c>
      <c r="C70" s="36">
        <f>IFERROR(ABS(C$56),"n/a")</f>
        <v/>
      </c>
      <c r="D70" s="36">
        <f>IFERROR(ABS(D$56),"n/a")</f>
        <v/>
      </c>
      <c r="E70" s="36">
        <f>IFERROR(ABS(E$56),"n/a")</f>
        <v/>
      </c>
      <c r="F70" s="36">
        <f>IFERROR(ABS(F$56),"n/a")</f>
        <v/>
      </c>
      <c r="G70" s="36">
        <f>IFERROR(ABS(G$56),"n/a")</f>
        <v/>
      </c>
      <c r="H70" s="36">
        <f>IFERROR(ABS(H$56),"n/a")</f>
        <v/>
      </c>
      <c r="I70" s="36">
        <f>IFERROR(ABS(I$56),"n/a")</f>
        <v/>
      </c>
    </row>
    <row r="71">
      <c r="A71" s="9" t="inlineStr">
        <is>
          <t>Capex/TS</t>
        </is>
      </c>
      <c r="B71" s="35">
        <f>IFERROR(B$70/B$33,"n/a")</f>
        <v/>
      </c>
      <c r="C71" s="35">
        <f>IFERROR(C$70/C$33,"n/a")</f>
        <v/>
      </c>
      <c r="D71" s="35">
        <f>IFERROR(D$70/D$33,"n/a")</f>
        <v/>
      </c>
      <c r="E71" s="35">
        <f>IFERROR(E$70/E$33,"n/a")</f>
        <v/>
      </c>
      <c r="F71" s="35">
        <f>IFERROR(F$70/F$33,"n/a")</f>
        <v/>
      </c>
      <c r="G71" s="35">
        <f>IFERROR(G$70/G$33,"n/a")</f>
        <v/>
      </c>
      <c r="H71" s="35">
        <f>IFERROR(H$70/H$33,"n/a")</f>
        <v/>
      </c>
      <c r="I71" s="35">
        <f>IFERROR(I$70/I$33,"n/a")</f>
        <v/>
      </c>
    </row>
    <row r="72">
      <c r="A72" s="9" t="inlineStr">
        <is>
          <t>Capex/LNST</t>
        </is>
      </c>
      <c r="B72" s="35">
        <f>IFERROR(B$70/ABS(B$52),"n/a")</f>
        <v/>
      </c>
      <c r="C72" s="35">
        <f>IFERROR(C$70/ABS(C$52),"n/a")</f>
        <v/>
      </c>
      <c r="D72" s="35">
        <f>IFERROR(D$70/ABS(D$52),"n/a")</f>
        <v/>
      </c>
      <c r="E72" s="35">
        <f>IFERROR(E$70/ABS(E$52),"n/a")</f>
        <v/>
      </c>
      <c r="F72" s="35">
        <f>IFERROR(F$70/ABS(F$52),"n/a")</f>
        <v/>
      </c>
      <c r="G72" s="35">
        <f>IFERROR(G$70/ABS(G$52),"n/a")</f>
        <v/>
      </c>
      <c r="H72" s="35">
        <f>IFERROR(H$70/ABS(H$52),"n/a")</f>
        <v/>
      </c>
      <c r="I72" s="35">
        <f>IFERROR(I$70/ABS(I$52),"n/a")</f>
        <v/>
      </c>
    </row>
    <row r="73">
      <c r="A73" s="9" t="inlineStr">
        <is>
          <t>Chi phí khấu hao/Lợi nhuận gộp</t>
        </is>
      </c>
      <c r="B73" s="35">
        <f>IFERROR(ABS(B$55)/B$46,"n/a")</f>
        <v/>
      </c>
      <c r="C73" s="35">
        <f>IFERROR(ABS(C$55)/C$46,"n/a")</f>
        <v/>
      </c>
      <c r="D73" s="35">
        <f>IFERROR(ABS(D$55)/D$46,"n/a")</f>
        <v/>
      </c>
      <c r="E73" s="35">
        <f>IFERROR(ABS(E$55)/E$46,"n/a")</f>
        <v/>
      </c>
      <c r="F73" s="35">
        <f>IFERROR(ABS(F$55)/F$46,"n/a")</f>
        <v/>
      </c>
      <c r="G73" s="35">
        <f>IFERROR(ABS(G$55)/G$46,"n/a")</f>
        <v/>
      </c>
      <c r="H73" s="35">
        <f>IFERROR(ABS(H$55)/H$46,"n/a")</f>
        <v/>
      </c>
      <c r="I73" s="35">
        <f>IFERROR(ABS(I$55)/I$46,"n/a")</f>
        <v/>
      </c>
    </row>
    <row r="74">
      <c r="A74" s="9" t="inlineStr">
        <is>
          <t>EBIT/Chi phí lãi vay</t>
        </is>
      </c>
      <c r="B74" s="35">
        <f>IFERROR(B$63/ABS(B$50),"n/a")</f>
        <v/>
      </c>
      <c r="C74" s="35">
        <f>IFERROR(C$63/ABS(C$50),"n/a")</f>
        <v/>
      </c>
      <c r="D74" s="35">
        <f>IFERROR(D$63/ABS(D$50),"n/a")</f>
        <v/>
      </c>
      <c r="E74" s="35">
        <f>IFERROR(E$63/ABS(E$50),"n/a")</f>
        <v/>
      </c>
      <c r="F74" s="35">
        <f>IFERROR(F$63/ABS(F$50),"n/a")</f>
        <v/>
      </c>
      <c r="G74" s="35">
        <f>IFERROR(G$63/ABS(G$50),"n/a")</f>
        <v/>
      </c>
      <c r="H74" s="35">
        <f>IFERROR(H$63/ABS(H$50),"n/a")</f>
        <v/>
      </c>
      <c r="I74" s="35">
        <f>IFERROR(I$63/ABS(I$50),"n/a")</f>
        <v/>
      </c>
    </row>
    <row r="75">
      <c r="A75" s="8" t="inlineStr">
        <is>
          <t>Vốn lưu động &amp; hiệu quả hoạt động</t>
        </is>
      </c>
      <c r="B75" s="9" t="n"/>
      <c r="C75" s="9" t="n"/>
      <c r="D75" s="9" t="n"/>
      <c r="E75" s="9" t="n"/>
      <c r="F75" s="9" t="n"/>
      <c r="G75" s="9" t="n"/>
      <c r="H75" s="9" t="n"/>
      <c r="I75" s="9" t="n"/>
    </row>
    <row r="76">
      <c r="A76" s="9" t="inlineStr">
        <is>
          <t>Vòng quay tiền mặt</t>
        </is>
      </c>
      <c r="B76" s="12">
        <f>IFERROR(B$19+B$20-B$18,"n/a")</f>
        <v/>
      </c>
      <c r="C76" s="12">
        <f>IFERROR(C$19+C$20-C$18,"n/a")</f>
        <v/>
      </c>
      <c r="D76" s="12">
        <f>IFERROR(D$19+D$20-D$18,"n/a")</f>
        <v/>
      </c>
      <c r="E76" s="12">
        <f>IFERROR(E$19+E$20-E$18,"n/a")</f>
        <v/>
      </c>
      <c r="F76" s="12">
        <f>IFERROR(F$19+F$20-F$18,"n/a")</f>
        <v/>
      </c>
      <c r="G76" s="12">
        <f>IFERROR(G$19+G$20-G$18,"n/a")</f>
        <v/>
      </c>
      <c r="H76" s="12">
        <f>IFERROR(H$19+H$20-H$18,"n/a")</f>
        <v/>
      </c>
      <c r="I76" s="12">
        <f>IFERROR(I$19+I$20-I$18,"n/a")</f>
        <v/>
      </c>
    </row>
    <row r="77">
      <c r="A77" s="9" t="inlineStr">
        <is>
          <t>HTK/DT</t>
        </is>
      </c>
      <c r="B77" s="35">
        <f>IFERROR(B$30/B$44,"n/a")</f>
        <v/>
      </c>
      <c r="C77" s="35">
        <f>IFERROR(C$30/C$44,"n/a")</f>
        <v/>
      </c>
      <c r="D77" s="35">
        <f>IFERROR(D$30/D$44,"n/a")</f>
        <v/>
      </c>
      <c r="E77" s="35">
        <f>IFERROR(E$30/E$44,"n/a")</f>
        <v/>
      </c>
      <c r="F77" s="35">
        <f>IFERROR(F$30/F$44,"n/a")</f>
        <v/>
      </c>
      <c r="G77" s="35">
        <f>IFERROR(G$30/G$44,"n/a")</f>
        <v/>
      </c>
      <c r="H77" s="35">
        <f>IFERROR(H$30/H$44,"n/a")</f>
        <v/>
      </c>
      <c r="I77" s="35">
        <f>IFERROR(I$30/I$44,"n/a")</f>
        <v/>
      </c>
    </row>
    <row r="78">
      <c r="A78" s="9" t="inlineStr">
        <is>
          <t>HTK/TS</t>
        </is>
      </c>
      <c r="B78" s="35">
        <f>IFERROR(B$30/B$33,"n/a")</f>
        <v/>
      </c>
      <c r="C78" s="35">
        <f>IFERROR(C$30/C$33,"n/a")</f>
        <v/>
      </c>
      <c r="D78" s="35">
        <f>IFERROR(D$30/D$33,"n/a")</f>
        <v/>
      </c>
      <c r="E78" s="35">
        <f>IFERROR(E$30/E$33,"n/a")</f>
        <v/>
      </c>
      <c r="F78" s="35">
        <f>IFERROR(F$30/F$33,"n/a")</f>
        <v/>
      </c>
      <c r="G78" s="35">
        <f>IFERROR(G$30/G$33,"n/a")</f>
        <v/>
      </c>
      <c r="H78" s="35">
        <f>IFERROR(H$30/H$33,"n/a")</f>
        <v/>
      </c>
      <c r="I78" s="35">
        <f>IFERROR(I$30/I$33,"n/a")</f>
        <v/>
      </c>
    </row>
    <row r="79">
      <c r="A79" s="9" t="inlineStr">
        <is>
          <t>DT/TS</t>
        </is>
      </c>
      <c r="B79" s="35">
        <f>IFERROR(B$44/B$33,"n/a")</f>
        <v/>
      </c>
      <c r="C79" s="35">
        <f>IFERROR(C$44/C$33,"n/a")</f>
        <v/>
      </c>
      <c r="D79" s="35">
        <f>IFERROR(D$44/D$33,"n/a")</f>
        <v/>
      </c>
      <c r="E79" s="35">
        <f>IFERROR(E$44/E$33,"n/a")</f>
        <v/>
      </c>
      <c r="F79" s="35">
        <f>IFERROR(F$44/F$33,"n/a")</f>
        <v/>
      </c>
      <c r="G79" s="35">
        <f>IFERROR(G$44/G$33,"n/a")</f>
        <v/>
      </c>
      <c r="H79" s="35">
        <f>IFERROR(H$44/H$33,"n/a")</f>
        <v/>
      </c>
      <c r="I79" s="35">
        <f>IFERROR(I$44/I$33,"n/a")</f>
        <v/>
      </c>
    </row>
    <row r="80">
      <c r="A80" s="8" t="inlineStr">
        <is>
          <t>Khả năng thanh toán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</row>
    <row r="81">
      <c r="A81" s="9" t="inlineStr">
        <is>
          <t>(TS ngắn hạn − HTK)/Nợ ngắn hạn</t>
        </is>
      </c>
      <c r="B81" s="35">
        <f>IFERROR((B$31-B$30)/B$37,"n/a")</f>
        <v/>
      </c>
      <c r="C81" s="35">
        <f>IFERROR((C$31-C$30)/C$37,"n/a")</f>
        <v/>
      </c>
      <c r="D81" s="35">
        <f>IFERROR((D$31-D$30)/D$37,"n/a")</f>
        <v/>
      </c>
      <c r="E81" s="35">
        <f>IFERROR((E$31-E$30)/E$37,"n/a")</f>
        <v/>
      </c>
      <c r="F81" s="35">
        <f>IFERROR((F$31-F$30)/F$37,"n/a")</f>
        <v/>
      </c>
      <c r="G81" s="35">
        <f>IFERROR((G$31-G$30)/G$37,"n/a")</f>
        <v/>
      </c>
      <c r="H81" s="35">
        <f>IFERROR((H$31-H$30)/H$37,"n/a")</f>
        <v/>
      </c>
      <c r="I81" s="35">
        <f>IFERROR((I$31-I$30)/I$37,"n/a")</f>
        <v/>
      </c>
    </row>
    <row r="82">
      <c r="A82" s="9" t="inlineStr">
        <is>
          <t>TS ngắn hạn/Nợ ngắn hạn</t>
        </is>
      </c>
      <c r="B82" s="35">
        <f>IFERROR(B$31/B$37,"n/a")</f>
        <v/>
      </c>
      <c r="C82" s="35">
        <f>IFERROR(C$31/C$37,"n/a")</f>
        <v/>
      </c>
      <c r="D82" s="35">
        <f>IFERROR(D$31/D$37,"n/a")</f>
        <v/>
      </c>
      <c r="E82" s="35">
        <f>IFERROR(E$31/E$37,"n/a")</f>
        <v/>
      </c>
      <c r="F82" s="35">
        <f>IFERROR(F$31/F$37,"n/a")</f>
        <v/>
      </c>
      <c r="G82" s="35">
        <f>IFERROR(G$31/G$37,"n/a")</f>
        <v/>
      </c>
      <c r="H82" s="35">
        <f>IFERROR(H$31/H$37,"n/a")</f>
        <v/>
      </c>
      <c r="I82" s="35">
        <f>IFERROR(I$31/I$37,"n/a")</f>
        <v/>
      </c>
    </row>
    <row r="83">
      <c r="A83" s="8" t="inlineStr">
        <is>
          <t>Tài sản &amp; cơ cấu tài sản</t>
        </is>
      </c>
      <c r="B83" s="9" t="n"/>
      <c r="C83" s="9" t="n"/>
      <c r="D83" s="9" t="n"/>
      <c r="E83" s="9" t="n"/>
      <c r="F83" s="9" t="n"/>
      <c r="G83" s="9" t="n"/>
      <c r="H83" s="9" t="n"/>
      <c r="I83" s="9" t="n"/>
    </row>
    <row r="84">
      <c r="A84" s="9" t="inlineStr">
        <is>
          <t>TSCĐ vô hình</t>
        </is>
      </c>
      <c r="B84" s="36">
        <f>IFERROR(B$32,"n/a")</f>
        <v/>
      </c>
      <c r="C84" s="36">
        <f>IFERROR(C$32,"n/a")</f>
        <v/>
      </c>
      <c r="D84" s="36">
        <f>IFERROR(D$32,"n/a")</f>
        <v/>
      </c>
      <c r="E84" s="36">
        <f>IFERROR(E$32,"n/a")</f>
        <v/>
      </c>
      <c r="F84" s="36">
        <f>IFERROR(F$32,"n/a")</f>
        <v/>
      </c>
      <c r="G84" s="36">
        <f>IFERROR(G$32,"n/a")</f>
        <v/>
      </c>
      <c r="H84" s="36">
        <f>IFERROR(H$32,"n/a")</f>
        <v/>
      </c>
      <c r="I84" s="36">
        <f>IFERROR(I$32,"n/a")</f>
        <v/>
      </c>
    </row>
    <row r="85">
      <c r="A85" s="9" t="inlineStr">
        <is>
          <t>Tài sản vô hình/Giá trị sổ sách</t>
        </is>
      </c>
      <c r="B85" s="35">
        <f>IFERROR(B$32/B$41,"n/a")</f>
        <v/>
      </c>
      <c r="C85" s="35">
        <f>IFERROR(C$32/C$41,"n/a")</f>
        <v/>
      </c>
      <c r="D85" s="35">
        <f>IFERROR(D$32/D$41,"n/a")</f>
        <v/>
      </c>
      <c r="E85" s="35">
        <f>IFERROR(E$32/E$41,"n/a")</f>
        <v/>
      </c>
      <c r="F85" s="35">
        <f>IFERROR(F$32/F$41,"n/a")</f>
        <v/>
      </c>
      <c r="G85" s="35">
        <f>IFERROR(G$32/G$41,"n/a")</f>
        <v/>
      </c>
      <c r="H85" s="35">
        <f>IFERROR(H$32/H$41,"n/a")</f>
        <v/>
      </c>
      <c r="I85" s="35">
        <f>IFERROR(I$32/I$41,"n/a")</f>
        <v/>
      </c>
    </row>
  </sheetData>
  <conditionalFormatting sqref="B8:I8">
    <cfRule type="cellIs" priority="11" operator="greaterThanOrEqual" dxfId="1">
      <formula>0.3</formula>
    </cfRule>
    <cfRule type="cellIs" priority="12" operator="lessThanOrEqual" dxfId="2">
      <formula>0.1</formula>
    </cfRule>
    <cfRule type="cellIs" priority="13" operator="between" dxfId="0">
      <formula>0.1</formula>
      <formula>0.3</formula>
    </cfRule>
  </conditionalFormatting>
  <conditionalFormatting sqref="B9:I9">
    <cfRule type="cellIs" priority="10" operator="greaterThanOrEqual" dxfId="1">
      <formula>0.1</formula>
    </cfRule>
  </conditionalFormatting>
  <conditionalFormatting sqref="B10:I10 B13:I13">
    <cfRule type="cellIs" priority="9" operator="lessThanOrEqual" dxfId="1">
      <formula>0.5</formula>
    </cfRule>
  </conditionalFormatting>
  <conditionalFormatting sqref="B16:I16">
    <cfRule type="cellIs" priority="7" operator="lessThanOrEqual" dxfId="1">
      <formula>0.3</formula>
    </cfRule>
    <cfRule type="cellIs" priority="8" operator="greaterThanOrEqual" dxfId="2">
      <formula>0.7</formula>
    </cfRule>
  </conditionalFormatting>
  <conditionalFormatting sqref="B21:I21">
    <cfRule type="cellIs" priority="5" operator="notBetween" dxfId="2">
      <formula>0.02</formula>
      <formula>0.3</formula>
    </cfRule>
    <cfRule type="cellIs" priority="6" operator="between" dxfId="1">
      <formula>0.02</formula>
      <formula>0.3</formula>
    </cfRule>
  </conditionalFormatting>
  <conditionalFormatting sqref="C2:I2">
    <cfRule type="cellIs" priority="17" operator="greaterThanOrEqual" dxfId="1">
      <formula>0.15/4</formula>
    </cfRule>
    <cfRule type="cellIs" priority="18" operator="lessThan" dxfId="2">
      <formula>0.15/4</formula>
    </cfRule>
  </conditionalFormatting>
  <conditionalFormatting sqref="C4:I4">
    <cfRule type="cellIs" priority="3" operator="lessThan" dxfId="4">
      <formula>0.1/4</formula>
    </cfRule>
    <cfRule type="cellIs" priority="4" operator="greaterThan" dxfId="3">
      <formula>0.15/4</formula>
    </cfRule>
  </conditionalFormatting>
  <conditionalFormatting sqref="C6:I6">
    <cfRule type="cellIs" priority="1" operator="lessThan" dxfId="4">
      <formula>0.1/4</formula>
    </cfRule>
    <cfRule type="cellIs" priority="2" operator="greaterThan" dxfId="3">
      <formula>0.15/4</formula>
    </cfRule>
  </conditionalFormatting>
  <conditionalFormatting sqref="F5:I5 F7:I7">
    <cfRule type="cellIs" priority="14" operator="lessThan" dxfId="2">
      <formula>0.1</formula>
    </cfRule>
    <cfRule type="cellIs" priority="15" operator="greaterThanOrEqual" dxfId="1">
      <formula>0.15</formula>
    </cfRule>
    <cfRule type="cellIs" priority="16" operator="between" dxfId="0">
      <formula>0.1</formula>
      <formula>0.15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2026-08-21T13:08:28Z</dcterms:created>
  <dcterms:modified xsi:type="dcterms:W3CDTF">2026-10-28T04:39:06Z</dcterms:modified>
  <cp:lastModifiedBy>Anh Thai</cp:lastModifiedBy>
</cp:coreProperties>
</file>
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_(* #,##0_);_(* \(#,##0\);_(* &quot;-&quot;??_);_(@_)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0" pivotButton="0" quotePrefix="0" xfId="0"/>
    <xf numFmtId="0" fontId="8" fillId="4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166" fontId="10" fillId="0" borderId="4" pivotButton="0" quotePrefix="0" xfId="0"/>
    <xf numFmtId="0" fontId="11" fillId="0" borderId="4" pivotButton="0" quotePrefix="0" xfId="0"/>
    <xf numFmtId="0" fontId="12" fillId="0" borderId="3" pivotButton="0" quotePrefix="0" xfId="0"/>
    <xf numFmtId="1" fontId="4" fillId="0" borderId="3" applyAlignment="1" pivotButton="0" quotePrefix="0" xfId="0">
      <alignment horizontal="center"/>
    </xf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" fontId="8" fillId="0" borderId="3" pivotButton="0" quotePrefix="0" xfId="0"/>
    <xf numFmtId="0" fontId="13" fillId="0" borderId="3" pivotButton="0" quotePrefix="0" xfId="0"/>
    <xf numFmtId="3" fontId="13" fillId="0" borderId="3" pivotButton="0" quotePrefix="0" xfId="0"/>
    <xf numFmtId="41" fontId="13" fillId="0" borderId="3" pivotButton="0" quotePrefix="0" xfId="0"/>
    <xf numFmtId="0" fontId="14" fillId="0" borderId="3" pivotButton="0" quotePrefix="0" xfId="0"/>
    <xf numFmtId="41" fontId="14" fillId="0" borderId="3" pivotButton="0" quotePrefix="0" xfId="0"/>
    <xf numFmtId="2" fontId="14" fillId="0" borderId="3" pivotButton="0" quotePrefix="0" xfId="0"/>
    <xf numFmtId="167" fontId="13" fillId="0" borderId="3" pivotButton="0" quotePrefix="0" xfId="0"/>
    <xf numFmtId="9" fontId="13" fillId="0" borderId="3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  <c r="J2" s="4" t="n">
        <v>42605105704316</v>
      </c>
      <c r="K2" s="4" t="n">
        <v>45535942846453</v>
      </c>
      <c r="L2" s="4" t="n">
        <v>46075510989597</v>
      </c>
      <c r="M2" s="4" t="n">
        <v>52711179992741</v>
      </c>
      <c r="N2" s="4" t="n">
        <v>53632976863548</v>
      </c>
      <c r="O2" s="4" t="n">
        <v>58137438254908</v>
      </c>
      <c r="P2" s="4" t="n">
        <v>41527873060120</v>
      </c>
      <c r="Q2" s="4" t="n">
        <v>45603129033273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  <c r="J3" s="4" t="n">
        <v>7935632407357</v>
      </c>
      <c r="K3" s="4" t="n">
        <v>9315440438884</v>
      </c>
      <c r="L3" s="4" t="n">
        <v>6755645214252</v>
      </c>
      <c r="M3" s="4" t="n">
        <v>10019630995136</v>
      </c>
      <c r="N3" s="4" t="n">
        <v>9853512731370</v>
      </c>
      <c r="O3" s="4" t="n">
        <v>10522105729992</v>
      </c>
      <c r="P3" s="4" t="n">
        <v>7993577611642</v>
      </c>
      <c r="Q3" s="4" t="n">
        <v>8843161132730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  <c r="J4" s="4" t="n">
        <v>5251361305952</v>
      </c>
      <c r="K4" s="4" t="n">
        <v>6725619929289</v>
      </c>
      <c r="L4" s="4" t="n">
        <v>5342746710936</v>
      </c>
      <c r="M4" s="4" t="n">
        <v>7755450852909</v>
      </c>
      <c r="N4" s="4" t="n">
        <v>7677693654613</v>
      </c>
      <c r="O4" s="4" t="n">
        <v>8084751080186</v>
      </c>
      <c r="P4" s="4" t="n">
        <v>5022685693032</v>
      </c>
      <c r="Q4" s="4" t="n">
        <v>5829076231076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  <c r="J5" s="4" t="n">
        <v>2684271101405</v>
      </c>
      <c r="K5" s="4" t="n">
        <v>2589820509595</v>
      </c>
      <c r="L5" s="4" t="n">
        <v>1412898503316</v>
      </c>
      <c r="M5" s="4" t="n">
        <v>2264180142227</v>
      </c>
      <c r="N5" s="4" t="n">
        <v>2175819076757</v>
      </c>
      <c r="O5" s="4" t="n">
        <v>2437354649806</v>
      </c>
      <c r="P5" s="4" t="n">
        <v>2970891918610</v>
      </c>
      <c r="Q5" s="4" t="n">
        <v>3014084901654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  <c r="J9" s="4" t="n">
        <v>11875150699489</v>
      </c>
      <c r="K9" s="4" t="n">
        <v>11381523992803</v>
      </c>
      <c r="L9" s="4" t="n">
        <v>11997831491115</v>
      </c>
      <c r="M9" s="4" t="n">
        <v>12525313635530</v>
      </c>
      <c r="N9" s="4" t="n">
        <v>13077014449004</v>
      </c>
      <c r="O9" s="4" t="n">
        <v>14402017450105</v>
      </c>
      <c r="P9" s="4" t="n">
        <v>12347990314058</v>
      </c>
      <c r="Q9" s="4" t="n">
        <v>13337195685489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  <c r="J10" s="4" t="n">
        <v>10799828515307</v>
      </c>
      <c r="K10" s="4" t="n">
        <v>10537019113380</v>
      </c>
      <c r="L10" s="4" t="n">
        <v>10855474371546</v>
      </c>
      <c r="M10" s="4" t="n">
        <v>11175300447724</v>
      </c>
      <c r="N10" s="4" t="n">
        <v>11454536291628</v>
      </c>
      <c r="O10" s="4" t="n">
        <v>12734600596550</v>
      </c>
      <c r="P10" s="4" t="n">
        <v>10175295201576</v>
      </c>
      <c r="Q10" s="4" t="n">
        <v>10850961897809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  <c r="J11" s="4" t="n">
        <v>566097011978</v>
      </c>
      <c r="K11" s="4" t="n">
        <v>610379845664</v>
      </c>
      <c r="L11" s="4" t="n">
        <v>654479702711</v>
      </c>
      <c r="M11" s="4" t="n">
        <v>806039137690</v>
      </c>
      <c r="N11" s="4" t="n">
        <v>801251699142</v>
      </c>
      <c r="O11" s="4" t="n">
        <v>952737932722</v>
      </c>
      <c r="P11" s="4" t="n">
        <v>1476727313028</v>
      </c>
      <c r="Q11" s="4" t="n">
        <v>1702428776286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  <c r="J13" s="4" t="n">
        <v>194158152911</v>
      </c>
      <c r="K13" s="4" t="n">
        <v>136097256629</v>
      </c>
      <c r="L13" s="4" t="n">
        <v>153811104201</v>
      </c>
      <c r="M13" s="4" t="n">
        <v>164046117155</v>
      </c>
      <c r="N13" s="4" t="n">
        <v>192402178808</v>
      </c>
      <c r="O13" s="4" t="n">
        <v>200405269967</v>
      </c>
      <c r="P13" s="4" t="n">
        <v>255231754306</v>
      </c>
      <c r="Q13" s="4" t="n">
        <v>301798692991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  <c r="J14" s="4" t="n">
        <v>900121856114</v>
      </c>
      <c r="K14" s="4" t="n">
        <v>707751585399</v>
      </c>
      <c r="L14" s="4" t="n">
        <v>894960947874</v>
      </c>
      <c r="M14" s="4" t="n">
        <v>988041181778</v>
      </c>
      <c r="N14" s="4" t="n">
        <v>1196855208054</v>
      </c>
      <c r="O14" s="4" t="n">
        <v>1091244484321</v>
      </c>
      <c r="P14" s="4" t="n">
        <v>783125213986</v>
      </c>
      <c r="Q14" s="4" t="n">
        <v>811355755133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  <c r="J15" s="4" t="n">
        <v>-618598751821</v>
      </c>
      <c r="K15" s="4" t="n">
        <v>-619531925859</v>
      </c>
      <c r="L15" s="4" t="n">
        <v>-570652543118</v>
      </c>
      <c r="M15" s="4" t="n">
        <v>-618183101143</v>
      </c>
      <c r="N15" s="4" t="n">
        <v>-613258400119</v>
      </c>
      <c r="O15" s="4" t="n">
        <v>-586166744274</v>
      </c>
      <c r="P15" s="4" t="n">
        <v>-342389168838</v>
      </c>
      <c r="Q15" s="4" t="n">
        <v>-329349436730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  <c r="J16" s="4" t="n">
        <v>2059110974322</v>
      </c>
      <c r="K16" s="4" t="n">
        <v>1856756949030</v>
      </c>
      <c r="L16" s="4" t="n">
        <v>2107939084995</v>
      </c>
      <c r="M16" s="4" t="n">
        <v>2074111218172</v>
      </c>
      <c r="N16" s="4" t="n">
        <v>2050315910017</v>
      </c>
      <c r="O16" s="4" t="n">
        <v>2193769802339</v>
      </c>
      <c r="P16" s="4" t="n">
        <v>1094571460159</v>
      </c>
      <c r="Q16" s="4" t="n">
        <v>1255307762494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  <c r="J17" s="4" t="n">
        <v>2193960954794</v>
      </c>
      <c r="K17" s="4" t="n">
        <v>1990224486513</v>
      </c>
      <c r="L17" s="4" t="n">
        <v>2238873166859</v>
      </c>
      <c r="M17" s="4" t="n">
        <v>2157814116939</v>
      </c>
      <c r="N17" s="4" t="n">
        <v>2134346913983</v>
      </c>
      <c r="O17" s="4" t="n">
        <v>2277393610177</v>
      </c>
      <c r="P17" s="4" t="n">
        <v>1163844658543</v>
      </c>
      <c r="Q17" s="4" t="n">
        <v>1324570896589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  <c r="J18" s="4" t="n">
        <v>-134849980472</v>
      </c>
      <c r="K18" s="4" t="n">
        <v>-133467537483</v>
      </c>
      <c r="L18" s="4" t="n">
        <v>-130934081864</v>
      </c>
      <c r="M18" s="4" t="n">
        <v>-83702898767</v>
      </c>
      <c r="N18" s="4" t="n">
        <v>-84031003966</v>
      </c>
      <c r="O18" s="4" t="n">
        <v>-83623807838</v>
      </c>
      <c r="P18" s="4" t="n">
        <v>-69273198384</v>
      </c>
      <c r="Q18" s="4" t="n">
        <v>-69263134095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  <c r="J20" s="4" t="n">
        <v>617798475447</v>
      </c>
      <c r="K20" s="4" t="n">
        <v>479707218558</v>
      </c>
      <c r="L20" s="4" t="n">
        <v>664880944825</v>
      </c>
      <c r="M20" s="4" t="n">
        <v>721172649340</v>
      </c>
      <c r="N20" s="4" t="n">
        <v>727367088616</v>
      </c>
      <c r="O20" s="4" t="n">
        <v>641974035769</v>
      </c>
      <c r="P20" s="4" t="n">
        <v>592431670183</v>
      </c>
      <c r="Q20" s="4" t="n">
        <v>1160908912190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  <c r="J21" s="4" t="n">
        <v>604630088228</v>
      </c>
      <c r="K21" s="4" t="n">
        <v>648697117785</v>
      </c>
      <c r="L21" s="4" t="n">
        <v>641338640115</v>
      </c>
      <c r="M21" s="4" t="n">
        <v>636667509274</v>
      </c>
      <c r="N21" s="4" t="n">
        <v>665436755637</v>
      </c>
      <c r="O21" s="4" t="n">
        <v>609517465104</v>
      </c>
      <c r="P21" s="4" t="n">
        <v>626239248109</v>
      </c>
      <c r="Q21" s="4" t="n">
        <v>704794019592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  <c r="J22" s="4" t="n">
        <v>70187936409</v>
      </c>
      <c r="K22" s="4" t="n">
        <v>68603442585</v>
      </c>
      <c r="L22" s="4" t="n">
        <v>139497628510</v>
      </c>
      <c r="M22" s="4" t="n">
        <v>114884275311</v>
      </c>
      <c r="N22" s="4" t="n">
        <v>133744369072</v>
      </c>
      <c r="O22" s="4" t="n">
        <v>137067034159</v>
      </c>
      <c r="P22" s="4" t="n">
        <v>121526875562</v>
      </c>
      <c r="Q22" s="4" t="n">
        <v>173343548253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  <c r="J24" s="4" t="n">
        <v>24976481427066</v>
      </c>
      <c r="K24" s="4" t="n">
        <v>26464052832167</v>
      </c>
      <c r="L24" s="4" t="n">
        <v>27922162132192</v>
      </c>
      <c r="M24" s="4" t="n">
        <v>28554895462630</v>
      </c>
      <c r="N24" s="4" t="n">
        <v>29105328066901</v>
      </c>
      <c r="O24" s="4" t="n">
        <v>30004553379717</v>
      </c>
      <c r="P24" s="4" t="n">
        <v>27058221725097</v>
      </c>
      <c r="Q24" s="4" t="n">
        <v>27959976826227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  <c r="J25" s="4" t="n">
        <v>346824501151</v>
      </c>
      <c r="K25" s="4" t="n">
        <v>331646166008</v>
      </c>
      <c r="L25" s="4" t="n">
        <v>433719282180</v>
      </c>
      <c r="M25" s="4" t="n">
        <v>555386499326</v>
      </c>
      <c r="N25" s="4" t="n">
        <v>576978545154</v>
      </c>
      <c r="O25" s="4" t="n">
        <v>564342065270</v>
      </c>
      <c r="P25" s="4" t="n">
        <v>529064080853</v>
      </c>
      <c r="Q25" s="4" t="n">
        <v>546945165671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  <c r="J28" s="4" t="n">
        <v>398299567069</v>
      </c>
      <c r="K28" s="4" t="n">
        <v>381508926294</v>
      </c>
      <c r="L28" s="4" t="n">
        <v>482857117398</v>
      </c>
      <c r="M28" s="4" t="n">
        <v>602496864928</v>
      </c>
      <c r="N28" s="4" t="n">
        <v>624504027254</v>
      </c>
      <c r="O28" s="4" t="n">
        <v>611435814893</v>
      </c>
      <c r="P28" s="4" t="n">
        <v>581436563490</v>
      </c>
      <c r="Q28" s="4" t="n">
        <v>599317648308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  <c r="J29" s="4" t="n">
        <v>-52372482637</v>
      </c>
      <c r="K29" s="4" t="n">
        <v>-52372482637</v>
      </c>
      <c r="L29" s="4" t="n">
        <v>-52372482637</v>
      </c>
      <c r="M29" s="4" t="n">
        <v>-52372482637</v>
      </c>
      <c r="N29" s="4" t="n">
        <v>-52372482637</v>
      </c>
      <c r="O29" s="4" t="n">
        <v>-52372482637</v>
      </c>
      <c r="P29" s="4" t="n">
        <v>-52372482637</v>
      </c>
      <c r="Q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  <c r="J30" s="4" t="n">
        <v>14439270982491</v>
      </c>
      <c r="K30" s="4" t="n">
        <v>14816131186204</v>
      </c>
      <c r="L30" s="4" t="n">
        <v>15548353983782</v>
      </c>
      <c r="M30" s="4" t="n">
        <v>16736349598106</v>
      </c>
      <c r="N30" s="4" t="n">
        <v>16990519914677</v>
      </c>
      <c r="O30" s="4" t="n">
        <v>17288541848861</v>
      </c>
      <c r="P30" s="4" t="n">
        <v>11625313235550</v>
      </c>
      <c r="Q30" s="4" t="n">
        <v>11823522287408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  <c r="J31" s="4" t="n">
        <v>12896881546915</v>
      </c>
      <c r="K31" s="4" t="n">
        <v>12774567961718</v>
      </c>
      <c r="L31" s="4" t="n">
        <v>13567762652609</v>
      </c>
      <c r="M31" s="4" t="n">
        <v>14918062033907</v>
      </c>
      <c r="N31" s="4" t="n">
        <v>15156746699358</v>
      </c>
      <c r="O31" s="4" t="n">
        <v>15359168484059</v>
      </c>
      <c r="P31" s="4" t="n">
        <v>10218840964598</v>
      </c>
      <c r="Q31" s="4" t="n">
        <v>10401695456564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  <c r="J32" s="4" t="n">
        <v>24158069038149</v>
      </c>
      <c r="K32" s="4" t="n">
        <v>24457733666511</v>
      </c>
      <c r="L32" s="4" t="n">
        <v>25711539128956</v>
      </c>
      <c r="M32" s="4" t="n">
        <v>27579702921559</v>
      </c>
      <c r="N32" s="4" t="n">
        <v>28394940253483</v>
      </c>
      <c r="O32" s="4" t="n">
        <v>29122042372002</v>
      </c>
      <c r="P32" s="4" t="n">
        <v>14897139420348</v>
      </c>
      <c r="Q32" s="4" t="n">
        <v>15338988173671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  <c r="J33" s="4" t="n">
        <v>-11261187491234</v>
      </c>
      <c r="K33" s="4" t="n">
        <v>-11683165704793</v>
      </c>
      <c r="L33" s="4" t="n">
        <v>-12143776476347</v>
      </c>
      <c r="M33" s="4" t="n">
        <v>-12661640887652</v>
      </c>
      <c r="N33" s="4" t="n">
        <v>-13238193554125</v>
      </c>
      <c r="O33" s="4" t="n">
        <v>-13762873887943</v>
      </c>
      <c r="P33" s="4" t="n">
        <v>-4678298455750</v>
      </c>
      <c r="Q33" s="4" t="n">
        <v>-4937292717107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  <c r="J34" s="4" t="n">
        <v>2382853627</v>
      </c>
      <c r="K34" s="4" t="n">
        <v>2042708364</v>
      </c>
      <c r="L34" s="4" t="n">
        <v>1950397239</v>
      </c>
      <c r="M34" s="4" t="n">
        <v>1829838007</v>
      </c>
      <c r="N34" s="4" t="n">
        <v>1574138434</v>
      </c>
      <c r="O34" s="4" t="n">
        <v>1277212606</v>
      </c>
      <c r="P34" s="4" t="n">
        <v>1049774612</v>
      </c>
      <c r="Q34" s="4" t="n">
        <v>886963877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  <c r="J35" s="4" t="n">
        <v>5990257244</v>
      </c>
      <c r="K35" s="4" t="n">
        <v>5716034788</v>
      </c>
      <c r="L35" s="4" t="n">
        <v>5982014084</v>
      </c>
      <c r="M35" s="4" t="n">
        <v>6236727728</v>
      </c>
      <c r="N35" s="4" t="n">
        <v>6143580020</v>
      </c>
      <c r="O35" s="4" t="n">
        <v>5871006196</v>
      </c>
      <c r="P35" s="4" t="n">
        <v>5791871860</v>
      </c>
      <c r="Q35" s="4" t="n">
        <v>2717640000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  <c r="J36" s="4" t="n">
        <v>-3607403617</v>
      </c>
      <c r="K36" s="4" t="n">
        <v>-3673326424</v>
      </c>
      <c r="L36" s="4" t="n">
        <v>-4031616845</v>
      </c>
      <c r="M36" s="4" t="n">
        <v>-4406889721</v>
      </c>
      <c r="N36" s="4" t="n">
        <v>-4569441586</v>
      </c>
      <c r="O36" s="4" t="n">
        <v>-4593793590</v>
      </c>
      <c r="P36" s="4" t="n">
        <v>-4742097248</v>
      </c>
      <c r="Q36" s="4" t="n">
        <v>-1830676123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  <c r="J37" s="4" t="n">
        <v>1540006581949</v>
      </c>
      <c r="K37" s="4" t="n">
        <v>2039520516122</v>
      </c>
      <c r="L37" s="4" t="n">
        <v>1978640933934</v>
      </c>
      <c r="M37" s="4" t="n">
        <v>1816457726192</v>
      </c>
      <c r="N37" s="4" t="n">
        <v>1832199076885</v>
      </c>
      <c r="O37" s="4" t="n">
        <v>1928096152196</v>
      </c>
      <c r="P37" s="4" t="n">
        <v>1405422496340</v>
      </c>
      <c r="Q37" s="4" t="n">
        <v>1420939866967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  <c r="J38" s="4" t="n">
        <v>3072611297376</v>
      </c>
      <c r="K38" s="4" t="n">
        <v>3656302027788</v>
      </c>
      <c r="L38" s="4" t="n">
        <v>3676618000169</v>
      </c>
      <c r="M38" s="4" t="n">
        <v>3570802607022</v>
      </c>
      <c r="N38" s="4" t="n">
        <v>3682298917937</v>
      </c>
      <c r="O38" s="4" t="n">
        <v>3868883110367</v>
      </c>
      <c r="P38" s="4" t="n">
        <v>2741680041457</v>
      </c>
      <c r="Q38" s="4" t="n">
        <v>2842565339777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  <c r="J39" s="4" t="n">
        <v>-1532604715427</v>
      </c>
      <c r="K39" s="4" t="n">
        <v>-1616781511666</v>
      </c>
      <c r="L39" s="4" t="n">
        <v>-1697977066235</v>
      </c>
      <c r="M39" s="4" t="n">
        <v>-1754344880830</v>
      </c>
      <c r="N39" s="4" t="n">
        <v>-1850099841052</v>
      </c>
      <c r="O39" s="4" t="n">
        <v>-1940786958171</v>
      </c>
      <c r="P39" s="4" t="n">
        <v>-1336257545117</v>
      </c>
      <c r="Q39" s="4" t="n">
        <v>-1421625472810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  <c r="J44" s="4" t="n">
        <v>3214141461080</v>
      </c>
      <c r="K44" s="4" t="n">
        <v>3318095237260</v>
      </c>
      <c r="L44" s="4" t="n">
        <v>3526503466795</v>
      </c>
      <c r="M44" s="4" t="n">
        <v>3814048381835</v>
      </c>
      <c r="N44" s="4" t="n">
        <v>3982982376038</v>
      </c>
      <c r="O44" s="4" t="n">
        <v>4737863994182</v>
      </c>
      <c r="P44" s="4" t="n">
        <v>10525098646332</v>
      </c>
      <c r="Q44" s="4" t="n">
        <v>11130697973623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  <c r="J46" s="4" t="n">
        <v>2107973088950</v>
      </c>
      <c r="K46" s="4" t="n">
        <v>2281222436752</v>
      </c>
      <c r="L46" s="4" t="n">
        <v>2496646180033</v>
      </c>
      <c r="M46" s="4" t="n">
        <v>2749087174920</v>
      </c>
      <c r="N46" s="4" t="n">
        <v>2926769962921</v>
      </c>
      <c r="O46" s="4" t="n">
        <v>3581128517425</v>
      </c>
      <c r="P46" s="4" t="n">
        <v>9410217695173</v>
      </c>
      <c r="Q46" s="4" t="n">
        <v>9994654773920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  <c r="J47" s="4" t="n">
        <v>3127281986657</v>
      </c>
      <c r="K47" s="4" t="n">
        <v>3393737969842</v>
      </c>
      <c r="L47" s="4" t="n">
        <v>3422494535673</v>
      </c>
      <c r="M47" s="4" t="n">
        <v>3489039064306</v>
      </c>
      <c r="N47" s="4" t="n">
        <v>3467604969734</v>
      </c>
      <c r="O47" s="4" t="n">
        <v>3823762975906</v>
      </c>
      <c r="P47" s="4" t="n">
        <v>3822196436118</v>
      </c>
      <c r="Q47" s="4" t="n">
        <v>3860276807460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  <c r="J48" s="4" t="n">
        <v>-2021313614527</v>
      </c>
      <c r="K48" s="4" t="n">
        <v>-2357065169334</v>
      </c>
      <c r="L48" s="4" t="n">
        <v>-2392837248911</v>
      </c>
      <c r="M48" s="4" t="n">
        <v>-2424277857391</v>
      </c>
      <c r="N48" s="4" t="n">
        <v>-2411392556617</v>
      </c>
      <c r="O48" s="4" t="n">
        <v>-2667027499149</v>
      </c>
      <c r="P48" s="4" t="n">
        <v>-2710089987125</v>
      </c>
      <c r="Q48" s="4" t="n">
        <v>-2726634298442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  <c r="J50" s="4" t="n">
        <v>5501511121171</v>
      </c>
      <c r="K50" s="4" t="n">
        <v>5438413518284</v>
      </c>
      <c r="L50" s="4" t="n">
        <v>5600891937741</v>
      </c>
      <c r="M50" s="4" t="n">
        <v>5696418377281</v>
      </c>
      <c r="N50" s="4" t="n">
        <v>5915455046818</v>
      </c>
      <c r="O50" s="4" t="n">
        <v>5808727466506</v>
      </c>
      <c r="P50" s="4" t="n">
        <v>3399067564489</v>
      </c>
      <c r="Q50" s="4" t="n">
        <v>3413291406189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  <c r="J51" s="4" t="n">
        <v>3447179472476</v>
      </c>
      <c r="K51" s="4" t="n">
        <v>3765187625417</v>
      </c>
      <c r="L51" s="4" t="n">
        <v>3785638253320</v>
      </c>
      <c r="M51" s="4" t="n">
        <v>3961673550929</v>
      </c>
      <c r="N51" s="4" t="n">
        <v>4112639286448</v>
      </c>
      <c r="O51" s="4" t="n">
        <v>4200230383066</v>
      </c>
      <c r="P51" s="4" t="n">
        <v>1748044165862</v>
      </c>
      <c r="Q51" s="4" t="n">
        <v>1772807068658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  <c r="J52" s="4" t="n">
        <v>281716928073</v>
      </c>
      <c r="K52" s="4" t="n">
        <v>356966680614</v>
      </c>
      <c r="L52" s="4" t="n">
        <v>569727369002</v>
      </c>
      <c r="M52" s="4" t="n">
        <v>314696412607</v>
      </c>
      <c r="N52" s="4" t="n">
        <v>251711896960</v>
      </c>
      <c r="O52" s="4" t="n">
        <v>257727308967</v>
      </c>
      <c r="P52" s="4" t="n">
        <v>225408582305</v>
      </c>
      <c r="Q52" s="4" t="n">
        <v>333045601495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978136521462</v>
      </c>
      <c r="Q53" s="4" t="n">
        <v>935367485878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  <c r="J54" s="4" t="n">
        <v>67581587131382</v>
      </c>
      <c r="K54" s="4" t="n">
        <v>71999995678620</v>
      </c>
      <c r="L54" s="4" t="n">
        <v>73997673121789</v>
      </c>
      <c r="M54" s="4" t="n">
        <v>81266075455371</v>
      </c>
      <c r="N54" s="4" t="n">
        <v>82738304930449</v>
      </c>
      <c r="O54" s="4" t="n">
        <v>88141991634625</v>
      </c>
      <c r="P54" s="4" t="n">
        <v>68586094785217</v>
      </c>
      <c r="Q54" s="4" t="n">
        <v>73563105859500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  <c r="J55" s="4" t="n">
        <v>32217402904957</v>
      </c>
      <c r="K55" s="4" t="n">
        <v>36272455573820</v>
      </c>
      <c r="L55" s="4" t="n">
        <v>36101018424847</v>
      </c>
      <c r="M55" s="4" t="n">
        <v>41393292129716</v>
      </c>
      <c r="N55" s="4" t="n">
        <v>39907781019976</v>
      </c>
      <c r="O55" s="4" t="n">
        <v>44393950887086</v>
      </c>
      <c r="P55" s="4" t="n">
        <v>28464058214856</v>
      </c>
      <c r="Q55" s="4" t="n">
        <v>32567425051243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  <c r="J56" s="4" t="n">
        <v>30969636903539</v>
      </c>
      <c r="K56" s="4" t="n">
        <v>34836184067740</v>
      </c>
      <c r="L56" s="4" t="n">
        <v>33917117422503</v>
      </c>
      <c r="M56" s="4" t="n">
        <v>37683199470884</v>
      </c>
      <c r="N56" s="4" t="n">
        <v>36285959995924</v>
      </c>
      <c r="O56" s="4" t="n">
        <v>41524928721230</v>
      </c>
      <c r="P56" s="4" t="n">
        <v>25696151990523</v>
      </c>
      <c r="Q56" s="4" t="n">
        <v>29194331060043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  <c r="J57" s="4" t="n">
        <v>14167809581083</v>
      </c>
      <c r="K57" s="4" t="n">
        <v>14446238451323</v>
      </c>
      <c r="L57" s="4" t="n">
        <v>18320209599285</v>
      </c>
      <c r="M57" s="4" t="n">
        <v>20297311111107</v>
      </c>
      <c r="N57" s="4" t="n">
        <v>16906417104678</v>
      </c>
      <c r="O57" s="4" t="n">
        <v>19169697497955</v>
      </c>
      <c r="P57" s="4" t="n">
        <v>14491358043012</v>
      </c>
      <c r="Q57" s="4" t="n">
        <v>16368916886521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  <c r="J58" s="4" t="n">
        <v>3096588816686</v>
      </c>
      <c r="K58" s="4" t="n">
        <v>4423912840298</v>
      </c>
      <c r="L58" s="4" t="n">
        <v>3244393302947</v>
      </c>
      <c r="M58" s="4" t="n">
        <v>3048129830899</v>
      </c>
      <c r="N58" s="4" t="n">
        <v>2987803426808</v>
      </c>
      <c r="O58" s="4" t="n">
        <v>3837081314767</v>
      </c>
      <c r="P58" s="4" t="n">
        <v>1852714940817</v>
      </c>
      <c r="Q58" s="4" t="n">
        <v>2156010634465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  <c r="J59" s="4" t="n">
        <v>561493915003</v>
      </c>
      <c r="K59" s="4" t="n">
        <v>562066755666</v>
      </c>
      <c r="L59" s="4" t="n">
        <v>601277867861</v>
      </c>
      <c r="M59" s="4" t="n">
        <v>832680973164</v>
      </c>
      <c r="N59" s="4" t="n">
        <v>889386954751</v>
      </c>
      <c r="O59" s="4" t="n">
        <v>734726007595</v>
      </c>
      <c r="P59" s="4" t="n">
        <v>824581395679</v>
      </c>
      <c r="Q59" s="4" t="n">
        <v>1033356254269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  <c r="J60" s="4" t="n">
        <v>1674374835631</v>
      </c>
      <c r="K60" s="4" t="n">
        <v>2298821801748</v>
      </c>
      <c r="L60" s="4" t="n">
        <v>1121444348802</v>
      </c>
      <c r="M60" s="4" t="n">
        <v>1444374187645</v>
      </c>
      <c r="N60" s="4" t="n">
        <v>1688953475754</v>
      </c>
      <c r="O60" s="4" t="n">
        <v>2199487107880</v>
      </c>
      <c r="P60" s="4" t="n">
        <v>930835170311</v>
      </c>
      <c r="Q60" s="4" t="n">
        <v>1241667525613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  <c r="J61" s="4" t="n">
        <v>4450898103166</v>
      </c>
      <c r="K61" s="4" t="n">
        <v>4341013546853</v>
      </c>
      <c r="L61" s="4" t="n">
        <v>3131535196468</v>
      </c>
      <c r="M61" s="4" t="n">
        <v>4948810580669</v>
      </c>
      <c r="N61" s="4" t="n">
        <v>5855479855263</v>
      </c>
      <c r="O61" s="4" t="n">
        <v>5724811126353</v>
      </c>
      <c r="P61" s="4" t="n">
        <v>2381460234023</v>
      </c>
      <c r="Q61" s="4" t="n">
        <v>3349945087206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  <c r="J62" s="4" t="n">
        <v>1331750914463</v>
      </c>
      <c r="K62" s="4" t="n">
        <v>1241089122260</v>
      </c>
      <c r="L62" s="4" t="n">
        <v>1333924968064</v>
      </c>
      <c r="M62" s="4" t="n">
        <v>1316015133539</v>
      </c>
      <c r="N62" s="4" t="n">
        <v>1288325325852</v>
      </c>
      <c r="O62" s="4" t="n">
        <v>1765446702057</v>
      </c>
      <c r="P62" s="4" t="n">
        <v>1297318040710</v>
      </c>
      <c r="Q62" s="4" t="n">
        <v>1226527799254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  <c r="J64" s="4" t="n">
        <v>73935649016</v>
      </c>
      <c r="K64" s="4" t="n">
        <v>92738882375</v>
      </c>
      <c r="L64" s="4" t="n">
        <v>101890782709</v>
      </c>
      <c r="M64" s="4" t="n">
        <v>146279877893</v>
      </c>
      <c r="N64" s="4" t="n">
        <v>97274560617</v>
      </c>
      <c r="O64" s="4" t="n">
        <v>85650109236</v>
      </c>
      <c r="P64" s="4" t="n">
        <v>72097049140</v>
      </c>
      <c r="Q64" s="4" t="n">
        <v>96625877044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  <c r="J65" s="4" t="n">
        <v>867644213813</v>
      </c>
      <c r="K65" s="4" t="n">
        <v>874015837328</v>
      </c>
      <c r="L65" s="4" t="n">
        <v>1251531665774</v>
      </c>
      <c r="M65" s="4" t="n">
        <v>791618953091</v>
      </c>
      <c r="N65" s="4" t="n">
        <v>886287256355</v>
      </c>
      <c r="O65" s="4" t="n">
        <v>1014754880632</v>
      </c>
      <c r="P65" s="4" t="n">
        <v>586509033785</v>
      </c>
      <c r="Q65" s="4" t="n">
        <v>578496760995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  <c r="J66" s="4" t="n">
        <v>68122659088</v>
      </c>
      <c r="K66" s="4" t="n">
        <v>496600145127</v>
      </c>
      <c r="L66" s="4" t="n">
        <v>469541169378</v>
      </c>
      <c r="M66" s="4" t="n">
        <v>445896728018</v>
      </c>
      <c r="N66" s="4" t="n">
        <v>447281435201</v>
      </c>
      <c r="O66" s="4" t="n">
        <v>599498384069</v>
      </c>
      <c r="P66" s="4" t="n">
        <v>568429169238</v>
      </c>
      <c r="Q66" s="4" t="n">
        <v>288730515471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  <c r="J67" s="4" t="n">
        <v>1067832843209</v>
      </c>
      <c r="K67" s="4" t="n">
        <v>1835037318363</v>
      </c>
      <c r="L67" s="4" t="n">
        <v>1651013852183</v>
      </c>
      <c r="M67" s="4" t="n">
        <v>1506718165310</v>
      </c>
      <c r="N67" s="4" t="n">
        <v>1466277560451</v>
      </c>
      <c r="O67" s="4" t="n">
        <v>2160076871985</v>
      </c>
      <c r="P67" s="4" t="n">
        <v>1576181989047</v>
      </c>
      <c r="Q67" s="4" t="n">
        <v>1486454818794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  <c r="J68" s="4" t="n">
        <v>1247766001418</v>
      </c>
      <c r="K68" s="4" t="n">
        <v>1436271506080</v>
      </c>
      <c r="L68" s="4" t="n">
        <v>2183901002344</v>
      </c>
      <c r="M68" s="4" t="n">
        <v>3710092658832</v>
      </c>
      <c r="N68" s="4" t="n">
        <v>3621821024052</v>
      </c>
      <c r="O68" s="4" t="n">
        <v>2869022165856</v>
      </c>
      <c r="P68" s="4" t="n">
        <v>2767906224333</v>
      </c>
      <c r="Q68" s="4" t="n">
        <v>3373093991200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  <c r="J71" s="4" t="n">
        <v>191578670665</v>
      </c>
      <c r="K71" s="4" t="n">
        <v>183788442785</v>
      </c>
      <c r="L71" s="4" t="n">
        <v>174873393589</v>
      </c>
      <c r="M71" s="4" t="n">
        <v>146036731316</v>
      </c>
      <c r="N71" s="4" t="n">
        <v>148623774023</v>
      </c>
      <c r="O71" s="4" t="n">
        <v>149213186822</v>
      </c>
      <c r="P71" s="4" t="n">
        <v>144425098064</v>
      </c>
      <c r="Q71" s="4" t="n">
        <v>144842348914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  <c r="J72" s="4" t="n">
        <v>478259485405</v>
      </c>
      <c r="K72" s="4" t="n">
        <v>501115537075</v>
      </c>
      <c r="L72" s="4" t="n">
        <v>987681080191</v>
      </c>
      <c r="M72" s="4" t="n">
        <v>2739611909827</v>
      </c>
      <c r="N72" s="4" t="n">
        <v>2681435422290</v>
      </c>
      <c r="O72" s="4" t="n">
        <v>1903789988184</v>
      </c>
      <c r="P72" s="4" t="n">
        <v>1605069048520</v>
      </c>
      <c r="Q72" s="4" t="n">
        <v>2080610610531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  <c r="J75" s="4" t="n">
        <v>159682175736</v>
      </c>
      <c r="K75" s="4" t="n">
        <v>262864215119</v>
      </c>
      <c r="L75" s="4" t="n">
        <v>302827405368</v>
      </c>
      <c r="M75" s="4" t="n">
        <v>355154902907</v>
      </c>
      <c r="N75" s="4" t="n">
        <v>382749454108</v>
      </c>
      <c r="O75" s="4" t="n">
        <v>405858410471</v>
      </c>
      <c r="P75" s="4" t="n">
        <v>441640477170</v>
      </c>
      <c r="Q75" s="4" t="n">
        <v>468308723263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  <c r="J76" s="4" t="n">
        <v>136336645256</v>
      </c>
      <c r="K76" s="4" t="n">
        <v>131344534204</v>
      </c>
      <c r="L76" s="4" t="n">
        <v>148599657911</v>
      </c>
      <c r="M76" s="4" t="n">
        <v>154400605892</v>
      </c>
      <c r="N76" s="4" t="n">
        <v>157108380388</v>
      </c>
      <c r="O76" s="4" t="n">
        <v>152241175129</v>
      </c>
      <c r="P76" s="4" t="n">
        <v>351170921991</v>
      </c>
      <c r="Q76" s="4" t="n">
        <v>346094610714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  <c r="J77" s="4" t="n">
        <v>192096283</v>
      </c>
      <c r="K77" s="4" t="n">
        <v>192096283</v>
      </c>
      <c r="L77" s="4" t="n">
        <v>192096283</v>
      </c>
      <c r="M77" s="4" t="n">
        <v>192096283</v>
      </c>
      <c r="N77" s="4" t="n">
        <v>192096283</v>
      </c>
      <c r="O77" s="4" t="n">
        <v>192096283</v>
      </c>
      <c r="P77" s="4" t="n">
        <v>192096283</v>
      </c>
      <c r="Q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  <c r="J78" s="4" t="n">
        <v>35364184226425</v>
      </c>
      <c r="K78" s="4" t="n">
        <v>35727540104800</v>
      </c>
      <c r="L78" s="4" t="n">
        <v>37896654696942</v>
      </c>
      <c r="M78" s="4" t="n">
        <v>39872783325655</v>
      </c>
      <c r="N78" s="4" t="n">
        <v>42830523910473</v>
      </c>
      <c r="O78" s="4" t="n">
        <v>43748040747539</v>
      </c>
      <c r="P78" s="4" t="n">
        <v>40122036570361</v>
      </c>
      <c r="Q78" s="4" t="n">
        <v>40995680808257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  <c r="J79" s="4" t="n">
        <v>35361434226425</v>
      </c>
      <c r="K79" s="4" t="n">
        <v>35724790104800</v>
      </c>
      <c r="L79" s="4" t="n">
        <v>37893904696942</v>
      </c>
      <c r="M79" s="4" t="n">
        <v>39870033325655</v>
      </c>
      <c r="N79" s="4" t="n">
        <v>42827773910473</v>
      </c>
      <c r="O79" s="4" t="n">
        <v>43745290747539</v>
      </c>
      <c r="P79" s="4" t="n">
        <v>40122036570361</v>
      </c>
      <c r="Q79" s="4" t="n">
        <v>40995680808257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  <c r="J80" s="4" t="n">
        <v>14604480660000</v>
      </c>
      <c r="K80" s="4" t="n">
        <v>14710691830000</v>
      </c>
      <c r="L80" s="4" t="n">
        <v>14710691830000</v>
      </c>
      <c r="M80" s="4" t="n">
        <v>14813301220000</v>
      </c>
      <c r="N80" s="4" t="n">
        <v>17035071210000</v>
      </c>
      <c r="O80" s="4" t="n">
        <v>17035071210000</v>
      </c>
      <c r="P80" s="4" t="n">
        <v>17035071210000</v>
      </c>
      <c r="Q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  <c r="J81" s="4" t="n">
        <v>49713213411</v>
      </c>
      <c r="K81" s="4" t="n">
        <v>49713213411</v>
      </c>
      <c r="L81" s="4" t="n">
        <v>49713213411</v>
      </c>
      <c r="M81" s="4" t="n">
        <v>49713213411</v>
      </c>
      <c r="N81" s="4" t="n">
        <v>49713213411</v>
      </c>
      <c r="O81" s="4" t="n">
        <v>49713213411</v>
      </c>
      <c r="P81" s="4" t="n">
        <v>49713213411</v>
      </c>
      <c r="Q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  <c r="J82" s="4" t="n">
        <v>1928079706361</v>
      </c>
      <c r="K82" s="4" t="n">
        <v>1929012703454</v>
      </c>
      <c r="L82" s="4" t="n">
        <v>1929012703454</v>
      </c>
      <c r="M82" s="4" t="n">
        <v>3445303270339</v>
      </c>
      <c r="N82" s="4" t="n">
        <v>3499547369952</v>
      </c>
      <c r="O82" s="4" t="n">
        <v>3499547369952</v>
      </c>
      <c r="P82" s="4" t="n">
        <v>855267876251</v>
      </c>
      <c r="Q82" s="4" t="n">
        <v>1043127203439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  <c r="J85" s="4" t="n">
        <v>-29631639215</v>
      </c>
      <c r="K85" s="4" t="n">
        <v>-49485560860</v>
      </c>
      <c r="L85" s="4" t="n">
        <v>13708111052</v>
      </c>
      <c r="M85" s="4" t="n">
        <v>-2943195191</v>
      </c>
      <c r="N85" s="4" t="n">
        <v>-27681339351</v>
      </c>
      <c r="O85" s="4" t="n">
        <v>-70185856586</v>
      </c>
      <c r="P85" s="4" t="n">
        <v>-108259470829</v>
      </c>
      <c r="Q85" s="4" t="n">
        <v>-131741954400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  <c r="J86" s="4" t="n">
        <v>1785871347912</v>
      </c>
      <c r="K86" s="4" t="n">
        <v>2033289141535</v>
      </c>
      <c r="L86" s="4" t="n">
        <v>2071074307101</v>
      </c>
      <c r="M86" s="4" t="n">
        <v>1153142943064</v>
      </c>
      <c r="N86" s="4" t="n">
        <v>1237865469600</v>
      </c>
      <c r="O86" s="4" t="n">
        <v>1575367587172</v>
      </c>
      <c r="P86" s="4" t="n">
        <v>1326445413495</v>
      </c>
      <c r="Q86" s="4" t="n">
        <v>1393729943076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  <c r="J88" s="4" t="n">
        <v>87730484825</v>
      </c>
      <c r="K88" s="4" t="n">
        <v>87730484825</v>
      </c>
      <c r="L88" s="4" t="n">
        <v>91579141774</v>
      </c>
      <c r="M88" s="4" t="n">
        <v>87228267320</v>
      </c>
      <c r="N88" s="4" t="n">
        <v>88263628887</v>
      </c>
      <c r="O88" s="4" t="n">
        <v>88263628887</v>
      </c>
      <c r="P88" s="4" t="n">
        <v>91013628887</v>
      </c>
      <c r="Q88" s="4" t="n">
        <v>91013628887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  <c r="J89" s="4" t="n">
        <v>11263802921306</v>
      </c>
      <c r="K89" s="4" t="n">
        <v>11030528671431</v>
      </c>
      <c r="L89" s="4" t="n">
        <v>13205526456323</v>
      </c>
      <c r="M89" s="4" t="n">
        <v>13754755729692</v>
      </c>
      <c r="N89" s="4" t="n">
        <v>13905342142939</v>
      </c>
      <c r="O89" s="4" t="n">
        <v>14302416791936</v>
      </c>
      <c r="P89" s="4" t="n">
        <v>19702755221930</v>
      </c>
      <c r="Q89" s="4" t="n">
        <v>20370550280517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  <c r="J91" s="4" t="n">
        <v>2750000000</v>
      </c>
      <c r="K91" s="4" t="n">
        <v>2750000000</v>
      </c>
      <c r="L91" s="4" t="n">
        <v>2750000000</v>
      </c>
      <c r="M91" s="4" t="n">
        <v>2750000000</v>
      </c>
      <c r="N91" s="4" t="n">
        <v>2750000000</v>
      </c>
      <c r="O91" s="4" t="n">
        <v>2750000000</v>
      </c>
      <c r="P91" s="4" t="n">
        <v>0</v>
      </c>
      <c r="Q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  <c r="J93" s="4" t="n">
        <v>2750000000</v>
      </c>
      <c r="K93" s="4" t="n">
        <v>2750000000</v>
      </c>
      <c r="L93" s="4" t="n">
        <v>2750000000</v>
      </c>
      <c r="M93" s="4" t="n">
        <v>2750000000</v>
      </c>
      <c r="N93" s="4" t="n">
        <v>2750000000</v>
      </c>
      <c r="O93" s="4" t="n">
        <v>2750000000</v>
      </c>
      <c r="P93" s="4" t="n">
        <v>0</v>
      </c>
      <c r="Q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  <c r="J95" s="4" t="n">
        <v>67581587131382</v>
      </c>
      <c r="K95" s="4" t="n">
        <v>71999995678620</v>
      </c>
      <c r="L95" s="4" t="n">
        <v>73997673121789</v>
      </c>
      <c r="M95" s="4" t="n">
        <v>81266075455371</v>
      </c>
      <c r="N95" s="4" t="n">
        <v>82738304930449</v>
      </c>
      <c r="O95" s="4" t="n">
        <v>88141991634625</v>
      </c>
      <c r="P95" s="4" t="n">
        <v>68586094785217</v>
      </c>
      <c r="Q95" s="4" t="n">
        <v>73563105859500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  <c r="J97" s="4" t="n">
        <v>200000000</v>
      </c>
      <c r="K97" s="4" t="n">
        <v>200000000</v>
      </c>
      <c r="L97" s="4" t="n">
        <v>200000000</v>
      </c>
      <c r="M97" s="4" t="n">
        <v>200000000</v>
      </c>
      <c r="N97" s="4" t="n">
        <v>0</v>
      </c>
      <c r="O97" s="4" t="n">
        <v>0</v>
      </c>
      <c r="P97" s="4" t="n">
        <v>2774502166</v>
      </c>
      <c r="Q97" s="4" t="n">
        <v>2400690685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  <c r="J100" s="4" t="n">
        <v>33543915000</v>
      </c>
      <c r="K100" s="4" t="n">
        <v>9808117590</v>
      </c>
      <c r="L100" s="4" t="n">
        <v>9757907901</v>
      </c>
      <c r="M100" s="4" t="n">
        <v>10069852326</v>
      </c>
      <c r="N100" s="4" t="n">
        <v>45227471491</v>
      </c>
      <c r="O100" s="4" t="n">
        <v>9195910819</v>
      </c>
      <c r="P100" s="4" t="n">
        <v>0</v>
      </c>
      <c r="Q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  <c r="J103" s="4" t="n">
        <v>897416719</v>
      </c>
      <c r="K103" s="4" t="n">
        <v>2509722351</v>
      </c>
      <c r="L103" s="4" t="n">
        <v>3234647419</v>
      </c>
      <c r="M103" s="4" t="n">
        <v>5262117035</v>
      </c>
      <c r="N103" s="4" t="n">
        <v>4847000537</v>
      </c>
      <c r="O103" s="4" t="n">
        <v>5278733014</v>
      </c>
      <c r="P103" s="4" t="n">
        <v>0</v>
      </c>
      <c r="Q103" s="4" t="n">
        <v>0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  <c r="J104" s="4" t="n">
        <v>1474733361173</v>
      </c>
      <c r="K104" s="4" t="n">
        <v>2559766724411</v>
      </c>
      <c r="L104" s="4" t="n">
        <v>2812693461694</v>
      </c>
      <c r="M104" s="4" t="n">
        <v>1752692606082</v>
      </c>
      <c r="N104" s="4" t="n">
        <v>1639392184214</v>
      </c>
      <c r="O104" s="4" t="n">
        <v>1605078004898</v>
      </c>
      <c r="P104" s="4" t="n">
        <v>979678197873</v>
      </c>
      <c r="Q104" s="4" t="n">
        <v>1045519993336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  <c r="J108" s="4" t="n">
        <v>3609185372381</v>
      </c>
      <c r="K108" s="4" t="n">
        <v>4224649366399</v>
      </c>
      <c r="L108" s="4" t="n">
        <v>2690354669032</v>
      </c>
      <c r="M108" s="4" t="n">
        <v>2905363929549</v>
      </c>
      <c r="N108" s="4" t="n">
        <v>3772473040194</v>
      </c>
      <c r="O108" s="4" t="n">
        <v>4233698718701</v>
      </c>
      <c r="P108" s="4" t="n">
        <v>1095442672376</v>
      </c>
      <c r="Q108" s="4" t="n">
        <v>1346949156101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  <c r="J116" s="4" t="n">
        <v>14604480660000</v>
      </c>
      <c r="K116" s="4" t="n">
        <v>14710691830000</v>
      </c>
      <c r="L116" s="4" t="n">
        <v>14710691830000</v>
      </c>
      <c r="M116" s="4" t="n">
        <v>14813301220000</v>
      </c>
      <c r="N116" s="4" t="n">
        <v>17035071210000</v>
      </c>
      <c r="O116" s="4" t="n">
        <v>17035071210000</v>
      </c>
      <c r="P116" s="4" t="n">
        <v>17035071210000</v>
      </c>
      <c r="Q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  <c r="J118" s="4" t="n">
        <v>5501785086737</v>
      </c>
      <c r="K118" s="4" t="n">
        <v>5458228109134</v>
      </c>
      <c r="L118" s="4" t="n">
        <v>11031225069798</v>
      </c>
      <c r="M118" s="4" t="n">
        <v>9318475419282</v>
      </c>
      <c r="N118" s="4" t="n">
        <v>7034262059129</v>
      </c>
      <c r="O118" s="4" t="n">
        <v>7369582215178</v>
      </c>
      <c r="P118" s="4" t="n">
        <v>17215383634831</v>
      </c>
      <c r="Q118" s="4" t="n">
        <v>15315702173126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  <c r="J119" s="4" t="n">
        <v>5762017834569</v>
      </c>
      <c r="K119" s="4" t="n">
        <v>5572300562297</v>
      </c>
      <c r="L119" s="4" t="n">
        <v>2174301386525</v>
      </c>
      <c r="M119" s="4" t="n">
        <v>4436280310410</v>
      </c>
      <c r="N119" s="4" t="n">
        <v>6871080083810</v>
      </c>
      <c r="O119" s="4" t="n">
        <v>6932834576758</v>
      </c>
      <c r="P119" s="4" t="n">
        <v>2487371587099</v>
      </c>
      <c r="Q119" s="4" t="n">
        <v>5054848107391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  <c r="J120" s="4" t="n">
        <v>1474733361173</v>
      </c>
      <c r="K120" s="4" t="n">
        <v>2559766724411</v>
      </c>
      <c r="L120" s="4" t="n">
        <v>2812693461694</v>
      </c>
      <c r="M120" s="4" t="n">
        <v>1752692606082</v>
      </c>
      <c r="N120" s="4" t="n">
        <v>1639392184214</v>
      </c>
      <c r="O120" s="4" t="n">
        <v>1605078004898</v>
      </c>
      <c r="P120" s="4" t="n">
        <v>979678197873</v>
      </c>
      <c r="Q120" s="4" t="n">
        <v>1045519993336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  <c r="J121" s="4" t="n">
        <v>1434724678776</v>
      </c>
      <c r="K121" s="4" t="n">
        <v>1097458206678</v>
      </c>
      <c r="L121" s="4" t="n">
        <v>1066102117874</v>
      </c>
      <c r="M121" s="4" t="n">
        <v>1157563156639</v>
      </c>
      <c r="N121" s="4" t="n">
        <v>1175980649927</v>
      </c>
      <c r="O121" s="4" t="n">
        <v>1015730266161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  <c r="J122" s="4" t="n">
        <v>5671387531825</v>
      </c>
      <c r="K122" s="4" t="n">
        <v>5933309621004</v>
      </c>
      <c r="L122" s="4" t="n">
        <v>5822598933827</v>
      </c>
      <c r="M122" s="4" t="n">
        <v>6569531877020</v>
      </c>
      <c r="N122" s="4" t="n">
        <v>7039652215035</v>
      </c>
      <c r="O122" s="4" t="n">
        <v>7265096802767</v>
      </c>
      <c r="P122" s="4" t="n">
        <v>1170029477216</v>
      </c>
      <c r="Q122" s="4" t="n">
        <v>1144217283327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0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  <c r="J2" s="4" t="n">
        <v>15972397069700</v>
      </c>
      <c r="K2" s="4" t="n">
        <v>17651065378939</v>
      </c>
      <c r="L2" s="4" t="n">
        <v>16064980391264</v>
      </c>
      <c r="M2" s="4" t="n">
        <v>16658335760739</v>
      </c>
      <c r="N2" s="4" t="n">
        <v>17225507121683</v>
      </c>
      <c r="O2" s="4" t="n">
        <v>20258865670867</v>
      </c>
      <c r="P2" s="4" t="n">
        <v>12485836704352</v>
      </c>
      <c r="Q2" s="4" t="n">
        <v>13810340987151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  <c r="J3" s="4" t="n">
        <v>-69575353943</v>
      </c>
      <c r="K3" s="4" t="n">
        <v>-43247573048</v>
      </c>
      <c r="L3" s="4" t="n">
        <v>-6839448804</v>
      </c>
      <c r="M3" s="4" t="n">
        <v>-33622720672</v>
      </c>
      <c r="N3" s="4" t="n">
        <v>-20985896381</v>
      </c>
      <c r="O3" s="4" t="n">
        <v>-33415777986</v>
      </c>
      <c r="P3" s="4" t="n">
        <v>-5839497577</v>
      </c>
      <c r="Q3" s="4" t="n">
        <v>-21837525952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  <c r="J4" s="4" t="n">
        <v>15902821715757</v>
      </c>
      <c r="K4" s="4" t="n">
        <v>17607817805891</v>
      </c>
      <c r="L4" s="4" t="n">
        <v>16058140942460</v>
      </c>
      <c r="M4" s="4" t="n">
        <v>16624713040067</v>
      </c>
      <c r="N4" s="4" t="n">
        <v>17204521225302</v>
      </c>
      <c r="O4" s="4" t="n">
        <v>20225449892881</v>
      </c>
      <c r="P4" s="4" t="n">
        <v>12479997206775</v>
      </c>
      <c r="Q4" s="4" t="n">
        <v>13788503461199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  <c r="J5" s="4" t="n">
        <v>-9743866051351</v>
      </c>
      <c r="K5" s="4" t="n">
        <v>-11230248103366</v>
      </c>
      <c r="L5" s="4" t="n">
        <v>-9756793038194</v>
      </c>
      <c r="M5" s="4" t="n">
        <v>-10603672997092</v>
      </c>
      <c r="N5" s="4" t="n">
        <v>-10685654746292</v>
      </c>
      <c r="O5" s="4" t="n">
        <v>-13178174806719</v>
      </c>
      <c r="P5" s="4" t="n">
        <v>-8235107316087</v>
      </c>
      <c r="Q5" s="4" t="n">
        <v>-9508759180985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  <c r="J6" s="4" t="n">
        <v>6158955664406</v>
      </c>
      <c r="K6" s="4" t="n">
        <v>6377569702525</v>
      </c>
      <c r="L6" s="4" t="n">
        <v>6301347904266</v>
      </c>
      <c r="M6" s="4" t="n">
        <v>6021040042975</v>
      </c>
      <c r="N6" s="4" t="n">
        <v>6518866479010</v>
      </c>
      <c r="O6" s="4" t="n">
        <v>7047275086162</v>
      </c>
      <c r="P6" s="4" t="n">
        <v>4244889890688</v>
      </c>
      <c r="Q6" s="4" t="n">
        <v>4279744280214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  <c r="J7" s="4" t="n">
        <v>326689006856</v>
      </c>
      <c r="K7" s="4" t="n">
        <v>582674583940</v>
      </c>
      <c r="L7" s="4" t="n">
        <v>573331893191</v>
      </c>
      <c r="M7" s="4" t="n">
        <v>1237012067887</v>
      </c>
      <c r="N7" s="4" t="n">
        <v>613110473502</v>
      </c>
      <c r="O7" s="4" t="n">
        <v>553701922193</v>
      </c>
      <c r="P7" s="4" t="n">
        <v>415863869179</v>
      </c>
      <c r="Q7" s="4" t="n">
        <v>582702088944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  <c r="J8" s="4" t="n">
        <v>-308178806879</v>
      </c>
      <c r="K8" s="4" t="n">
        <v>-831375395433</v>
      </c>
      <c r="L8" s="4" t="n">
        <v>-311343769364</v>
      </c>
      <c r="M8" s="4" t="n">
        <v>-531385256080</v>
      </c>
      <c r="N8" s="4" t="n">
        <v>-352575079871</v>
      </c>
      <c r="O8" s="4" t="n">
        <v>-476744596151</v>
      </c>
      <c r="P8" s="4" t="n">
        <v>-367211384721</v>
      </c>
      <c r="Q8" s="4" t="n">
        <v>-301567378414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  <c r="J9" s="4" t="n">
        <v>-128825950601</v>
      </c>
      <c r="K9" s="4" t="n">
        <v>-134854268998</v>
      </c>
      <c r="L9" s="4" t="n">
        <v>-152389538333</v>
      </c>
      <c r="M9" s="4" t="n">
        <v>-216761295705</v>
      </c>
      <c r="N9" s="4" t="n">
        <v>-233582914481</v>
      </c>
      <c r="O9" s="4" t="n">
        <v>-207025852637</v>
      </c>
      <c r="P9" s="4" t="n">
        <v>-179461207664</v>
      </c>
      <c r="Q9" s="4" t="n">
        <v>-212582739626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  <c r="J10" s="4" t="n">
        <v>-1563862943636</v>
      </c>
      <c r="K10" s="4" t="n">
        <v>-1594938073232</v>
      </c>
      <c r="L10" s="4" t="n">
        <v>-1828785929282</v>
      </c>
      <c r="M10" s="4" t="n">
        <v>-1790295896888</v>
      </c>
      <c r="N10" s="4" t="n">
        <v>-1916582832643</v>
      </c>
      <c r="O10" s="4" t="n">
        <v>-2026995981641</v>
      </c>
      <c r="P10" s="4" t="n">
        <v>-1002337155317</v>
      </c>
      <c r="Q10" s="4" t="n">
        <v>-1149052845981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  <c r="J11" s="4" t="n">
        <v>-1807957864952</v>
      </c>
      <c r="K11" s="4" t="n">
        <v>-1729950878232</v>
      </c>
      <c r="L11" s="4" t="n">
        <v>-1877437056836</v>
      </c>
      <c r="M11" s="4" t="n">
        <v>-1913677311579</v>
      </c>
      <c r="N11" s="4" t="n">
        <v>-1647276732839</v>
      </c>
      <c r="O11" s="4" t="n">
        <v>-1898934296550</v>
      </c>
      <c r="P11" s="4" t="n">
        <v>-1210282662926</v>
      </c>
      <c r="Q11" s="4" t="n">
        <v>-1282674105890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  <c r="J12" s="4" t="n">
        <v>2948226004570</v>
      </c>
      <c r="K12" s="4" t="n">
        <v>2920874681756</v>
      </c>
      <c r="L12" s="4" t="n">
        <v>2993843378813</v>
      </c>
      <c r="M12" s="4" t="n">
        <v>3129408582030</v>
      </c>
      <c r="N12" s="4" t="n">
        <v>3346375732746</v>
      </c>
      <c r="O12" s="4" t="n">
        <v>3482048271187</v>
      </c>
      <c r="P12" s="4" t="n">
        <v>2747763827050</v>
      </c>
      <c r="Q12" s="4" t="n">
        <v>2885709265076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  <c r="J13" s="4" t="n">
        <v>34674999189</v>
      </c>
      <c r="K13" s="4" t="n">
        <v>68481380356</v>
      </c>
      <c r="L13" s="4" t="n">
        <v>39212521539</v>
      </c>
      <c r="M13" s="4" t="n">
        <v>28751046396</v>
      </c>
      <c r="N13" s="4" t="n">
        <v>34839399621</v>
      </c>
      <c r="O13" s="4" t="n">
        <v>40089602924</v>
      </c>
      <c r="P13" s="4" t="n">
        <v>61674012142</v>
      </c>
      <c r="Q13" s="4" t="n">
        <v>28202699736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  <c r="J14" s="4" t="n">
        <v>-74280370385</v>
      </c>
      <c r="K14" s="4" t="n">
        <v>-30860884043</v>
      </c>
      <c r="L14" s="4" t="n">
        <v>-8362389503</v>
      </c>
      <c r="M14" s="4" t="n">
        <v>-17127043966</v>
      </c>
      <c r="N14" s="4" t="n">
        <v>-6476534277</v>
      </c>
      <c r="O14" s="4" t="n">
        <v>-18969733714</v>
      </c>
      <c r="P14" s="4" t="n">
        <v>-5593557516</v>
      </c>
      <c r="Q14" s="4" t="n">
        <v>-3519930328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  <c r="J15" s="4" t="n">
        <v>-39605371196</v>
      </c>
      <c r="K15" s="4" t="n">
        <v>37620496313</v>
      </c>
      <c r="L15" s="4" t="n">
        <v>30850132036</v>
      </c>
      <c r="M15" s="4" t="n">
        <v>11624002430</v>
      </c>
      <c r="N15" s="4" t="n">
        <v>28362865344</v>
      </c>
      <c r="O15" s="4" t="n">
        <v>21119869210</v>
      </c>
      <c r="P15" s="4" t="n">
        <v>56080454626</v>
      </c>
      <c r="Q15" s="4" t="n">
        <v>24682769408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  <c r="J17" s="4" t="n">
        <v>2908620633374</v>
      </c>
      <c r="K17" s="4" t="n">
        <v>2958495178069</v>
      </c>
      <c r="L17" s="4" t="n">
        <v>3024693510849</v>
      </c>
      <c r="M17" s="4" t="n">
        <v>3141032584460</v>
      </c>
      <c r="N17" s="4" t="n">
        <v>3374738598090</v>
      </c>
      <c r="O17" s="4" t="n">
        <v>3503168140397</v>
      </c>
      <c r="P17" s="4" t="n">
        <v>2803844281676</v>
      </c>
      <c r="Q17" s="4" t="n">
        <v>2910392034484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  <c r="J18" s="4" t="n">
        <v>-441224951554</v>
      </c>
      <c r="K18" s="4" t="n">
        <v>-530698618727</v>
      </c>
      <c r="L18" s="4" t="n">
        <v>-377287599563</v>
      </c>
      <c r="M18" s="4" t="n">
        <v>-463961750401</v>
      </c>
      <c r="N18" s="4" t="n">
        <v>-589553627034</v>
      </c>
      <c r="O18" s="4" t="n">
        <v>-486195215444</v>
      </c>
      <c r="P18" s="4" t="n">
        <v>-454678597413</v>
      </c>
      <c r="Q18" s="4" t="n">
        <v>-268616407190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  <c r="J19" s="4" t="n">
        <v>11201940680</v>
      </c>
      <c r="K19" s="4" t="n">
        <v>73049924176</v>
      </c>
      <c r="L19" s="4" t="n">
        <v>-51848430977</v>
      </c>
      <c r="M19" s="4" t="n">
        <v>63200566619</v>
      </c>
      <c r="N19" s="4" t="n">
        <v>116360781594</v>
      </c>
      <c r="O19" s="4" t="n">
        <v>-22008107857</v>
      </c>
      <c r="P19" s="4" t="n">
        <v>127624149218</v>
      </c>
      <c r="Q19" s="4" t="n">
        <v>-71436527673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  <c r="J20" s="4" t="n">
        <v>-430023010874</v>
      </c>
      <c r="K20" s="4" t="n">
        <v>-457648694551</v>
      </c>
      <c r="L20" s="4" t="n">
        <v>-429136030540</v>
      </c>
      <c r="M20" s="4" t="n">
        <v>-400761183782</v>
      </c>
      <c r="N20" s="4" t="n">
        <v>-473192845440</v>
      </c>
      <c r="O20" s="4" t="n">
        <v>-508203323301</v>
      </c>
      <c r="P20" s="4" t="n">
        <v>-327054448195</v>
      </c>
      <c r="Q20" s="4" t="n">
        <v>-340052934863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  <c r="J21" s="4" t="n">
        <v>2478597622500</v>
      </c>
      <c r="K21" s="4" t="n">
        <v>2500846483518</v>
      </c>
      <c r="L21" s="4" t="n">
        <v>2595557480309</v>
      </c>
      <c r="M21" s="4" t="n">
        <v>2740271400678</v>
      </c>
      <c r="N21" s="4" t="n">
        <v>2901545752650</v>
      </c>
      <c r="O21" s="4" t="n">
        <v>2994964817096</v>
      </c>
      <c r="P21" s="4" t="n">
        <v>2476789833481</v>
      </c>
      <c r="Q21" s="4" t="n">
        <v>2570339099621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  <c r="J22" s="4" t="n">
        <v>389745410092</v>
      </c>
      <c r="K22" s="4" t="n">
        <v>406120515813</v>
      </c>
      <c r="L22" s="4" t="n">
        <v>421256093784</v>
      </c>
      <c r="M22" s="4" t="n">
        <v>482808812555</v>
      </c>
      <c r="N22" s="4" t="n">
        <v>466704317918</v>
      </c>
      <c r="O22" s="4" t="n">
        <v>485442596976</v>
      </c>
      <c r="P22" s="4" t="n">
        <v>-10581753618</v>
      </c>
      <c r="Q22" s="4" t="n">
        <v>2752085187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  <c r="J23" s="4" t="n">
        <v>2088852212408</v>
      </c>
      <c r="K23" s="4" t="n">
        <v>2094725967705</v>
      </c>
      <c r="L23" s="4" t="n">
        <v>2174301386525</v>
      </c>
      <c r="M23" s="4" t="n">
        <v>2257462588123</v>
      </c>
      <c r="N23" s="4" t="n">
        <v>2434841434732</v>
      </c>
      <c r="O23" s="4" t="n">
        <v>2509522220120</v>
      </c>
      <c r="P23" s="4" t="n">
        <v>2487371587099</v>
      </c>
      <c r="Q23" s="4" t="n">
        <v>2567587014434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  <c r="J24" s="4" t="n">
        <v>1430</v>
      </c>
      <c r="K24" s="4" t="n">
        <v>347</v>
      </c>
      <c r="L24" s="4" t="n">
        <v>1478</v>
      </c>
      <c r="M24" s="4" t="n">
        <v>1135</v>
      </c>
      <c r="N24" s="4" t="n">
        <v>1036</v>
      </c>
      <c r="O24" s="4" t="n">
        <v>1173</v>
      </c>
      <c r="P24" s="4" t="n">
        <v>1460</v>
      </c>
      <c r="Q24" s="4" t="n">
        <v>1507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  <c r="J25" s="4" t="n">
        <v>1430</v>
      </c>
      <c r="K25" s="4" t="n">
        <v>347</v>
      </c>
      <c r="L25" s="4" t="n">
        <v>1478</v>
      </c>
      <c r="M25" s="4" t="n">
        <v>1135</v>
      </c>
      <c r="N25" s="4" t="n">
        <v>1036</v>
      </c>
      <c r="O25" s="4" t="n">
        <v>1173</v>
      </c>
      <c r="P25" s="4" t="n">
        <v>1460</v>
      </c>
      <c r="Q25" s="4" t="n">
        <v>1507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  <c r="J26" s="4" t="n">
        <v>142580948775</v>
      </c>
      <c r="K26" s="4" t="n">
        <v>116894742188</v>
      </c>
      <c r="L26" s="4" t="n">
        <v>136730336838</v>
      </c>
      <c r="M26" s="4" t="n">
        <v>106714935715</v>
      </c>
      <c r="N26" s="4" t="n">
        <v>130833425587</v>
      </c>
      <c r="O26" s="4" t="n">
        <v>283746137174</v>
      </c>
      <c r="P26" s="4" t="n">
        <v>666841270147</v>
      </c>
      <c r="Q26" s="4" t="n">
        <v>756557226203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  <c r="J2" s="4" t="n">
        <v>2908620633374</v>
      </c>
      <c r="K2" s="4" t="n">
        <v>2958495178069</v>
      </c>
      <c r="L2" s="4" t="n">
        <v>3024693510849</v>
      </c>
      <c r="M2" s="4" t="n">
        <v>3141032584460</v>
      </c>
      <c r="N2" s="4" t="n">
        <v>3374738598090</v>
      </c>
      <c r="O2" s="4" t="n">
        <v>3503168140398</v>
      </c>
      <c r="P2" s="4" t="n">
        <v>2803844281676</v>
      </c>
      <c r="Q2" s="4" t="n">
        <v>2910392034484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  <c r="J3" s="4" t="n">
        <v>644267304242</v>
      </c>
      <c r="K3" s="4" t="n">
        <v>643307118661</v>
      </c>
      <c r="L3" s="4" t="n">
        <v>644023121646</v>
      </c>
      <c r="M3" s="4" t="n">
        <v>721965579781</v>
      </c>
      <c r="N3" s="4" t="n">
        <v>734178712672</v>
      </c>
      <c r="O3" s="4" t="n">
        <v>814010946633</v>
      </c>
      <c r="P3" s="4" t="n">
        <v>409926454508</v>
      </c>
      <c r="Q3" s="4" t="n">
        <v>434700759221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  <c r="J4" s="4" t="n">
        <v>184625096550</v>
      </c>
      <c r="K4" s="4" t="n">
        <v>869017513957</v>
      </c>
      <c r="L4" s="4" t="n">
        <v>85128981266</v>
      </c>
      <c r="M4" s="4" t="n">
        <v>57938863082</v>
      </c>
      <c r="N4" s="4" t="n">
        <v>47498611636</v>
      </c>
      <c r="O4" s="4" t="n">
        <v>460839826670</v>
      </c>
      <c r="P4" s="4" t="n">
        <v>67698461987</v>
      </c>
      <c r="Q4" s="4" t="n">
        <v>-243980987282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  <c r="J5" s="4" t="n">
        <v>181991482518</v>
      </c>
      <c r="K5" s="4" t="n">
        <v>-70305066169</v>
      </c>
      <c r="L5" s="4" t="n">
        <v>-71839057689</v>
      </c>
      <c r="M5" s="4" t="n">
        <v>-64717262394</v>
      </c>
      <c r="N5" s="4" t="n">
        <v>29175508927</v>
      </c>
      <c r="O5" s="4" t="n">
        <v>79604350765</v>
      </c>
      <c r="P5" s="4" t="n">
        <v>64372325595</v>
      </c>
      <c r="Q5" s="4" t="n">
        <v>-39196611562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  <c r="J7" s="4" t="n">
        <v>-456702528472</v>
      </c>
      <c r="K7" s="4" t="n">
        <v>-510810581685</v>
      </c>
      <c r="L7" s="4" t="n">
        <v>-490145755006</v>
      </c>
      <c r="M7" s="4" t="n">
        <v>-749583262000</v>
      </c>
      <c r="N7" s="4" t="n">
        <v>-588504116817</v>
      </c>
      <c r="O7" s="4" t="n">
        <v>-747606912187</v>
      </c>
      <c r="P7" s="4" t="n">
        <v>-1039456492471</v>
      </c>
      <c r="Q7" s="4" t="n">
        <v>-1231983872126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  <c r="J8" s="4" t="n">
        <v>128825950601</v>
      </c>
      <c r="K8" s="4" t="n">
        <v>134854268998</v>
      </c>
      <c r="L8" s="4" t="n">
        <v>152389538333</v>
      </c>
      <c r="M8" s="4" t="n">
        <v>216761295705</v>
      </c>
      <c r="N8" s="4" t="n">
        <v>233582914481</v>
      </c>
      <c r="O8" s="4" t="n">
        <v>207025852637</v>
      </c>
      <c r="P8" s="4" t="n">
        <v>179461207664</v>
      </c>
      <c r="Q8" s="4" t="n">
        <v>212582739626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  <c r="J10" s="4" t="n">
        <v>3591627938813</v>
      </c>
      <c r="K10" s="4" t="n">
        <v>4024558431831</v>
      </c>
      <c r="L10" s="4" t="n">
        <v>3344250339399</v>
      </c>
      <c r="M10" s="4" t="n">
        <v>3323397798634</v>
      </c>
      <c r="N10" s="4" t="n">
        <v>3830670228989</v>
      </c>
      <c r="O10" s="4" t="n">
        <v>4317042204916</v>
      </c>
      <c r="P10" s="4" t="n">
        <v>2485846238959</v>
      </c>
      <c r="Q10" s="4" t="n">
        <v>2042514062361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  <c r="J11" s="4" t="n">
        <v>-1241612260855</v>
      </c>
      <c r="K11" s="4" t="n">
        <v>422213671904</v>
      </c>
      <c r="L11" s="4" t="n">
        <v>-595412339418</v>
      </c>
      <c r="M11" s="4" t="n">
        <v>-307854255428</v>
      </c>
      <c r="N11" s="4" t="n">
        <v>-532628876071</v>
      </c>
      <c r="O11" s="4" t="n">
        <v>-1438926498554</v>
      </c>
      <c r="P11" s="4" t="n">
        <v>-884569389703</v>
      </c>
      <c r="Q11" s="4" t="n">
        <v>-951608710275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  <c r="J12" s="4" t="n">
        <v>-173093145210</v>
      </c>
      <c r="K12" s="4" t="n">
        <v>203736468281</v>
      </c>
      <c r="L12" s="4" t="n">
        <v>-248648680346</v>
      </c>
      <c r="M12" s="4" t="n">
        <v>33156557092</v>
      </c>
      <c r="N12" s="4" t="n">
        <v>23467202956</v>
      </c>
      <c r="O12" s="4" t="n">
        <v>-143046696194</v>
      </c>
      <c r="P12" s="4" t="n">
        <v>-328180087981</v>
      </c>
      <c r="Q12" s="4" t="n">
        <v>-88520567085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  <c r="J13" s="4" t="n">
        <v>1662964903692</v>
      </c>
      <c r="K13" s="4" t="n">
        <v>1178663906552</v>
      </c>
      <c r="L13" s="4" t="n">
        <v>-3168677797967</v>
      </c>
      <c r="M13" s="4" t="n">
        <v>1937186010413</v>
      </c>
      <c r="N13" s="4" t="n">
        <v>1915125309361</v>
      </c>
      <c r="O13" s="4" t="n">
        <v>1872793733609</v>
      </c>
      <c r="P13" s="4" t="n">
        <v>-2597208629257</v>
      </c>
      <c r="Q13" s="4" t="n">
        <v>1671622980109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  <c r="J14" s="4" t="n">
        <v>-166500663328</v>
      </c>
      <c r="K14" s="4" t="n">
        <v>-179916896052</v>
      </c>
      <c r="L14" s="4" t="n">
        <v>-205624354170</v>
      </c>
      <c r="M14" s="4" t="n">
        <v>-232106924674</v>
      </c>
      <c r="N14" s="4" t="n">
        <v>-155675161774</v>
      </c>
      <c r="O14" s="4" t="n">
        <v>-2198043771</v>
      </c>
      <c r="P14" s="4" t="n">
        <v>-364231426766</v>
      </c>
      <c r="Q14" s="4" t="n">
        <v>-594033910399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  <c r="J15" s="4" t="n">
        <v>-198428414709</v>
      </c>
      <c r="K15" s="4" t="n">
        <v>-124205428778</v>
      </c>
      <c r="L15" s="4" t="n">
        <v>-161803237457</v>
      </c>
      <c r="M15" s="4" t="n">
        <v>-177254861198</v>
      </c>
      <c r="N15" s="4" t="n">
        <v>-244250547102</v>
      </c>
      <c r="O15" s="4" t="n">
        <v>-229165608776</v>
      </c>
      <c r="P15" s="4" t="n">
        <v>-156930706535</v>
      </c>
      <c r="Q15" s="4" t="n">
        <v>-216107365350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  <c r="J16" s="4" t="n">
        <v>-228190332417</v>
      </c>
      <c r="K16" s="4" t="n">
        <v>-114629531066</v>
      </c>
      <c r="L16" s="4" t="n">
        <v>-1286964186262</v>
      </c>
      <c r="M16" s="4" t="n">
        <v>-241660887432</v>
      </c>
      <c r="N16" s="4" t="n">
        <v>-452247490721</v>
      </c>
      <c r="O16" s="4" t="n">
        <v>-257197692890</v>
      </c>
      <c r="P16" s="4" t="n">
        <v>-979468791211</v>
      </c>
      <c r="Q16" s="4" t="n">
        <v>-71991607704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  <c r="J18" s="4" t="n">
        <v>-10823229000</v>
      </c>
      <c r="K18" s="4" t="n">
        <v>-13864424110</v>
      </c>
      <c r="L18" s="4" t="n">
        <v>-184023466180</v>
      </c>
      <c r="M18" s="4" t="n">
        <v>-144386436677</v>
      </c>
      <c r="N18" s="4" t="n">
        <v>-40440604859</v>
      </c>
      <c r="O18" s="4" t="n">
        <v>-10850821537</v>
      </c>
      <c r="P18" s="4" t="n">
        <v>-23070924698</v>
      </c>
      <c r="Q18" s="4" t="n">
        <v>-89727170253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  <c r="J19" s="4" t="n">
        <v>3235944796986</v>
      </c>
      <c r="K19" s="4" t="n">
        <v>5396556198562</v>
      </c>
      <c r="L19" s="4" t="n">
        <v>-2506903722401</v>
      </c>
      <c r="M19" s="4" t="n">
        <v>4190477000730</v>
      </c>
      <c r="N19" s="4" t="n">
        <v>4344020060779</v>
      </c>
      <c r="O19" s="4" t="n">
        <v>4108450576803</v>
      </c>
      <c r="P19" s="4" t="n">
        <v>-2847813717192</v>
      </c>
      <c r="Q19" s="4" t="n">
        <v>1702147711404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  <c r="J20" s="4" t="n">
        <v>-876954143250</v>
      </c>
      <c r="K20" s="4" t="n">
        <v>-838077306200</v>
      </c>
      <c r="L20" s="4" t="n">
        <v>-2607427905351</v>
      </c>
      <c r="M20" s="4" t="n">
        <v>-687830960368</v>
      </c>
      <c r="N20" s="4" t="n">
        <v>-830371040007</v>
      </c>
      <c r="O20" s="4" t="n">
        <v>-972289444130</v>
      </c>
      <c r="P20" s="4" t="n">
        <v>-589068929719</v>
      </c>
      <c r="Q20" s="4" t="n">
        <v>-747414308012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  <c r="J21" s="4" t="n">
        <v>1616251625</v>
      </c>
      <c r="K21" s="4" t="n">
        <v>697620442</v>
      </c>
      <c r="L21" s="4" t="n">
        <v>3212123070</v>
      </c>
      <c r="M21" s="4" t="n">
        <v>810291524</v>
      </c>
      <c r="N21" s="4" t="n">
        <v>2509745476</v>
      </c>
      <c r="O21" s="4" t="n">
        <v>782056649</v>
      </c>
      <c r="P21" s="4" t="n">
        <v>2080740035</v>
      </c>
      <c r="Q21" s="4" t="n">
        <v>990213854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  <c r="J22" s="4" t="n">
        <v>-8247959851394</v>
      </c>
      <c r="K22" s="4" t="n">
        <v>-12927219472332</v>
      </c>
      <c r="L22" s="4" t="n">
        <v>-10159337998571</v>
      </c>
      <c r="M22" s="4" t="n">
        <v>-17090346868606</v>
      </c>
      <c r="N22" s="4" t="n">
        <v>-10246875400883</v>
      </c>
      <c r="O22" s="4" t="n">
        <v>-19515962555746</v>
      </c>
      <c r="P22" s="4" t="n">
        <v>-8105033405809</v>
      </c>
      <c r="Q22" s="4" t="n">
        <v>-8970887005433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  <c r="J23" s="4" t="n">
        <v>8725918508280</v>
      </c>
      <c r="K23" s="4" t="n">
        <v>10606724400366</v>
      </c>
      <c r="L23" s="4" t="n">
        <v>8175498984215</v>
      </c>
      <c r="M23" s="4" t="n">
        <v>14236985730372</v>
      </c>
      <c r="N23" s="4" t="n">
        <v>9706147048362</v>
      </c>
      <c r="O23" s="4" t="n">
        <v>17046161206333</v>
      </c>
      <c r="P23" s="4" t="n">
        <v>6907782688785</v>
      </c>
      <c r="Q23" s="4" t="n">
        <v>7738571528490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  <c r="J24" s="4" t="n">
        <v>-94349648464</v>
      </c>
      <c r="K24" s="4" t="n">
        <v>-267882879016</v>
      </c>
      <c r="L24" s="4" t="n">
        <v>-94356673179</v>
      </c>
      <c r="M24" s="4" t="n">
        <v>-131294469705</v>
      </c>
      <c r="N24" s="4" t="n">
        <v>-69458442668</v>
      </c>
      <c r="O24" s="4" t="n">
        <v>-415590467225</v>
      </c>
      <c r="P24" s="4" t="n">
        <v>-737724460792</v>
      </c>
      <c r="Q24" s="4" t="n">
        <v>-41912021366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  <c r="J25" s="4" t="n">
        <v>0</v>
      </c>
      <c r="K25" s="4" t="n">
        <v>48102486048</v>
      </c>
      <c r="L25" s="4" t="n">
        <v>5739731680</v>
      </c>
      <c r="M25" s="4" t="n">
        <v>17433745902</v>
      </c>
      <c r="N25" s="4" t="n">
        <v>0</v>
      </c>
      <c r="O25" s="4" t="n">
        <v>358779074</v>
      </c>
      <c r="P25" s="4" t="n">
        <v>3660000000</v>
      </c>
      <c r="Q25" s="4" t="n">
        <v>-294000000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  <c r="J26" s="4" t="n">
        <v>364420147044</v>
      </c>
      <c r="K26" s="4" t="n">
        <v>274299454911</v>
      </c>
      <c r="L26" s="4" t="n">
        <v>279282736376</v>
      </c>
      <c r="M26" s="4" t="n">
        <v>817639763306</v>
      </c>
      <c r="N26" s="4" t="n">
        <v>340788225860</v>
      </c>
      <c r="O26" s="4" t="n">
        <v>563048466611</v>
      </c>
      <c r="P26" s="4" t="n">
        <v>263408177152</v>
      </c>
      <c r="Q26" s="4" t="n">
        <v>503935960307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  <c r="J27" s="4" t="n">
        <v>-127308736159</v>
      </c>
      <c r="K27" s="4" t="n">
        <v>-3103355695781</v>
      </c>
      <c r="L27" s="4" t="n">
        <v>-4397389001760</v>
      </c>
      <c r="M27" s="4" t="n">
        <v>-2836602767575</v>
      </c>
      <c r="N27" s="4" t="n">
        <v>-1097259863860</v>
      </c>
      <c r="O27" s="4" t="n">
        <v>-3293491958434</v>
      </c>
      <c r="P27" s="4" t="n">
        <v>-2254895190348</v>
      </c>
      <c r="Q27" s="4" t="n">
        <v>-1517009632160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  <c r="J28" s="4" t="n">
        <v>57131819874</v>
      </c>
      <c r="K28" s="4" t="n">
        <v>106211170000</v>
      </c>
      <c r="L28" s="4" t="n">
        <v>0</v>
      </c>
      <c r="M28" s="4" t="n">
        <v>1196229390000</v>
      </c>
      <c r="N28" s="4" t="n">
        <v>3000000</v>
      </c>
      <c r="O28" s="4" t="n">
        <v>2794778</v>
      </c>
      <c r="P28" s="4" t="n">
        <v>2000000</v>
      </c>
      <c r="Q28" s="4" t="n">
        <v>65991899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  <c r="J30" s="4" t="n">
        <v>7449918727586</v>
      </c>
      <c r="K30" s="4" t="n">
        <v>5780557256676</v>
      </c>
      <c r="L30" s="4" t="n">
        <v>12175546656648</v>
      </c>
      <c r="M30" s="4" t="n">
        <v>11552806194767</v>
      </c>
      <c r="N30" s="4" t="n">
        <v>7824889714007</v>
      </c>
      <c r="O30" s="4" t="n">
        <v>11517570319652</v>
      </c>
      <c r="P30" s="4" t="n">
        <v>6750787827303</v>
      </c>
      <c r="Q30" s="4" t="n">
        <v>6874693026240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  <c r="J31" s="4" t="n">
        <v>-9459849670403</v>
      </c>
      <c r="K31" s="4" t="n">
        <v>-5398194818783</v>
      </c>
      <c r="L31" s="4" t="n">
        <v>-7902260870560</v>
      </c>
      <c r="M31" s="4" t="n">
        <v>-7901515047258</v>
      </c>
      <c r="N31" s="4" t="n">
        <v>-11220806613192</v>
      </c>
      <c r="O31" s="4" t="n">
        <v>-9866402296591</v>
      </c>
      <c r="P31" s="4" t="n">
        <v>-4164356153983</v>
      </c>
      <c r="Q31" s="4" t="n">
        <v>-4467518054933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  <c r="J32" s="4" t="n">
        <v>-1400699807</v>
      </c>
      <c r="K32" s="4" t="n">
        <v>-222686386</v>
      </c>
      <c r="L32" s="4" t="n">
        <v>-230583912</v>
      </c>
      <c r="M32" s="4" t="n">
        <v>-262813768</v>
      </c>
      <c r="N32" s="4" t="n">
        <v>-252389781</v>
      </c>
      <c r="O32" s="4" t="n">
        <v>-241007595</v>
      </c>
      <c r="P32" s="4" t="n">
        <v>-239550104</v>
      </c>
      <c r="Q32" s="4" t="n">
        <v>-169095237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  <c r="J33" s="4" t="n">
        <v>-18119086577</v>
      </c>
      <c r="K33" s="4" t="n">
        <v>-1469515337775</v>
      </c>
      <c r="L33" s="4" t="n">
        <v>-9557000</v>
      </c>
      <c r="M33" s="4" t="n">
        <v>-2865470362188</v>
      </c>
      <c r="N33" s="4" t="n">
        <v>-6194605275</v>
      </c>
      <c r="O33" s="4" t="n">
        <v>-1702079053200</v>
      </c>
      <c r="P33" s="4" t="n">
        <v>-2529850</v>
      </c>
      <c r="Q33" s="4" t="n">
        <v>-1712609803875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  <c r="J35" s="4" t="n">
        <v>-1972318909327</v>
      </c>
      <c r="K35" s="4" t="n">
        <v>-981164416268</v>
      </c>
      <c r="L35" s="4" t="n">
        <v>4273045645176</v>
      </c>
      <c r="M35" s="4" t="n">
        <v>1981787361553</v>
      </c>
      <c r="N35" s="4" t="n">
        <v>-3402360894241</v>
      </c>
      <c r="O35" s="4" t="n">
        <v>-51149242956</v>
      </c>
      <c r="P35" s="4" t="n">
        <v>2586191593366</v>
      </c>
      <c r="Q35" s="4" t="n">
        <v>694462064094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  <c r="J36" s="4" t="n">
        <v>1136317151500</v>
      </c>
      <c r="K36" s="4" t="n">
        <v>1312036086513</v>
      </c>
      <c r="L36" s="4" t="n">
        <v>-2631247078985</v>
      </c>
      <c r="M36" s="4" t="n">
        <v>3335661594708</v>
      </c>
      <c r="N36" s="4" t="n">
        <v>-155600697322</v>
      </c>
      <c r="O36" s="4" t="n">
        <v>763809375413</v>
      </c>
      <c r="P36" s="4" t="n">
        <v>-2516517314174</v>
      </c>
      <c r="Q36" s="4" t="n">
        <v>879600143338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  <c r="J37" s="4" t="n">
        <v>6836262549195</v>
      </c>
      <c r="K37" s="4" t="n">
        <v>7935632407357</v>
      </c>
      <c r="L37" s="4" t="n">
        <v>9315440438884</v>
      </c>
      <c r="M37" s="4" t="n">
        <v>6755645214252</v>
      </c>
      <c r="N37" s="4" t="n">
        <v>10019630995136</v>
      </c>
      <c r="O37" s="4" t="n">
        <v>9853512731370</v>
      </c>
      <c r="P37" s="4" t="n">
        <v>10522105729992</v>
      </c>
      <c r="Q37" s="4" t="n">
        <v>7993577611642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  <c r="J38" s="4" t="n">
        <v>-36947293338</v>
      </c>
      <c r="K38" s="4" t="n">
        <v>67771945014</v>
      </c>
      <c r="L38" s="4" t="n">
        <v>71451854353</v>
      </c>
      <c r="M38" s="4" t="n">
        <v>-71675813824</v>
      </c>
      <c r="N38" s="4" t="n">
        <v>-10517566444</v>
      </c>
      <c r="O38" s="4" t="n">
        <v>-95216376791</v>
      </c>
      <c r="P38" s="4" t="n">
        <v>-12010804176</v>
      </c>
      <c r="Q38" s="4" t="n">
        <v>-30016622250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  <c r="J39" s="4" t="n">
        <v>7935632407357</v>
      </c>
      <c r="K39" s="4" t="n">
        <v>9315440438884</v>
      </c>
      <c r="L39" s="4" t="n">
        <v>6755645214252</v>
      </c>
      <c r="M39" s="4" t="n">
        <v>10019630995136</v>
      </c>
      <c r="N39" s="4" t="n">
        <v>9853512731370</v>
      </c>
      <c r="O39" s="4" t="n">
        <v>10522105729992</v>
      </c>
      <c r="P39" s="4" t="n">
        <v>7993577611642</v>
      </c>
      <c r="Q39" s="4" t="n">
        <v>8843161132730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9" customWidth="1" min="2" max="2"/>
    <col width="20.554687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</row>
    <row r="3">
      <c r="A3" s="5" t="inlineStr">
        <is>
          <t>ROA</t>
        </is>
      </c>
      <c r="B3" s="7">
        <f>IFERROR(B$51/((B$31+A$31)/2),"n/a")</f>
        <v/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 t="n">
        <v>0.15</v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IFERROR((C$42-B$42)/ABS(B$42),"n/a")</f>
        <v/>
      </c>
      <c r="D5" s="8">
        <f>IFERROR((D$42-C$42)/ABS(C$42),"n/a")</f>
        <v/>
      </c>
      <c r="E5" s="8">
        <f>IFERROR((E$42-D$42)/ABS(D$42),"n/a")</f>
        <v/>
      </c>
      <c r="F5" s="8">
        <f>IFERROR((F$42-E$42)/ABS(E$42),"n/a")</f>
        <v/>
      </c>
      <c r="G5" s="8">
        <f>IFERROR((G$42-F$42)/ABS(F$42),"n/a")</f>
        <v/>
      </c>
      <c r="H5" s="8">
        <f>IFERROR((H$42-G$42)/ABS(G$42),"n/a")</f>
        <v/>
      </c>
      <c r="I5" s="8">
        <f>IFERROR((I$42-H$42)/ABS(H$42),"n/a")</f>
        <v/>
      </c>
      <c r="J5" s="8" t="n">
        <v>0.16</v>
      </c>
    </row>
    <row r="6">
      <c r="A6" s="5" t="inlineStr">
        <is>
          <t>Biên lợi nhuận gộp</t>
        </is>
      </c>
      <c r="B6" s="8">
        <f>IFERROR(B$44/B$42,"n/a")</f>
        <v/>
      </c>
      <c r="C6" s="8">
        <f>IFERROR(C$44/C$42,"n/a")</f>
        <v/>
      </c>
      <c r="D6" s="8">
        <f>IFERROR(D$44/D$42,"n/a")</f>
        <v/>
      </c>
      <c r="E6" s="8">
        <f>IFERROR(E$44/E$42,"n/a")</f>
        <v/>
      </c>
      <c r="F6" s="8">
        <f>IFERROR(F$44/F$42,"n/a")</f>
        <v/>
      </c>
      <c r="G6" s="8">
        <f>IFERROR(G$44/G$42,"n/a")</f>
        <v/>
      </c>
      <c r="H6" s="8">
        <f>IFERROR(H$44/H$42,"n/a")</f>
        <v/>
      </c>
      <c r="I6" s="8">
        <f>IFERROR(I$44/I$42,"n/a")</f>
        <v/>
      </c>
    </row>
    <row r="7">
      <c r="A7" s="5" t="inlineStr">
        <is>
          <t>Biên lợi nhuận ròng</t>
        </is>
      </c>
      <c r="B7" s="8">
        <f>IFERROR(B$51/B$42,"n/a")</f>
        <v/>
      </c>
      <c r="C7" s="8">
        <f>IFERROR(C$51/C$42,"n/a")</f>
        <v/>
      </c>
      <c r="D7" s="8">
        <f>IFERROR(D$51/D$42,"n/a")</f>
        <v/>
      </c>
      <c r="E7" s="8">
        <f>IFERROR(E$51/E$42,"n/a")</f>
        <v/>
      </c>
      <c r="F7" s="8">
        <f>IFERROR(F$51/F$42,"n/a")</f>
        <v/>
      </c>
      <c r="G7" s="8">
        <f>IFERROR(G$51/G$42,"n/a")</f>
        <v/>
      </c>
      <c r="H7" s="8">
        <f>IFERROR(H$51/H$42,"n/a")</f>
        <v/>
      </c>
      <c r="I7" s="8">
        <f>IFERROR(I$51/I$42,"n/a")</f>
        <v/>
      </c>
      <c r="J7" s="8">
        <f>IFERROR(J$51/J$42,"n/a")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IFERROR((ABS(B$45)+ABS(B$46))/B$44,"n/a")</f>
        <v/>
      </c>
      <c r="C14" s="8">
        <f>IFERROR((ABS(C$45)+ABS(C$46))/C$44,"n/a")</f>
        <v/>
      </c>
      <c r="D14" s="8">
        <f>IFERROR((ABS(D$45)+ABS(D$46))/D$44,"n/a")</f>
        <v/>
      </c>
      <c r="E14" s="8">
        <f>IFERROR((ABS(E$45)+ABS(E$46))/E$44,"n/a")</f>
        <v/>
      </c>
      <c r="F14" s="8">
        <f>IFERROR((ABS(F$45)+ABS(F$46))/F$44,"n/a")</f>
        <v/>
      </c>
      <c r="G14" s="8">
        <f>IFERROR((ABS(G$45)+ABS(G$46))/G$44,"n/a")</f>
        <v/>
      </c>
      <c r="H14" s="8">
        <f>IFERROR((ABS(H$45)+ABS(H$46))/H$44,"n/a")</f>
        <v/>
      </c>
      <c r="I14" s="8">
        <f>IFERROR((ABS(I$45)+ABS(I$46))/I$44,"n/a")</f>
        <v/>
      </c>
    </row>
    <row r="15">
      <c r="A15" s="5" t="inlineStr">
        <is>
          <t>Chi phí lãi vay/LN từ hoạt động kinh doanh</t>
        </is>
      </c>
      <c r="B15" s="8">
        <f>IFERROR(ABS(B$48)/B$47,"n/a")</f>
        <v/>
      </c>
      <c r="C15" s="8">
        <f>IFERROR(ABS(C$48)/C$47,"n/a")</f>
        <v/>
      </c>
      <c r="D15" s="8">
        <f>IFERROR(ABS(D$48)/D$47,"n/a")</f>
        <v/>
      </c>
      <c r="E15" s="8">
        <f>IFERROR(ABS(E$48)/E$47,"n/a")</f>
        <v/>
      </c>
      <c r="F15" s="8">
        <f>IFERROR(ABS(F$48)/F$47,"n/a")</f>
        <v/>
      </c>
      <c r="G15" s="8">
        <f>IFERROR(ABS(G$48)/G$47,"n/a")</f>
        <v/>
      </c>
      <c r="H15" s="8">
        <f>IFERROR(ABS(H$48)/H$47,"n/a")</f>
        <v/>
      </c>
      <c r="I15" s="8">
        <f>IFERROR(ABS(I$48)/I$47,"n/a")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IFERROR(((C$33+B$33)/2)/ABS(C$43)*365,"n/a")</f>
        <v/>
      </c>
      <c r="D16" s="12">
        <f>IFERROR(((D$33+C$33)/2)/ABS(D$43)*365,"n/a")</f>
        <v/>
      </c>
      <c r="E16" s="12">
        <f>IFERROR(((E$33+D$33)/2)/ABS(E$43)*365,"n/a")</f>
        <v/>
      </c>
      <c r="F16" s="12">
        <f>IFERROR(((F$33+E$33)/2)/ABS(F$43)*365,"n/a")</f>
        <v/>
      </c>
      <c r="G16" s="12">
        <f>IFERROR(((G$33+F$33)/2)/ABS(G$43)*365,"n/a")</f>
        <v/>
      </c>
      <c r="H16" s="12">
        <f>IFERROR(((H$33+G$33)/2)/ABS(H$43)*365,"n/a")</f>
        <v/>
      </c>
      <c r="I16" s="12">
        <f>IFERROR(((I$33+H$33)/2)/ABS(I$43)*365,"n/a")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IFERROR(((C$27+B$27)/2)/C$42*365,"n/a")</f>
        <v/>
      </c>
      <c r="D17" s="12">
        <f>IFERROR(((D$27+C$27)/2)/D$42*365,"n/a")</f>
        <v/>
      </c>
      <c r="E17" s="12">
        <f>IFERROR(((E$27+D$27)/2)/E$42*365,"n/a")</f>
        <v/>
      </c>
      <c r="F17" s="12">
        <f>IFERROR(((F$27+E$27)/2)/F$42*365,"n/a")</f>
        <v/>
      </c>
      <c r="G17" s="12">
        <f>IFERROR(((G$27+F$27)/2)/G$42*365,"n/a")</f>
        <v/>
      </c>
      <c r="H17" s="12">
        <f>IFERROR(((H$27+G$27)/2)/H$42*365,"n/a")</f>
        <v/>
      </c>
      <c r="I17" s="12">
        <f>IFERROR(((I$27+H$27)/2)/I$42*365,"n/a")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IFERROR(((C$28+B$28)/2)/ABS(C$43)*365,"n/a")</f>
        <v/>
      </c>
      <c r="D18" s="12">
        <f>IFERROR(((D$28+C$28)/2)/ABS(D$43)*365,"n/a")</f>
        <v/>
      </c>
      <c r="E18" s="12">
        <f>IFERROR(((E$28+D$28)/2)/ABS(E$43)*365,"n/a")</f>
        <v/>
      </c>
      <c r="F18" s="12">
        <f>IFERROR(((F$28+E$28)/2)/ABS(F$43)*365,"n/a")</f>
        <v/>
      </c>
      <c r="G18" s="12">
        <f>IFERROR(((G$28+F$28)/2)/ABS(G$43)*365,"n/a")</f>
        <v/>
      </c>
      <c r="H18" s="12">
        <f>IFERROR(((H$28+G$28)/2)/ABS(H$43)*365,"n/a")</f>
        <v/>
      </c>
      <c r="I18" s="12">
        <f>IFERROR(((I$28+H$28)/2)/ABS(I$43)*365,"n/a")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 t="n"/>
    </row>
    <row r="40">
      <c r="A40" s="15" t="inlineStr">
        <is>
          <t>Lợi ích cổ đông không kiểm soát</t>
        </is>
      </c>
      <c r="B40" s="19">
        <f>IFERROR(INDEX(balance_sheet!$B:$I,MATCH("Lợi ích cổ đông không kiểm soát",balance_sheet!$A:$A,0),MATCH(B$23,balance_sheet!$B$1:$I$1,0)),"")</f>
        <v/>
      </c>
      <c r="C40" s="19">
        <f>IFERROR(INDEX(balance_sheet!$B:$I,MATCH("Lợi ích cổ đông không kiểm soát",balance_sheet!$A:$A,0),MATCH(C$23,balance_sheet!$B$1:$I$1,0)),"")</f>
        <v/>
      </c>
      <c r="D40" s="19">
        <f>IFERROR(INDEX(balance_sheet!$B:$I,MATCH("Lợi ích cổ đông không kiểm soát",balance_sheet!$A:$A,0),MATCH(D$23,balance_sheet!$B$1:$I$1,0)),"")</f>
        <v/>
      </c>
      <c r="E40" s="19">
        <f>IFERROR(INDEX(balance_sheet!$B:$I,MATCH("Lợi ích cổ đông không kiểm soát",balance_sheet!$A:$A,0),MATCH(E$23,balance_sheet!$B$1:$I$1,0)),"")</f>
        <v/>
      </c>
      <c r="F40" s="19">
        <f>IFERROR(INDEX(balance_sheet!$B:$I,MATCH("Lợi ích cổ đông không kiểm soát",balance_sheet!$A:$A,0),MATCH(F$23,balance_sheet!$B$1:$I$1,0)),"")</f>
        <v/>
      </c>
      <c r="G40" s="19">
        <f>IFERROR(INDEX(balance_sheet!$B:$I,MATCH("Lợi ích cổ đông không kiểm soát",balance_sheet!$A:$A,0),MATCH(G$23,balance_sheet!$B$1:$I$1,0)),"")</f>
        <v/>
      </c>
      <c r="H40" s="19">
        <f>IFERROR(INDEX(balance_sheet!$B:$I,MATCH("Lợi ích cổ đông không kiểm soát",balance_sheet!$A:$A,0),MATCH(H$23,balance_sheet!$B$1:$I$1,0)),"")</f>
        <v/>
      </c>
      <c r="I40" s="19">
        <f>IFERROR(INDEX(balance_sheet!$B:$I,MATCH("Lợi ích cổ đông không kiểm soát",balance_sheet!$A:$A,0),MATCH(I$23,balance_sheet!$B$1:$I$1,0)),"")</f>
        <v/>
      </c>
    </row>
    <row r="41">
      <c r="A41" s="15" t="inlineStr">
        <is>
          <t>Kết quả hoạt động kinh doanh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>
      <c r="A42" s="15" t="inlineStr">
        <is>
          <t>Doanh thu thuần</t>
        </is>
      </c>
      <c r="B42" s="19">
        <f>IFERROR(INDEX(income_statement!$B:$I,MATCH("Doanh thu thuần",income_statement!$A:$A,0),MATCH(B$23,income_statement!$B$1:$I$1,0)),"")</f>
        <v/>
      </c>
      <c r="C42" s="19">
        <f>IFERROR(INDEX(income_statement!$B:$I,MATCH("Doanh thu thuần",income_statement!$A:$A,0),MATCH(C$23,income_statement!$B$1:$I$1,0)),"")</f>
        <v/>
      </c>
      <c r="D42" s="19">
        <f>IFERROR(INDEX(income_statement!$B:$I,MATCH("Doanh thu thuần",income_statement!$A:$A,0),MATCH(D$23,income_statement!$B$1:$I$1,0)),"")</f>
        <v/>
      </c>
      <c r="E42" s="19">
        <f>IFERROR(INDEX(income_statement!$B:$I,MATCH("Doanh thu thuần",income_statement!$A:$A,0),MATCH(E$23,income_statement!$B$1:$I$1,0)),"")</f>
        <v/>
      </c>
      <c r="F42" s="19">
        <f>IFERROR(INDEX(income_statement!$B:$I,MATCH("Doanh thu thuần",income_statement!$A:$A,0),MATCH(F$23,income_statement!$B$1:$I$1,0)),"")</f>
        <v/>
      </c>
      <c r="G42" s="19">
        <f>IFERROR(INDEX(income_statement!$B:$I,MATCH("Doanh thu thuần",income_statement!$A:$A,0),MATCH(G$23,income_statement!$B$1:$I$1,0)),"")</f>
        <v/>
      </c>
      <c r="H42" s="19">
        <f>IFERROR(INDEX(income_statement!$B:$I,MATCH("Doanh thu thuần",income_statement!$A:$A,0),MATCH(H$23,income_statement!$B$1:$I$1,0)),"")</f>
        <v/>
      </c>
      <c r="I42" s="19">
        <f>IFERROR(INDEX(income_statement!$B:$I,MATCH("Doanh thu thuần",income_statement!$A:$A,0),MATCH(I$23,income_statement!$B$1:$I$1,0)),"")</f>
        <v/>
      </c>
      <c r="J42" s="19" t="n">
        <v>58580000000000</v>
      </c>
    </row>
    <row r="43">
      <c r="A43" s="17" t="inlineStr">
        <is>
          <t>Giá vốn hàng bán</t>
        </is>
      </c>
      <c r="B43" s="18">
        <f>IFERROR(INDEX(income_statement!$B:$I,MATCH("Giá vốn hàng bán",income_statement!$A:$A,0),MATCH(B$23,income_statement!$B$1:$I$1,0)),"")</f>
        <v/>
      </c>
      <c r="C43" s="18">
        <f>IFERROR(INDEX(income_statement!$B:$I,MATCH("Giá vốn hàng bán",income_statement!$A:$A,0),MATCH(C$23,income_statement!$B$1:$I$1,0)),"")</f>
        <v/>
      </c>
      <c r="D43" s="18">
        <f>IFERROR(INDEX(income_statement!$B:$I,MATCH("Giá vốn hàng bán",income_statement!$A:$A,0),MATCH(D$23,income_statement!$B$1:$I$1,0)),"")</f>
        <v/>
      </c>
      <c r="E43" s="18">
        <f>IFERROR(INDEX(income_statement!$B:$I,MATCH("Giá vốn hàng bán",income_statement!$A:$A,0),MATCH(E$23,income_statement!$B$1:$I$1,0)),"")</f>
        <v/>
      </c>
      <c r="F43" s="18">
        <f>IFERROR(INDEX(income_statement!$B:$I,MATCH("Giá vốn hàng bán",income_statement!$A:$A,0),MATCH(F$23,income_statement!$B$1:$I$1,0)),"")</f>
        <v/>
      </c>
      <c r="G43" s="18">
        <f>IFERROR(INDEX(income_statement!$B:$I,MATCH("Giá vốn hàng bán",income_statement!$A:$A,0),MATCH(G$23,income_statement!$B$1:$I$1,0)),"")</f>
        <v/>
      </c>
      <c r="H43" s="18">
        <f>IFERROR(INDEX(income_statement!$B:$I,MATCH("Giá vốn hàng bán",income_statement!$A:$A,0),MATCH(H$23,income_statement!$B$1:$I$1,0)),"")</f>
        <v/>
      </c>
      <c r="I43" s="18">
        <f>IFERROR(INDEX(income_statement!$B:$I,MATCH("Giá vốn hàng bán",income_statement!$A:$A,0),MATCH(I$23,income_statement!$B$1:$I$1,0)),"")</f>
        <v/>
      </c>
    </row>
    <row r="44">
      <c r="A44" s="15" t="inlineStr">
        <is>
          <t>Lợi nhuận gộp</t>
        </is>
      </c>
      <c r="B44" s="19">
        <f>IFERROR(INDEX(income_statement!$B:$I,MATCH("Lợi nhuận gộp",income_statement!$A:$A,0),MATCH(B$23,income_statement!$B$1:$I$1,0)),"")</f>
        <v/>
      </c>
      <c r="C44" s="19">
        <f>IFERROR(INDEX(income_statement!$B:$I,MATCH("Lợi nhuận gộp",income_statement!$A:$A,0),MATCH(C$23,income_statement!$B$1:$I$1,0)),"")</f>
        <v/>
      </c>
      <c r="D44" s="19">
        <f>IFERROR(INDEX(income_statement!$B:$I,MATCH("Lợi nhuận gộp",income_statement!$A:$A,0),MATCH(D$23,income_statement!$B$1:$I$1,0)),"")</f>
        <v/>
      </c>
      <c r="E44" s="19">
        <f>IFERROR(INDEX(income_statement!$B:$I,MATCH("Lợi nhuận gộp",income_statement!$A:$A,0),MATCH(E$23,income_statement!$B$1:$I$1,0)),"")</f>
        <v/>
      </c>
      <c r="F44" s="19">
        <f>IFERROR(INDEX(income_statement!$B:$I,MATCH("Lợi nhuận gộp",income_statement!$A:$A,0),MATCH(F$23,income_statement!$B$1:$I$1,0)),"")</f>
        <v/>
      </c>
      <c r="G44" s="19">
        <f>IFERROR(INDEX(income_statement!$B:$I,MATCH("Lợi nhuận gộp",income_statement!$A:$A,0),MATCH(G$23,income_statement!$B$1:$I$1,0)),"")</f>
        <v/>
      </c>
      <c r="H44" s="19">
        <f>IFERROR(INDEX(income_statement!$B:$I,MATCH("Lợi nhuận gộp",income_statement!$A:$A,0),MATCH(H$23,income_statement!$B$1:$I$1,0)),"")</f>
        <v/>
      </c>
      <c r="I44" s="19">
        <f>IFERROR(INDEX(income_statement!$B:$I,MATCH("Lợi nhuận gộp",income_statement!$A:$A,0),MATCH(I$23,income_statement!$B$1:$I$1,0)),"")</f>
        <v/>
      </c>
    </row>
    <row r="45">
      <c r="A45" s="17" t="inlineStr">
        <is>
          <t>Chi phí bán hàng</t>
        </is>
      </c>
      <c r="B45" s="18">
        <f>IFERROR(INDEX(income_statement!$B:$I,MATCH("Chi phí bán hàng",income_statement!$A:$A,0),MATCH(B$23,income_statement!$B$1:$I$1,0)),"")</f>
        <v/>
      </c>
      <c r="C45" s="18">
        <f>IFERROR(INDEX(income_statement!$B:$I,MATCH("Chi phí bán hàng",income_statement!$A:$A,0),MATCH(C$23,income_statement!$B$1:$I$1,0)),"")</f>
        <v/>
      </c>
      <c r="D45" s="18">
        <f>IFERROR(INDEX(income_statement!$B:$I,MATCH("Chi phí bán hàng",income_statement!$A:$A,0),MATCH(D$23,income_statement!$B$1:$I$1,0)),"")</f>
        <v/>
      </c>
      <c r="E45" s="18">
        <f>IFERROR(INDEX(income_statement!$B:$I,MATCH("Chi phí bán hàng",income_statement!$A:$A,0),MATCH(E$23,income_statement!$B$1:$I$1,0)),"")</f>
        <v/>
      </c>
      <c r="F45" s="18">
        <f>IFERROR(INDEX(income_statement!$B:$I,MATCH("Chi phí bán hàng",income_statement!$A:$A,0),MATCH(F$23,income_statement!$B$1:$I$1,0)),"")</f>
        <v/>
      </c>
      <c r="G45" s="18">
        <f>IFERROR(INDEX(income_statement!$B:$I,MATCH("Chi phí bán hàng",income_statement!$A:$A,0),MATCH(G$23,income_statement!$B$1:$I$1,0)),"")</f>
        <v/>
      </c>
      <c r="H45" s="18">
        <f>IFERROR(INDEX(income_statement!$B:$I,MATCH("Chi phí bán hàng",income_statement!$A:$A,0),MATCH(H$23,income_statement!$B$1:$I$1,0)),"")</f>
        <v/>
      </c>
      <c r="I45" s="18">
        <f>IFERROR(INDEX(income_statement!$B:$I,MATCH("Chi phí bán hàng",income_statement!$A:$A,0),MATCH(I$23,income_statement!$B$1:$I$1,0)),"")</f>
        <v/>
      </c>
    </row>
    <row r="46">
      <c r="A46" s="17" t="inlineStr">
        <is>
          <t>Chi phí quản lý doanh nghiệp</t>
        </is>
      </c>
      <c r="B46" s="18">
        <f>IFERROR(INDEX(income_statement!$B:$I,MATCH("Chi phí quản lý doanh nghiệp",income_statement!$A:$A,0),MATCH(B$23,income_statement!$B$1:$I$1,0)),"")</f>
        <v/>
      </c>
      <c r="C46" s="18">
        <f>IFERROR(INDEX(income_statement!$B:$I,MATCH("Chi phí quản lý doanh nghiệp",income_statement!$A:$A,0),MATCH(C$23,income_statement!$B$1:$I$1,0)),"")</f>
        <v/>
      </c>
      <c r="D46" s="18">
        <f>IFERROR(INDEX(income_statement!$B:$I,MATCH("Chi phí quản lý doanh nghiệp",income_statement!$A:$A,0),MATCH(D$23,income_statement!$B$1:$I$1,0)),"")</f>
        <v/>
      </c>
      <c r="E46" s="18">
        <f>IFERROR(INDEX(income_statement!$B:$I,MATCH("Chi phí quản lý doanh nghiệp",income_statement!$A:$A,0),MATCH(E$23,income_statement!$B$1:$I$1,0)),"")</f>
        <v/>
      </c>
      <c r="F46" s="18">
        <f>IFERROR(INDEX(income_statement!$B:$I,MATCH("Chi phí quản lý doanh nghiệp",income_statement!$A:$A,0),MATCH(F$23,income_statement!$B$1:$I$1,0)),"")</f>
        <v/>
      </c>
      <c r="G46" s="18">
        <f>IFERROR(INDEX(income_statement!$B:$I,MATCH("Chi phí quản lý doanh nghiệp",income_statement!$A:$A,0),MATCH(G$23,income_statement!$B$1:$I$1,0)),"")</f>
        <v/>
      </c>
      <c r="H46" s="18">
        <f>IFERROR(INDEX(income_statement!$B:$I,MATCH("Chi phí quản lý doanh nghiệp",income_statement!$A:$A,0),MATCH(H$23,income_statement!$B$1:$I$1,0)),"")</f>
        <v/>
      </c>
      <c r="I46" s="18">
        <f>IFERROR(INDEX(income_statement!$B:$I,MATCH("Chi phí quản lý doanh nghiệp",income_statement!$A:$A,0),MATCH(I$23,income_statement!$B$1:$I$1,0)),"")</f>
        <v/>
      </c>
    </row>
    <row r="47">
      <c r="A47" s="17" t="inlineStr">
        <is>
          <t>Lãi/(lỗ) từ hoạt động kinh doanh</t>
        </is>
      </c>
      <c r="B47" s="18">
        <f>IFERROR(INDEX(income_statement!$B:$I,MATCH("Lãi/(lỗ) từ hoạt động kinh doanh",income_statement!$A:$A,0),MATCH(B$23,income_statement!$B$1:$I$1,0)),"")</f>
        <v/>
      </c>
      <c r="C47" s="18">
        <f>IFERROR(INDEX(income_statement!$B:$I,MATCH("Lãi/(lỗ) từ hoạt động kinh doanh",income_statement!$A:$A,0),MATCH(C$23,income_statement!$B$1:$I$1,0)),"")</f>
        <v/>
      </c>
      <c r="D47" s="18">
        <f>IFERROR(INDEX(income_statement!$B:$I,MATCH("Lãi/(lỗ) từ hoạt động kinh doanh",income_statement!$A:$A,0),MATCH(D$23,income_statement!$B$1:$I$1,0)),"")</f>
        <v/>
      </c>
      <c r="E47" s="18">
        <f>IFERROR(INDEX(income_statement!$B:$I,MATCH("Lãi/(lỗ) từ hoạt động kinh doanh",income_statement!$A:$A,0),MATCH(E$23,income_statement!$B$1:$I$1,0)),"")</f>
        <v/>
      </c>
      <c r="F47" s="18">
        <f>IFERROR(INDEX(income_statement!$B:$I,MATCH("Lãi/(lỗ) từ hoạt động kinh doanh",income_statement!$A:$A,0),MATCH(F$23,income_statement!$B$1:$I$1,0)),"")</f>
        <v/>
      </c>
      <c r="G47" s="18">
        <f>IFERROR(INDEX(income_statement!$B:$I,MATCH("Lãi/(lỗ) từ hoạt động kinh doanh",income_statement!$A:$A,0),MATCH(G$23,income_statement!$B$1:$I$1,0)),"")</f>
        <v/>
      </c>
      <c r="H47" s="18">
        <f>IFERROR(INDEX(income_statement!$B:$I,MATCH("Lãi/(lỗ) từ hoạt động kinh doanh",income_statement!$A:$A,0),MATCH(H$23,income_statement!$B$1:$I$1,0)),"")</f>
        <v/>
      </c>
      <c r="I47" s="18">
        <f>IFERROR(INDEX(income_statement!$B:$I,MATCH("Lãi/(lỗ) từ hoạt động kinh doanh",income_statement!$A:$A,0),MATCH(I$23,income_statement!$B$1:$I$1,0)),"")</f>
        <v/>
      </c>
    </row>
    <row r="48">
      <c r="A48" s="17" t="inlineStr">
        <is>
          <t>Chi phí lãi vay</t>
        </is>
      </c>
      <c r="B48" s="18">
        <f>IFERROR(INDEX(income_statement!$B:$I,MATCH("Chi phí lãi vay",income_statement!$A:$A,0),MATCH(B$23,income_statement!$B$1:$I$1,0)),"")</f>
        <v/>
      </c>
      <c r="C48" s="18">
        <f>IFERROR(INDEX(income_statement!$B:$I,MATCH("Chi phí lãi vay",income_statement!$A:$A,0),MATCH(C$23,income_statement!$B$1:$I$1,0)),"")</f>
        <v/>
      </c>
      <c r="D48" s="18">
        <f>IFERROR(INDEX(income_statement!$B:$I,MATCH("Chi phí lãi vay",income_statement!$A:$A,0),MATCH(D$23,income_statement!$B$1:$I$1,0)),"")</f>
        <v/>
      </c>
      <c r="E48" s="18">
        <f>IFERROR(INDEX(income_statement!$B:$I,MATCH("Chi phí lãi vay",income_statement!$A:$A,0),MATCH(E$23,income_statement!$B$1:$I$1,0)),"")</f>
        <v/>
      </c>
      <c r="F48" s="18">
        <f>IFERROR(INDEX(income_statement!$B:$I,MATCH("Chi phí lãi vay",income_statement!$A:$A,0),MATCH(F$23,income_statement!$B$1:$I$1,0)),"")</f>
        <v/>
      </c>
      <c r="G48" s="18">
        <f>IFERROR(INDEX(income_statement!$B:$I,MATCH("Chi phí lãi vay",income_statement!$A:$A,0),MATCH(G$23,income_statement!$B$1:$I$1,0)),"")</f>
        <v/>
      </c>
      <c r="H48" s="18">
        <f>IFERROR(INDEX(income_statement!$B:$I,MATCH("Chi phí lãi vay",income_statement!$A:$A,0),MATCH(H$23,income_statement!$B$1:$I$1,0)),"")</f>
        <v/>
      </c>
      <c r="I48" s="18">
        <f>IFERROR(INDEX(income_statement!$B:$I,MATCH("Chi phí lãi vay",income_statement!$A:$A,0),MATCH(I$23,income_statement!$B$1:$I$1,0)),"")</f>
        <v/>
      </c>
    </row>
    <row r="49">
      <c r="A49" s="20" t="inlineStr">
        <is>
          <t>Lãi/(lỗ) trước thuế</t>
        </is>
      </c>
      <c r="B49" s="19">
        <f>IFERROR(INDEX(income_statement!$B:$I,MATCH("Lãi/(lỗ) trước thuế",income_statement!$A:$A,0),MATCH(B$23,income_statement!$B$1:$I$1,0)),"")</f>
        <v/>
      </c>
      <c r="C49" s="19">
        <f>IFERROR(INDEX(income_statement!$B:$I,MATCH("Lãi/(lỗ) trước thuế",income_statement!$A:$A,0),MATCH(C$23,income_statement!$B$1:$I$1,0)),"")</f>
        <v/>
      </c>
      <c r="D49" s="19">
        <f>IFERROR(INDEX(income_statement!$B:$I,MATCH("Lãi/(lỗ) trước thuế",income_statement!$A:$A,0),MATCH(D$23,income_statement!$B$1:$I$1,0)),"")</f>
        <v/>
      </c>
      <c r="E49" s="19">
        <f>IFERROR(INDEX(income_statement!$B:$I,MATCH("Lãi/(lỗ) trước thuế",income_statement!$A:$A,0),MATCH(E$23,income_statement!$B$1:$I$1,0)),"")</f>
        <v/>
      </c>
      <c r="F49" s="19">
        <f>IFERROR(INDEX(income_statement!$B:$I,MATCH("Lãi/(lỗ) trước thuế",income_statement!$A:$A,0),MATCH(F$23,income_statement!$B$1:$I$1,0)),"")</f>
        <v/>
      </c>
      <c r="G49" s="19">
        <f>IFERROR(INDEX(income_statement!$B:$I,MATCH("Lãi/(lỗ) trước thuế",income_statement!$A:$A,0),MATCH(G$23,income_statement!$B$1:$I$1,0)),"")</f>
        <v/>
      </c>
      <c r="H49" s="19">
        <f>IFERROR(INDEX(income_statement!$B:$I,MATCH("Lãi/(lỗ) trước thuế",income_statement!$A:$A,0),MATCH(H$23,income_statement!$B$1:$I$1,0)),"")</f>
        <v/>
      </c>
      <c r="I49" s="19">
        <f>IFERROR(INDEX(income_statement!$B:$I,MATCH("Lãi/(lỗ) trước thuế",income_statement!$A:$A,0),MATCH(I$23,income_statement!$B$1:$I$1,0)),"")</f>
        <v/>
      </c>
      <c r="J49" s="19" t="n">
        <v>11629000000000</v>
      </c>
    </row>
    <row r="50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>
        <f>I51*1.15</f>
        <v/>
      </c>
    </row>
    <row r="52">
      <c r="A52" s="15" t="inlineStr">
        <is>
          <t>Lưu chuyển tiền tệ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>
      <c r="A57" s="21" t="inlineStr">
        <is>
          <t>CHỈ SỐ THÊM</t>
        </is>
      </c>
      <c r="B57" s="22" t="n">
        <v>2018</v>
      </c>
      <c r="C57" s="22" t="n">
        <v>2019</v>
      </c>
      <c r="D57" s="22" t="n">
        <v>2020</v>
      </c>
      <c r="E57" s="22" t="n">
        <v>2021</v>
      </c>
      <c r="F57" s="22" t="n">
        <v>2022</v>
      </c>
      <c r="G57" s="22" t="n">
        <v>2023</v>
      </c>
      <c r="H57" s="22" t="n">
        <v>2024</v>
      </c>
      <c r="I57" s="22" t="n">
        <v>2025</v>
      </c>
    </row>
    <row r="58">
      <c r="A58" s="21" t="inlineStr">
        <is>
          <t>Khả năng sinh lời &amp; hiệu quả sử dụng vốn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3" t="inlineStr">
        <is>
          <t>ROCE</t>
        </is>
      </c>
      <c r="B59" s="24">
        <f>IFERROR(B$61/(B$31-B$35),"n/a")</f>
        <v/>
      </c>
      <c r="C59" s="24">
        <f>IFERROR(C$61/(C$31-C$35),"n/a")</f>
        <v/>
      </c>
      <c r="D59" s="24">
        <f>IFERROR(D$61/(D$31-D$35),"n/a")</f>
        <v/>
      </c>
      <c r="E59" s="24">
        <f>IFERROR(E$61/(E$31-E$35),"n/a")</f>
        <v/>
      </c>
      <c r="F59" s="24">
        <f>IFERROR(F$61/(F$31-F$35),"n/a")</f>
        <v/>
      </c>
      <c r="G59" s="24">
        <f>IFERROR(G$61/(G$31-G$35),"n/a")</f>
        <v/>
      </c>
      <c r="H59" s="24">
        <f>IFERROR(H$61/(H$31-H$35),"n/a")</f>
        <v/>
      </c>
      <c r="I59" s="24">
        <f>IFERROR(I$61/(I$31-I$35),"n/a")</f>
        <v/>
      </c>
    </row>
    <row r="60">
      <c r="A60" s="23" t="inlineStr">
        <is>
          <t>CROIC</t>
        </is>
      </c>
      <c r="B60" s="24">
        <f>IFERROR(B$65/(B$31-B$35),"n/a")</f>
        <v/>
      </c>
      <c r="C60" s="24">
        <f>IFERROR(C$65/(C$31-C$35),"n/a")</f>
        <v/>
      </c>
      <c r="D60" s="24">
        <f>IFERROR(D$65/(D$31-D$35),"n/a")</f>
        <v/>
      </c>
      <c r="E60" s="24">
        <f>IFERROR(E$65/(E$31-E$35),"n/a")</f>
        <v/>
      </c>
      <c r="F60" s="24">
        <f>IFERROR(F$65/(F$31-F$35),"n/a")</f>
        <v/>
      </c>
      <c r="G60" s="24">
        <f>IFERROR(G$65/(G$31-G$35),"n/a")</f>
        <v/>
      </c>
      <c r="H60" s="24">
        <f>IFERROR(H$65/(H$31-H$35),"n/a")</f>
        <v/>
      </c>
      <c r="I60" s="24">
        <f>IFERROR(I$65/(I$31-I$35),"n/a")</f>
        <v/>
      </c>
    </row>
    <row r="61">
      <c r="A61" s="23" t="inlineStr">
        <is>
          <t>EBIT</t>
        </is>
      </c>
      <c r="B61" s="25">
        <f>IFERROR(B$47+ABS(B$48),"n/a")</f>
        <v/>
      </c>
      <c r="C61" s="25">
        <f>IFERROR(C$47+ABS(C$48),"n/a")</f>
        <v/>
      </c>
      <c r="D61" s="25">
        <f>IFERROR(D$47+ABS(D$48),"n/a")</f>
        <v/>
      </c>
      <c r="E61" s="25">
        <f>IFERROR(E$47+ABS(E$48),"n/a")</f>
        <v/>
      </c>
      <c r="F61" s="25">
        <f>IFERROR(F$47+ABS(F$48),"n/a")</f>
        <v/>
      </c>
      <c r="G61" s="25">
        <f>IFERROR(G$47+ABS(G$48),"n/a")</f>
        <v/>
      </c>
      <c r="H61" s="25">
        <f>IFERROR(H$47+ABS(H$48),"n/a")</f>
        <v/>
      </c>
      <c r="I61" s="25">
        <f>IFERROR(I$47+ABS(I$48),"n/a")</f>
        <v/>
      </c>
    </row>
    <row r="62">
      <c r="A62" s="23" t="inlineStr">
        <is>
          <t>EBIT/DT</t>
        </is>
      </c>
      <c r="B62" s="24">
        <f>IFERROR(B$61/B$42,"n/a")</f>
        <v/>
      </c>
      <c r="C62" s="24">
        <f>IFERROR(C$61/C$42,"n/a")</f>
        <v/>
      </c>
      <c r="D62" s="24">
        <f>IFERROR(D$61/D$42,"n/a")</f>
        <v/>
      </c>
      <c r="E62" s="24">
        <f>IFERROR(E$61/E$42,"n/a")</f>
        <v/>
      </c>
      <c r="F62" s="24">
        <f>IFERROR(F$61/F$42,"n/a")</f>
        <v/>
      </c>
      <c r="G62" s="24">
        <f>IFERROR(G$61/G$42,"n/a")</f>
        <v/>
      </c>
      <c r="H62" s="24">
        <f>IFERROR(H$61/H$42,"n/a")</f>
        <v/>
      </c>
      <c r="I62" s="24">
        <f>IFERROR(I$61/I$42,"n/a")</f>
        <v/>
      </c>
    </row>
    <row r="63">
      <c r="A63" s="23" t="inlineStr">
        <is>
          <t>DT/TS</t>
        </is>
      </c>
      <c r="B63" s="24">
        <f>IFERROR(B$42/B$31,"n/a")</f>
        <v/>
      </c>
      <c r="C63" s="24">
        <f>IFERROR(C$42/C$31,"n/a")</f>
        <v/>
      </c>
      <c r="D63" s="24">
        <f>IFERROR(D$42/D$31,"n/a")</f>
        <v/>
      </c>
      <c r="E63" s="24">
        <f>IFERROR(E$42/E$31,"n/a")</f>
        <v/>
      </c>
      <c r="F63" s="24">
        <f>IFERROR(F$42/F$31,"n/a")</f>
        <v/>
      </c>
      <c r="G63" s="24">
        <f>IFERROR(G$42/G$31,"n/a")</f>
        <v/>
      </c>
      <c r="H63" s="24">
        <f>IFERROR(H$42/H$31,"n/a")</f>
        <v/>
      </c>
      <c r="I63" s="24">
        <f>IFERROR(I$42/I$31,"n/a")</f>
        <v/>
      </c>
    </row>
    <row r="64">
      <c r="A64" s="21" t="inlineStr">
        <is>
          <t>Dòng tiền &amp; tái đầu tư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3" t="inlineStr">
        <is>
          <t>FCF</t>
        </is>
      </c>
      <c r="B65" s="25">
        <f>IFERROR(B$55-ABS(B$54),"n/a")</f>
        <v/>
      </c>
      <c r="C65" s="25">
        <f>IFERROR(C$55-ABS(C$54),"n/a")</f>
        <v/>
      </c>
      <c r="D65" s="25">
        <f>IFERROR(D$55-ABS(D$54),"n/a")</f>
        <v/>
      </c>
      <c r="E65" s="25">
        <f>IFERROR(E$55-ABS(E$54),"n/a")</f>
        <v/>
      </c>
      <c r="F65" s="25">
        <f>IFERROR(F$55-ABS(F$54),"n/a")</f>
        <v/>
      </c>
      <c r="G65" s="25">
        <f>IFERROR(G$55-ABS(G$54),"n/a")</f>
        <v/>
      </c>
      <c r="H65" s="25">
        <f>IFERROR(H$55-ABS(H$54),"n/a")</f>
        <v/>
      </c>
      <c r="I65" s="25">
        <f>IFERROR(I$55-ABS(I$54),"n/a")</f>
        <v/>
      </c>
    </row>
    <row r="66">
      <c r="A66" s="23" t="inlineStr">
        <is>
          <t>FCF/DT</t>
        </is>
      </c>
      <c r="B66" s="24">
        <f>IFERROR(B$65/B$42,"n/a")</f>
        <v/>
      </c>
      <c r="C66" s="24">
        <f>IFERROR(C$65/C$42,"n/a")</f>
        <v/>
      </c>
      <c r="D66" s="24">
        <f>IFERROR(D$65/D$42,"n/a")</f>
        <v/>
      </c>
      <c r="E66" s="24">
        <f>IFERROR(E$65/E$42,"n/a")</f>
        <v/>
      </c>
      <c r="F66" s="24">
        <f>IFERROR(F$65/F$42,"n/a")</f>
        <v/>
      </c>
      <c r="G66" s="24">
        <f>IFERROR(G$65/G$42,"n/a")</f>
        <v/>
      </c>
      <c r="H66" s="24">
        <f>IFERROR(H$65/H$42,"n/a")</f>
        <v/>
      </c>
      <c r="I66" s="24">
        <f>IFERROR(I$65/I$42,"n/a")</f>
        <v/>
      </c>
    </row>
    <row r="67">
      <c r="A67" s="23" t="inlineStr">
        <is>
          <t>FCF/Nợ ngắn hạn</t>
        </is>
      </c>
      <c r="B67" s="24">
        <f>IFERROR(B$65/B$35,"n/a")</f>
        <v/>
      </c>
      <c r="C67" s="24">
        <f>IFERROR(C$65/C$35,"n/a")</f>
        <v/>
      </c>
      <c r="D67" s="24">
        <f>IFERROR(D$65/D$35,"n/a")</f>
        <v/>
      </c>
      <c r="E67" s="24">
        <f>IFERROR(E$65/E$35,"n/a")</f>
        <v/>
      </c>
      <c r="F67" s="24">
        <f>IFERROR(F$65/F$35,"n/a")</f>
        <v/>
      </c>
      <c r="G67" s="24">
        <f>IFERROR(G$65/G$35,"n/a")</f>
        <v/>
      </c>
      <c r="H67" s="24">
        <f>IFERROR(H$65/H$35,"n/a")</f>
        <v/>
      </c>
      <c r="I67" s="24">
        <f>IFERROR(I$65/I$35,"n/a")</f>
        <v/>
      </c>
    </row>
    <row r="68">
      <c r="A68" s="23" t="inlineStr">
        <is>
          <t>Capex</t>
        </is>
      </c>
      <c r="B68" s="25">
        <f>IFERROR(ABS(B$54),"n/a")</f>
        <v/>
      </c>
      <c r="C68" s="25">
        <f>IFERROR(ABS(C$54),"n/a")</f>
        <v/>
      </c>
      <c r="D68" s="25">
        <f>IFERROR(ABS(D$54),"n/a")</f>
        <v/>
      </c>
      <c r="E68" s="25">
        <f>IFERROR(ABS(E$54),"n/a")</f>
        <v/>
      </c>
      <c r="F68" s="25">
        <f>IFERROR(ABS(F$54),"n/a")</f>
        <v/>
      </c>
      <c r="G68" s="25">
        <f>IFERROR(ABS(G$54),"n/a")</f>
        <v/>
      </c>
      <c r="H68" s="25">
        <f>IFERROR(ABS(H$54),"n/a")</f>
        <v/>
      </c>
      <c r="I68" s="25">
        <f>IFERROR(ABS(I$54),"n/a")</f>
        <v/>
      </c>
    </row>
    <row r="69">
      <c r="A69" s="23" t="inlineStr">
        <is>
          <t>Capex/TS</t>
        </is>
      </c>
      <c r="B69" s="24">
        <f>IFERROR(B$68/B$31,"n/a")</f>
        <v/>
      </c>
      <c r="C69" s="24">
        <f>IFERROR(C$68/C$31,"n/a")</f>
        <v/>
      </c>
      <c r="D69" s="24">
        <f>IFERROR(D$68/D$31,"n/a")</f>
        <v/>
      </c>
      <c r="E69" s="24">
        <f>IFERROR(E$68/E$31,"n/a")</f>
        <v/>
      </c>
      <c r="F69" s="24">
        <f>IFERROR(F$68/F$31,"n/a")</f>
        <v/>
      </c>
      <c r="G69" s="24">
        <f>IFERROR(G$68/G$31,"n/a")</f>
        <v/>
      </c>
      <c r="H69" s="24">
        <f>IFERROR(H$68/H$31,"n/a")</f>
        <v/>
      </c>
      <c r="I69" s="24">
        <f>IFERROR(I$68/I$31,"n/a")</f>
        <v/>
      </c>
    </row>
    <row r="70">
      <c r="A70" s="23" t="inlineStr">
        <is>
          <t>Capex/LNST</t>
        </is>
      </c>
      <c r="B70" s="24">
        <f>IFERROR(B$68/ABS(B$50),"n/a")</f>
        <v/>
      </c>
      <c r="C70" s="24">
        <f>IFERROR(C$68/ABS(C$50),"n/a")</f>
        <v/>
      </c>
      <c r="D70" s="24">
        <f>IFERROR(D$68/ABS(D$50),"n/a")</f>
        <v/>
      </c>
      <c r="E70" s="24">
        <f>IFERROR(E$68/ABS(E$50),"n/a")</f>
        <v/>
      </c>
      <c r="F70" s="24">
        <f>IFERROR(F$68/ABS(F$50),"n/a")</f>
        <v/>
      </c>
      <c r="G70" s="24">
        <f>IFERROR(G$68/ABS(G$50),"n/a")</f>
        <v/>
      </c>
      <c r="H70" s="24">
        <f>IFERROR(H$68/ABS(H$50),"n/a")</f>
        <v/>
      </c>
      <c r="I70" s="24">
        <f>IFERROR(I$68/ABS(I$50),"n/a")</f>
        <v/>
      </c>
    </row>
    <row r="71">
      <c r="A71" s="23" t="inlineStr">
        <is>
          <t>Chi phí khấu hao/Lợi nhuận gộp</t>
        </is>
      </c>
      <c r="B71" s="24">
        <f>IFERROR(ABS(B$53)/B$44,"n/a")</f>
        <v/>
      </c>
      <c r="C71" s="24">
        <f>IFERROR(ABS(C$53)/C$44,"n/a")</f>
        <v/>
      </c>
      <c r="D71" s="24">
        <f>IFERROR(ABS(D$53)/D$44,"n/a")</f>
        <v/>
      </c>
      <c r="E71" s="24">
        <f>IFERROR(ABS(E$53)/E$44,"n/a")</f>
        <v/>
      </c>
      <c r="F71" s="24">
        <f>IFERROR(ABS(F$53)/F$44,"n/a")</f>
        <v/>
      </c>
      <c r="G71" s="24">
        <f>IFERROR(ABS(G$53)/G$44,"n/a")</f>
        <v/>
      </c>
      <c r="H71" s="24">
        <f>IFERROR(ABS(H$53)/H$44,"n/a")</f>
        <v/>
      </c>
      <c r="I71" s="24">
        <f>IFERROR(ABS(I$53)/I$44,"n/a")</f>
        <v/>
      </c>
    </row>
    <row r="72">
      <c r="A72" s="23" t="inlineStr">
        <is>
          <t>EBIT/Chi phí lãi vay</t>
        </is>
      </c>
      <c r="B72" s="24">
        <f>IFERROR(B$61/ABS(B$48),"n/a")</f>
        <v/>
      </c>
      <c r="C72" s="24">
        <f>IFERROR(C$61/ABS(C$48),"n/a")</f>
        <v/>
      </c>
      <c r="D72" s="24">
        <f>IFERROR(D$61/ABS(D$48),"n/a")</f>
        <v/>
      </c>
      <c r="E72" s="24">
        <f>IFERROR(E$61/ABS(E$48),"n/a")</f>
        <v/>
      </c>
      <c r="F72" s="24">
        <f>IFERROR(F$61/ABS(F$48),"n/a")</f>
        <v/>
      </c>
      <c r="G72" s="24">
        <f>IFERROR(G$61/ABS(G$48),"n/a")</f>
        <v/>
      </c>
      <c r="H72" s="24">
        <f>IFERROR(H$61/ABS(H$48),"n/a")</f>
        <v/>
      </c>
      <c r="I72" s="24">
        <f>IFERROR(I$61/ABS(I$48),"n/a")</f>
        <v/>
      </c>
    </row>
    <row r="73">
      <c r="A73" s="21" t="inlineStr">
        <is>
          <t>Vốn lưu động &amp; hiệu quả hoạt động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3" t="inlineStr">
        <is>
          <t>Vòng quay tiền mặt</t>
        </is>
      </c>
      <c r="B74" s="26">
        <f>IFERROR(B$17+B$18-B$16,"n/a")</f>
        <v/>
      </c>
      <c r="C74" s="26">
        <f>IFERROR(C$17+C$18-C$16,"n/a")</f>
        <v/>
      </c>
      <c r="D74" s="26">
        <f>IFERROR(D$17+D$18-D$16,"n/a")</f>
        <v/>
      </c>
      <c r="E74" s="26">
        <f>IFERROR(E$17+E$18-E$16,"n/a")</f>
        <v/>
      </c>
      <c r="F74" s="26">
        <f>IFERROR(F$17+F$18-F$16,"n/a")</f>
        <v/>
      </c>
      <c r="G74" s="26">
        <f>IFERROR(G$17+G$18-G$16,"n/a")</f>
        <v/>
      </c>
      <c r="H74" s="26">
        <f>IFERROR(H$17+H$18-H$16,"n/a")</f>
        <v/>
      </c>
      <c r="I74" s="26">
        <f>IFERROR(I$17+I$18-I$16,"n/a")</f>
        <v/>
      </c>
    </row>
    <row r="75">
      <c r="A75" s="23" t="inlineStr">
        <is>
          <t>HTK/DT</t>
        </is>
      </c>
      <c r="B75" s="24">
        <f>IFERROR(B$28/B$42,"n/a")</f>
        <v/>
      </c>
      <c r="C75" s="24">
        <f>IFERROR(C$28/C$42,"n/a")</f>
        <v/>
      </c>
      <c r="D75" s="24">
        <f>IFERROR(D$28/D$42,"n/a")</f>
        <v/>
      </c>
      <c r="E75" s="24">
        <f>IFERROR(E$28/E$42,"n/a")</f>
        <v/>
      </c>
      <c r="F75" s="24">
        <f>IFERROR(F$28/F$42,"n/a")</f>
        <v/>
      </c>
      <c r="G75" s="24">
        <f>IFERROR(G$28/G$42,"n/a")</f>
        <v/>
      </c>
      <c r="H75" s="24">
        <f>IFERROR(H$28/H$42,"n/a")</f>
        <v/>
      </c>
      <c r="I75" s="24">
        <f>IFERROR(I$28/I$42,"n/a")</f>
        <v/>
      </c>
    </row>
    <row r="76">
      <c r="A76" s="23" t="inlineStr">
        <is>
          <t>HTK/TS</t>
        </is>
      </c>
      <c r="B76" s="24">
        <f>IFERROR(B$28/B$31,"n/a")</f>
        <v/>
      </c>
      <c r="C76" s="24">
        <f>IFERROR(C$28/C$31,"n/a")</f>
        <v/>
      </c>
      <c r="D76" s="24">
        <f>IFERROR(D$28/D$31,"n/a")</f>
        <v/>
      </c>
      <c r="E76" s="24">
        <f>IFERROR(E$28/E$31,"n/a")</f>
        <v/>
      </c>
      <c r="F76" s="24">
        <f>IFERROR(F$28/F$31,"n/a")</f>
        <v/>
      </c>
      <c r="G76" s="24">
        <f>IFERROR(G$28/G$31,"n/a")</f>
        <v/>
      </c>
      <c r="H76" s="24">
        <f>IFERROR(H$28/H$31,"n/a")</f>
        <v/>
      </c>
      <c r="I76" s="24">
        <f>IFERROR(I$28/I$31,"n/a")</f>
        <v/>
      </c>
    </row>
    <row r="77">
      <c r="A77" s="23" t="inlineStr">
        <is>
          <t>DT/TS</t>
        </is>
      </c>
      <c r="B77" s="24">
        <f>IFERROR(B$42/B$31,"n/a")</f>
        <v/>
      </c>
      <c r="C77" s="24">
        <f>IFERROR(C$42/C$31,"n/a")</f>
        <v/>
      </c>
      <c r="D77" s="24">
        <f>IFERROR(D$42/D$31,"n/a")</f>
        <v/>
      </c>
      <c r="E77" s="24">
        <f>IFERROR(E$42/E$31,"n/a")</f>
        <v/>
      </c>
      <c r="F77" s="24">
        <f>IFERROR(F$42/F$31,"n/a")</f>
        <v/>
      </c>
      <c r="G77" s="24">
        <f>IFERROR(G$42/G$31,"n/a")</f>
        <v/>
      </c>
      <c r="H77" s="24">
        <f>IFERROR(H$42/H$31,"n/a")</f>
        <v/>
      </c>
      <c r="I77" s="24">
        <f>IFERROR(I$42/I$31,"n/a")</f>
        <v/>
      </c>
    </row>
    <row r="78">
      <c r="A78" s="21" t="inlineStr">
        <is>
          <t>Khả năng thanh toán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3" t="inlineStr">
        <is>
          <t>(TS ngắn hạn − HTK)/Nợ ngắn hạn</t>
        </is>
      </c>
      <c r="B79" s="24">
        <f>IFERROR((B$29-B$28)/B$35,"n/a")</f>
        <v/>
      </c>
      <c r="C79" s="24">
        <f>IFERROR((C$29-C$28)/C$35,"n/a")</f>
        <v/>
      </c>
      <c r="D79" s="24">
        <f>IFERROR((D$29-D$28)/D$35,"n/a")</f>
        <v/>
      </c>
      <c r="E79" s="24">
        <f>IFERROR((E$29-E$28)/E$35,"n/a")</f>
        <v/>
      </c>
      <c r="F79" s="24">
        <f>IFERROR((F$29-F$28)/F$35,"n/a")</f>
        <v/>
      </c>
      <c r="G79" s="24">
        <f>IFERROR((G$29-G$28)/G$35,"n/a")</f>
        <v/>
      </c>
      <c r="H79" s="24">
        <f>IFERROR((H$29-H$28)/H$35,"n/a")</f>
        <v/>
      </c>
      <c r="I79" s="24">
        <f>IFERROR((I$29-I$28)/I$35,"n/a")</f>
        <v/>
      </c>
    </row>
    <row r="80">
      <c r="A80" s="23" t="inlineStr">
        <is>
          <t>TS ngắn hạn/Nợ ngắn hạn</t>
        </is>
      </c>
      <c r="B80" s="24">
        <f>IFERROR(B$29/B$35,"n/a")</f>
        <v/>
      </c>
      <c r="C80" s="24">
        <f>IFERROR(C$29/C$35,"n/a")</f>
        <v/>
      </c>
      <c r="D80" s="24">
        <f>IFERROR(D$29/D$35,"n/a")</f>
        <v/>
      </c>
      <c r="E80" s="24">
        <f>IFERROR(E$29/E$35,"n/a")</f>
        <v/>
      </c>
      <c r="F80" s="24">
        <f>IFERROR(F$29/F$35,"n/a")</f>
        <v/>
      </c>
      <c r="G80" s="24">
        <f>IFERROR(G$29/G$35,"n/a")</f>
        <v/>
      </c>
      <c r="H80" s="24">
        <f>IFERROR(H$29/H$35,"n/a")</f>
        <v/>
      </c>
      <c r="I80" s="24">
        <f>IFERROR(I$29/I$35,"n/a")</f>
        <v/>
      </c>
    </row>
    <row r="81">
      <c r="A81" s="21" t="inlineStr">
        <is>
          <t>Tài sản &amp; cơ cấu tài sản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23" t="inlineStr">
        <is>
          <t>TSCĐ vô hình</t>
        </is>
      </c>
      <c r="B82" s="25">
        <f>IFERROR(B$30,"n/a")</f>
        <v/>
      </c>
      <c r="C82" s="25">
        <f>IFERROR(C$30,"n/a")</f>
        <v/>
      </c>
      <c r="D82" s="25">
        <f>IFERROR(D$30,"n/a")</f>
        <v/>
      </c>
      <c r="E82" s="25">
        <f>IFERROR(E$30,"n/a")</f>
        <v/>
      </c>
      <c r="F82" s="25">
        <f>IFERROR(F$30,"n/a")</f>
        <v/>
      </c>
      <c r="G82" s="25">
        <f>IFERROR(G$30,"n/a")</f>
        <v/>
      </c>
      <c r="H82" s="25">
        <f>IFERROR(H$30,"n/a")</f>
        <v/>
      </c>
      <c r="I82" s="25">
        <f>IFERROR(I$30,"n/a")</f>
        <v/>
      </c>
    </row>
    <row r="83">
      <c r="A83" s="23" t="inlineStr">
        <is>
          <t>Tài sản vô hình/Giá trị sổ sách</t>
        </is>
      </c>
      <c r="B83" s="24">
        <f>IFERROR(B$30/B$39,"n/a")</f>
        <v/>
      </c>
      <c r="C83" s="24">
        <f>IFERROR(C$30/C$39,"n/a")</f>
        <v/>
      </c>
      <c r="D83" s="24">
        <f>IFERROR(D$30/D$39,"n/a")</f>
        <v/>
      </c>
      <c r="E83" s="24">
        <f>IFERROR(E$30/E$39,"n/a")</f>
        <v/>
      </c>
      <c r="F83" s="24">
        <f>IFERROR(F$30/F$39,"n/a")</f>
        <v/>
      </c>
      <c r="G83" s="24">
        <f>IFERROR(G$30/G$39,"n/a")</f>
        <v/>
      </c>
      <c r="H83" s="24">
        <f>IFERROR(H$30/H$39,"n/a")</f>
        <v/>
      </c>
      <c r="I83" s="24">
        <f>IFERROR(I$30/I$39,"n/a")</f>
        <v/>
      </c>
    </row>
  </sheetData>
  <conditionalFormatting sqref="B3">
    <cfRule type="cellIs" priority="4" operator="lessThan" dxfId="0">
      <formula>0.1</formula>
    </cfRule>
    <cfRule type="cellIs" priority="5" operator="greaterThanOrEqual" dxfId="1">
      <formula>0.15</formula>
    </cfRule>
    <cfRule type="cellIs" priority="6" operator="between" dxfId="2">
      <formula>0.1</formula>
      <formula>0.15</formula>
    </cfRule>
  </conditionalFormatting>
  <conditionalFormatting sqref="B2:I2">
    <cfRule type="cellIs" priority="20" operator="greaterThanOrEqual" dxfId="1">
      <formula>0.15</formula>
    </cfRule>
    <cfRule type="cellIs" priority="21" operator="lessThan" dxfId="0">
      <formula>0.15</formula>
    </cfRule>
  </conditionalFormatting>
  <conditionalFormatting sqref="B6:I6">
    <cfRule type="cellIs" priority="14" operator="greaterThanOrEqual" dxfId="1">
      <formula>0.3</formula>
    </cfRule>
    <cfRule type="cellIs" priority="15" operator="lessThanOrEqual" dxfId="0">
      <formula>0.1</formula>
    </cfRule>
    <cfRule type="cellIs" priority="16" operator="between" dxfId="2">
      <formula>0.1</formula>
      <formula>0.3</formula>
    </cfRule>
  </conditionalFormatting>
  <conditionalFormatting sqref="B8:I8 B11:I11">
    <cfRule type="cellIs" priority="12" operator="lessThanOrEqual" dxfId="1">
      <formula>0.5</formula>
    </cfRule>
  </conditionalFormatting>
  <conditionalFormatting sqref="B14:I14">
    <cfRule type="cellIs" priority="10" operator="lessThanOrEqual" dxfId="1">
      <formula>0.3</formula>
    </cfRule>
    <cfRule type="cellIs" priority="11" operator="greaterThanOrEqual" dxfId="0">
      <formula>0.7</formula>
    </cfRule>
  </conditionalFormatting>
  <conditionalFormatting sqref="B19:I19">
    <cfRule type="cellIs" priority="8" operator="notBetween" dxfId="0">
      <formula>0.02</formula>
      <formula>0.3</formula>
    </cfRule>
    <cfRule type="cellIs" priority="9" operator="between" dxfId="1">
      <formula>0.02</formula>
      <formula>0.3</formula>
    </cfRule>
  </conditionalFormatting>
  <conditionalFormatting sqref="B4:J5">
    <cfRule type="cellIs" priority="1" operator="lessThan" dxfId="0">
      <formula>0.1</formula>
    </cfRule>
    <cfRule type="cellIs" priority="2" operator="greaterThanOrEqual" dxfId="1">
      <formula>0.15</formula>
    </cfRule>
    <cfRule type="cellIs" priority="3" operator="between" dxfId="2">
      <formula>0.1</formula>
      <formula>0.15</formula>
    </cfRule>
  </conditionalFormatting>
  <conditionalFormatting sqref="B7:J7">
    <cfRule type="cellIs" priority="13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9" customWidth="1" min="6" max="6"/>
  </cols>
  <sheetData>
    <row r="1">
      <c r="A1" s="27" t="n"/>
      <c r="B1" s="27" t="inlineStr">
        <is>
          <t>Q1/2026</t>
        </is>
      </c>
      <c r="C1" s="27" t="inlineStr">
        <is>
          <t>Q2/2026</t>
        </is>
      </c>
      <c r="D1" s="27" t="inlineStr">
        <is>
          <t>Q3/2026</t>
        </is>
      </c>
      <c r="E1" s="27" t="inlineStr">
        <is>
          <t>Q4/2026</t>
        </is>
      </c>
    </row>
    <row r="2">
      <c r="A2" s="27" t="inlineStr">
        <is>
          <t>Số CP</t>
        </is>
      </c>
      <c r="B2" s="28" t="n">
        <v>1714326422</v>
      </c>
      <c r="C2" s="28" t="n">
        <v>1714326422</v>
      </c>
      <c r="D2" s="28" t="n">
        <v>1714326422</v>
      </c>
      <c r="E2" s="28" t="n">
        <v>1714326422</v>
      </c>
    </row>
    <row r="3">
      <c r="A3" s="27" t="inlineStr">
        <is>
          <t>Thị giá</t>
        </is>
      </c>
      <c r="B3" s="28">
        <f>[1]Sheet1!$D$2</f>
        <v/>
      </c>
      <c r="C3" s="28">
        <f>[1]Sheet1!$D$2</f>
        <v/>
      </c>
      <c r="D3" s="28">
        <f>[1]Sheet1!$D$2</f>
        <v/>
      </c>
      <c r="E3" s="28">
        <f>[1]Sheet1!$D$2</f>
        <v/>
      </c>
    </row>
    <row r="4">
      <c r="A4" s="27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</row>
    <row r="5"/>
    <row r="6">
      <c r="A6" s="27" t="inlineStr">
        <is>
          <t>VCSH</t>
        </is>
      </c>
      <c r="B6" s="29" t="n">
        <v>40122000000000</v>
      </c>
      <c r="C6" s="29" t="n">
        <v>40996000000000</v>
      </c>
      <c r="D6" s="29">
        <f>$C$6*(($E$6/$C$6)^(1/2))</f>
        <v/>
      </c>
      <c r="E6" s="29" t="n">
        <v>46100000000000</v>
      </c>
    </row>
    <row r="7">
      <c r="A7" s="27" t="inlineStr">
        <is>
          <t>LICĐKKS</t>
        </is>
      </c>
      <c r="B7" s="29" t="n">
        <v>1170000000000</v>
      </c>
      <c r="C7" s="29" t="n">
        <v>1144000000000</v>
      </c>
      <c r="D7" s="29">
        <f>D6*0.03</f>
        <v/>
      </c>
      <c r="E7" s="29">
        <f>E6*0.03</f>
        <v/>
      </c>
    </row>
    <row r="8">
      <c r="A8" s="27" t="inlineStr">
        <is>
          <t>BV</t>
        </is>
      </c>
      <c r="B8" s="29">
        <f>B6-B7</f>
        <v/>
      </c>
      <c r="C8" s="29">
        <f>C6-C7</f>
        <v/>
      </c>
      <c r="D8" s="29">
        <f>D6-D7</f>
        <v/>
      </c>
      <c r="E8" s="29">
        <f>E6-E7</f>
        <v/>
      </c>
    </row>
    <row r="9">
      <c r="A9" s="30" t="inlineStr">
        <is>
          <t>BVPS</t>
        </is>
      </c>
      <c r="B9" s="31">
        <f>B8/B2</f>
        <v/>
      </c>
      <c r="C9" s="31">
        <f>C8/C2</f>
        <v/>
      </c>
      <c r="D9" s="31">
        <f>D8/D2</f>
        <v/>
      </c>
      <c r="E9" s="31">
        <f>E8/E2</f>
        <v/>
      </c>
    </row>
    <row r="10">
      <c r="A10" s="30" t="inlineStr">
        <is>
          <t>PB</t>
        </is>
      </c>
      <c r="B10" s="32">
        <f>B4/B8</f>
        <v/>
      </c>
      <c r="C10" s="32">
        <f>C4/C8</f>
        <v/>
      </c>
      <c r="D10" s="32">
        <f>D4/D8</f>
        <v/>
      </c>
      <c r="E10" s="32">
        <f>E4/E8</f>
        <v/>
      </c>
    </row>
    <row r="11"/>
    <row r="12">
      <c r="A12" s="27" t="inlineStr">
        <is>
          <t>Trailing Earning</t>
        </is>
      </c>
      <c r="B12" s="27" t="n"/>
      <c r="C12" s="29">
        <f>(2568+2487+2503+2435)*1000000000</f>
        <v/>
      </c>
      <c r="D12" s="29">
        <f>$C$12*(($E$12/$C$12)^(1/2))</f>
        <v/>
      </c>
      <c r="E12" s="29">
        <f>chi_so_tai_chinh!J51</f>
        <v/>
      </c>
    </row>
    <row r="13">
      <c r="A13" s="27" t="inlineStr">
        <is>
          <t>EPS</t>
        </is>
      </c>
      <c r="B13" s="31" t="n">
        <v>5687</v>
      </c>
      <c r="C13" s="31">
        <f>C12/C2</f>
        <v/>
      </c>
      <c r="D13" s="31">
        <f>$C$13*(($E$13/$C$13)^(1/2))</f>
        <v/>
      </c>
      <c r="E13" s="31">
        <f>E12/E2</f>
        <v/>
      </c>
    </row>
    <row r="14">
      <c r="A14" s="30" t="inlineStr">
        <is>
          <t>PE</t>
        </is>
      </c>
      <c r="B14" s="32">
        <f>$E$3/B13</f>
        <v/>
      </c>
      <c r="C14" s="32">
        <f>$E$3/C13</f>
        <v/>
      </c>
      <c r="D14" s="32">
        <f>$E$3/D13</f>
        <v/>
      </c>
      <c r="E14" s="32">
        <f>$E$3/E13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9.33203125" customWidth="1" min="1" max="1"/>
    <col width="8.109375" customWidth="1" min="2" max="2"/>
    <col width="8.88671875" customWidth="1" min="9" max="9"/>
  </cols>
  <sheetData>
    <row r="1">
      <c r="A1" s="27" t="n"/>
      <c r="B1" s="27" t="n">
        <v>2020</v>
      </c>
      <c r="C1" s="27" t="n">
        <v>2021</v>
      </c>
      <c r="D1" s="27" t="n">
        <v>2022</v>
      </c>
      <c r="E1" s="27" t="n">
        <v>2023</v>
      </c>
      <c r="F1" s="27" t="n">
        <v>2024</v>
      </c>
      <c r="G1" s="27" t="n">
        <v>2025</v>
      </c>
      <c r="H1" s="27" t="n">
        <v>2026</v>
      </c>
    </row>
    <row r="2">
      <c r="A2" s="27" t="inlineStr">
        <is>
          <t>Doanh thu kế hoạch</t>
        </is>
      </c>
      <c r="B2" s="33" t="n">
        <v>32450</v>
      </c>
      <c r="C2" s="33" t="n">
        <v>34720</v>
      </c>
      <c r="D2" s="33" t="n">
        <v>42420</v>
      </c>
      <c r="E2" s="33" t="n">
        <v>52289</v>
      </c>
      <c r="F2" s="33" t="n">
        <v>61850</v>
      </c>
      <c r="G2" s="33" t="n">
        <v>75400</v>
      </c>
      <c r="H2" s="33" t="n">
        <v>58580</v>
      </c>
    </row>
    <row r="3">
      <c r="A3" s="27" t="inlineStr">
        <is>
          <t>Doanh thu thuần</t>
        </is>
      </c>
      <c r="B3" s="33">
        <f>([2]KQHĐKD!E4*1000)/1000</f>
        <v/>
      </c>
      <c r="C3" s="33">
        <f>([2]KQHĐKD!F4*1000)/1000</f>
        <v/>
      </c>
      <c r="D3" s="33">
        <f>([2]KQHĐKD!G4*1000)/1000</f>
        <v/>
      </c>
      <c r="E3" s="33">
        <f>([2]KQHĐKD!H4*1000)/1000</f>
        <v/>
      </c>
      <c r="F3" s="33">
        <f>([2]KQHĐKD!I4*1000)/1000</f>
        <v/>
      </c>
      <c r="G3" s="33">
        <f>([2]KQHĐKD!J4*1000)/1000</f>
        <v/>
      </c>
      <c r="H3" s="33">
        <f>12486+13810</f>
        <v/>
      </c>
    </row>
    <row r="4">
      <c r="A4" s="27" t="inlineStr">
        <is>
          <t>% thực hiện</t>
        </is>
      </c>
      <c r="B4" s="34">
        <f>B3/B2</f>
        <v/>
      </c>
      <c r="C4" s="34">
        <f>C3/C2</f>
        <v/>
      </c>
      <c r="D4" s="34">
        <f>D3/D2</f>
        <v/>
      </c>
      <c r="E4" s="34">
        <f>E3/E2</f>
        <v/>
      </c>
      <c r="F4" s="34">
        <f>F3/F2</f>
        <v/>
      </c>
      <c r="G4" s="34">
        <f>G3/G2</f>
        <v/>
      </c>
      <c r="H4" s="34">
        <f>H3/H2</f>
        <v/>
      </c>
    </row>
    <row r="5">
      <c r="A5" s="27" t="inlineStr">
        <is>
          <t>Lợi nhuận trước thuế kế hoạch</t>
        </is>
      </c>
      <c r="B5" s="33" t="n">
        <v>5510</v>
      </c>
      <c r="C5" s="33" t="n">
        <v>6210</v>
      </c>
      <c r="D5" s="33" t="n">
        <v>7618</v>
      </c>
      <c r="E5" s="33" t="n">
        <v>9055</v>
      </c>
      <c r="F5" s="33" t="n">
        <v>10875</v>
      </c>
      <c r="G5" s="33" t="n">
        <v>13395</v>
      </c>
      <c r="H5" s="33" t="n">
        <v>11629</v>
      </c>
    </row>
    <row r="6">
      <c r="A6" s="27" t="inlineStr">
        <is>
          <t>Tổng lợi nhuận kế toán trước thuế</t>
        </is>
      </c>
      <c r="B6" s="33">
        <f>([2]KQHĐKD!E18*1000)/1000</f>
        <v/>
      </c>
      <c r="C6" s="33">
        <f>([2]KQHĐKD!F18*1000)/1000</f>
        <v/>
      </c>
      <c r="D6" s="33">
        <f>([2]KQHĐKD!G18*1000)/1000</f>
        <v/>
      </c>
      <c r="E6" s="33">
        <f>([2]KQHĐKD!H18*1000)/1000</f>
        <v/>
      </c>
      <c r="F6" s="33">
        <f>([2]KQHĐKD!I18*1000)/1000</f>
        <v/>
      </c>
      <c r="G6" s="33">
        <f>([2]KQHĐKD!J18*1000)/1000</f>
        <v/>
      </c>
      <c r="H6" s="33">
        <f>2804+2910</f>
        <v/>
      </c>
    </row>
    <row r="7">
      <c r="A7" s="27" t="inlineStr">
        <is>
          <t>% thực hiện</t>
        </is>
      </c>
      <c r="B7" s="34">
        <f>B6/B5</f>
        <v/>
      </c>
      <c r="C7" s="34">
        <f>C6/C5</f>
        <v/>
      </c>
      <c r="D7" s="34">
        <f>D6/D5</f>
        <v/>
      </c>
      <c r="E7" s="34">
        <f>E6/E5</f>
        <v/>
      </c>
      <c r="F7" s="34">
        <f>F6/F5</f>
        <v/>
      </c>
      <c r="G7" s="34">
        <f>G6/G5</f>
        <v/>
      </c>
      <c r="H7" s="34">
        <f>H6/H5</f>
        <v/>
      </c>
    </row>
    <row r="8"/>
    <row r="9">
      <c r="A9" s="27" t="inlineStr">
        <is>
          <t>Trung vị thực hiện DT</t>
        </is>
      </c>
      <c r="B9" s="34">
        <f>MEDIAN(B4:F4)</f>
        <v/>
      </c>
    </row>
    <row r="10">
      <c r="A10" s="27" t="inlineStr">
        <is>
          <t>Trung vị thực hiện LNKTTT</t>
        </is>
      </c>
      <c r="B10" s="34">
        <f>MEDIAN(B7:F7)</f>
        <v/>
      </c>
    </row>
    <row r="11"/>
    <row r="12">
      <c r="A12" s="27" t="inlineStr">
        <is>
          <t>Tỷ lệ hoàn thành DT trên 95%</t>
        </is>
      </c>
      <c r="B12" s="34">
        <f>COUNTIF(B4:G4,"&gt;=95%")/COUNT(B4:G4)</f>
        <v/>
      </c>
    </row>
    <row r="13">
      <c r="A13" s="27" t="inlineStr">
        <is>
          <t>Tỷ lệ hoàn thành LNTT trên 95%</t>
        </is>
      </c>
      <c r="B13" s="34">
        <f>COUNTIF(B7:G7,"&gt;=95%")/COUNT(B7:G7)</f>
        <v/>
      </c>
    </row>
  </sheetData>
  <conditionalFormatting sqref="B9:B10">
    <cfRule type="cellIs" priority="3" operator="greaterThanOrEqual" dxfId="3">
      <formula>1</formula>
    </cfRule>
  </conditionalFormatting>
  <conditionalFormatting sqref="B12:B13">
    <cfRule type="cellIs" priority="1" operator="greaterThanOrEqual" dxfId="3">
      <formula>1</formula>
    </cfRule>
  </conditionalFormatting>
  <conditionalFormatting sqref="B4:H4 B7:H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2026-09-23T03:42:30Z</dcterms:created>
  <dcterms:modified xsi:type="dcterms:W3CDTF">2026-09-23T03:42:30Z</dcterms:modified>
</cp:coreProperties>
</file>
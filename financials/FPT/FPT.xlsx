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0" pivotButton="0" quotePrefix="0" xfId="0"/>
    <xf numFmtId="0" fontId="7" fillId="4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6" fontId="8" fillId="0" borderId="3" pivotButton="0" quotePrefix="0" xfId="0"/>
    <xf numFmtId="166" fontId="9" fillId="0" borderId="3" pivotButton="0" quotePrefix="0" xfId="0"/>
    <xf numFmtId="0" fontId="10" fillId="0" borderId="3" pivotButton="0" quotePrefix="0" xfId="0"/>
    <xf numFmtId="0" fontId="11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" fontId="7" fillId="0" borderId="2" pivotButton="0" quotePrefix="0" xfId="0"/>
    <xf numFmtId="0" fontId="12" fillId="0" borderId="2" pivotButton="0" quotePrefix="0" xfId="0"/>
    <xf numFmtId="3" fontId="12" fillId="0" borderId="2" pivotButton="0" quotePrefix="0" xfId="0"/>
    <xf numFmtId="41" fontId="12" fillId="0" borderId="2" pivotButton="0" quotePrefix="0" xfId="0"/>
    <xf numFmtId="0" fontId="13" fillId="0" borderId="2" pivotButton="0" quotePrefix="0" xfId="0"/>
    <xf numFmtId="41" fontId="13" fillId="0" borderId="2" pivotButton="0" quotePrefix="0" xfId="0"/>
    <xf numFmtId="2" fontId="13" fillId="0" borderId="2" pivotButton="0" quotePrefix="0" xfId="0"/>
    <xf numFmtId="167" fontId="12" fillId="0" borderId="2" pivotButton="0" quotePrefix="0" xfId="0"/>
    <xf numFmtId="9" fontId="12" fillId="0" borderId="2" pivotButton="0" quotePrefix="0" xfId="0"/>
  </cellXfs>
  <cellStyles count="1">
    <cellStyle name="Normal" xfId="0" builtinId="0" hidden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9" customWidth="1" min="2" max="2"/>
    <col width="20.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</row>
    <row r="3">
      <c r="A3" s="5" t="inlineStr">
        <is>
          <t>ROA</t>
        </is>
      </c>
      <c r="B3" s="7">
        <f>IFERROR(B$51/((B$31+A$31)/2),"n/a")</f>
        <v/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 t="n">
        <v>0.15</v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IFERROR((C$42-B$42)/ABS(B$42),"n/a")</f>
        <v/>
      </c>
      <c r="D5" s="8">
        <f>IFERROR((D$42-C$42)/ABS(C$42),"n/a")</f>
        <v/>
      </c>
      <c r="E5" s="8">
        <f>IFERROR((E$42-D$42)/ABS(D$42),"n/a")</f>
        <v/>
      </c>
      <c r="F5" s="8">
        <f>IFERROR((F$42-E$42)/ABS(E$42),"n/a")</f>
        <v/>
      </c>
      <c r="G5" s="8">
        <f>IFERROR((G$42-F$42)/ABS(F$42),"n/a")</f>
        <v/>
      </c>
      <c r="H5" s="8">
        <f>IFERROR((H$42-G$42)/ABS(G$42),"n/a")</f>
        <v/>
      </c>
      <c r="I5" s="8">
        <f>IFERROR((I$42-H$42)/ABS(H$42),"n/a")</f>
        <v/>
      </c>
      <c r="J5" s="8" t="n">
        <v>0.16</v>
      </c>
    </row>
    <row r="6">
      <c r="A6" s="5" t="inlineStr">
        <is>
          <t>Biên lợi nhuận gộp</t>
        </is>
      </c>
      <c r="B6" s="8">
        <f>IFERROR(B$44/B$42,"n/a")</f>
        <v/>
      </c>
      <c r="C6" s="8">
        <f>IFERROR(C$44/C$42,"n/a")</f>
        <v/>
      </c>
      <c r="D6" s="8">
        <f>IFERROR(D$44/D$42,"n/a")</f>
        <v/>
      </c>
      <c r="E6" s="8">
        <f>IFERROR(E$44/E$42,"n/a")</f>
        <v/>
      </c>
      <c r="F6" s="8">
        <f>IFERROR(F$44/F$42,"n/a")</f>
        <v/>
      </c>
      <c r="G6" s="8">
        <f>IFERROR(G$44/G$42,"n/a")</f>
        <v/>
      </c>
      <c r="H6" s="8">
        <f>IFERROR(H$44/H$42,"n/a")</f>
        <v/>
      </c>
      <c r="I6" s="8">
        <f>IFERROR(I$44/I$42,"n/a")</f>
        <v/>
      </c>
    </row>
    <row r="7">
      <c r="A7" s="5" t="inlineStr">
        <is>
          <t>Biên lợi nhuận ròng</t>
        </is>
      </c>
      <c r="B7" s="8">
        <f>IFERROR(B$51/B$42,"n/a")</f>
        <v/>
      </c>
      <c r="C7" s="8">
        <f>IFERROR(C$51/C$42,"n/a")</f>
        <v/>
      </c>
      <c r="D7" s="8">
        <f>IFERROR(D$51/D$42,"n/a")</f>
        <v/>
      </c>
      <c r="E7" s="8">
        <f>IFERROR(E$51/E$42,"n/a")</f>
        <v/>
      </c>
      <c r="F7" s="8">
        <f>IFERROR(F$51/F$42,"n/a")</f>
        <v/>
      </c>
      <c r="G7" s="8">
        <f>IFERROR(G$51/G$42,"n/a")</f>
        <v/>
      </c>
      <c r="H7" s="8">
        <f>IFERROR(H$51/H$42,"n/a")</f>
        <v/>
      </c>
      <c r="I7" s="8">
        <f>IFERROR(I$51/I$42,"n/a")</f>
        <v/>
      </c>
      <c r="J7" s="8">
        <f>IFERROR(J$51/J$42,"n/a")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IFERROR((ABS(B$45)+ABS(B$46))/B$44,"n/a")</f>
        <v/>
      </c>
      <c r="C14" s="8">
        <f>IFERROR((ABS(C$45)+ABS(C$46))/C$44,"n/a")</f>
        <v/>
      </c>
      <c r="D14" s="8">
        <f>IFERROR((ABS(D$45)+ABS(D$46))/D$44,"n/a")</f>
        <v/>
      </c>
      <c r="E14" s="8">
        <f>IFERROR((ABS(E$45)+ABS(E$46))/E$44,"n/a")</f>
        <v/>
      </c>
      <c r="F14" s="8">
        <f>IFERROR((ABS(F$45)+ABS(F$46))/F$44,"n/a")</f>
        <v/>
      </c>
      <c r="G14" s="8">
        <f>IFERROR((ABS(G$45)+ABS(G$46))/G$44,"n/a")</f>
        <v/>
      </c>
      <c r="H14" s="8">
        <f>IFERROR((ABS(H$45)+ABS(H$46))/H$44,"n/a")</f>
        <v/>
      </c>
      <c r="I14" s="8">
        <f>IFERROR((ABS(I$45)+ABS(I$46))/I$44,"n/a")</f>
        <v/>
      </c>
    </row>
    <row r="15">
      <c r="A15" s="5" t="inlineStr">
        <is>
          <t>Chi phí lãi vay/LN từ hoạt động kinh doanh</t>
        </is>
      </c>
      <c r="B15" s="8">
        <f>IFERROR(ABS(B$48)/B$47,"n/a")</f>
        <v/>
      </c>
      <c r="C15" s="8">
        <f>IFERROR(ABS(C$48)/C$47,"n/a")</f>
        <v/>
      </c>
      <c r="D15" s="8">
        <f>IFERROR(ABS(D$48)/D$47,"n/a")</f>
        <v/>
      </c>
      <c r="E15" s="8">
        <f>IFERROR(ABS(E$48)/E$47,"n/a")</f>
        <v/>
      </c>
      <c r="F15" s="8">
        <f>IFERROR(ABS(F$48)/F$47,"n/a")</f>
        <v/>
      </c>
      <c r="G15" s="8">
        <f>IFERROR(ABS(G$48)/G$47,"n/a")</f>
        <v/>
      </c>
      <c r="H15" s="8">
        <f>IFERROR(ABS(H$48)/H$47,"n/a")</f>
        <v/>
      </c>
      <c r="I15" s="8">
        <f>IFERROR(ABS(I$48)/I$47,"n/a")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IFERROR(((C$33+B$33)/2)/ABS(C$43)*365,"n/a")</f>
        <v/>
      </c>
      <c r="D16" s="12">
        <f>IFERROR(((D$33+C$33)/2)/ABS(D$43)*365,"n/a")</f>
        <v/>
      </c>
      <c r="E16" s="12">
        <f>IFERROR(((E$33+D$33)/2)/ABS(E$43)*365,"n/a")</f>
        <v/>
      </c>
      <c r="F16" s="12">
        <f>IFERROR(((F$33+E$33)/2)/ABS(F$43)*365,"n/a")</f>
        <v/>
      </c>
      <c r="G16" s="12">
        <f>IFERROR(((G$33+F$33)/2)/ABS(G$43)*365,"n/a")</f>
        <v/>
      </c>
      <c r="H16" s="12">
        <f>IFERROR(((H$33+G$33)/2)/ABS(H$43)*365,"n/a")</f>
        <v/>
      </c>
      <c r="I16" s="12">
        <f>IFERROR(((I$33+H$33)/2)/ABS(I$43)*365,"n/a")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IFERROR(((C$27+B$27)/2)/C$42*365,"n/a")</f>
        <v/>
      </c>
      <c r="D17" s="12">
        <f>IFERROR(((D$27+C$27)/2)/D$42*365,"n/a")</f>
        <v/>
      </c>
      <c r="E17" s="12">
        <f>IFERROR(((E$27+D$27)/2)/E$42*365,"n/a")</f>
        <v/>
      </c>
      <c r="F17" s="12">
        <f>IFERROR(((F$27+E$27)/2)/F$42*365,"n/a")</f>
        <v/>
      </c>
      <c r="G17" s="12">
        <f>IFERROR(((G$27+F$27)/2)/G$42*365,"n/a")</f>
        <v/>
      </c>
      <c r="H17" s="12">
        <f>IFERROR(((H$27+G$27)/2)/H$42*365,"n/a")</f>
        <v/>
      </c>
      <c r="I17" s="12">
        <f>IFERROR(((I$27+H$27)/2)/I$42*365,"n/a")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IFERROR(((C$28+B$28)/2)/ABS(C$43)*365,"n/a")</f>
        <v/>
      </c>
      <c r="D18" s="12">
        <f>IFERROR(((D$28+C$28)/2)/ABS(D$43)*365,"n/a")</f>
        <v/>
      </c>
      <c r="E18" s="12">
        <f>IFERROR(((E$28+D$28)/2)/ABS(E$43)*365,"n/a")</f>
        <v/>
      </c>
      <c r="F18" s="12">
        <f>IFERROR(((F$28+E$28)/2)/ABS(F$43)*365,"n/a")</f>
        <v/>
      </c>
      <c r="G18" s="12">
        <f>IFERROR(((G$28+F$28)/2)/ABS(G$43)*365,"n/a")</f>
        <v/>
      </c>
      <c r="H18" s="12">
        <f>IFERROR(((H$28+G$28)/2)/ABS(H$43)*365,"n/a")</f>
        <v/>
      </c>
      <c r="I18" s="12">
        <f>IFERROR(((I$28+H$28)/2)/ABS(I$43)*365,"n/a")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 t="n"/>
    </row>
    <row r="40" ht="15" customHeight="1">
      <c r="A40" s="15" t="inlineStr">
        <is>
          <t>Lợi ích cổ đông không kiểm soát</t>
        </is>
      </c>
      <c r="B40" s="19">
        <f>IFERROR(INDEX(balance_sheet!$B:$I,MATCH("Lợi ích cổ đông không kiểm soát",balance_sheet!$A:$A,0),MATCH(B$23,balance_sheet!$B$1:$I$1,0)),"")</f>
        <v/>
      </c>
      <c r="C40" s="19">
        <f>IFERROR(INDEX(balance_sheet!$B:$I,MATCH("Lợi ích cổ đông không kiểm soát",balance_sheet!$A:$A,0),MATCH(C$23,balance_sheet!$B$1:$I$1,0)),"")</f>
        <v/>
      </c>
      <c r="D40" s="19">
        <f>IFERROR(INDEX(balance_sheet!$B:$I,MATCH("Lợi ích cổ đông không kiểm soát",balance_sheet!$A:$A,0),MATCH(D$23,balance_sheet!$B$1:$I$1,0)),"")</f>
        <v/>
      </c>
      <c r="E40" s="19">
        <f>IFERROR(INDEX(balance_sheet!$B:$I,MATCH("Lợi ích cổ đông không kiểm soát",balance_sheet!$A:$A,0),MATCH(E$23,balance_sheet!$B$1:$I$1,0)),"")</f>
        <v/>
      </c>
      <c r="F40" s="19">
        <f>IFERROR(INDEX(balance_sheet!$B:$I,MATCH("Lợi ích cổ đông không kiểm soát",balance_sheet!$A:$A,0),MATCH(F$23,balance_sheet!$B$1:$I$1,0)),"")</f>
        <v/>
      </c>
      <c r="G40" s="19">
        <f>IFERROR(INDEX(balance_sheet!$B:$I,MATCH("Lợi ích cổ đông không kiểm soát",balance_sheet!$A:$A,0),MATCH(G$23,balance_sheet!$B$1:$I$1,0)),"")</f>
        <v/>
      </c>
      <c r="H40" s="19">
        <f>IFERROR(INDEX(balance_sheet!$B:$I,MATCH("Lợi ích cổ đông không kiểm soát",balance_sheet!$A:$A,0),MATCH(H$23,balance_sheet!$B$1:$I$1,0)),"")</f>
        <v/>
      </c>
      <c r="I40" s="19">
        <f>IFERROR(INDEX(balance_sheet!$B:$I,MATCH("Lợi ích cổ đông không kiểm soát",balance_sheet!$A:$A,0),MATCH(I$23,balance_sheet!$B$1:$I$1,0)),"")</f>
        <v/>
      </c>
    </row>
    <row r="41">
      <c r="A41" s="15" t="inlineStr">
        <is>
          <t>Kết quả hoạt động kinh doanh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</row>
    <row r="42" ht="15" customHeight="1">
      <c r="A42" s="15" t="inlineStr">
        <is>
          <t>Doanh thu thuần</t>
        </is>
      </c>
      <c r="B42" s="19">
        <f>IFERROR(INDEX(income_statement!$B:$I,MATCH("Doanh thu thuần",income_statement!$A:$A,0),MATCH(B$23,income_statement!$B$1:$I$1,0)),"")</f>
        <v/>
      </c>
      <c r="C42" s="19">
        <f>IFERROR(INDEX(income_statement!$B:$I,MATCH("Doanh thu thuần",income_statement!$A:$A,0),MATCH(C$23,income_statement!$B$1:$I$1,0)),"")</f>
        <v/>
      </c>
      <c r="D42" s="19">
        <f>IFERROR(INDEX(income_statement!$B:$I,MATCH("Doanh thu thuần",income_statement!$A:$A,0),MATCH(D$23,income_statement!$B$1:$I$1,0)),"")</f>
        <v/>
      </c>
      <c r="E42" s="19">
        <f>IFERROR(INDEX(income_statement!$B:$I,MATCH("Doanh thu thuần",income_statement!$A:$A,0),MATCH(E$23,income_statement!$B$1:$I$1,0)),"")</f>
        <v/>
      </c>
      <c r="F42" s="19">
        <f>IFERROR(INDEX(income_statement!$B:$I,MATCH("Doanh thu thuần",income_statement!$A:$A,0),MATCH(F$23,income_statement!$B$1:$I$1,0)),"")</f>
        <v/>
      </c>
      <c r="G42" s="19">
        <f>IFERROR(INDEX(income_statement!$B:$I,MATCH("Doanh thu thuần",income_statement!$A:$A,0),MATCH(G$23,income_statement!$B$1:$I$1,0)),"")</f>
        <v/>
      </c>
      <c r="H42" s="19">
        <f>IFERROR(INDEX(income_statement!$B:$I,MATCH("Doanh thu thuần",income_statement!$A:$A,0),MATCH(H$23,income_statement!$B$1:$I$1,0)),"")</f>
        <v/>
      </c>
      <c r="I42" s="19">
        <f>IFERROR(INDEX(income_statement!$B:$I,MATCH("Doanh thu thuần",income_statement!$A:$A,0),MATCH(I$23,income_statement!$B$1:$I$1,0)),"")</f>
        <v/>
      </c>
      <c r="J42" s="19" t="n">
        <v>58580000000000</v>
      </c>
    </row>
    <row r="43">
      <c r="A43" s="17" t="inlineStr">
        <is>
          <t>Giá vốn hàng bán</t>
        </is>
      </c>
      <c r="B43" s="18">
        <f>IFERROR(INDEX(income_statement!$B:$I,MATCH("Giá vốn hàng bán",income_statement!$A:$A,0),MATCH(B$23,income_statement!$B$1:$I$1,0)),"")</f>
        <v/>
      </c>
      <c r="C43" s="18">
        <f>IFERROR(INDEX(income_statement!$B:$I,MATCH("Giá vốn hàng bán",income_statement!$A:$A,0),MATCH(C$23,income_statement!$B$1:$I$1,0)),"")</f>
        <v/>
      </c>
      <c r="D43" s="18">
        <f>IFERROR(INDEX(income_statement!$B:$I,MATCH("Giá vốn hàng bán",income_statement!$A:$A,0),MATCH(D$23,income_statement!$B$1:$I$1,0)),"")</f>
        <v/>
      </c>
      <c r="E43" s="18">
        <f>IFERROR(INDEX(income_statement!$B:$I,MATCH("Giá vốn hàng bán",income_statement!$A:$A,0),MATCH(E$23,income_statement!$B$1:$I$1,0)),"")</f>
        <v/>
      </c>
      <c r="F43" s="18">
        <f>IFERROR(INDEX(income_statement!$B:$I,MATCH("Giá vốn hàng bán",income_statement!$A:$A,0),MATCH(F$23,income_statement!$B$1:$I$1,0)),"")</f>
        <v/>
      </c>
      <c r="G43" s="18">
        <f>IFERROR(INDEX(income_statement!$B:$I,MATCH("Giá vốn hàng bán",income_statement!$A:$A,0),MATCH(G$23,income_statement!$B$1:$I$1,0)),"")</f>
        <v/>
      </c>
      <c r="H43" s="18">
        <f>IFERROR(INDEX(income_statement!$B:$I,MATCH("Giá vốn hàng bán",income_statement!$A:$A,0),MATCH(H$23,income_statement!$B$1:$I$1,0)),"")</f>
        <v/>
      </c>
      <c r="I43" s="18">
        <f>IFERROR(INDEX(income_statement!$B:$I,MATCH("Giá vốn hàng bán",income_statement!$A:$A,0),MATCH(I$23,income_statement!$B$1:$I$1,0)),"")</f>
        <v/>
      </c>
    </row>
    <row r="44" ht="15" customHeight="1">
      <c r="A44" s="15" t="inlineStr">
        <is>
          <t>Lợi nhuận gộp</t>
        </is>
      </c>
      <c r="B44" s="19">
        <f>IFERROR(INDEX(income_statement!$B:$I,MATCH("Lợi nhuận gộp",income_statement!$A:$A,0),MATCH(B$23,income_statement!$B$1:$I$1,0)),"")</f>
        <v/>
      </c>
      <c r="C44" s="19">
        <f>IFERROR(INDEX(income_statement!$B:$I,MATCH("Lợi nhuận gộp",income_statement!$A:$A,0),MATCH(C$23,income_statement!$B$1:$I$1,0)),"")</f>
        <v/>
      </c>
      <c r="D44" s="19">
        <f>IFERROR(INDEX(income_statement!$B:$I,MATCH("Lợi nhuận gộp",income_statement!$A:$A,0),MATCH(D$23,income_statement!$B$1:$I$1,0)),"")</f>
        <v/>
      </c>
      <c r="E44" s="19">
        <f>IFERROR(INDEX(income_statement!$B:$I,MATCH("Lợi nhuận gộp",income_statement!$A:$A,0),MATCH(E$23,income_statement!$B$1:$I$1,0)),"")</f>
        <v/>
      </c>
      <c r="F44" s="19">
        <f>IFERROR(INDEX(income_statement!$B:$I,MATCH("Lợi nhuận gộp",income_statement!$A:$A,0),MATCH(F$23,income_statement!$B$1:$I$1,0)),"")</f>
        <v/>
      </c>
      <c r="G44" s="19">
        <f>IFERROR(INDEX(income_statement!$B:$I,MATCH("Lợi nhuận gộp",income_statement!$A:$A,0),MATCH(G$23,income_statement!$B$1:$I$1,0)),"")</f>
        <v/>
      </c>
      <c r="H44" s="19">
        <f>IFERROR(INDEX(income_statement!$B:$I,MATCH("Lợi nhuận gộp",income_statement!$A:$A,0),MATCH(H$23,income_statement!$B$1:$I$1,0)),"")</f>
        <v/>
      </c>
      <c r="I44" s="19">
        <f>IFERROR(INDEX(income_statement!$B:$I,MATCH("Lợi nhuận gộp",income_statement!$A:$A,0),MATCH(I$23,income_statement!$B$1:$I$1,0)),"")</f>
        <v/>
      </c>
    </row>
    <row r="45">
      <c r="A45" s="17" t="inlineStr">
        <is>
          <t>Chi phí bán hàng</t>
        </is>
      </c>
      <c r="B45" s="18">
        <f>IFERROR(INDEX(income_statement!$B:$I,MATCH("Chi phí bán hàng",income_statement!$A:$A,0),MATCH(B$23,income_statement!$B$1:$I$1,0)),"")</f>
        <v/>
      </c>
      <c r="C45" s="18">
        <f>IFERROR(INDEX(income_statement!$B:$I,MATCH("Chi phí bán hàng",income_statement!$A:$A,0),MATCH(C$23,income_statement!$B$1:$I$1,0)),"")</f>
        <v/>
      </c>
      <c r="D45" s="18">
        <f>IFERROR(INDEX(income_statement!$B:$I,MATCH("Chi phí bán hàng",income_statement!$A:$A,0),MATCH(D$23,income_statement!$B$1:$I$1,0)),"")</f>
        <v/>
      </c>
      <c r="E45" s="18">
        <f>IFERROR(INDEX(income_statement!$B:$I,MATCH("Chi phí bán hàng",income_statement!$A:$A,0),MATCH(E$23,income_statement!$B$1:$I$1,0)),"")</f>
        <v/>
      </c>
      <c r="F45" s="18">
        <f>IFERROR(INDEX(income_statement!$B:$I,MATCH("Chi phí bán hàng",income_statement!$A:$A,0),MATCH(F$23,income_statement!$B$1:$I$1,0)),"")</f>
        <v/>
      </c>
      <c r="G45" s="18">
        <f>IFERROR(INDEX(income_statement!$B:$I,MATCH("Chi phí bán hàng",income_statement!$A:$A,0),MATCH(G$23,income_statement!$B$1:$I$1,0)),"")</f>
        <v/>
      </c>
      <c r="H45" s="18">
        <f>IFERROR(INDEX(income_statement!$B:$I,MATCH("Chi phí bán hàng",income_statement!$A:$A,0),MATCH(H$23,income_statement!$B$1:$I$1,0)),"")</f>
        <v/>
      </c>
      <c r="I45" s="18">
        <f>IFERROR(INDEX(income_statement!$B:$I,MATCH("Chi phí bán hàng",income_statement!$A:$A,0),MATCH(I$23,income_statement!$B$1:$I$1,0)),"")</f>
        <v/>
      </c>
    </row>
    <row r="46">
      <c r="A46" s="17" t="inlineStr">
        <is>
          <t>Chi phí quản lý doanh nghiệp</t>
        </is>
      </c>
      <c r="B46" s="18">
        <f>IFERROR(INDEX(income_statement!$B:$I,MATCH("Chi phí quản lý doanh nghiệp",income_statement!$A:$A,0),MATCH(B$23,income_statement!$B$1:$I$1,0)),"")</f>
        <v/>
      </c>
      <c r="C46" s="18">
        <f>IFERROR(INDEX(income_statement!$B:$I,MATCH("Chi phí quản lý doanh nghiệp",income_statement!$A:$A,0),MATCH(C$23,income_statement!$B$1:$I$1,0)),"")</f>
        <v/>
      </c>
      <c r="D46" s="18">
        <f>IFERROR(INDEX(income_statement!$B:$I,MATCH("Chi phí quản lý doanh nghiệp",income_statement!$A:$A,0),MATCH(D$23,income_statement!$B$1:$I$1,0)),"")</f>
        <v/>
      </c>
      <c r="E46" s="18">
        <f>IFERROR(INDEX(income_statement!$B:$I,MATCH("Chi phí quản lý doanh nghiệp",income_statement!$A:$A,0),MATCH(E$23,income_statement!$B$1:$I$1,0)),"")</f>
        <v/>
      </c>
      <c r="F46" s="18">
        <f>IFERROR(INDEX(income_statement!$B:$I,MATCH("Chi phí quản lý doanh nghiệp",income_statement!$A:$A,0),MATCH(F$23,income_statement!$B$1:$I$1,0)),"")</f>
        <v/>
      </c>
      <c r="G46" s="18">
        <f>IFERROR(INDEX(income_statement!$B:$I,MATCH("Chi phí quản lý doanh nghiệp",income_statement!$A:$A,0),MATCH(G$23,income_statement!$B$1:$I$1,0)),"")</f>
        <v/>
      </c>
      <c r="H46" s="18">
        <f>IFERROR(INDEX(income_statement!$B:$I,MATCH("Chi phí quản lý doanh nghiệp",income_statement!$A:$A,0),MATCH(H$23,income_statement!$B$1:$I$1,0)),"")</f>
        <v/>
      </c>
      <c r="I46" s="18">
        <f>IFERROR(INDEX(income_statement!$B:$I,MATCH("Chi phí quản lý doanh nghiệp",income_statement!$A:$A,0),MATCH(I$23,income_statement!$B$1:$I$1,0)),"")</f>
        <v/>
      </c>
    </row>
    <row r="47">
      <c r="A47" s="17" t="inlineStr">
        <is>
          <t>Lãi/(lỗ) từ hoạt động kinh doanh</t>
        </is>
      </c>
      <c r="B47" s="18">
        <f>IFERROR(INDEX(income_statement!$B:$I,MATCH("Lãi/(lỗ) từ hoạt động kinh doanh",income_statement!$A:$A,0),MATCH(B$23,income_statement!$B$1:$I$1,0)),"")</f>
        <v/>
      </c>
      <c r="C47" s="18">
        <f>IFERROR(INDEX(income_statement!$B:$I,MATCH("Lãi/(lỗ) từ hoạt động kinh doanh",income_statement!$A:$A,0),MATCH(C$23,income_statement!$B$1:$I$1,0)),"")</f>
        <v/>
      </c>
      <c r="D47" s="18">
        <f>IFERROR(INDEX(income_statement!$B:$I,MATCH("Lãi/(lỗ) từ hoạt động kinh doanh",income_statement!$A:$A,0),MATCH(D$23,income_statement!$B$1:$I$1,0)),"")</f>
        <v/>
      </c>
      <c r="E47" s="18">
        <f>IFERROR(INDEX(income_statement!$B:$I,MATCH("Lãi/(lỗ) từ hoạt động kinh doanh",income_statement!$A:$A,0),MATCH(E$23,income_statement!$B$1:$I$1,0)),"")</f>
        <v/>
      </c>
      <c r="F47" s="18">
        <f>IFERROR(INDEX(income_statement!$B:$I,MATCH("Lãi/(lỗ) từ hoạt động kinh doanh",income_statement!$A:$A,0),MATCH(F$23,income_statement!$B$1:$I$1,0)),"")</f>
        <v/>
      </c>
      <c r="G47" s="18">
        <f>IFERROR(INDEX(income_statement!$B:$I,MATCH("Lãi/(lỗ) từ hoạt động kinh doanh",income_statement!$A:$A,0),MATCH(G$23,income_statement!$B$1:$I$1,0)),"")</f>
        <v/>
      </c>
      <c r="H47" s="18">
        <f>IFERROR(INDEX(income_statement!$B:$I,MATCH("Lãi/(lỗ) từ hoạt động kinh doanh",income_statement!$A:$A,0),MATCH(H$23,income_statement!$B$1:$I$1,0)),"")</f>
        <v/>
      </c>
      <c r="I47" s="18">
        <f>IFERROR(INDEX(income_statement!$B:$I,MATCH("Lãi/(lỗ) từ hoạt động kinh doanh",income_statement!$A:$A,0),MATCH(I$23,income_statement!$B$1:$I$1,0)),"")</f>
        <v/>
      </c>
    </row>
    <row r="48">
      <c r="A48" s="17" t="inlineStr">
        <is>
          <t>Chi phí lãi vay</t>
        </is>
      </c>
      <c r="B48" s="18">
        <f>IFERROR(INDEX(income_statement!$B:$I,MATCH("Chi phí lãi vay",income_statement!$A:$A,0),MATCH(B$23,income_statement!$B$1:$I$1,0)),"")</f>
        <v/>
      </c>
      <c r="C48" s="18">
        <f>IFERROR(INDEX(income_statement!$B:$I,MATCH("Chi phí lãi vay",income_statement!$A:$A,0),MATCH(C$23,income_statement!$B$1:$I$1,0)),"")</f>
        <v/>
      </c>
      <c r="D48" s="18">
        <f>IFERROR(INDEX(income_statement!$B:$I,MATCH("Chi phí lãi vay",income_statement!$A:$A,0),MATCH(D$23,income_statement!$B$1:$I$1,0)),"")</f>
        <v/>
      </c>
      <c r="E48" s="18">
        <f>IFERROR(INDEX(income_statement!$B:$I,MATCH("Chi phí lãi vay",income_statement!$A:$A,0),MATCH(E$23,income_statement!$B$1:$I$1,0)),"")</f>
        <v/>
      </c>
      <c r="F48" s="18">
        <f>IFERROR(INDEX(income_statement!$B:$I,MATCH("Chi phí lãi vay",income_statement!$A:$A,0),MATCH(F$23,income_statement!$B$1:$I$1,0)),"")</f>
        <v/>
      </c>
      <c r="G48" s="18">
        <f>IFERROR(INDEX(income_statement!$B:$I,MATCH("Chi phí lãi vay",income_statement!$A:$A,0),MATCH(G$23,income_statement!$B$1:$I$1,0)),"")</f>
        <v/>
      </c>
      <c r="H48" s="18">
        <f>IFERROR(INDEX(income_statement!$B:$I,MATCH("Chi phí lãi vay",income_statement!$A:$A,0),MATCH(H$23,income_statement!$B$1:$I$1,0)),"")</f>
        <v/>
      </c>
      <c r="I48" s="18">
        <f>IFERROR(INDEX(income_statement!$B:$I,MATCH("Chi phí lãi vay",income_statement!$A:$A,0),MATCH(I$23,income_statement!$B$1:$I$1,0)),"")</f>
        <v/>
      </c>
    </row>
    <row r="49" ht="15" customHeight="1">
      <c r="A49" s="20" t="inlineStr">
        <is>
          <t>Lãi/(lỗ) trước thuế</t>
        </is>
      </c>
      <c r="B49" s="19">
        <f>IFERROR(INDEX(income_statement!$B:$I,MATCH("Lãi/(lỗ) trước thuế",income_statement!$A:$A,0),MATCH(B$23,income_statement!$B$1:$I$1,0)),"")</f>
        <v/>
      </c>
      <c r="C49" s="19">
        <f>IFERROR(INDEX(income_statement!$B:$I,MATCH("Lãi/(lỗ) trước thuế",income_statement!$A:$A,0),MATCH(C$23,income_statement!$B$1:$I$1,0)),"")</f>
        <v/>
      </c>
      <c r="D49" s="19">
        <f>IFERROR(INDEX(income_statement!$B:$I,MATCH("Lãi/(lỗ) trước thuế",income_statement!$A:$A,0),MATCH(D$23,income_statement!$B$1:$I$1,0)),"")</f>
        <v/>
      </c>
      <c r="E49" s="19">
        <f>IFERROR(INDEX(income_statement!$B:$I,MATCH("Lãi/(lỗ) trước thuế",income_statement!$A:$A,0),MATCH(E$23,income_statement!$B$1:$I$1,0)),"")</f>
        <v/>
      </c>
      <c r="F49" s="19">
        <f>IFERROR(INDEX(income_statement!$B:$I,MATCH("Lãi/(lỗ) trước thuế",income_statement!$A:$A,0),MATCH(F$23,income_statement!$B$1:$I$1,0)),"")</f>
        <v/>
      </c>
      <c r="G49" s="19">
        <f>IFERROR(INDEX(income_statement!$B:$I,MATCH("Lãi/(lỗ) trước thuế",income_statement!$A:$A,0),MATCH(G$23,income_statement!$B$1:$I$1,0)),"")</f>
        <v/>
      </c>
      <c r="H49" s="19">
        <f>IFERROR(INDEX(income_statement!$B:$I,MATCH("Lãi/(lỗ) trước thuế",income_statement!$A:$A,0),MATCH(H$23,income_statement!$B$1:$I$1,0)),"")</f>
        <v/>
      </c>
      <c r="I49" s="19">
        <f>IFERROR(INDEX(income_statement!$B:$I,MATCH("Lãi/(lỗ) trước thuế",income_statement!$A:$A,0),MATCH(I$23,income_statement!$B$1:$I$1,0)),"")</f>
        <v/>
      </c>
      <c r="J49" s="19" t="n">
        <v>11629000000000</v>
      </c>
    </row>
    <row r="50" ht="15" customHeight="1">
      <c r="A50" s="15" t="inlineStr">
        <is>
          <t>Lãi/(lỗ) thuần sau thuế</t>
        </is>
      </c>
      <c r="B50" s="19">
        <f>IFERROR(INDEX(income_statement!$B:$I,MATCH("Lãi/(lỗ) thuần sau thuế",income_statement!$A:$A,0),MATCH(B$23,income_statement!$B$1:$I$1,0)),"")</f>
        <v/>
      </c>
      <c r="C50" s="19">
        <f>IFERROR(INDEX(income_statement!$B:$I,MATCH("Lãi/(lỗ) thuần sau thuế",income_statement!$A:$A,0),MATCH(C$23,income_statement!$B$1:$I$1,0)),"")</f>
        <v/>
      </c>
      <c r="D50" s="19">
        <f>IFERROR(INDEX(income_statement!$B:$I,MATCH("Lãi/(lỗ) thuần sau thuế",income_statement!$A:$A,0),MATCH(D$23,income_statement!$B$1:$I$1,0)),"")</f>
        <v/>
      </c>
      <c r="E50" s="19">
        <f>IFERROR(INDEX(income_statement!$B:$I,MATCH("Lãi/(lỗ) thuần sau thuế",income_statement!$A:$A,0),MATCH(E$23,income_statement!$B$1:$I$1,0)),"")</f>
        <v/>
      </c>
      <c r="F50" s="19">
        <f>IFERROR(INDEX(income_statement!$B:$I,MATCH("Lãi/(lỗ) thuần sau thuế",income_statement!$A:$A,0),MATCH(F$23,income_statement!$B$1:$I$1,0)),"")</f>
        <v/>
      </c>
      <c r="G50" s="19">
        <f>IFERROR(INDEX(income_statement!$B:$I,MATCH("Lãi/(lỗ) thuần sau thuế",income_statement!$A:$A,0),MATCH(G$23,income_statement!$B$1:$I$1,0)),"")</f>
        <v/>
      </c>
      <c r="H50" s="19">
        <f>IFERROR(INDEX(income_statement!$B:$I,MATCH("Lãi/(lỗ) thuần sau thuế",income_statement!$A:$A,0),MATCH(H$23,income_statement!$B$1:$I$1,0)),"")</f>
        <v/>
      </c>
      <c r="I50" s="19">
        <f>IFERROR(INDEX(income_statement!$B:$I,MATCH("Lãi/(lỗ) thuần sau thuế",income_statement!$A:$A,0),MATCH(I$23,income_statement!$B$1:$I$1,0)),"")</f>
        <v/>
      </c>
    </row>
    <row r="51" ht="15" customHeight="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>
        <f>I51*1.15</f>
        <v/>
      </c>
    </row>
    <row r="52">
      <c r="A52" s="15" t="inlineStr">
        <is>
          <t>Lưu chuyển tiền tệ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>
      <c r="A57" s="21" t="inlineStr">
        <is>
          <t>CHỈ SỐ THÊM</t>
        </is>
      </c>
      <c r="B57" s="22" t="n">
        <v>2018</v>
      </c>
      <c r="C57" s="22" t="n">
        <v>2019</v>
      </c>
      <c r="D57" s="22" t="n">
        <v>2020</v>
      </c>
      <c r="E57" s="22" t="n">
        <v>2021</v>
      </c>
      <c r="F57" s="22" t="n">
        <v>2022</v>
      </c>
      <c r="G57" s="22" t="n">
        <v>2023</v>
      </c>
      <c r="H57" s="22" t="n">
        <v>2024</v>
      </c>
      <c r="I57" s="22" t="n">
        <v>2025</v>
      </c>
    </row>
    <row r="58">
      <c r="A58" s="21" t="inlineStr">
        <is>
          <t>Khả năng sinh lời &amp; hiệu quả sử dụng vốn</t>
        </is>
      </c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23" t="inlineStr">
        <is>
          <t>ROCE</t>
        </is>
      </c>
      <c r="B59" s="24">
        <f>IFERROR(B$61/(B$31-B$35),"n/a")</f>
        <v/>
      </c>
      <c r="C59" s="24">
        <f>IFERROR(C$61/(C$31-C$35),"n/a")</f>
        <v/>
      </c>
      <c r="D59" s="24">
        <f>IFERROR(D$61/(D$31-D$35),"n/a")</f>
        <v/>
      </c>
      <c r="E59" s="24">
        <f>IFERROR(E$61/(E$31-E$35),"n/a")</f>
        <v/>
      </c>
      <c r="F59" s="24">
        <f>IFERROR(F$61/(F$31-F$35),"n/a")</f>
        <v/>
      </c>
      <c r="G59" s="24">
        <f>IFERROR(G$61/(G$31-G$35),"n/a")</f>
        <v/>
      </c>
      <c r="H59" s="24">
        <f>IFERROR(H$61/(H$31-H$35),"n/a")</f>
        <v/>
      </c>
      <c r="I59" s="24">
        <f>IFERROR(I$61/(I$31-I$35),"n/a")</f>
        <v/>
      </c>
    </row>
    <row r="60">
      <c r="A60" s="23" t="inlineStr">
        <is>
          <t>CROIC</t>
        </is>
      </c>
      <c r="B60" s="24">
        <f>IFERROR(B$65/(B$31-B$35),"n/a")</f>
        <v/>
      </c>
      <c r="C60" s="24">
        <f>IFERROR(C$65/(C$31-C$35),"n/a")</f>
        <v/>
      </c>
      <c r="D60" s="24">
        <f>IFERROR(D$65/(D$31-D$35),"n/a")</f>
        <v/>
      </c>
      <c r="E60" s="24">
        <f>IFERROR(E$65/(E$31-E$35),"n/a")</f>
        <v/>
      </c>
      <c r="F60" s="24">
        <f>IFERROR(F$65/(F$31-F$35),"n/a")</f>
        <v/>
      </c>
      <c r="G60" s="24">
        <f>IFERROR(G$65/(G$31-G$35),"n/a")</f>
        <v/>
      </c>
      <c r="H60" s="24">
        <f>IFERROR(H$65/(H$31-H$35),"n/a")</f>
        <v/>
      </c>
      <c r="I60" s="24">
        <f>IFERROR(I$65/(I$31-I$35),"n/a")</f>
        <v/>
      </c>
    </row>
    <row r="61">
      <c r="A61" s="23" t="inlineStr">
        <is>
          <t>EBIT</t>
        </is>
      </c>
      <c r="B61" s="25">
        <f>IFERROR(B$47+ABS(B$48),"n/a")</f>
        <v/>
      </c>
      <c r="C61" s="25">
        <f>IFERROR(C$47+ABS(C$48),"n/a")</f>
        <v/>
      </c>
      <c r="D61" s="25">
        <f>IFERROR(D$47+ABS(D$48),"n/a")</f>
        <v/>
      </c>
      <c r="E61" s="25">
        <f>IFERROR(E$47+ABS(E$48),"n/a")</f>
        <v/>
      </c>
      <c r="F61" s="25">
        <f>IFERROR(F$47+ABS(F$48),"n/a")</f>
        <v/>
      </c>
      <c r="G61" s="25">
        <f>IFERROR(G$47+ABS(G$48),"n/a")</f>
        <v/>
      </c>
      <c r="H61" s="25">
        <f>IFERROR(H$47+ABS(H$48),"n/a")</f>
        <v/>
      </c>
      <c r="I61" s="25">
        <f>IFERROR(I$47+ABS(I$48),"n/a")</f>
        <v/>
      </c>
    </row>
    <row r="62">
      <c r="A62" s="23" t="inlineStr">
        <is>
          <t>EBIT/DT</t>
        </is>
      </c>
      <c r="B62" s="24">
        <f>IFERROR(B$61/B$42,"n/a")</f>
        <v/>
      </c>
      <c r="C62" s="24">
        <f>IFERROR(C$61/C$42,"n/a")</f>
        <v/>
      </c>
      <c r="D62" s="24">
        <f>IFERROR(D$61/D$42,"n/a")</f>
        <v/>
      </c>
      <c r="E62" s="24">
        <f>IFERROR(E$61/E$42,"n/a")</f>
        <v/>
      </c>
      <c r="F62" s="24">
        <f>IFERROR(F$61/F$42,"n/a")</f>
        <v/>
      </c>
      <c r="G62" s="24">
        <f>IFERROR(G$61/G$42,"n/a")</f>
        <v/>
      </c>
      <c r="H62" s="24">
        <f>IFERROR(H$61/H$42,"n/a")</f>
        <v/>
      </c>
      <c r="I62" s="24">
        <f>IFERROR(I$61/I$42,"n/a")</f>
        <v/>
      </c>
    </row>
    <row r="63">
      <c r="A63" s="23" t="inlineStr">
        <is>
          <t>DT/TS</t>
        </is>
      </c>
      <c r="B63" s="24">
        <f>IFERROR(B$42/B$31,"n/a")</f>
        <v/>
      </c>
      <c r="C63" s="24">
        <f>IFERROR(C$42/C$31,"n/a")</f>
        <v/>
      </c>
      <c r="D63" s="24">
        <f>IFERROR(D$42/D$31,"n/a")</f>
        <v/>
      </c>
      <c r="E63" s="24">
        <f>IFERROR(E$42/E$31,"n/a")</f>
        <v/>
      </c>
      <c r="F63" s="24">
        <f>IFERROR(F$42/F$31,"n/a")</f>
        <v/>
      </c>
      <c r="G63" s="24">
        <f>IFERROR(G$42/G$31,"n/a")</f>
        <v/>
      </c>
      <c r="H63" s="24">
        <f>IFERROR(H$42/H$31,"n/a")</f>
        <v/>
      </c>
      <c r="I63" s="24">
        <f>IFERROR(I$42/I$31,"n/a")</f>
        <v/>
      </c>
    </row>
    <row r="64">
      <c r="A64" s="21" t="inlineStr">
        <is>
          <t>Dòng tiền &amp; tái đầu tư</t>
        </is>
      </c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23" t="inlineStr">
        <is>
          <t>FCF</t>
        </is>
      </c>
      <c r="B65" s="25">
        <f>IFERROR(B$55-ABS(B$54),"n/a")</f>
        <v/>
      </c>
      <c r="C65" s="25">
        <f>IFERROR(C$55-ABS(C$54),"n/a")</f>
        <v/>
      </c>
      <c r="D65" s="25">
        <f>IFERROR(D$55-ABS(D$54),"n/a")</f>
        <v/>
      </c>
      <c r="E65" s="25">
        <f>IFERROR(E$55-ABS(E$54),"n/a")</f>
        <v/>
      </c>
      <c r="F65" s="25">
        <f>IFERROR(F$55-ABS(F$54),"n/a")</f>
        <v/>
      </c>
      <c r="G65" s="25">
        <f>IFERROR(G$55-ABS(G$54),"n/a")</f>
        <v/>
      </c>
      <c r="H65" s="25">
        <f>IFERROR(H$55-ABS(H$54),"n/a")</f>
        <v/>
      </c>
      <c r="I65" s="25">
        <f>IFERROR(I$55-ABS(I$54),"n/a")</f>
        <v/>
      </c>
    </row>
    <row r="66">
      <c r="A66" s="23" t="inlineStr">
        <is>
          <t>FCF/DT</t>
        </is>
      </c>
      <c r="B66" s="24">
        <f>IFERROR(B$65/B$42,"n/a")</f>
        <v/>
      </c>
      <c r="C66" s="24">
        <f>IFERROR(C$65/C$42,"n/a")</f>
        <v/>
      </c>
      <c r="D66" s="24">
        <f>IFERROR(D$65/D$42,"n/a")</f>
        <v/>
      </c>
      <c r="E66" s="24">
        <f>IFERROR(E$65/E$42,"n/a")</f>
        <v/>
      </c>
      <c r="F66" s="24">
        <f>IFERROR(F$65/F$42,"n/a")</f>
        <v/>
      </c>
      <c r="G66" s="24">
        <f>IFERROR(G$65/G$42,"n/a")</f>
        <v/>
      </c>
      <c r="H66" s="24">
        <f>IFERROR(H$65/H$42,"n/a")</f>
        <v/>
      </c>
      <c r="I66" s="24">
        <f>IFERROR(I$65/I$42,"n/a")</f>
        <v/>
      </c>
    </row>
    <row r="67">
      <c r="A67" s="23" t="inlineStr">
        <is>
          <t>FCF/Nợ ngắn hạn</t>
        </is>
      </c>
      <c r="B67" s="24">
        <f>IFERROR(B$65/B$35,"n/a")</f>
        <v/>
      </c>
      <c r="C67" s="24">
        <f>IFERROR(C$65/C$35,"n/a")</f>
        <v/>
      </c>
      <c r="D67" s="24">
        <f>IFERROR(D$65/D$35,"n/a")</f>
        <v/>
      </c>
      <c r="E67" s="24">
        <f>IFERROR(E$65/E$35,"n/a")</f>
        <v/>
      </c>
      <c r="F67" s="24">
        <f>IFERROR(F$65/F$35,"n/a")</f>
        <v/>
      </c>
      <c r="G67" s="24">
        <f>IFERROR(G$65/G$35,"n/a")</f>
        <v/>
      </c>
      <c r="H67" s="24">
        <f>IFERROR(H$65/H$35,"n/a")</f>
        <v/>
      </c>
      <c r="I67" s="24">
        <f>IFERROR(I$65/I$35,"n/a")</f>
        <v/>
      </c>
    </row>
    <row r="68">
      <c r="A68" s="23" t="inlineStr">
        <is>
          <t>Capex</t>
        </is>
      </c>
      <c r="B68" s="25">
        <f>IFERROR(ABS(B$54),"n/a")</f>
        <v/>
      </c>
      <c r="C68" s="25">
        <f>IFERROR(ABS(C$54),"n/a")</f>
        <v/>
      </c>
      <c r="D68" s="25">
        <f>IFERROR(ABS(D$54),"n/a")</f>
        <v/>
      </c>
      <c r="E68" s="25">
        <f>IFERROR(ABS(E$54),"n/a")</f>
        <v/>
      </c>
      <c r="F68" s="25">
        <f>IFERROR(ABS(F$54),"n/a")</f>
        <v/>
      </c>
      <c r="G68" s="25">
        <f>IFERROR(ABS(G$54),"n/a")</f>
        <v/>
      </c>
      <c r="H68" s="25">
        <f>IFERROR(ABS(H$54),"n/a")</f>
        <v/>
      </c>
      <c r="I68" s="25">
        <f>IFERROR(ABS(I$54),"n/a")</f>
        <v/>
      </c>
    </row>
    <row r="69">
      <c r="A69" s="23" t="inlineStr">
        <is>
          <t>Capex/TS</t>
        </is>
      </c>
      <c r="B69" s="24">
        <f>IFERROR(B$68/B$31,"n/a")</f>
        <v/>
      </c>
      <c r="C69" s="24">
        <f>IFERROR(C$68/C$31,"n/a")</f>
        <v/>
      </c>
      <c r="D69" s="24">
        <f>IFERROR(D$68/D$31,"n/a")</f>
        <v/>
      </c>
      <c r="E69" s="24">
        <f>IFERROR(E$68/E$31,"n/a")</f>
        <v/>
      </c>
      <c r="F69" s="24">
        <f>IFERROR(F$68/F$31,"n/a")</f>
        <v/>
      </c>
      <c r="G69" s="24">
        <f>IFERROR(G$68/G$31,"n/a")</f>
        <v/>
      </c>
      <c r="H69" s="24">
        <f>IFERROR(H$68/H$31,"n/a")</f>
        <v/>
      </c>
      <c r="I69" s="24">
        <f>IFERROR(I$68/I$31,"n/a")</f>
        <v/>
      </c>
    </row>
    <row r="70">
      <c r="A70" s="23" t="inlineStr">
        <is>
          <t>Capex/LNST</t>
        </is>
      </c>
      <c r="B70" s="24">
        <f>IFERROR(B$68/ABS(B$50),"n/a")</f>
        <v/>
      </c>
      <c r="C70" s="24">
        <f>IFERROR(C$68/ABS(C$50),"n/a")</f>
        <v/>
      </c>
      <c r="D70" s="24">
        <f>IFERROR(D$68/ABS(D$50),"n/a")</f>
        <v/>
      </c>
      <c r="E70" s="24">
        <f>IFERROR(E$68/ABS(E$50),"n/a")</f>
        <v/>
      </c>
      <c r="F70" s="24">
        <f>IFERROR(F$68/ABS(F$50),"n/a")</f>
        <v/>
      </c>
      <c r="G70" s="24">
        <f>IFERROR(G$68/ABS(G$50),"n/a")</f>
        <v/>
      </c>
      <c r="H70" s="24">
        <f>IFERROR(H$68/ABS(H$50),"n/a")</f>
        <v/>
      </c>
      <c r="I70" s="24">
        <f>IFERROR(I$68/ABS(I$50),"n/a")</f>
        <v/>
      </c>
    </row>
    <row r="71">
      <c r="A71" s="23" t="inlineStr">
        <is>
          <t>Chi phí khấu hao/Lợi nhuận gộp</t>
        </is>
      </c>
      <c r="B71" s="24">
        <f>IFERROR(ABS(B$53)/B$44,"n/a")</f>
        <v/>
      </c>
      <c r="C71" s="24">
        <f>IFERROR(ABS(C$53)/C$44,"n/a")</f>
        <v/>
      </c>
      <c r="D71" s="24">
        <f>IFERROR(ABS(D$53)/D$44,"n/a")</f>
        <v/>
      </c>
      <c r="E71" s="24">
        <f>IFERROR(ABS(E$53)/E$44,"n/a")</f>
        <v/>
      </c>
      <c r="F71" s="24">
        <f>IFERROR(ABS(F$53)/F$44,"n/a")</f>
        <v/>
      </c>
      <c r="G71" s="24">
        <f>IFERROR(ABS(G$53)/G$44,"n/a")</f>
        <v/>
      </c>
      <c r="H71" s="24">
        <f>IFERROR(ABS(H$53)/H$44,"n/a")</f>
        <v/>
      </c>
      <c r="I71" s="24">
        <f>IFERROR(ABS(I$53)/I$44,"n/a")</f>
        <v/>
      </c>
    </row>
    <row r="72">
      <c r="A72" s="23" t="inlineStr">
        <is>
          <t>EBIT/Chi phí lãi vay</t>
        </is>
      </c>
      <c r="B72" s="24">
        <f>IFERROR(B$61/ABS(B$48),"n/a")</f>
        <v/>
      </c>
      <c r="C72" s="24">
        <f>IFERROR(C$61/ABS(C$48),"n/a")</f>
        <v/>
      </c>
      <c r="D72" s="24">
        <f>IFERROR(D$61/ABS(D$48),"n/a")</f>
        <v/>
      </c>
      <c r="E72" s="24">
        <f>IFERROR(E$61/ABS(E$48),"n/a")</f>
        <v/>
      </c>
      <c r="F72" s="24">
        <f>IFERROR(F$61/ABS(F$48),"n/a")</f>
        <v/>
      </c>
      <c r="G72" s="24">
        <f>IFERROR(G$61/ABS(G$48),"n/a")</f>
        <v/>
      </c>
      <c r="H72" s="24">
        <f>IFERROR(H$61/ABS(H$48),"n/a")</f>
        <v/>
      </c>
      <c r="I72" s="24">
        <f>IFERROR(I$61/ABS(I$48),"n/a")</f>
        <v/>
      </c>
    </row>
    <row r="73">
      <c r="A73" s="21" t="inlineStr">
        <is>
          <t>Vốn lưu động &amp; hiệu quả hoạt động</t>
        </is>
      </c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23" t="inlineStr">
        <is>
          <t>Vòng quay tiền mặt</t>
        </is>
      </c>
      <c r="B74" s="26">
        <f>IFERROR(B$17+B$18-B$16,"n/a")</f>
        <v/>
      </c>
      <c r="C74" s="26">
        <f>IFERROR(C$17+C$18-C$16,"n/a")</f>
        <v/>
      </c>
      <c r="D74" s="26">
        <f>IFERROR(D$17+D$18-D$16,"n/a")</f>
        <v/>
      </c>
      <c r="E74" s="26">
        <f>IFERROR(E$17+E$18-E$16,"n/a")</f>
        <v/>
      </c>
      <c r="F74" s="26">
        <f>IFERROR(F$17+F$18-F$16,"n/a")</f>
        <v/>
      </c>
      <c r="G74" s="26">
        <f>IFERROR(G$17+G$18-G$16,"n/a")</f>
        <v/>
      </c>
      <c r="H74" s="26">
        <f>IFERROR(H$17+H$18-H$16,"n/a")</f>
        <v/>
      </c>
      <c r="I74" s="26">
        <f>IFERROR(I$17+I$18-I$16,"n/a")</f>
        <v/>
      </c>
    </row>
    <row r="75">
      <c r="A75" s="23" t="inlineStr">
        <is>
          <t>HTK/DT</t>
        </is>
      </c>
      <c r="B75" s="24">
        <f>IFERROR(B$28/B$42,"n/a")</f>
        <v/>
      </c>
      <c r="C75" s="24">
        <f>IFERROR(C$28/C$42,"n/a")</f>
        <v/>
      </c>
      <c r="D75" s="24">
        <f>IFERROR(D$28/D$42,"n/a")</f>
        <v/>
      </c>
      <c r="E75" s="24">
        <f>IFERROR(E$28/E$42,"n/a")</f>
        <v/>
      </c>
      <c r="F75" s="24">
        <f>IFERROR(F$28/F$42,"n/a")</f>
        <v/>
      </c>
      <c r="G75" s="24">
        <f>IFERROR(G$28/G$42,"n/a")</f>
        <v/>
      </c>
      <c r="H75" s="24">
        <f>IFERROR(H$28/H$42,"n/a")</f>
        <v/>
      </c>
      <c r="I75" s="24">
        <f>IFERROR(I$28/I$42,"n/a")</f>
        <v/>
      </c>
    </row>
    <row r="76">
      <c r="A76" s="23" t="inlineStr">
        <is>
          <t>HTK/TS</t>
        </is>
      </c>
      <c r="B76" s="24">
        <f>IFERROR(B$28/B$31,"n/a")</f>
        <v/>
      </c>
      <c r="C76" s="24">
        <f>IFERROR(C$28/C$31,"n/a")</f>
        <v/>
      </c>
      <c r="D76" s="24">
        <f>IFERROR(D$28/D$31,"n/a")</f>
        <v/>
      </c>
      <c r="E76" s="24">
        <f>IFERROR(E$28/E$31,"n/a")</f>
        <v/>
      </c>
      <c r="F76" s="24">
        <f>IFERROR(F$28/F$31,"n/a")</f>
        <v/>
      </c>
      <c r="G76" s="24">
        <f>IFERROR(G$28/G$31,"n/a")</f>
        <v/>
      </c>
      <c r="H76" s="24">
        <f>IFERROR(H$28/H$31,"n/a")</f>
        <v/>
      </c>
      <c r="I76" s="24">
        <f>IFERROR(I$28/I$31,"n/a")</f>
        <v/>
      </c>
    </row>
    <row r="77">
      <c r="A77" s="23" t="inlineStr">
        <is>
          <t>DT/TS</t>
        </is>
      </c>
      <c r="B77" s="24">
        <f>IFERROR(B$42/B$31,"n/a")</f>
        <v/>
      </c>
      <c r="C77" s="24">
        <f>IFERROR(C$42/C$31,"n/a")</f>
        <v/>
      </c>
      <c r="D77" s="24">
        <f>IFERROR(D$42/D$31,"n/a")</f>
        <v/>
      </c>
      <c r="E77" s="24">
        <f>IFERROR(E$42/E$31,"n/a")</f>
        <v/>
      </c>
      <c r="F77" s="24">
        <f>IFERROR(F$42/F$31,"n/a")</f>
        <v/>
      </c>
      <c r="G77" s="24">
        <f>IFERROR(G$42/G$31,"n/a")</f>
        <v/>
      </c>
      <c r="H77" s="24">
        <f>IFERROR(H$42/H$31,"n/a")</f>
        <v/>
      </c>
      <c r="I77" s="24">
        <f>IFERROR(I$42/I$31,"n/a")</f>
        <v/>
      </c>
    </row>
    <row r="78">
      <c r="A78" s="21" t="inlineStr">
        <is>
          <t>Khả năng thanh toán</t>
        </is>
      </c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23" t="inlineStr">
        <is>
          <t>(TS ngắn hạn − HTK)/Nợ ngắn hạn</t>
        </is>
      </c>
      <c r="B79" s="24">
        <f>IFERROR((B$29-B$28)/B$35,"n/a")</f>
        <v/>
      </c>
      <c r="C79" s="24">
        <f>IFERROR((C$29-C$28)/C$35,"n/a")</f>
        <v/>
      </c>
      <c r="D79" s="24">
        <f>IFERROR((D$29-D$28)/D$35,"n/a")</f>
        <v/>
      </c>
      <c r="E79" s="24">
        <f>IFERROR((E$29-E$28)/E$35,"n/a")</f>
        <v/>
      </c>
      <c r="F79" s="24">
        <f>IFERROR((F$29-F$28)/F$35,"n/a")</f>
        <v/>
      </c>
      <c r="G79" s="24">
        <f>IFERROR((G$29-G$28)/G$35,"n/a")</f>
        <v/>
      </c>
      <c r="H79" s="24">
        <f>IFERROR((H$29-H$28)/H$35,"n/a")</f>
        <v/>
      </c>
      <c r="I79" s="24">
        <f>IFERROR((I$29-I$28)/I$35,"n/a")</f>
        <v/>
      </c>
    </row>
    <row r="80">
      <c r="A80" s="23" t="inlineStr">
        <is>
          <t>TS ngắn hạn/Nợ ngắn hạn</t>
        </is>
      </c>
      <c r="B80" s="24">
        <f>IFERROR(B$29/B$35,"n/a")</f>
        <v/>
      </c>
      <c r="C80" s="24">
        <f>IFERROR(C$29/C$35,"n/a")</f>
        <v/>
      </c>
      <c r="D80" s="24">
        <f>IFERROR(D$29/D$35,"n/a")</f>
        <v/>
      </c>
      <c r="E80" s="24">
        <f>IFERROR(E$29/E$35,"n/a")</f>
        <v/>
      </c>
      <c r="F80" s="24">
        <f>IFERROR(F$29/F$35,"n/a")</f>
        <v/>
      </c>
      <c r="G80" s="24">
        <f>IFERROR(G$29/G$35,"n/a")</f>
        <v/>
      </c>
      <c r="H80" s="24">
        <f>IFERROR(H$29/H$35,"n/a")</f>
        <v/>
      </c>
      <c r="I80" s="24">
        <f>IFERROR(I$29/I$35,"n/a")</f>
        <v/>
      </c>
    </row>
    <row r="81">
      <c r="A81" s="21" t="inlineStr">
        <is>
          <t>Tài sản &amp; cơ cấu tài sản</t>
        </is>
      </c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23" t="inlineStr">
        <is>
          <t>TSCĐ vô hình</t>
        </is>
      </c>
      <c r="B82" s="25">
        <f>IFERROR(B$30,"n/a")</f>
        <v/>
      </c>
      <c r="C82" s="25">
        <f>IFERROR(C$30,"n/a")</f>
        <v/>
      </c>
      <c r="D82" s="25">
        <f>IFERROR(D$30,"n/a")</f>
        <v/>
      </c>
      <c r="E82" s="25">
        <f>IFERROR(E$30,"n/a")</f>
        <v/>
      </c>
      <c r="F82" s="25">
        <f>IFERROR(F$30,"n/a")</f>
        <v/>
      </c>
      <c r="G82" s="25">
        <f>IFERROR(G$30,"n/a")</f>
        <v/>
      </c>
      <c r="H82" s="25">
        <f>IFERROR(H$30,"n/a")</f>
        <v/>
      </c>
      <c r="I82" s="25">
        <f>IFERROR(I$30,"n/a")</f>
        <v/>
      </c>
    </row>
    <row r="83">
      <c r="A83" s="23" t="inlineStr">
        <is>
          <t>Tài sản vô hình/Giá trị sổ sách</t>
        </is>
      </c>
      <c r="B83" s="24">
        <f>IFERROR(B$30/B$39,"n/a")</f>
        <v/>
      </c>
      <c r="C83" s="24">
        <f>IFERROR(C$30/C$39,"n/a")</f>
        <v/>
      </c>
      <c r="D83" s="24">
        <f>IFERROR(D$30/D$39,"n/a")</f>
        <v/>
      </c>
      <c r="E83" s="24">
        <f>IFERROR(E$30/E$39,"n/a")</f>
        <v/>
      </c>
      <c r="F83" s="24">
        <f>IFERROR(F$30/F$39,"n/a")</f>
        <v/>
      </c>
      <c r="G83" s="24">
        <f>IFERROR(G$30/G$39,"n/a")</f>
        <v/>
      </c>
      <c r="H83" s="24">
        <f>IFERROR(H$30/H$39,"n/a")</f>
        <v/>
      </c>
      <c r="I83" s="24">
        <f>IFERROR(I$30/I$39,"n/a")</f>
        <v/>
      </c>
    </row>
  </sheetData>
  <conditionalFormatting sqref="B3">
    <cfRule type="cellIs" priority="4" operator="lessThan" dxfId="0">
      <formula>0.1</formula>
    </cfRule>
    <cfRule type="cellIs" priority="5" operator="greaterThanOrEqual" dxfId="1">
      <formula>0.15</formula>
    </cfRule>
    <cfRule type="cellIs" priority="6" operator="between" dxfId="2">
      <formula>0.1</formula>
      <formula>0.15</formula>
    </cfRule>
  </conditionalFormatting>
  <conditionalFormatting sqref="B2:I2">
    <cfRule type="cellIs" priority="20" operator="greaterThanOrEqual" dxfId="1">
      <formula>0.15</formula>
    </cfRule>
    <cfRule type="cellIs" priority="21" operator="lessThan" dxfId="0">
      <formula>0.15</formula>
    </cfRule>
  </conditionalFormatting>
  <conditionalFormatting sqref="B6:I6">
    <cfRule type="cellIs" priority="14" operator="greaterThanOrEqual" dxfId="1">
      <formula>0.3</formula>
    </cfRule>
    <cfRule type="cellIs" priority="15" operator="lessThanOrEqual" dxfId="0">
      <formula>0.1</formula>
    </cfRule>
    <cfRule type="cellIs" priority="16" operator="between" dxfId="2">
      <formula>0.1</formula>
      <formula>0.3</formula>
    </cfRule>
  </conditionalFormatting>
  <conditionalFormatting sqref="B8:I8 B11:I11">
    <cfRule type="cellIs" priority="12" operator="lessThanOrEqual" dxfId="1">
      <formula>0.5</formula>
    </cfRule>
  </conditionalFormatting>
  <conditionalFormatting sqref="B14:I14">
    <cfRule type="cellIs" priority="10" operator="lessThanOrEqual" dxfId="1">
      <formula>0.3</formula>
    </cfRule>
    <cfRule type="cellIs" priority="11" operator="greaterThanOrEqual" dxfId="0">
      <formula>0.7</formula>
    </cfRule>
  </conditionalFormatting>
  <conditionalFormatting sqref="B19:I19">
    <cfRule type="cellIs" priority="8" operator="notBetween" dxfId="0">
      <formula>0.02</formula>
      <formula>0.3</formula>
    </cfRule>
    <cfRule type="cellIs" priority="9" operator="between" dxfId="1">
      <formula>0.02</formula>
      <formula>0.3</formula>
    </cfRule>
  </conditionalFormatting>
  <conditionalFormatting sqref="B4:J5">
    <cfRule type="cellIs" priority="1" operator="lessThan" dxfId="0">
      <formula>0.1</formula>
    </cfRule>
    <cfRule type="cellIs" priority="2" operator="greaterThanOrEqual" dxfId="1">
      <formula>0.15</formula>
    </cfRule>
    <cfRule type="cellIs" priority="3" operator="between" dxfId="2">
      <formula>0.1</formula>
      <formula>0.15</formula>
    </cfRule>
  </conditionalFormatting>
  <conditionalFormatting sqref="B7:J7">
    <cfRule type="cellIs" priority="13" operator="greaterThanOrEqual" dxfId="1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9" customWidth="1" min="6" max="6"/>
  </cols>
  <sheetData>
    <row r="1">
      <c r="A1" s="27" t="n"/>
      <c r="B1" s="27" t="inlineStr">
        <is>
          <t>Q1/2026</t>
        </is>
      </c>
      <c r="C1" s="27" t="inlineStr">
        <is>
          <t>Q2/2026</t>
        </is>
      </c>
      <c r="D1" s="27" t="inlineStr">
        <is>
          <t>Q3/2026</t>
        </is>
      </c>
      <c r="E1" s="27" t="inlineStr">
        <is>
          <t>Q4/2026</t>
        </is>
      </c>
    </row>
    <row r="2">
      <c r="A2" s="27" t="inlineStr">
        <is>
          <t>Số CP</t>
        </is>
      </c>
      <c r="B2" s="28" t="n">
        <v>1714326422</v>
      </c>
      <c r="C2" s="28" t="n">
        <v>1714326422</v>
      </c>
      <c r="D2" s="28" t="n">
        <v>1714326422</v>
      </c>
      <c r="E2" s="28" t="n">
        <v>1714326422</v>
      </c>
    </row>
    <row r="3">
      <c r="A3" s="27" t="inlineStr">
        <is>
          <t>Thị giá</t>
        </is>
      </c>
      <c r="B3" s="28" t="n">
        <v>66400</v>
      </c>
      <c r="C3" s="28" t="n">
        <v>66400</v>
      </c>
      <c r="D3" s="28" t="n">
        <v>66400</v>
      </c>
      <c r="E3" s="28" t="n">
        <v>66400</v>
      </c>
    </row>
    <row r="4">
      <c r="A4" s="27" t="inlineStr">
        <is>
          <t>Vốn hoá</t>
        </is>
      </c>
      <c r="B4" s="28">
        <f>B2*B3</f>
        <v/>
      </c>
      <c r="C4" s="28">
        <f>C2*C3</f>
        <v/>
      </c>
      <c r="D4" s="28">
        <f>D2*D3</f>
        <v/>
      </c>
      <c r="E4" s="28">
        <f>E2*E3</f>
        <v/>
      </c>
    </row>
    <row r="5"/>
    <row r="6">
      <c r="A6" s="27" t="inlineStr">
        <is>
          <t>VCSH</t>
        </is>
      </c>
      <c r="B6" s="29" t="n">
        <v>40122000000000</v>
      </c>
      <c r="C6" s="29" t="n">
        <v>40996000000000</v>
      </c>
      <c r="D6" s="29">
        <f>$C$6*(($E$6/$C$6)^(1/2))</f>
        <v/>
      </c>
      <c r="E6" s="29" t="n">
        <v>46100000000000</v>
      </c>
    </row>
    <row r="7">
      <c r="A7" s="27" t="inlineStr">
        <is>
          <t>LICĐKKS</t>
        </is>
      </c>
      <c r="B7" s="29" t="n">
        <v>1170000000000</v>
      </c>
      <c r="C7" s="29" t="n">
        <v>1144000000000</v>
      </c>
      <c r="D7" s="29">
        <f>D6*0.03</f>
        <v/>
      </c>
      <c r="E7" s="29">
        <f>E6*0.03</f>
        <v/>
      </c>
    </row>
    <row r="8">
      <c r="A8" s="27" t="inlineStr">
        <is>
          <t>BV</t>
        </is>
      </c>
      <c r="B8" s="29">
        <f>B6-B7</f>
        <v/>
      </c>
      <c r="C8" s="29">
        <f>C6-C7</f>
        <v/>
      </c>
      <c r="D8" s="29">
        <f>D6-D7</f>
        <v/>
      </c>
      <c r="E8" s="29">
        <f>E6-E7</f>
        <v/>
      </c>
    </row>
    <row r="9">
      <c r="A9" s="30" t="inlineStr">
        <is>
          <t>BVPS</t>
        </is>
      </c>
      <c r="B9" s="31">
        <f>B8/B2</f>
        <v/>
      </c>
      <c r="C9" s="31">
        <f>C8/C2</f>
        <v/>
      </c>
      <c r="D9" s="31">
        <f>D8/D2</f>
        <v/>
      </c>
      <c r="E9" s="31">
        <f>E8/E2</f>
        <v/>
      </c>
    </row>
    <row r="10">
      <c r="A10" s="30" t="inlineStr">
        <is>
          <t>PB</t>
        </is>
      </c>
      <c r="B10" s="32">
        <f>B4/B8</f>
        <v/>
      </c>
      <c r="C10" s="32">
        <f>C4/C8</f>
        <v/>
      </c>
      <c r="D10" s="32">
        <f>D4/D8</f>
        <v/>
      </c>
      <c r="E10" s="32">
        <f>E4/E8</f>
        <v/>
      </c>
    </row>
    <row r="11"/>
    <row r="12">
      <c r="A12" s="27" t="inlineStr">
        <is>
          <t>Trailing Earning</t>
        </is>
      </c>
      <c r="B12" s="27" t="n"/>
      <c r="C12" s="29">
        <f>(2568+2487+2503+2435)*1000000000</f>
        <v/>
      </c>
      <c r="D12" s="29">
        <f>$C$12*(($E$12/$C$12)^(1/2))</f>
        <v/>
      </c>
      <c r="E12" s="29">
        <f>chi_so_tai_chinh!J51</f>
        <v/>
      </c>
    </row>
    <row r="13">
      <c r="A13" s="27" t="inlineStr">
        <is>
          <t>EPS</t>
        </is>
      </c>
      <c r="B13" s="31" t="n">
        <v>5687</v>
      </c>
      <c r="C13" s="31">
        <f>C12/C2</f>
        <v/>
      </c>
      <c r="D13" s="31">
        <f>$C$13*(($E$13/$C$13)^(1/2))</f>
        <v/>
      </c>
      <c r="E13" s="31">
        <f>E12/E2</f>
        <v/>
      </c>
    </row>
    <row r="14">
      <c r="A14" s="30" t="inlineStr">
        <is>
          <t>PE</t>
        </is>
      </c>
      <c r="B14" s="32">
        <f>$E$3/B13</f>
        <v/>
      </c>
      <c r="C14" s="32">
        <f>$E$3/C13</f>
        <v/>
      </c>
      <c r="D14" s="32">
        <f>$E$3/D13</f>
        <v/>
      </c>
      <c r="E14" s="32">
        <f>$E$3/E13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9.375" customWidth="1" min="1" max="1"/>
    <col width="8.125" customWidth="1" min="2" max="2"/>
    <col width="8.875" customWidth="1" min="9" max="9"/>
  </cols>
  <sheetData>
    <row r="1">
      <c r="A1" s="27" t="n"/>
      <c r="B1" s="27" t="n">
        <v>2020</v>
      </c>
      <c r="C1" s="27" t="n">
        <v>2021</v>
      </c>
      <c r="D1" s="27" t="n">
        <v>2022</v>
      </c>
      <c r="E1" s="27" t="n">
        <v>2023</v>
      </c>
      <c r="F1" s="27" t="n">
        <v>2024</v>
      </c>
      <c r="G1" s="27" t="n">
        <v>2025</v>
      </c>
      <c r="H1" s="27" t="n">
        <v>2026</v>
      </c>
    </row>
    <row r="2">
      <c r="A2" s="27" t="inlineStr">
        <is>
          <t>Doanh thu kế hoạch</t>
        </is>
      </c>
      <c r="B2" s="33" t="n">
        <v>32450</v>
      </c>
      <c r="C2" s="33" t="n">
        <v>34720</v>
      </c>
      <c r="D2" s="33" t="n">
        <v>42420</v>
      </c>
      <c r="E2" s="33" t="n">
        <v>52289</v>
      </c>
      <c r="F2" s="33" t="n">
        <v>61850</v>
      </c>
      <c r="G2" s="33" t="n">
        <v>75400</v>
      </c>
      <c r="H2" s="33" t="n">
        <v>58580</v>
      </c>
    </row>
    <row r="3">
      <c r="A3" s="27" t="inlineStr">
        <is>
          <t>Doanh thu thuần</t>
        </is>
      </c>
      <c r="B3" s="33">
        <f>chi_so_tai_chinh!D42/1000000000</f>
        <v/>
      </c>
      <c r="C3" s="33">
        <f>chi_so_tai_chinh!E42/1000000000</f>
        <v/>
      </c>
      <c r="D3" s="33">
        <f>chi_so_tai_chinh!F42/1000000000</f>
        <v/>
      </c>
      <c r="E3" s="33">
        <f>chi_so_tai_chinh!G42/1000000000</f>
        <v/>
      </c>
      <c r="F3" s="33">
        <f>chi_so_tai_chinh!H42/1000000000</f>
        <v/>
      </c>
      <c r="G3" s="33">
        <f>chi_so_tai_chinh!I42/1000000000</f>
        <v/>
      </c>
      <c r="H3" s="33">
        <f>12486+13810</f>
        <v/>
      </c>
    </row>
    <row r="4">
      <c r="A4" s="27" t="inlineStr">
        <is>
          <t>% thực hiện</t>
        </is>
      </c>
      <c r="B4" s="34">
        <f>B3/B2</f>
        <v/>
      </c>
      <c r="C4" s="34">
        <f>C3/C2</f>
        <v/>
      </c>
      <c r="D4" s="34">
        <f>D3/D2</f>
        <v/>
      </c>
      <c r="E4" s="34">
        <f>E3/E2</f>
        <v/>
      </c>
      <c r="F4" s="34">
        <f>F3/F2</f>
        <v/>
      </c>
      <c r="G4" s="34">
        <f>G3/G2</f>
        <v/>
      </c>
      <c r="H4" s="34">
        <f>H3/H2</f>
        <v/>
      </c>
    </row>
    <row r="5">
      <c r="A5" s="27" t="inlineStr">
        <is>
          <t>Lợi nhuận trước thuế kế hoạch</t>
        </is>
      </c>
      <c r="B5" s="33" t="n">
        <v>5510</v>
      </c>
      <c r="C5" s="33" t="n">
        <v>6210</v>
      </c>
      <c r="D5" s="33" t="n">
        <v>7618</v>
      </c>
      <c r="E5" s="33" t="n">
        <v>9055</v>
      </c>
      <c r="F5" s="33" t="n">
        <v>10875</v>
      </c>
      <c r="G5" s="33" t="n">
        <v>13395</v>
      </c>
      <c r="H5" s="33" t="n">
        <v>11629</v>
      </c>
    </row>
    <row r="6">
      <c r="A6" s="27" t="inlineStr">
        <is>
          <t>Tổng lợi nhuận kế toán trước thuế</t>
        </is>
      </c>
      <c r="B6" s="33">
        <f>chi_so_tai_chinh!D49/1000000000</f>
        <v/>
      </c>
      <c r="C6" s="33">
        <f>chi_so_tai_chinh!E49/1000000000</f>
        <v/>
      </c>
      <c r="D6" s="33">
        <f>chi_so_tai_chinh!F49/1000000000</f>
        <v/>
      </c>
      <c r="E6" s="33">
        <f>chi_so_tai_chinh!G49/1000000000</f>
        <v/>
      </c>
      <c r="F6" s="33">
        <f>chi_so_tai_chinh!H49/1000000000</f>
        <v/>
      </c>
      <c r="G6" s="33">
        <f>chi_so_tai_chinh!I49/1000000000</f>
        <v/>
      </c>
      <c r="H6" s="33">
        <f>2804+2910</f>
        <v/>
      </c>
    </row>
    <row r="7">
      <c r="A7" s="27" t="inlineStr">
        <is>
          <t>% thực hiện</t>
        </is>
      </c>
      <c r="B7" s="34">
        <f>B6/B5</f>
        <v/>
      </c>
      <c r="C7" s="34">
        <f>C6/C5</f>
        <v/>
      </c>
      <c r="D7" s="34">
        <f>D6/D5</f>
        <v/>
      </c>
      <c r="E7" s="34">
        <f>E6/E5</f>
        <v/>
      </c>
      <c r="F7" s="34">
        <f>F6/F5</f>
        <v/>
      </c>
      <c r="G7" s="34">
        <f>G6/G5</f>
        <v/>
      </c>
      <c r="H7" s="34">
        <f>H6/H5</f>
        <v/>
      </c>
    </row>
    <row r="8"/>
    <row r="9">
      <c r="A9" s="27" t="inlineStr">
        <is>
          <t>Trung vị thực hiện DT</t>
        </is>
      </c>
      <c r="B9" s="34">
        <f>MEDIAN(B4:F4)</f>
        <v/>
      </c>
    </row>
    <row r="10">
      <c r="A10" s="27" t="inlineStr">
        <is>
          <t>Trung vị thực hiện LNKTTT</t>
        </is>
      </c>
      <c r="B10" s="34">
        <f>MEDIAN(B7:F7)</f>
        <v/>
      </c>
    </row>
    <row r="11"/>
    <row r="12">
      <c r="A12" s="27" t="inlineStr">
        <is>
          <t>Tỷ lệ hoàn thành DT trên 95%</t>
        </is>
      </c>
      <c r="B12" s="34">
        <f>COUNTIF(B4:G4,"&gt;=95%")/COUNT(B4:G4)</f>
        <v/>
      </c>
    </row>
    <row r="13">
      <c r="A13" s="27" t="inlineStr">
        <is>
          <t>Tỷ lệ hoàn thành LNTT trên 95%</t>
        </is>
      </c>
      <c r="B13" s="34">
        <f>COUNTIF(B7:G7,"&gt;=95%")/COUNT(B7:G7)</f>
        <v/>
      </c>
    </row>
  </sheetData>
  <conditionalFormatting sqref="B9:B10">
    <cfRule type="cellIs" priority="3" operator="greaterThanOrEqual" dxfId="3">
      <formula>1</formula>
    </cfRule>
  </conditionalFormatting>
  <conditionalFormatting sqref="B12:B13">
    <cfRule type="cellIs" priority="1" operator="greaterThanOrEqual" dxfId="3">
      <formula>1</formula>
    </cfRule>
  </conditionalFormatting>
  <conditionalFormatting sqref="B4:H4 B7:H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2026-10-28T04:23:29Z</dcterms:created>
  <dcterms:modified xsi:type="dcterms:W3CDTF">2026-10-28T04:23:29Z</dcterms:modified>
</cp:coreProperties>
</file>
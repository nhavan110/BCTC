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  <sheet name="Dự báo tăng trưởng" sheetId="5" state="visible" r:id="rId5"/>
    <sheet name="Hiệu quả thực hiện kế hoạ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#,##0;\(#,##0\);\-"/>
    <numFmt numFmtId="167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sz val="10"/>
    </font>
    <font>
      <name val="Tahoma"/>
      <charset val="1"/>
      <family val="2"/>
      <b val="1"/>
      <sz val="10"/>
    </font>
    <font>
      <name val="Tahoma"/>
      <charset val="1"/>
      <family val="2"/>
      <i val="1"/>
      <color rgb="FF808080"/>
      <sz val="10"/>
    </font>
    <font>
      <name val="Tahoma"/>
      <charset val="1"/>
      <family val="2"/>
      <color rgb="FF000000"/>
      <sz val="10"/>
    </font>
    <font>
      <name val="Tahoma"/>
      <charset val="1"/>
      <family val="2"/>
      <sz val="10"/>
    </font>
    <font>
      <name val="Tahoma"/>
      <charset val="1"/>
      <family val="2"/>
      <color theme="1"/>
      <sz val="10"/>
    </font>
    <font>
      <name val="Tahoma"/>
      <charset val="1"/>
      <family val="2"/>
      <color rgb="FF008000"/>
      <sz val="10"/>
    </font>
    <font>
      <name val="Tahoma"/>
      <charset val="1"/>
      <family val="2"/>
      <b val="1"/>
      <color rgb="FF008000"/>
      <sz val="10"/>
    </font>
    <font>
      <name val="Tahoma"/>
      <family val="2"/>
      <b val="1"/>
      <sz val="10"/>
    </font>
    <font>
      <name val="Tahoma"/>
      <charset val="1"/>
      <family val="2"/>
      <b val="1"/>
      <color theme="1"/>
      <sz val="10"/>
    </font>
    <font>
      <name val="Tahoma"/>
      <family val="2"/>
      <color theme="1"/>
      <sz val="10"/>
    </font>
    <font>
      <name val="Tahoma"/>
      <family val="2"/>
      <color rgb="FF7030A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3" fillId="3" borderId="2" pivotButton="0" quotePrefix="0" xfId="0"/>
    <xf numFmtId="1" fontId="3" fillId="3" borderId="2" applyAlignment="1" pivotButton="0" quotePrefix="0" xfId="0">
      <alignment horizontal="center"/>
    </xf>
    <xf numFmtId="0" fontId="4" fillId="3" borderId="2" pivotButton="0" quotePrefix="0" xfId="0"/>
    <xf numFmtId="165" fontId="5" fillId="3" borderId="2" pivotButton="0" quotePrefix="0" xfId="0"/>
    <xf numFmtId="9" fontId="5" fillId="3" borderId="2" pivotButton="0" quotePrefix="0" xfId="0"/>
    <xf numFmtId="0" fontId="6" fillId="3" borderId="2" pivotButton="0" quotePrefix="0" xfId="0"/>
    <xf numFmtId="1" fontId="4" fillId="3" borderId="2" pivotButton="0" quotePrefix="0" xfId="0"/>
    <xf numFmtId="1" fontId="5" fillId="3" borderId="2" pivotButton="0" quotePrefix="0" xfId="0"/>
    <xf numFmtId="0" fontId="3" fillId="4" borderId="0" pivotButton="0" quotePrefix="0" xfId="0"/>
    <xf numFmtId="0" fontId="7" fillId="4" borderId="0" pivotButton="0" quotePrefix="0" xfId="0"/>
    <xf numFmtId="0" fontId="3" fillId="0" borderId="3" pivotButton="0" quotePrefix="0" xfId="0"/>
    <xf numFmtId="1" fontId="3" fillId="0" borderId="3" applyAlignment="1" pivotButton="0" quotePrefix="0" xfId="0">
      <alignment horizontal="center"/>
    </xf>
    <xf numFmtId="0" fontId="6" fillId="0" borderId="3" pivotButton="0" quotePrefix="0" xfId="0"/>
    <xf numFmtId="166" fontId="8" fillId="0" borderId="3" pivotButton="0" quotePrefix="0" xfId="0"/>
    <xf numFmtId="166" fontId="9" fillId="0" borderId="3" pivotButton="0" quotePrefix="0" xfId="0"/>
    <xf numFmtId="0" fontId="10" fillId="0" borderId="3" pivotButton="0" quotePrefix="0" xfId="0"/>
    <xf numFmtId="0" fontId="11" fillId="0" borderId="2" pivotButton="0" quotePrefix="0" xfId="0"/>
    <xf numFmtId="1" fontId="3" fillId="0" borderId="2" applyAlignment="1" pivotButton="0" quotePrefix="0" xfId="0">
      <alignment horizontal="center"/>
    </xf>
    <xf numFmtId="0" fontId="7" fillId="0" borderId="2" pivotButton="0" quotePrefix="0" xfId="0"/>
    <xf numFmtId="165" fontId="7" fillId="0" borderId="2" pivotButton="0" quotePrefix="0" xfId="0"/>
    <xf numFmtId="166" fontId="7" fillId="0" borderId="2" pivotButton="0" quotePrefix="0" xfId="0"/>
    <xf numFmtId="1" fontId="7" fillId="0" borderId="2" pivotButton="0" quotePrefix="0" xfId="0"/>
    <xf numFmtId="0" fontId="12" fillId="0" borderId="2" pivotButton="0" quotePrefix="0" xfId="0"/>
    <xf numFmtId="3" fontId="12" fillId="0" borderId="2" pivotButton="0" quotePrefix="0" xfId="0"/>
    <xf numFmtId="41" fontId="12" fillId="0" borderId="2" pivotButton="0" quotePrefix="0" xfId="0"/>
    <xf numFmtId="0" fontId="13" fillId="0" borderId="2" pivotButton="0" quotePrefix="0" xfId="0"/>
    <xf numFmtId="41" fontId="13" fillId="0" borderId="2" pivotButton="0" quotePrefix="0" xfId="0"/>
    <xf numFmtId="2" fontId="13" fillId="0" borderId="2" pivotButton="0" quotePrefix="0" xfId="0"/>
    <xf numFmtId="167" fontId="12" fillId="0" borderId="2" pivotButton="0" quotePrefix="0" xfId="0"/>
    <xf numFmtId="9" fontId="12" fillId="0" borderId="2" pivotButton="0" quotePrefix="0" xfId="0"/>
  </cellXfs>
  <cellStyles count="1">
    <cellStyle name="Normal" xfId="0" builtinId="0" hidden="0"/>
  </cellStyles>
  <dxfs count="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 patternType="solid">
          <fgColor theme="9"/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TÀI SẢN NGẮN HẠN</t>
        </is>
      </c>
      <c r="B2" s="4" t="n">
        <v>18406087226041</v>
      </c>
      <c r="C2" s="4" t="n">
        <v>18979176128930</v>
      </c>
      <c r="D2" s="4" t="n">
        <v>25265933056476</v>
      </c>
      <c r="E2" s="4" t="n">
        <v>35118372900846</v>
      </c>
      <c r="F2" s="4" t="n">
        <v>30937711076141</v>
      </c>
      <c r="G2" s="4" t="n">
        <v>36705751751876</v>
      </c>
      <c r="H2" s="4" t="n">
        <v>45535942846453</v>
      </c>
      <c r="I2" s="4" t="n">
        <v>58137438254908</v>
      </c>
    </row>
    <row r="3">
      <c r="A3" s="3" t="inlineStr">
        <is>
          <t>Tiền và tương đương tiền</t>
        </is>
      </c>
      <c r="B3" s="4" t="n">
        <v>3925727206293</v>
      </c>
      <c r="C3" s="4" t="n">
        <v>3453388617569</v>
      </c>
      <c r="D3" s="4" t="n">
        <v>4686191374038</v>
      </c>
      <c r="E3" s="4" t="n">
        <v>5417845293242</v>
      </c>
      <c r="F3" s="4" t="n">
        <v>6440177174322</v>
      </c>
      <c r="G3" s="4" t="n">
        <v>8279156683221</v>
      </c>
      <c r="H3" s="4" t="n">
        <v>9315440438884</v>
      </c>
      <c r="I3" s="4" t="n">
        <v>10522105729992</v>
      </c>
    </row>
    <row r="4">
      <c r="A4" s="3" t="inlineStr">
        <is>
          <t>Tiền</t>
        </is>
      </c>
      <c r="B4" s="4" t="n">
        <v>2682437141849</v>
      </c>
      <c r="C4" s="4" t="n">
        <v>2611644417963</v>
      </c>
      <c r="D4" s="4" t="n">
        <v>2216742790757</v>
      </c>
      <c r="E4" s="4" t="n">
        <v>3447377491137</v>
      </c>
      <c r="F4" s="4" t="n">
        <v>3880860111180</v>
      </c>
      <c r="G4" s="4" t="n">
        <v>5975127685903</v>
      </c>
      <c r="H4" s="4" t="n">
        <v>6725619929289</v>
      </c>
      <c r="I4" s="4" t="n">
        <v>8084751080186</v>
      </c>
    </row>
    <row r="5">
      <c r="A5" s="3" t="inlineStr">
        <is>
          <t>Các khoản tương đương tiền</t>
        </is>
      </c>
      <c r="B5" s="4" t="n">
        <v>1243290064444</v>
      </c>
      <c r="C5" s="4" t="n">
        <v>841744199606</v>
      </c>
      <c r="D5" s="4" t="n">
        <v>2469448583281</v>
      </c>
      <c r="E5" s="4" t="n">
        <v>1970467802105</v>
      </c>
      <c r="F5" s="4" t="n">
        <v>2559317063142</v>
      </c>
      <c r="G5" s="4" t="n">
        <v>2304028997318</v>
      </c>
      <c r="H5" s="4" t="n">
        <v>2589820509595</v>
      </c>
      <c r="I5" s="4" t="n">
        <v>2437354649806</v>
      </c>
    </row>
    <row r="6">
      <c r="A6" s="3" t="inlineStr">
        <is>
          <t>Đầu tư ngắn hạn</t>
        </is>
      </c>
      <c r="B6" s="4" t="n">
        <v>5568623727137</v>
      </c>
      <c r="C6" s="4" t="n">
        <v>6708978162325</v>
      </c>
      <c r="D6" s="4" t="n">
        <v>12435918124269</v>
      </c>
      <c r="E6" s="4" t="n">
        <v>20730720735456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3" t="inlineStr">
        <is>
          <t>Đầu tư ngắn hạn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3" t="inlineStr">
        <is>
          <t>Dự phòng giảm giá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3" t="inlineStr">
        <is>
          <t>Các khoản phải thu</t>
        </is>
      </c>
      <c r="B9" s="4" t="n">
        <v>6426946279074</v>
      </c>
      <c r="C9" s="4" t="n">
        <v>6536251148622</v>
      </c>
      <c r="D9" s="4" t="n">
        <v>6265411863371</v>
      </c>
      <c r="E9" s="4" t="n">
        <v>6882182894987</v>
      </c>
      <c r="F9" s="4" t="n">
        <v>8502895161839</v>
      </c>
      <c r="G9" s="4" t="n">
        <v>9674343237344</v>
      </c>
      <c r="H9" s="4" t="n">
        <v>11381523992803</v>
      </c>
      <c r="I9" s="4" t="n">
        <v>14402017450105</v>
      </c>
    </row>
    <row r="10">
      <c r="A10" s="3" t="inlineStr">
        <is>
          <t>Phải thu khách hàng</t>
        </is>
      </c>
      <c r="B10" s="4" t="n">
        <v>5561545801834</v>
      </c>
      <c r="C10" s="4" t="n">
        <v>5812938112346</v>
      </c>
      <c r="D10" s="4" t="n">
        <v>5564392191491</v>
      </c>
      <c r="E10" s="4" t="n">
        <v>6211956510246</v>
      </c>
      <c r="F10" s="4" t="n">
        <v>7990076948983</v>
      </c>
      <c r="G10" s="4" t="n">
        <v>9057647206985</v>
      </c>
      <c r="H10" s="4" t="n">
        <v>10537019113380</v>
      </c>
      <c r="I10" s="4" t="n">
        <v>12734600596550</v>
      </c>
    </row>
    <row r="11">
      <c r="A11" s="3" t="inlineStr">
        <is>
          <t>Trả trước người bán</t>
        </is>
      </c>
      <c r="B11" s="4" t="n">
        <v>218427501076</v>
      </c>
      <c r="C11" s="4" t="n">
        <v>274779131899</v>
      </c>
      <c r="D11" s="4" t="n">
        <v>459336196478</v>
      </c>
      <c r="E11" s="4" t="n">
        <v>400707131836</v>
      </c>
      <c r="F11" s="4" t="n">
        <v>292916357080</v>
      </c>
      <c r="G11" s="4" t="n">
        <v>482074732731</v>
      </c>
      <c r="H11" s="4" t="n">
        <v>610379845664</v>
      </c>
      <c r="I11" s="4" t="n">
        <v>952737932722</v>
      </c>
    </row>
    <row r="12">
      <c r="A12" s="3" t="inlineStr">
        <is>
          <t>Phải thu nội bộ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3" t="inlineStr">
        <is>
          <t>Phải thu hợp đồng xây dựng đang thực hiện</t>
        </is>
      </c>
      <c r="B13" s="4" t="n">
        <v>251954356007</v>
      </c>
      <c r="C13" s="4" t="n">
        <v>318339389202</v>
      </c>
      <c r="D13" s="4" t="n">
        <v>197972680487</v>
      </c>
      <c r="E13" s="4" t="n">
        <v>168939964952</v>
      </c>
      <c r="F13" s="4" t="n">
        <v>199252243559</v>
      </c>
      <c r="G13" s="4" t="n">
        <v>176770894412</v>
      </c>
      <c r="H13" s="4" t="n">
        <v>136097256629</v>
      </c>
      <c r="I13" s="4" t="n">
        <v>200405269967</v>
      </c>
    </row>
    <row r="14">
      <c r="A14" s="3" t="inlineStr">
        <is>
          <t>Phải thu khác</t>
        </is>
      </c>
      <c r="B14" s="4" t="n">
        <v>658775479875</v>
      </c>
      <c r="C14" s="4" t="n">
        <v>491315953067</v>
      </c>
      <c r="D14" s="4" t="n">
        <v>480833352415</v>
      </c>
      <c r="E14" s="4" t="n">
        <v>595813030192</v>
      </c>
      <c r="F14" s="4" t="n">
        <v>719203074569</v>
      </c>
      <c r="G14" s="4" t="n">
        <v>869491618296</v>
      </c>
      <c r="H14" s="4" t="n">
        <v>707751585399</v>
      </c>
      <c r="I14" s="4" t="n">
        <v>1091244484321</v>
      </c>
    </row>
    <row r="15">
      <c r="A15" s="3" t="inlineStr">
        <is>
          <t>Dự phòng nợ khó đòi</t>
        </is>
      </c>
      <c r="B15" s="4" t="n">
        <v>-264666908906</v>
      </c>
      <c r="C15" s="4" t="n">
        <v>-361515614753</v>
      </c>
      <c r="D15" s="4" t="n">
        <v>-622654786183</v>
      </c>
      <c r="E15" s="4" t="n">
        <v>-529995962239</v>
      </c>
      <c r="F15" s="4" t="n">
        <v>-699436023253</v>
      </c>
      <c r="G15" s="4" t="n">
        <v>-912156645080</v>
      </c>
      <c r="H15" s="4" t="n">
        <v>-619531925859</v>
      </c>
      <c r="I15" s="4" t="n">
        <v>-586166744274</v>
      </c>
    </row>
    <row r="16">
      <c r="A16" s="3" t="inlineStr">
        <is>
          <t>Hàng tồn kho, ròng</t>
        </is>
      </c>
      <c r="B16" s="4" t="n">
        <v>1340687216347</v>
      </c>
      <c r="C16" s="4" t="n">
        <v>1284200733943</v>
      </c>
      <c r="D16" s="4" t="n">
        <v>1290091524352</v>
      </c>
      <c r="E16" s="4" t="n">
        <v>1507342901619</v>
      </c>
      <c r="F16" s="4" t="n">
        <v>1965787736563</v>
      </c>
      <c r="G16" s="4" t="n">
        <v>1593411075233</v>
      </c>
      <c r="H16" s="4" t="n">
        <v>1856756949030</v>
      </c>
      <c r="I16" s="4" t="n">
        <v>2193769802339</v>
      </c>
    </row>
    <row r="17">
      <c r="A17" s="3" t="inlineStr">
        <is>
          <t>Hàng tồn kho</t>
        </is>
      </c>
      <c r="B17" s="4" t="n">
        <v>1401302666378</v>
      </c>
      <c r="C17" s="4" t="n">
        <v>1349958901393</v>
      </c>
      <c r="D17" s="4" t="n">
        <v>1405083502315</v>
      </c>
      <c r="E17" s="4" t="n">
        <v>1623315328554</v>
      </c>
      <c r="F17" s="4" t="n">
        <v>2121118039562</v>
      </c>
      <c r="G17" s="4" t="n">
        <v>1724956924671</v>
      </c>
      <c r="H17" s="4" t="n">
        <v>1990224486513</v>
      </c>
      <c r="I17" s="4" t="n">
        <v>2277393610177</v>
      </c>
    </row>
    <row r="18">
      <c r="A18" s="3" t="inlineStr">
        <is>
          <t>Dự phòng giảm giá hàng tồn kho</t>
        </is>
      </c>
      <c r="B18" s="4" t="n">
        <v>-60615450031</v>
      </c>
      <c r="C18" s="4" t="n">
        <v>-65758167450</v>
      </c>
      <c r="D18" s="4" t="n">
        <v>-114991977963</v>
      </c>
      <c r="E18" s="4" t="n">
        <v>-115972426935</v>
      </c>
      <c r="F18" s="4" t="n">
        <v>-155330302999</v>
      </c>
      <c r="G18" s="4" t="n">
        <v>-131545849438</v>
      </c>
      <c r="H18" s="4" t="n">
        <v>-133467537483</v>
      </c>
      <c r="I18" s="4" t="n">
        <v>-83623807838</v>
      </c>
    </row>
    <row r="19">
      <c r="A19" s="3" t="inlineStr">
        <is>
          <t>Tài sản lưu động khác</t>
        </is>
      </c>
      <c r="B19" s="4" t="n">
        <v>1144102797190</v>
      </c>
      <c r="C19" s="4" t="n">
        <v>996357466471</v>
      </c>
      <c r="D19" s="4" t="n">
        <v>588320170446</v>
      </c>
      <c r="E19" s="4" t="n">
        <v>580281075542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3" t="inlineStr">
        <is>
          <t>Chi phí trả trước ngắn hạn</t>
        </is>
      </c>
      <c r="B20" s="4" t="n">
        <v>962477975930</v>
      </c>
      <c r="C20" s="4" t="n">
        <v>692500771861</v>
      </c>
      <c r="D20" s="4" t="n">
        <v>274481738695</v>
      </c>
      <c r="E20" s="4" t="n">
        <v>290950472969</v>
      </c>
      <c r="F20" s="4" t="n">
        <v>409346699247</v>
      </c>
      <c r="G20" s="4" t="n">
        <v>449245737865</v>
      </c>
      <c r="H20" s="4" t="n">
        <v>479707218558</v>
      </c>
      <c r="I20" s="4" t="n">
        <v>641974035769</v>
      </c>
    </row>
    <row r="21">
      <c r="A21" s="3" t="inlineStr">
        <is>
          <t>Thuế GTGT được khấu trừ</t>
        </is>
      </c>
      <c r="B21" s="4" t="n">
        <v>138812602015</v>
      </c>
      <c r="C21" s="4" t="n">
        <v>175754512449</v>
      </c>
      <c r="D21" s="4" t="n">
        <v>268314490280</v>
      </c>
      <c r="E21" s="4" t="n">
        <v>256817647142</v>
      </c>
      <c r="F21" s="4" t="n">
        <v>392864305787</v>
      </c>
      <c r="G21" s="4" t="n">
        <v>528984574991</v>
      </c>
      <c r="H21" s="4" t="n">
        <v>648697117785</v>
      </c>
      <c r="I21" s="4" t="n">
        <v>609517465104</v>
      </c>
    </row>
    <row r="22">
      <c r="A22" s="3" t="inlineStr">
        <is>
          <t>Phải thu thuế khác</t>
        </is>
      </c>
      <c r="B22" s="4" t="n">
        <v>42812219245</v>
      </c>
      <c r="C22" s="4" t="n">
        <v>128102182161</v>
      </c>
      <c r="D22" s="4" t="n">
        <v>45523941471</v>
      </c>
      <c r="E22" s="4" t="n">
        <v>32512955431</v>
      </c>
      <c r="F22" s="4" t="n">
        <v>179405866433</v>
      </c>
      <c r="G22" s="4" t="n">
        <v>76405085212</v>
      </c>
      <c r="H22" s="4" t="n">
        <v>68603442585</v>
      </c>
      <c r="I22" s="4" t="n">
        <v>137067034159</v>
      </c>
    </row>
    <row r="23">
      <c r="A23" s="3" t="inlineStr">
        <is>
          <t>Tài sản lưu động khác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3" t="inlineStr">
        <is>
          <t>TÀI SẢN DÀI HẠN</t>
        </is>
      </c>
      <c r="B24" s="4" t="n">
        <v>11350979923527</v>
      </c>
      <c r="C24" s="4" t="n">
        <v>14414988134764</v>
      </c>
      <c r="D24" s="4" t="n">
        <v>16468390178718</v>
      </c>
      <c r="E24" s="4" t="n">
        <v>18579567995029</v>
      </c>
      <c r="F24" s="4" t="n">
        <v>20712692658989</v>
      </c>
      <c r="G24" s="4" t="n">
        <v>23577075781023</v>
      </c>
      <c r="H24" s="4" t="n">
        <v>26464052832167</v>
      </c>
      <c r="I24" s="4" t="n">
        <v>30004553379717</v>
      </c>
    </row>
    <row r="25">
      <c r="A25" s="3" t="inlineStr">
        <is>
          <t>Phải thu dài hạn</t>
        </is>
      </c>
      <c r="B25" s="4" t="n">
        <v>109788240927</v>
      </c>
      <c r="C25" s="4" t="n">
        <v>262484590350</v>
      </c>
      <c r="D25" s="4" t="n">
        <v>242872863326</v>
      </c>
      <c r="E25" s="4" t="n">
        <v>167244119883</v>
      </c>
      <c r="F25" s="4" t="n">
        <v>225090876189</v>
      </c>
      <c r="G25" s="4" t="n">
        <v>247392102550</v>
      </c>
      <c r="H25" s="4" t="n">
        <v>331646166008</v>
      </c>
      <c r="I25" s="4" t="n">
        <v>564342065270</v>
      </c>
    </row>
    <row r="26">
      <c r="A26" s="3" t="inlineStr">
        <is>
          <t>Phải thu khách hàng dài hạn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</row>
    <row r="27">
      <c r="A27" s="3" t="inlineStr">
        <is>
          <t>Phải thu nội bộ dài hạn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</row>
    <row r="28">
      <c r="A28" s="3" t="inlineStr">
        <is>
          <t>Phải thu dài hạn khác</t>
        </is>
      </c>
      <c r="B28" s="4" t="n">
        <v>164124620038</v>
      </c>
      <c r="C28" s="4" t="n">
        <v>269405846568</v>
      </c>
      <c r="D28" s="4" t="n">
        <v>203229811570</v>
      </c>
      <c r="E28" s="4" t="n">
        <v>219704534928</v>
      </c>
      <c r="F28" s="4" t="n">
        <v>276273436689</v>
      </c>
      <c r="G28" s="4" t="n">
        <v>299764585187</v>
      </c>
      <c r="H28" s="4" t="n">
        <v>381508926294</v>
      </c>
      <c r="I28" s="4" t="n">
        <v>611435814893</v>
      </c>
    </row>
    <row r="29">
      <c r="A29" s="3" t="inlineStr">
        <is>
          <t>Dự phòng phải thu dài hạn</t>
        </is>
      </c>
      <c r="B29" s="4" t="n">
        <v>-54729173818</v>
      </c>
      <c r="C29" s="4" t="n">
        <v>-54729173818</v>
      </c>
      <c r="D29" s="4" t="n">
        <v>-54729173818</v>
      </c>
      <c r="E29" s="4" t="n">
        <v>-54729173818</v>
      </c>
      <c r="F29" s="4" t="n">
        <v>-52372482637</v>
      </c>
      <c r="G29" s="4" t="n">
        <v>-52372482637</v>
      </c>
      <c r="H29" s="4" t="n">
        <v>-52372482637</v>
      </c>
      <c r="I29" s="4" t="n">
        <v>-52372482637</v>
      </c>
    </row>
    <row r="30">
      <c r="A30" s="3" t="inlineStr">
        <is>
          <t>Tài sản cố định</t>
        </is>
      </c>
      <c r="B30" s="4" t="n">
        <v>6513735578258</v>
      </c>
      <c r="C30" s="4" t="n">
        <v>7492167954088</v>
      </c>
      <c r="D30" s="4" t="n">
        <v>8317822707614</v>
      </c>
      <c r="E30" s="4" t="n">
        <v>10398837546784</v>
      </c>
      <c r="F30" s="4" t="n">
        <v>12032914964907</v>
      </c>
      <c r="G30" s="4" t="n">
        <v>13643232649833</v>
      </c>
      <c r="H30" s="4" t="n">
        <v>14816131186204</v>
      </c>
      <c r="I30" s="4" t="n">
        <v>17288541848861</v>
      </c>
    </row>
    <row r="31">
      <c r="A31" s="3" t="inlineStr">
        <is>
          <t>GTCL TSCĐ hữu hình</t>
        </is>
      </c>
      <c r="B31" s="4" t="n">
        <v>5207125950106</v>
      </c>
      <c r="C31" s="4" t="n">
        <v>6295261846210</v>
      </c>
      <c r="D31" s="4" t="n">
        <v>7219551625765</v>
      </c>
      <c r="E31" s="4" t="n">
        <v>9260934699063</v>
      </c>
      <c r="F31" s="4" t="n">
        <v>10714231138520</v>
      </c>
      <c r="G31" s="4" t="n">
        <v>12382116875249</v>
      </c>
      <c r="H31" s="4" t="n">
        <v>12774567961718</v>
      </c>
      <c r="I31" s="4" t="n">
        <v>15359168484059</v>
      </c>
    </row>
    <row r="32">
      <c r="A32" s="3" t="inlineStr">
        <is>
          <t>Nguyên giá TSCĐ hữu hình</t>
        </is>
      </c>
      <c r="B32" s="4" t="n">
        <v>9471984147609</v>
      </c>
      <c r="C32" s="4" t="n">
        <v>11301061772211</v>
      </c>
      <c r="D32" s="4" t="n">
        <v>12945570337275</v>
      </c>
      <c r="E32" s="4" t="n">
        <v>16080827716168</v>
      </c>
      <c r="F32" s="4" t="n">
        <v>19007982397113</v>
      </c>
      <c r="G32" s="4" t="n">
        <v>22288962278190</v>
      </c>
      <c r="H32" s="4" t="n">
        <v>24457733666511</v>
      </c>
      <c r="I32" s="4" t="n">
        <v>29122042372002</v>
      </c>
    </row>
    <row r="33">
      <c r="A33" s="3" t="inlineStr">
        <is>
          <t>Khấu hao lũy kế TSCĐ hữu hình</t>
        </is>
      </c>
      <c r="B33" s="4" t="n">
        <v>-4264858197503</v>
      </c>
      <c r="C33" s="4" t="n">
        <v>-5005799926001</v>
      </c>
      <c r="D33" s="4" t="n">
        <v>-5726018711510</v>
      </c>
      <c r="E33" s="4" t="n">
        <v>-6819893017105</v>
      </c>
      <c r="F33" s="4" t="n">
        <v>-8293751258593</v>
      </c>
      <c r="G33" s="4" t="n">
        <v>-9906845402941</v>
      </c>
      <c r="H33" s="4" t="n">
        <v>-11683165704793</v>
      </c>
      <c r="I33" s="4" t="n">
        <v>-13762873887943</v>
      </c>
    </row>
    <row r="34">
      <c r="A34" s="3" t="inlineStr">
        <is>
          <t>GTCL tài sản thuê tài chính</t>
        </is>
      </c>
      <c r="B34" s="4" t="n">
        <v>3024593397</v>
      </c>
      <c r="C34" s="4" t="n">
        <v>2845085816</v>
      </c>
      <c r="D34" s="4" t="n">
        <v>2902077617</v>
      </c>
      <c r="E34" s="4" t="n">
        <v>4842789874</v>
      </c>
      <c r="F34" s="4" t="n">
        <v>31623636433</v>
      </c>
      <c r="G34" s="4" t="n">
        <v>4018633151</v>
      </c>
      <c r="H34" s="4" t="n">
        <v>2042708364</v>
      </c>
      <c r="I34" s="4" t="n">
        <v>1277212606</v>
      </c>
    </row>
    <row r="35">
      <c r="A35" s="3" t="inlineStr">
        <is>
          <t>Nguyên giá tài sản thuê tài chính</t>
        </is>
      </c>
      <c r="B35" s="4" t="n">
        <v>5208542803</v>
      </c>
      <c r="C35" s="4" t="n">
        <v>6057653223</v>
      </c>
      <c r="D35" s="4" t="n">
        <v>6031445271</v>
      </c>
      <c r="E35" s="4" t="n">
        <v>8002891607</v>
      </c>
      <c r="F35" s="4" t="n">
        <v>54439419528</v>
      </c>
      <c r="G35" s="4" t="n">
        <v>8032465332</v>
      </c>
      <c r="H35" s="4" t="n">
        <v>5716034788</v>
      </c>
      <c r="I35" s="4" t="n">
        <v>5871006196</v>
      </c>
    </row>
    <row r="36">
      <c r="A36" s="3" t="inlineStr">
        <is>
          <t>Khấu hao lũy kế tài sản thuê tài chính</t>
        </is>
      </c>
      <c r="B36" s="4" t="n">
        <v>-2183949406</v>
      </c>
      <c r="C36" s="4" t="n">
        <v>-3212567407</v>
      </c>
      <c r="D36" s="4" t="n">
        <v>-3129367654</v>
      </c>
      <c r="E36" s="4" t="n">
        <v>-3160101733</v>
      </c>
      <c r="F36" s="4" t="n">
        <v>-22815783095</v>
      </c>
      <c r="G36" s="4" t="n">
        <v>-4013832181</v>
      </c>
      <c r="H36" s="4" t="n">
        <v>-3673326424</v>
      </c>
      <c r="I36" s="4" t="n">
        <v>-4593793590</v>
      </c>
    </row>
    <row r="37">
      <c r="A37" s="3" t="inlineStr">
        <is>
          <t>GTCL tài sản cố định vô hình</t>
        </is>
      </c>
      <c r="B37" s="4" t="n">
        <v>1303585034755</v>
      </c>
      <c r="C37" s="4" t="n">
        <v>1194061022062</v>
      </c>
      <c r="D37" s="4" t="n">
        <v>1095369004232</v>
      </c>
      <c r="E37" s="4" t="n">
        <v>1133060057847</v>
      </c>
      <c r="F37" s="4" t="n">
        <v>1287060189954</v>
      </c>
      <c r="G37" s="4" t="n">
        <v>1257097141433</v>
      </c>
      <c r="H37" s="4" t="n">
        <v>2039520516122</v>
      </c>
      <c r="I37" s="4" t="n">
        <v>1928096152196</v>
      </c>
    </row>
    <row r="38">
      <c r="A38" s="3" t="inlineStr">
        <is>
          <t>Nguyên giá TSCĐ vô hình</t>
        </is>
      </c>
      <c r="B38" s="4" t="n">
        <v>1915362421263</v>
      </c>
      <c r="C38" s="4" t="n">
        <v>1973814359687</v>
      </c>
      <c r="D38" s="4" t="n">
        <v>2036967631495</v>
      </c>
      <c r="E38" s="4" t="n">
        <v>2249106647011</v>
      </c>
      <c r="F38" s="4" t="n">
        <v>2547883324785</v>
      </c>
      <c r="G38" s="4" t="n">
        <v>2595586732247</v>
      </c>
      <c r="H38" s="4" t="n">
        <v>3656302027788</v>
      </c>
      <c r="I38" s="4" t="n">
        <v>3868883110367</v>
      </c>
    </row>
    <row r="39">
      <c r="A39" s="3" t="inlineStr">
        <is>
          <t>Khấu hao lũy kế TSCĐ vô hình</t>
        </is>
      </c>
      <c r="B39" s="4" t="n">
        <v>-611777386508</v>
      </c>
      <c r="C39" s="4" t="n">
        <v>-779753337625</v>
      </c>
      <c r="D39" s="4" t="n">
        <v>-941598627263</v>
      </c>
      <c r="E39" s="4" t="n">
        <v>-1116046589164</v>
      </c>
      <c r="F39" s="4" t="n">
        <v>-1260823134831</v>
      </c>
      <c r="G39" s="4" t="n">
        <v>-1338489590814</v>
      </c>
      <c r="H39" s="4" t="n">
        <v>-1616781511666</v>
      </c>
      <c r="I39" s="4" t="n">
        <v>-1940786958171</v>
      </c>
    </row>
    <row r="40">
      <c r="A40" s="3" t="inlineStr">
        <is>
          <t>Xây dựng cơ bản đang dang dở (trước 2015)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Giá trị ròng tài sản đầu tư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Nguyên giá tài sản đầu tư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</row>
    <row r="43">
      <c r="A43" s="3" t="inlineStr">
        <is>
          <t>Khấu hao lũy kế tài sản đầu tư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</row>
    <row r="44">
      <c r="A44" s="3" t="inlineStr">
        <is>
          <t>Đầu tư dài hạn</t>
        </is>
      </c>
      <c r="B44" s="4" t="n">
        <v>2202466649730</v>
      </c>
      <c r="C44" s="4" t="n">
        <v>2496552054488</v>
      </c>
      <c r="D44" s="4" t="n">
        <v>2581174954052</v>
      </c>
      <c r="E44" s="4" t="n">
        <v>3101993693319</v>
      </c>
      <c r="F44" s="4" t="n">
        <v>3238299217787</v>
      </c>
      <c r="G44" s="4" t="n">
        <v>3335009108332</v>
      </c>
      <c r="H44" s="4" t="n">
        <v>3318095237260</v>
      </c>
      <c r="I44" s="4" t="n">
        <v>4737863994182</v>
      </c>
    </row>
    <row r="45">
      <c r="A45" s="3" t="inlineStr">
        <is>
          <t>Đầu tư vào các công ty con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</row>
    <row r="46">
      <c r="A46" s="3" t="inlineStr">
        <is>
          <t>Đầu tư vào các công ty liên kết</t>
        </is>
      </c>
      <c r="B46" s="4" t="n">
        <v>1676231689527</v>
      </c>
      <c r="C46" s="4" t="n">
        <v>1912712694571</v>
      </c>
      <c r="D46" s="4" t="n">
        <v>1980817143237</v>
      </c>
      <c r="E46" s="4" t="n">
        <v>2018005439382</v>
      </c>
      <c r="F46" s="4" t="n">
        <v>2205736337693</v>
      </c>
      <c r="G46" s="4" t="n">
        <v>2107616686383</v>
      </c>
      <c r="H46" s="4" t="n">
        <v>2281222436752</v>
      </c>
      <c r="I46" s="4" t="n">
        <v>3581128517425</v>
      </c>
    </row>
    <row r="47">
      <c r="A47" s="3" t="inlineStr">
        <is>
          <t>Đầu tư dài hạn khác</t>
        </is>
      </c>
      <c r="B47" s="4" t="n">
        <v>793360844792</v>
      </c>
      <c r="C47" s="4" t="n">
        <v>893623994517</v>
      </c>
      <c r="D47" s="4" t="n">
        <v>903457236286</v>
      </c>
      <c r="E47" s="4" t="n">
        <v>1931006629408</v>
      </c>
      <c r="F47" s="4" t="n">
        <v>2399073118584</v>
      </c>
      <c r="G47" s="4" t="n">
        <v>2830348813038</v>
      </c>
      <c r="H47" s="4" t="n">
        <v>3393737969842</v>
      </c>
      <c r="I47" s="4" t="n">
        <v>3823762975906</v>
      </c>
    </row>
    <row r="48">
      <c r="A48" s="3" t="inlineStr">
        <is>
          <t>Dự phòng giảm giá đầu tư dài hạn</t>
        </is>
      </c>
      <c r="B48" s="4" t="n">
        <v>-267125884589</v>
      </c>
      <c r="C48" s="4" t="n">
        <v>-309784634600</v>
      </c>
      <c r="D48" s="4" t="n">
        <v>-303299425471</v>
      </c>
      <c r="E48" s="4" t="n">
        <v>-847218375471</v>
      </c>
      <c r="F48" s="4" t="n">
        <v>-1376710238490</v>
      </c>
      <c r="G48" s="4" t="n">
        <v>-1623156391089</v>
      </c>
      <c r="H48" s="4" t="n">
        <v>-2357065169334</v>
      </c>
      <c r="I48" s="4" t="n">
        <v>-2667027499149</v>
      </c>
    </row>
    <row r="49">
      <c r="A49" s="3" t="inlineStr">
        <is>
          <t>Lợi thế thương mại (trước 2015)</t>
        </is>
      </c>
      <c r="B49" s="4" t="n">
        <v>0</v>
      </c>
      <c r="C49" s="4" t="n">
        <v>225929415272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</row>
    <row r="50">
      <c r="A50" s="3" t="inlineStr">
        <is>
          <t>Tài sản dài hạn khác</t>
        </is>
      </c>
      <c r="B50" s="4" t="n">
        <v>1350211370859</v>
      </c>
      <c r="C50" s="4" t="n">
        <v>2287383247074</v>
      </c>
      <c r="D50" s="4" t="n">
        <v>2953126357161</v>
      </c>
      <c r="E50" s="4" t="n">
        <v>3620893889359</v>
      </c>
      <c r="F50" s="4" t="n">
        <v>4154202857855</v>
      </c>
      <c r="G50" s="4" t="n">
        <v>5036171784305</v>
      </c>
      <c r="H50" s="4" t="n">
        <v>5438413518284</v>
      </c>
      <c r="I50" s="4" t="n">
        <v>5808727466506</v>
      </c>
    </row>
    <row r="51">
      <c r="A51" s="3" t="inlineStr">
        <is>
          <t>Trả trước dài hạn</t>
        </is>
      </c>
      <c r="B51" s="4" t="n">
        <v>986963791569</v>
      </c>
      <c r="C51" s="4" t="n">
        <v>2247131962711</v>
      </c>
      <c r="D51" s="4" t="n">
        <v>2613622547729</v>
      </c>
      <c r="E51" s="4" t="n">
        <v>2972696947589</v>
      </c>
      <c r="F51" s="4" t="n">
        <v>3488252134893</v>
      </c>
      <c r="G51" s="4" t="n">
        <v>3391434748762</v>
      </c>
      <c r="H51" s="4" t="n">
        <v>3765187625417</v>
      </c>
      <c r="I51" s="4" t="n">
        <v>4200230383066</v>
      </c>
    </row>
    <row r="52">
      <c r="A52" s="3" t="inlineStr">
        <is>
          <t>Thuế thu nhập hoãn lại</t>
        </is>
      </c>
      <c r="B52" s="4" t="n">
        <v>37229856110</v>
      </c>
      <c r="C52" s="4" t="n">
        <v>40251284363</v>
      </c>
      <c r="D52" s="4" t="n">
        <v>139469584405</v>
      </c>
      <c r="E52" s="4" t="n">
        <v>182211531443</v>
      </c>
      <c r="F52" s="4" t="n">
        <v>149305200735</v>
      </c>
      <c r="G52" s="4" t="n">
        <v>245716712513</v>
      </c>
      <c r="H52" s="4" t="n">
        <v>356966680614</v>
      </c>
      <c r="I52" s="4" t="n">
        <v>257727308967</v>
      </c>
    </row>
    <row r="53">
      <c r="A53" s="3" t="inlineStr">
        <is>
          <t>Các tài sản dài hạn khác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</row>
    <row r="54">
      <c r="A54" s="3" t="inlineStr">
        <is>
          <t>TỔNG CỘNG TÀI SẢN</t>
        </is>
      </c>
      <c r="B54" s="4" t="n">
        <v>29757067149568</v>
      </c>
      <c r="C54" s="4" t="n">
        <v>33394164263694</v>
      </c>
      <c r="D54" s="4" t="n">
        <v>41734323235194</v>
      </c>
      <c r="E54" s="4" t="n">
        <v>53697940895875</v>
      </c>
      <c r="F54" s="4" t="n">
        <v>51650403735130</v>
      </c>
      <c r="G54" s="4" t="n">
        <v>60282827532899</v>
      </c>
      <c r="H54" s="4" t="n">
        <v>71999995678620</v>
      </c>
      <c r="I54" s="4" t="n">
        <v>88141991634625</v>
      </c>
    </row>
    <row r="55">
      <c r="A55" s="3" t="inlineStr">
        <is>
          <t>NỢ PHẢI TRẢ</t>
        </is>
      </c>
      <c r="B55" s="4" t="n">
        <v>14982096384457</v>
      </c>
      <c r="C55" s="4" t="n">
        <v>16594874862688</v>
      </c>
      <c r="D55" s="4" t="n">
        <v>23128655834466</v>
      </c>
      <c r="E55" s="4" t="n">
        <v>32279955665838</v>
      </c>
      <c r="F55" s="4" t="n">
        <v>26294279047318</v>
      </c>
      <c r="G55" s="4" t="n">
        <v>30349816316666</v>
      </c>
      <c r="H55" s="4" t="n">
        <v>36272455573820</v>
      </c>
      <c r="I55" s="4" t="n">
        <v>44393950887086</v>
      </c>
    </row>
    <row r="56">
      <c r="A56" s="3" t="inlineStr">
        <is>
          <t>Nợ ngắn hạn</t>
        </is>
      </c>
      <c r="B56" s="4" t="n">
        <v>14451149990521</v>
      </c>
      <c r="C56" s="4" t="n">
        <v>16102256902439</v>
      </c>
      <c r="D56" s="4" t="n">
        <v>22364710509820</v>
      </c>
      <c r="E56" s="4" t="n">
        <v>29761106035257</v>
      </c>
      <c r="F56" s="4" t="n">
        <v>24521161696202</v>
      </c>
      <c r="G56" s="4" t="n">
        <v>29651673556227</v>
      </c>
      <c r="H56" s="4" t="n">
        <v>34836184067740</v>
      </c>
      <c r="I56" s="4" t="n">
        <v>41524928721230</v>
      </c>
    </row>
    <row r="57">
      <c r="A57" s="3" t="inlineStr">
        <is>
          <t>Vay ngắn hạn</t>
        </is>
      </c>
      <c r="B57" s="4" t="n">
        <v>6598868849348</v>
      </c>
      <c r="C57" s="4" t="n">
        <v>7513635654008</v>
      </c>
      <c r="D57" s="4" t="n">
        <v>12062410192740</v>
      </c>
      <c r="E57" s="4" t="n">
        <v>17799441187777</v>
      </c>
      <c r="F57" s="4" t="n">
        <v>10904344845014</v>
      </c>
      <c r="G57" s="4" t="n">
        <v>13837894474107</v>
      </c>
      <c r="H57" s="4" t="n">
        <v>14446238451323</v>
      </c>
      <c r="I57" s="4" t="n">
        <v>19169697497955</v>
      </c>
    </row>
    <row r="58">
      <c r="A58" s="3" t="inlineStr">
        <is>
          <t>Phải trả người bán</t>
        </is>
      </c>
      <c r="B58" s="4" t="n">
        <v>2510114267322</v>
      </c>
      <c r="C58" s="4" t="n">
        <v>2641797326788</v>
      </c>
      <c r="D58" s="4" t="n">
        <v>2824505552359</v>
      </c>
      <c r="E58" s="4" t="n">
        <v>2865815039581</v>
      </c>
      <c r="F58" s="4" t="n">
        <v>3209205494368</v>
      </c>
      <c r="G58" s="4" t="n">
        <v>2602977290710</v>
      </c>
      <c r="H58" s="4" t="n">
        <v>4423912840298</v>
      </c>
      <c r="I58" s="4" t="n">
        <v>3837081314767</v>
      </c>
    </row>
    <row r="59">
      <c r="A59" s="3" t="inlineStr">
        <is>
          <t>Người mua trả tiền trước</t>
        </is>
      </c>
      <c r="B59" s="4" t="n">
        <v>418652248691</v>
      </c>
      <c r="C59" s="4" t="n">
        <v>398628905824</v>
      </c>
      <c r="D59" s="4" t="n">
        <v>465157577125</v>
      </c>
      <c r="E59" s="4" t="n">
        <v>710658541296</v>
      </c>
      <c r="F59" s="4" t="n">
        <v>491097603761</v>
      </c>
      <c r="G59" s="4" t="n">
        <v>602010036721</v>
      </c>
      <c r="H59" s="4" t="n">
        <v>562066755666</v>
      </c>
      <c r="I59" s="4" t="n">
        <v>734726007595</v>
      </c>
    </row>
    <row r="60">
      <c r="A60" s="3" t="inlineStr">
        <is>
          <t>Thuế và các khoản phải trả Nhà nước</t>
        </is>
      </c>
      <c r="B60" s="4" t="n">
        <v>411222366924</v>
      </c>
      <c r="C60" s="4" t="n">
        <v>554461605696</v>
      </c>
      <c r="D60" s="4" t="n">
        <v>645972209996</v>
      </c>
      <c r="E60" s="4" t="n">
        <v>517652708809</v>
      </c>
      <c r="F60" s="4" t="n">
        <v>670648917592</v>
      </c>
      <c r="G60" s="4" t="n">
        <v>1432356605157</v>
      </c>
      <c r="H60" s="4" t="n">
        <v>2298821801748</v>
      </c>
      <c r="I60" s="4" t="n">
        <v>2199487107880</v>
      </c>
    </row>
    <row r="61">
      <c r="A61" s="3" t="inlineStr">
        <is>
          <t>Phải trả người lao động</t>
        </is>
      </c>
      <c r="B61" s="4" t="n">
        <v>1191302627829</v>
      </c>
      <c r="C61" s="4" t="n">
        <v>1278884909353</v>
      </c>
      <c r="D61" s="4" t="n">
        <v>1968364078549</v>
      </c>
      <c r="E61" s="4" t="n">
        <v>2926228655285</v>
      </c>
      <c r="F61" s="4" t="n">
        <v>3276698433947</v>
      </c>
      <c r="G61" s="4" t="n">
        <v>3734341060086</v>
      </c>
      <c r="H61" s="4" t="n">
        <v>4341013546853</v>
      </c>
      <c r="I61" s="4" t="n">
        <v>5724811126353</v>
      </c>
    </row>
    <row r="62">
      <c r="A62" s="3" t="inlineStr">
        <is>
          <t>Chi phí phải trả</t>
        </is>
      </c>
      <c r="B62" s="4" t="n">
        <v>837956702415</v>
      </c>
      <c r="C62" s="4" t="n">
        <v>746853608766</v>
      </c>
      <c r="D62" s="4" t="n">
        <v>762365483261</v>
      </c>
      <c r="E62" s="4" t="n">
        <v>829126223397</v>
      </c>
      <c r="F62" s="4" t="n">
        <v>807640094658</v>
      </c>
      <c r="G62" s="4" t="n">
        <v>848293082410</v>
      </c>
      <c r="H62" s="4" t="n">
        <v>1241089122260</v>
      </c>
      <c r="I62" s="4" t="n">
        <v>1765446702057</v>
      </c>
    </row>
    <row r="63">
      <c r="A63" s="3" t="inlineStr">
        <is>
          <t>Phải trả nội bộ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</row>
    <row r="64">
      <c r="A64" s="3" t="inlineStr">
        <is>
          <t>Phải trả về xây dựng cơ bản</t>
        </is>
      </c>
      <c r="B64" s="4" t="n">
        <v>46561518663</v>
      </c>
      <c r="C64" s="4" t="n">
        <v>39251428042</v>
      </c>
      <c r="D64" s="4" t="n">
        <v>64245054184</v>
      </c>
      <c r="E64" s="4" t="n">
        <v>89224688468</v>
      </c>
      <c r="F64" s="4" t="n">
        <v>78663541041</v>
      </c>
      <c r="G64" s="4" t="n">
        <v>78456375540</v>
      </c>
      <c r="H64" s="4" t="n">
        <v>92738882375</v>
      </c>
      <c r="I64" s="4" t="n">
        <v>85650109236</v>
      </c>
    </row>
    <row r="65">
      <c r="A65" s="3" t="inlineStr">
        <is>
          <t>Phải trả khác</t>
        </is>
      </c>
      <c r="B65" s="4" t="n">
        <v>341063193828</v>
      </c>
      <c r="C65" s="4" t="n">
        <v>387440116553</v>
      </c>
      <c r="D65" s="4" t="n">
        <v>744816892234</v>
      </c>
      <c r="E65" s="4" t="n">
        <v>555467321694</v>
      </c>
      <c r="F65" s="4" t="n">
        <v>568807386283</v>
      </c>
      <c r="G65" s="4" t="n">
        <v>1015101605957</v>
      </c>
      <c r="H65" s="4" t="n">
        <v>874015837328</v>
      </c>
      <c r="I65" s="4" t="n">
        <v>1014754880632</v>
      </c>
    </row>
    <row r="66">
      <c r="A66" s="3" t="inlineStr">
        <is>
          <t>Dự phòng các khoản phải trả ngắn hạn</t>
        </is>
      </c>
      <c r="B66" s="4" t="n">
        <v>31354115546</v>
      </c>
      <c r="C66" s="4" t="n">
        <v>174566812252</v>
      </c>
      <c r="D66" s="4" t="n">
        <v>211596795175</v>
      </c>
      <c r="E66" s="4" t="n">
        <v>112413880560</v>
      </c>
      <c r="F66" s="4" t="n">
        <v>251132995783</v>
      </c>
      <c r="G66" s="4" t="n">
        <v>417401434437</v>
      </c>
      <c r="H66" s="4" t="n">
        <v>496600145127</v>
      </c>
      <c r="I66" s="4" t="n">
        <v>599498384069</v>
      </c>
    </row>
    <row r="67">
      <c r="A67" s="3" t="inlineStr">
        <is>
          <t>Quỹ khen thưởng, phúc lợi</t>
        </is>
      </c>
      <c r="B67" s="4" t="n">
        <v>453132851257</v>
      </c>
      <c r="C67" s="4" t="n">
        <v>539417009210</v>
      </c>
      <c r="D67" s="4" t="n">
        <v>652398099667</v>
      </c>
      <c r="E67" s="4" t="n">
        <v>824708492832</v>
      </c>
      <c r="F67" s="4" t="n">
        <v>1062521021900</v>
      </c>
      <c r="G67" s="4" t="n">
        <v>1462636131060</v>
      </c>
      <c r="H67" s="4" t="n">
        <v>1835037318363</v>
      </c>
      <c r="I67" s="4" t="n">
        <v>2160076871985</v>
      </c>
    </row>
    <row r="68">
      <c r="A68" s="3" t="inlineStr">
        <is>
          <t>Nợ dài hạn</t>
        </is>
      </c>
      <c r="B68" s="4" t="n">
        <v>530946393936</v>
      </c>
      <c r="C68" s="4" t="n">
        <v>492617960249</v>
      </c>
      <c r="D68" s="4" t="n">
        <v>763945324646</v>
      </c>
      <c r="E68" s="4" t="n">
        <v>2518849630581</v>
      </c>
      <c r="F68" s="4" t="n">
        <v>1773117351116</v>
      </c>
      <c r="G68" s="4" t="n">
        <v>698142760439</v>
      </c>
      <c r="H68" s="4" t="n">
        <v>1436271506080</v>
      </c>
      <c r="I68" s="4" t="n">
        <v>2869022165856</v>
      </c>
    </row>
    <row r="69">
      <c r="A69" s="3" t="inlineStr">
        <is>
          <t>Phải trả nhà cung cấp dài hạn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</row>
    <row r="70">
      <c r="A70" s="3" t="inlineStr">
        <is>
          <t>Phải trả nội bộ dài hạn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</row>
    <row r="71">
      <c r="A71" s="3" t="inlineStr">
        <is>
          <t>Phải trả dài hạn khác</t>
        </is>
      </c>
      <c r="B71" s="4" t="n">
        <v>108962237984</v>
      </c>
      <c r="C71" s="4" t="n">
        <v>92105961472</v>
      </c>
      <c r="D71" s="4" t="n">
        <v>38492884032</v>
      </c>
      <c r="E71" s="4" t="n">
        <v>34908209574</v>
      </c>
      <c r="F71" s="4" t="n">
        <v>28146819108</v>
      </c>
      <c r="G71" s="4" t="n">
        <v>41914135058</v>
      </c>
      <c r="H71" s="4" t="n">
        <v>183788442785</v>
      </c>
      <c r="I71" s="4" t="n">
        <v>149213186822</v>
      </c>
    </row>
    <row r="72">
      <c r="A72" s="3" t="inlineStr">
        <is>
          <t>Vay dài hạn</t>
        </is>
      </c>
      <c r="B72" s="4" t="n">
        <v>366793322852</v>
      </c>
      <c r="C72" s="4" t="n">
        <v>349769099942</v>
      </c>
      <c r="D72" s="4" t="n">
        <v>677796913413</v>
      </c>
      <c r="E72" s="4" t="n">
        <v>2296308493046</v>
      </c>
      <c r="F72" s="4" t="n">
        <v>1477830333990</v>
      </c>
      <c r="G72" s="4" t="n">
        <v>208074996962</v>
      </c>
      <c r="H72" s="4" t="n">
        <v>501115537075</v>
      </c>
      <c r="I72" s="4" t="n">
        <v>1903789988184</v>
      </c>
    </row>
    <row r="73">
      <c r="A73" s="3" t="inlineStr">
        <is>
          <t>Thuế thu nhập hoãn lại</t>
        </is>
      </c>
      <c r="B73" s="4" t="n">
        <v>335327364</v>
      </c>
      <c r="C73" s="4" t="n">
        <v>0</v>
      </c>
      <c r="D73" s="4" t="n">
        <v>258372310</v>
      </c>
      <c r="E73" s="4" t="n">
        <v>87366215294</v>
      </c>
      <c r="F73" s="4" t="n">
        <v>149305200735</v>
      </c>
      <c r="G73" s="4" t="n">
        <v>245716712513</v>
      </c>
      <c r="H73" s="4" t="n">
        <v>356966680614</v>
      </c>
      <c r="I73" s="4" t="n">
        <v>257727308967</v>
      </c>
    </row>
    <row r="74">
      <c r="A74" s="3" t="inlineStr">
        <is>
          <t>Dự phòng trợ cấp thôi việc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</row>
    <row r="75">
      <c r="A75" s="3" t="inlineStr">
        <is>
          <t>Dự phòng các khoản nợ dài hạn</t>
        </is>
      </c>
      <c r="B75" s="4" t="n">
        <v>7857755298</v>
      </c>
      <c r="C75" s="4" t="n">
        <v>7773635329</v>
      </c>
      <c r="D75" s="4" t="n">
        <v>6080503078</v>
      </c>
      <c r="E75" s="4" t="n">
        <v>5230766819</v>
      </c>
      <c r="F75" s="4" t="n">
        <v>2763464633</v>
      </c>
      <c r="G75" s="4" t="n">
        <v>69317780976</v>
      </c>
      <c r="H75" s="4" t="n">
        <v>262864215119</v>
      </c>
      <c r="I75" s="4" t="n">
        <v>405858410471</v>
      </c>
    </row>
    <row r="76">
      <c r="A76" s="3" t="inlineStr">
        <is>
          <t>Doanh thu chưa thực hiện</t>
        </is>
      </c>
      <c r="B76" s="4" t="n">
        <v>46805654155</v>
      </c>
      <c r="C76" s="4" t="n">
        <v>42777167223</v>
      </c>
      <c r="D76" s="4" t="n">
        <v>41124555530</v>
      </c>
      <c r="E76" s="4" t="n">
        <v>94843849565</v>
      </c>
      <c r="F76" s="4" t="n">
        <v>114879436367</v>
      </c>
      <c r="G76" s="4" t="n">
        <v>132927038647</v>
      </c>
      <c r="H76" s="4" t="n">
        <v>131344534204</v>
      </c>
      <c r="I76" s="4" t="n">
        <v>152241175129</v>
      </c>
    </row>
    <row r="77">
      <c r="A77" s="3" t="inlineStr">
        <is>
          <t>Quỹ phát triển khoa học công nghệ</t>
        </is>
      </c>
      <c r="B77" s="4" t="n">
        <v>192096283</v>
      </c>
      <c r="C77" s="4" t="n">
        <v>192096283</v>
      </c>
      <c r="D77" s="4" t="n">
        <v>192096283</v>
      </c>
      <c r="E77" s="4" t="n">
        <v>192096283</v>
      </c>
      <c r="F77" s="4" t="n">
        <v>192096283</v>
      </c>
      <c r="G77" s="4" t="n">
        <v>192096283</v>
      </c>
      <c r="H77" s="4" t="n">
        <v>192096283</v>
      </c>
      <c r="I77" s="4" t="n">
        <v>192096283</v>
      </c>
    </row>
    <row r="78">
      <c r="A78" s="3" t="inlineStr">
        <is>
          <t>Vốn chủ sở hữu</t>
        </is>
      </c>
      <c r="B78" s="4" t="n">
        <v>14774970765111</v>
      </c>
      <c r="C78" s="4" t="n">
        <v>16799289401006</v>
      </c>
      <c r="D78" s="4" t="n">
        <v>18605667400728</v>
      </c>
      <c r="E78" s="4" t="n">
        <v>21417985230037</v>
      </c>
      <c r="F78" s="4" t="n">
        <v>25356124687812</v>
      </c>
      <c r="G78" s="4" t="n">
        <v>29933011216233</v>
      </c>
      <c r="H78" s="4" t="n">
        <v>35727540104800</v>
      </c>
      <c r="I78" s="4" t="n">
        <v>43748040747539</v>
      </c>
    </row>
    <row r="79">
      <c r="A79" s="3" t="inlineStr">
        <is>
          <t>Vốn và các quỹ</t>
        </is>
      </c>
      <c r="B79" s="4" t="n">
        <v>14772220765111</v>
      </c>
      <c r="C79" s="4" t="n">
        <v>16796539401006</v>
      </c>
      <c r="D79" s="4" t="n">
        <v>18602917400728</v>
      </c>
      <c r="E79" s="4" t="n">
        <v>21415235230037</v>
      </c>
      <c r="F79" s="4" t="n">
        <v>25353374687812</v>
      </c>
      <c r="G79" s="4" t="n">
        <v>29930261216233</v>
      </c>
      <c r="H79" s="4" t="n">
        <v>35724790104800</v>
      </c>
      <c r="I79" s="4" t="n">
        <v>43745290747539</v>
      </c>
    </row>
    <row r="80">
      <c r="A80" s="3" t="inlineStr">
        <is>
          <t>Vốn góp</t>
        </is>
      </c>
      <c r="B80" s="4" t="n">
        <v>6136367720000</v>
      </c>
      <c r="C80" s="4" t="n">
        <v>6783586880000</v>
      </c>
      <c r="D80" s="4" t="n">
        <v>7839874860000</v>
      </c>
      <c r="E80" s="4" t="n">
        <v>9075516490000</v>
      </c>
      <c r="F80" s="4" t="n">
        <v>10970265720000</v>
      </c>
      <c r="G80" s="4" t="n">
        <v>12699688750000</v>
      </c>
      <c r="H80" s="4" t="n">
        <v>14710691830000</v>
      </c>
      <c r="I80" s="4" t="n">
        <v>17035071210000</v>
      </c>
    </row>
    <row r="81">
      <c r="A81" s="3" t="inlineStr">
        <is>
          <t>Thặng dư vốn cổ phần</t>
        </is>
      </c>
      <c r="B81" s="4" t="n">
        <v>49465703201</v>
      </c>
      <c r="C81" s="4" t="n">
        <v>49941441360</v>
      </c>
      <c r="D81" s="4" t="n">
        <v>49713213411</v>
      </c>
      <c r="E81" s="4" t="n">
        <v>49713213411</v>
      </c>
      <c r="F81" s="4" t="n">
        <v>49713213411</v>
      </c>
      <c r="G81" s="4" t="n">
        <v>49713213411</v>
      </c>
      <c r="H81" s="4" t="n">
        <v>49713213411</v>
      </c>
      <c r="I81" s="4" t="n">
        <v>49713213411</v>
      </c>
    </row>
    <row r="82">
      <c r="A82" s="3" t="inlineStr">
        <is>
          <t>Vốn khác</t>
        </is>
      </c>
      <c r="B82" s="4" t="n">
        <v>667035271273</v>
      </c>
      <c r="C82" s="4" t="n">
        <v>765332464859</v>
      </c>
      <c r="D82" s="4" t="n">
        <v>920081410199</v>
      </c>
      <c r="E82" s="4" t="n">
        <v>1178174776366</v>
      </c>
      <c r="F82" s="4" t="n">
        <v>1179064868147</v>
      </c>
      <c r="G82" s="4" t="n">
        <v>1928602158147</v>
      </c>
      <c r="H82" s="4" t="n">
        <v>1929012703454</v>
      </c>
      <c r="I82" s="4" t="n">
        <v>3499547369952</v>
      </c>
    </row>
    <row r="83">
      <c r="A83" s="3" t="inlineStr">
        <is>
          <t>Cổ phiếu quỹ</t>
        </is>
      </c>
      <c r="B83" s="4" t="n">
        <v>-823760000</v>
      </c>
      <c r="C83" s="4" t="n">
        <v>-823760000</v>
      </c>
      <c r="D83" s="4" t="n">
        <v>-823760000</v>
      </c>
      <c r="E83" s="4" t="n">
        <v>-823760000</v>
      </c>
      <c r="F83" s="4" t="n">
        <v>0</v>
      </c>
      <c r="G83" s="4" t="n">
        <v>0</v>
      </c>
      <c r="H83" s="4" t="n">
        <v>0</v>
      </c>
      <c r="I83" s="4" t="n">
        <v>0</v>
      </c>
    </row>
    <row r="84">
      <c r="A84" s="3" t="inlineStr">
        <is>
          <t>Chênh lệch đánh giá lại tài sản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</row>
    <row r="85">
      <c r="A85" s="3" t="inlineStr">
        <is>
          <t>Chênh lệch tỷ giá</t>
        </is>
      </c>
      <c r="B85" s="4" t="n">
        <v>14965650460</v>
      </c>
      <c r="C85" s="4" t="n">
        <v>-7773137062</v>
      </c>
      <c r="D85" s="4" t="n">
        <v>13496751277</v>
      </c>
      <c r="E85" s="4" t="n">
        <v>-22561932248</v>
      </c>
      <c r="F85" s="4" t="n">
        <v>-40480690557</v>
      </c>
      <c r="G85" s="4" t="n">
        <v>-17778502626</v>
      </c>
      <c r="H85" s="4" t="n">
        <v>-49485560860</v>
      </c>
      <c r="I85" s="4" t="n">
        <v>-70185856586</v>
      </c>
    </row>
    <row r="86">
      <c r="A86" s="3" t="inlineStr">
        <is>
          <t>Quỹ đầu tư và phát triển</t>
        </is>
      </c>
      <c r="B86" s="4" t="n">
        <v>222962521203</v>
      </c>
      <c r="C86" s="4" t="n">
        <v>307526573229</v>
      </c>
      <c r="D86" s="4" t="n">
        <v>442371579941</v>
      </c>
      <c r="E86" s="4" t="n">
        <v>570491625643</v>
      </c>
      <c r="F86" s="4" t="n">
        <v>1086270726048</v>
      </c>
      <c r="G86" s="4" t="n">
        <v>1549850939920</v>
      </c>
      <c r="H86" s="4" t="n">
        <v>2033289141535</v>
      </c>
      <c r="I86" s="4" t="n">
        <v>1575367587172</v>
      </c>
    </row>
    <row r="87">
      <c r="A87" s="3" t="inlineStr">
        <is>
          <t>Quỹ dự phòng tài chính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</row>
    <row r="88">
      <c r="A88" s="3" t="inlineStr">
        <is>
          <t>Quỹ khác</t>
        </is>
      </c>
      <c r="B88" s="4" t="n">
        <v>87230283704</v>
      </c>
      <c r="C88" s="4" t="n">
        <v>102985531790</v>
      </c>
      <c r="D88" s="4" t="n">
        <v>87203093024</v>
      </c>
      <c r="E88" s="4" t="n">
        <v>87203093024</v>
      </c>
      <c r="F88" s="4" t="n">
        <v>87203093024</v>
      </c>
      <c r="G88" s="4" t="n">
        <v>87203093024</v>
      </c>
      <c r="H88" s="4" t="n">
        <v>87730484825</v>
      </c>
      <c r="I88" s="4" t="n">
        <v>88263628887</v>
      </c>
    </row>
    <row r="89">
      <c r="A89" s="3" t="inlineStr">
        <is>
          <t>Lãi chưa phân phối</t>
        </is>
      </c>
      <c r="B89" s="4" t="n">
        <v>5293166046073</v>
      </c>
      <c r="C89" s="4" t="n">
        <v>5960676956469</v>
      </c>
      <c r="D89" s="4" t="n">
        <v>6390906128452</v>
      </c>
      <c r="E89" s="4" t="n">
        <v>7000480585004</v>
      </c>
      <c r="F89" s="4" t="n">
        <v>7711681484541</v>
      </c>
      <c r="G89" s="4" t="n">
        <v>8674126708670</v>
      </c>
      <c r="H89" s="4" t="n">
        <v>11030528671431</v>
      </c>
      <c r="I89" s="4" t="n">
        <v>14302416791936</v>
      </c>
    </row>
    <row r="90">
      <c r="A90" s="3" t="inlineStr">
        <is>
          <t>Quỹ hỗ trợ sắp xếp doanh nghiệp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</row>
    <row r="91">
      <c r="A91" s="3" t="inlineStr">
        <is>
          <t>Vốn Ngân sách nhà nước và quỹ khác</t>
        </is>
      </c>
      <c r="B91" s="4" t="n">
        <v>2750000000</v>
      </c>
      <c r="C91" s="4" t="n">
        <v>2750000000</v>
      </c>
      <c r="D91" s="4" t="n">
        <v>2750000000</v>
      </c>
      <c r="E91" s="4" t="n">
        <v>2750000000</v>
      </c>
      <c r="F91" s="4" t="n">
        <v>2750000000</v>
      </c>
      <c r="G91" s="4" t="n">
        <v>2750000000</v>
      </c>
      <c r="H91" s="4" t="n">
        <v>2750000000</v>
      </c>
      <c r="I91" s="4" t="n">
        <v>2750000000</v>
      </c>
    </row>
    <row r="92">
      <c r="A92" s="3" t="inlineStr">
        <is>
          <t>Quỹ khen thưởng, phúc lợi (trước 2010)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</row>
    <row r="93">
      <c r="A93" s="3" t="inlineStr">
        <is>
          <t>Vốn ngân sách nhà nước và quỹ khác</t>
        </is>
      </c>
      <c r="B93" s="4" t="n">
        <v>2750000000</v>
      </c>
      <c r="C93" s="4" t="n">
        <v>2750000000</v>
      </c>
      <c r="D93" s="4" t="n">
        <v>2750000000</v>
      </c>
      <c r="E93" s="4" t="n">
        <v>2750000000</v>
      </c>
      <c r="F93" s="4" t="n">
        <v>2750000000</v>
      </c>
      <c r="G93" s="4" t="n">
        <v>2750000000</v>
      </c>
      <c r="H93" s="4" t="n">
        <v>2750000000</v>
      </c>
      <c r="I93" s="4" t="n">
        <v>2750000000</v>
      </c>
    </row>
    <row r="94">
      <c r="A94" s="3" t="inlineStr">
        <is>
          <t>Lợi ích của cổ đông thiểu số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</row>
    <row r="95">
      <c r="A95" s="3" t="inlineStr">
        <is>
          <t>Tổng cộng nguồn vốn</t>
        </is>
      </c>
      <c r="B95" s="4" t="n">
        <v>29757067149568</v>
      </c>
      <c r="C95" s="4" t="n">
        <v>33394164263694</v>
      </c>
      <c r="D95" s="4" t="n">
        <v>41734323235194</v>
      </c>
      <c r="E95" s="4" t="n">
        <v>53697940895875</v>
      </c>
      <c r="F95" s="4" t="n">
        <v>51650403735130</v>
      </c>
      <c r="G95" s="4" t="n">
        <v>60282827532899</v>
      </c>
      <c r="H95" s="4" t="n">
        <v>71999995678620</v>
      </c>
      <c r="I95" s="4" t="n">
        <v>88141991634625</v>
      </c>
    </row>
    <row r="96">
      <c r="A96" s="3" t="inlineStr">
        <is>
          <t>Cổ phiếu ưu đãi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</row>
    <row r="97">
      <c r="A97" s="3" t="inlineStr">
        <is>
          <t>Đầu tư nắm giữ đến ngày đáo hạn</t>
        </is>
      </c>
      <c r="B97" s="4" t="n">
        <v>5568623727137</v>
      </c>
      <c r="C97" s="4" t="n">
        <v>6708978162325</v>
      </c>
      <c r="D97" s="4" t="n">
        <v>12435918124269</v>
      </c>
      <c r="E97" s="4" t="n">
        <v>20730720735456</v>
      </c>
      <c r="F97" s="4" t="n">
        <v>10200000000</v>
      </c>
      <c r="G97" s="4" t="n">
        <v>20200000000</v>
      </c>
      <c r="H97" s="4" t="n">
        <v>200000000</v>
      </c>
      <c r="I97" s="4" t="n">
        <v>0</v>
      </c>
    </row>
    <row r="98">
      <c r="A98" s="3" t="inlineStr">
        <is>
          <t>Vốn kinh doanh ở các đơn vị trực thuộc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</row>
    <row r="99">
      <c r="A99" s="3" t="inlineStr">
        <is>
          <t>Tài sản thiếu cần xử lý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</row>
    <row r="100">
      <c r="A100" s="3" t="inlineStr">
        <is>
          <t>Phải thu cho vay ngắn hạn</t>
        </is>
      </c>
      <c r="B100" s="4" t="n">
        <v>910049188</v>
      </c>
      <c r="C100" s="4" t="n">
        <v>394176861</v>
      </c>
      <c r="D100" s="4" t="n">
        <v>185532228683</v>
      </c>
      <c r="E100" s="4" t="n">
        <v>34762220000</v>
      </c>
      <c r="F100" s="4" t="n">
        <v>882560901</v>
      </c>
      <c r="G100" s="4" t="n">
        <v>515430000</v>
      </c>
      <c r="H100" s="4" t="n">
        <v>9808117590</v>
      </c>
      <c r="I100" s="4" t="n">
        <v>9195910819</v>
      </c>
    </row>
    <row r="101">
      <c r="A101" s="3" t="inlineStr">
        <is>
          <t>Giao dịch mua bán lại trái phiếu Chính phủ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</row>
    <row r="102">
      <c r="A102" s="3" t="inlineStr">
        <is>
          <t>Trả trước người bán dài hạn</t>
        </is>
      </c>
      <c r="B102" s="4" t="n">
        <v>0</v>
      </c>
      <c r="C102" s="4" t="n">
        <v>380000000</v>
      </c>
      <c r="D102" s="4" t="n">
        <v>380000000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</row>
    <row r="103">
      <c r="A103" s="3" t="inlineStr">
        <is>
          <t>Phải thu cho vay dài hạn</t>
        </is>
      </c>
      <c r="B103" s="4" t="n">
        <v>392794707</v>
      </c>
      <c r="C103" s="4" t="n">
        <v>47427917600</v>
      </c>
      <c r="D103" s="4" t="n">
        <v>93992225574</v>
      </c>
      <c r="E103" s="4" t="n">
        <v>2268758773</v>
      </c>
      <c r="F103" s="4" t="n">
        <v>1189922137</v>
      </c>
      <c r="G103" s="4" t="n">
        <v>0</v>
      </c>
      <c r="H103" s="4" t="n">
        <v>2509722351</v>
      </c>
      <c r="I103" s="4" t="n">
        <v>5278733014</v>
      </c>
    </row>
    <row r="104">
      <c r="A104" s="3" t="inlineStr">
        <is>
          <t>Tài sản dở dang dài hạn</t>
        </is>
      </c>
      <c r="B104" s="4" t="n">
        <v>1174778083753</v>
      </c>
      <c r="C104" s="4" t="n">
        <v>1650470873492</v>
      </c>
      <c r="D104" s="4" t="n">
        <v>2373393296565</v>
      </c>
      <c r="E104" s="4" t="n">
        <v>1290598745684</v>
      </c>
      <c r="F104" s="4" t="n">
        <v>1062184742251</v>
      </c>
      <c r="G104" s="4" t="n">
        <v>1315270136003</v>
      </c>
      <c r="H104" s="4" t="n">
        <v>2559766724411</v>
      </c>
      <c r="I104" s="4" t="n">
        <v>1605078004898</v>
      </c>
    </row>
    <row r="105">
      <c r="A105" s="3" t="inlineStr">
        <is>
          <t>Chi phí sản xuất, kinh doanh dở dang dài hạn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</row>
    <row r="106">
      <c r="A106" s="3" t="inlineStr">
        <is>
          <t>Đầu tư nắm giữ đến ngày đáo hạn</t>
        </is>
      </c>
      <c r="B106" s="4" t="n">
        <v>0</v>
      </c>
      <c r="C106" s="4" t="n">
        <v>0</v>
      </c>
      <c r="D106" s="4" t="n">
        <v>200000000</v>
      </c>
      <c r="E106" s="4" t="n">
        <v>200000000</v>
      </c>
      <c r="F106" s="4" t="n">
        <v>10200000000</v>
      </c>
      <c r="G106" s="4" t="n">
        <v>20200000000</v>
      </c>
      <c r="H106" s="4" t="n">
        <v>200000000</v>
      </c>
      <c r="I106" s="4" t="n">
        <v>0</v>
      </c>
    </row>
    <row r="107">
      <c r="A107" s="3" t="inlineStr">
        <is>
          <t>Thiết bị, vật tư, phụ tùng thay thế dài hạn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</row>
    <row r="108">
      <c r="A108" s="3" t="inlineStr">
        <is>
          <t>Doanh thu chưa thực hiện ngắn hạn</t>
        </is>
      </c>
      <c r="B108" s="4" t="n">
        <v>1610921248698</v>
      </c>
      <c r="C108" s="4" t="n">
        <v>1827319525947</v>
      </c>
      <c r="D108" s="4" t="n">
        <v>1962878574530</v>
      </c>
      <c r="E108" s="4" t="n">
        <v>2530369295558</v>
      </c>
      <c r="F108" s="4" t="n">
        <v>3200401361855</v>
      </c>
      <c r="G108" s="4" t="n">
        <v>3620205460042</v>
      </c>
      <c r="H108" s="4" t="n">
        <v>4224649366399</v>
      </c>
      <c r="I108" s="4" t="n">
        <v>4233698718701</v>
      </c>
    </row>
    <row r="109">
      <c r="A109" s="3" t="inlineStr">
        <is>
          <t>Quỹ bình ổn giá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</row>
    <row r="110">
      <c r="A110" s="3" t="inlineStr">
        <is>
          <t>Giao dịch mua bán lại trái phiếu chính phủ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</row>
    <row r="111">
      <c r="A111" s="3" t="inlineStr">
        <is>
          <t>Người mua trả tiền trước dài hạn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</row>
    <row r="112">
      <c r="A112" s="3" t="inlineStr">
        <is>
          <t>Chi phí phải trả dài hạn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</row>
    <row r="113">
      <c r="A113" s="3" t="inlineStr">
        <is>
          <t>Phải trả nội bộ về vốn kinh doanh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</row>
    <row r="114">
      <c r="A114" s="3" t="inlineStr">
        <is>
          <t>Trái phiếu chuyển đổi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</row>
    <row r="115">
      <c r="A115" s="3" t="inlineStr">
        <is>
          <t>Cổ phiếu ưu đãi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</row>
    <row r="116">
      <c r="A116" s="3" t="inlineStr">
        <is>
          <t>Cổ phiếu phổ thông</t>
        </is>
      </c>
      <c r="B116" s="4" t="n">
        <v>6136367720000</v>
      </c>
      <c r="C116" s="4" t="n">
        <v>6783586880000</v>
      </c>
      <c r="D116" s="4" t="n">
        <v>7839874860000</v>
      </c>
      <c r="E116" s="4" t="n">
        <v>9075516490000</v>
      </c>
      <c r="F116" s="4" t="n">
        <v>10970265720000</v>
      </c>
      <c r="G116" s="4" t="n">
        <v>12699688750000</v>
      </c>
      <c r="H116" s="4" t="n">
        <v>14710691830000</v>
      </c>
      <c r="I116" s="4" t="n">
        <v>17035071210000</v>
      </c>
    </row>
    <row r="117">
      <c r="A117" s="3" t="inlineStr">
        <is>
          <t>Quyền chọn chuyển đổi trái phiếu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</row>
    <row r="118">
      <c r="A118" s="3" t="inlineStr">
        <is>
          <t>LNST chưa phân phối lũy kế đến cuối kỳ trước</t>
        </is>
      </c>
      <c r="B118" s="4" t="n">
        <v>3515481219969</v>
      </c>
      <c r="C118" s="4" t="n">
        <v>3503602891815</v>
      </c>
      <c r="D118" s="4" t="n">
        <v>4049855354550</v>
      </c>
      <c r="E118" s="4" t="n">
        <v>3967085558748</v>
      </c>
      <c r="F118" s="4" t="n">
        <v>4103787447601</v>
      </c>
      <c r="G118" s="4" t="n">
        <v>4471895918464</v>
      </c>
      <c r="H118" s="4" t="n">
        <v>5458228109134</v>
      </c>
      <c r="I118" s="4" t="n">
        <v>7369582215178</v>
      </c>
    </row>
    <row r="119">
      <c r="A119" s="3" t="inlineStr">
        <is>
          <t>LNST chưa phân phối kỳ này</t>
        </is>
      </c>
      <c r="B119" s="4" t="n">
        <v>1777684826104</v>
      </c>
      <c r="C119" s="4" t="n">
        <v>2457074064654</v>
      </c>
      <c r="D119" s="4" t="n">
        <v>2341050773902</v>
      </c>
      <c r="E119" s="4" t="n">
        <v>3033395026256</v>
      </c>
      <c r="F119" s="4" t="n">
        <v>3607894036940</v>
      </c>
      <c r="G119" s="4" t="n">
        <v>4202230790206</v>
      </c>
      <c r="H119" s="4" t="n">
        <v>5572300562297</v>
      </c>
      <c r="I119" s="4" t="n">
        <v>6932834576758</v>
      </c>
    </row>
    <row r="120">
      <c r="A120" s="3" t="inlineStr">
        <is>
          <t>Xây dựng cơ bản đang dở dang</t>
        </is>
      </c>
      <c r="B120" s="4" t="n">
        <v>1174778083753</v>
      </c>
      <c r="C120" s="4" t="n">
        <v>1650470873492</v>
      </c>
      <c r="D120" s="4" t="n">
        <v>2373393296565</v>
      </c>
      <c r="E120" s="4" t="n">
        <v>1290598745684</v>
      </c>
      <c r="F120" s="4" t="n">
        <v>1062184742251</v>
      </c>
      <c r="G120" s="4" t="n">
        <v>1315270136003</v>
      </c>
      <c r="H120" s="4" t="n">
        <v>2559766724411</v>
      </c>
      <c r="I120" s="4" t="n">
        <v>1605078004898</v>
      </c>
    </row>
    <row r="121">
      <c r="A121" s="3" t="inlineStr">
        <is>
          <t>Lợi thế thương mại</t>
        </is>
      </c>
      <c r="B121" s="4" t="n">
        <v>326017723180</v>
      </c>
      <c r="C121" s="4" t="n">
        <v>0</v>
      </c>
      <c r="D121" s="4" t="n">
        <v>200034225027</v>
      </c>
      <c r="E121" s="4" t="n">
        <v>465985410327</v>
      </c>
      <c r="F121" s="4" t="n">
        <v>407944847961</v>
      </c>
      <c r="G121" s="4" t="n">
        <v>1283790079129</v>
      </c>
      <c r="H121" s="4" t="n">
        <v>1097458206678</v>
      </c>
      <c r="I121" s="4" t="n">
        <v>1015730266161</v>
      </c>
    </row>
    <row r="122">
      <c r="A122" s="3" t="inlineStr">
        <is>
          <t>Lợi ích cổ đông không kiểm soát</t>
        </is>
      </c>
      <c r="B122" s="4" t="n">
        <v>2301851329197</v>
      </c>
      <c r="C122" s="4" t="n">
        <v>2835086450361</v>
      </c>
      <c r="D122" s="4" t="n">
        <v>2860094124424</v>
      </c>
      <c r="E122" s="4" t="n">
        <v>3477041138837</v>
      </c>
      <c r="F122" s="4" t="n">
        <v>4309656273198</v>
      </c>
      <c r="G122" s="4" t="n">
        <v>4958854855687</v>
      </c>
      <c r="H122" s="4" t="n">
        <v>5933309621004</v>
      </c>
      <c r="I122" s="4" t="n">
        <v>7265096802767</v>
      </c>
    </row>
    <row r="123">
      <c r="A123" s="3" t="inlineStr">
        <is>
          <t>Nguồn kinh phí đã hình thành TSCĐ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Doanh thu bán hàng và cung cấp dịch vụ</t>
        </is>
      </c>
      <c r="B2" s="4" t="n">
        <v>23259126277266</v>
      </c>
      <c r="C2" s="4" t="n">
        <v>27791982176829</v>
      </c>
      <c r="D2" s="4" t="n">
        <v>29921698144296</v>
      </c>
      <c r="E2" s="4" t="n">
        <v>35671052233610</v>
      </c>
      <c r="F2" s="4" t="n">
        <v>44023010881275</v>
      </c>
      <c r="G2" s="4" t="n">
        <v>52625174861333</v>
      </c>
      <c r="H2" s="4" t="n">
        <v>62962652134635</v>
      </c>
      <c r="I2" s="4" t="n">
        <v>70207688944553</v>
      </c>
    </row>
    <row r="3">
      <c r="A3" s="3" t="inlineStr">
        <is>
          <t>Các khoản giảm trừ doanh thu</t>
        </is>
      </c>
      <c r="B3" s="4" t="n">
        <v>-45589419541</v>
      </c>
      <c r="C3" s="4" t="n">
        <v>-75022024554</v>
      </c>
      <c r="D3" s="4" t="n">
        <v>-91297617472</v>
      </c>
      <c r="E3" s="4" t="n">
        <v>-13789688583</v>
      </c>
      <c r="F3" s="4" t="n">
        <v>-13483200364</v>
      </c>
      <c r="G3" s="4" t="n">
        <v>-7274033948</v>
      </c>
      <c r="H3" s="4" t="n">
        <v>-113857783268</v>
      </c>
      <c r="I3" s="4" t="n">
        <v>-94863843843</v>
      </c>
    </row>
    <row r="4">
      <c r="A4" s="3" t="inlineStr">
        <is>
          <t>Doanh thu thuần</t>
        </is>
      </c>
      <c r="B4" s="4" t="n">
        <v>23213536857725</v>
      </c>
      <c r="C4" s="4" t="n">
        <v>27716960152275</v>
      </c>
      <c r="D4" s="4" t="n">
        <v>29830400526824</v>
      </c>
      <c r="E4" s="4" t="n">
        <v>35657262545027</v>
      </c>
      <c r="F4" s="4" t="n">
        <v>44009527680911</v>
      </c>
      <c r="G4" s="4" t="n">
        <v>52617900827385</v>
      </c>
      <c r="H4" s="4" t="n">
        <v>62848794351367</v>
      </c>
      <c r="I4" s="4" t="n">
        <v>70112825100710</v>
      </c>
    </row>
    <row r="5">
      <c r="A5" s="3" t="inlineStr">
        <is>
          <t>Giá vốn hàng bán</t>
        </is>
      </c>
      <c r="B5" s="4" t="n">
        <v>-14490657872236</v>
      </c>
      <c r="C5" s="4" t="n">
        <v>-17004910529153</v>
      </c>
      <c r="D5" s="4" t="n">
        <v>-18016743052097</v>
      </c>
      <c r="E5" s="4" t="n">
        <v>-22025298308249</v>
      </c>
      <c r="F5" s="4" t="n">
        <v>-26842249039713</v>
      </c>
      <c r="G5" s="4" t="n">
        <v>-32298347382703</v>
      </c>
      <c r="H5" s="4" t="n">
        <v>-39150445981451</v>
      </c>
      <c r="I5" s="4" t="n">
        <v>-44224295588297</v>
      </c>
    </row>
    <row r="6">
      <c r="A6" s="3" t="inlineStr">
        <is>
          <t>Lợi nhuận gộp</t>
        </is>
      </c>
      <c r="B6" s="4" t="n">
        <v>8722878985489</v>
      </c>
      <c r="C6" s="4" t="n">
        <v>10712049623122</v>
      </c>
      <c r="D6" s="4" t="n">
        <v>11813657474727</v>
      </c>
      <c r="E6" s="4" t="n">
        <v>13631964236778</v>
      </c>
      <c r="F6" s="4" t="n">
        <v>17167278641198</v>
      </c>
      <c r="G6" s="4" t="n">
        <v>20319553444682</v>
      </c>
      <c r="H6" s="4" t="n">
        <v>23698348369916</v>
      </c>
      <c r="I6" s="4" t="n">
        <v>25888529512413</v>
      </c>
    </row>
    <row r="7">
      <c r="A7" s="3" t="inlineStr">
        <is>
          <t>Doanh thu hoạt động tài chính</t>
        </is>
      </c>
      <c r="B7" s="4" t="n">
        <v>600093309692</v>
      </c>
      <c r="C7" s="4" t="n">
        <v>650494541199</v>
      </c>
      <c r="D7" s="4" t="n">
        <v>821896424782</v>
      </c>
      <c r="E7" s="4" t="n">
        <v>1270789386267</v>
      </c>
      <c r="F7" s="4" t="n">
        <v>1998503979865</v>
      </c>
      <c r="G7" s="4" t="n">
        <v>2336069089819</v>
      </c>
      <c r="H7" s="4" t="n">
        <v>1935749115305</v>
      </c>
      <c r="I7" s="4" t="n">
        <v>2977156356773</v>
      </c>
    </row>
    <row r="8">
      <c r="A8" s="3" t="inlineStr">
        <is>
          <t>Chi phí tài chính</t>
        </is>
      </c>
      <c r="B8" s="4" t="n">
        <v>-361046565710</v>
      </c>
      <c r="C8" s="4" t="n">
        <v>-592386050061</v>
      </c>
      <c r="D8" s="4" t="n">
        <v>-548165211617</v>
      </c>
      <c r="E8" s="4" t="n">
        <v>-1144187446845</v>
      </c>
      <c r="F8" s="4" t="n">
        <v>-1687369701824</v>
      </c>
      <c r="G8" s="4" t="n">
        <v>-1718298463710</v>
      </c>
      <c r="H8" s="4" t="n">
        <v>-1811547381981</v>
      </c>
      <c r="I8" s="4" t="n">
        <v>-1672048701466</v>
      </c>
    </row>
    <row r="9">
      <c r="A9" s="3" t="inlineStr">
        <is>
          <t>Chi phí lãi vay</t>
        </is>
      </c>
      <c r="B9" s="4" t="n">
        <v>-238344431747</v>
      </c>
      <c r="C9" s="4" t="n">
        <v>-358987537452</v>
      </c>
      <c r="D9" s="4" t="n">
        <v>-385337754896</v>
      </c>
      <c r="E9" s="4" t="n">
        <v>-483995846804</v>
      </c>
      <c r="F9" s="4" t="n">
        <v>-645725556308</v>
      </c>
      <c r="G9" s="4" t="n">
        <v>-832648611261</v>
      </c>
      <c r="H9" s="4" t="n">
        <v>-551639361786</v>
      </c>
      <c r="I9" s="4" t="n">
        <v>-809759601156</v>
      </c>
    </row>
    <row r="10">
      <c r="A10" s="3" t="inlineStr">
        <is>
          <t>Chi phí bán hàng</t>
        </is>
      </c>
      <c r="B10" s="4" t="n">
        <v>-2047833577540</v>
      </c>
      <c r="C10" s="4" t="n">
        <v>-2345957646507</v>
      </c>
      <c r="D10" s="4" t="n">
        <v>-2713561338553</v>
      </c>
      <c r="E10" s="4" t="n">
        <v>-3604610784981</v>
      </c>
      <c r="F10" s="4" t="n">
        <v>-4526440691815</v>
      </c>
      <c r="G10" s="4" t="n">
        <v>-5242551906960</v>
      </c>
      <c r="H10" s="4" t="n">
        <v>-6115961971783</v>
      </c>
      <c r="I10" s="4" t="n">
        <v>-7562660640454</v>
      </c>
    </row>
    <row r="11">
      <c r="A11" s="3" t="inlineStr">
        <is>
          <t>Chi phí quản lý doanh nghiệp</t>
        </is>
      </c>
      <c r="B11" s="4" t="n">
        <v>-3553288111032</v>
      </c>
      <c r="C11" s="4" t="n">
        <v>-4219254770652</v>
      </c>
      <c r="D11" s="4" t="n">
        <v>-4495366457586</v>
      </c>
      <c r="E11" s="4" t="n">
        <v>-4612325935574</v>
      </c>
      <c r="F11" s="4" t="n">
        <v>-5846280653514</v>
      </c>
      <c r="G11" s="4" t="n">
        <v>-6625373638359</v>
      </c>
      <c r="H11" s="4" t="n">
        <v>-7074038614774</v>
      </c>
      <c r="I11" s="4" t="n">
        <v>-7337325397804</v>
      </c>
    </row>
    <row r="12">
      <c r="A12" s="3" t="inlineStr">
        <is>
          <t>Lãi/(lỗ) từ hoạt động kinh doanh</t>
        </is>
      </c>
      <c r="B12" s="4" t="n">
        <v>3799831155588</v>
      </c>
      <c r="C12" s="4" t="n">
        <v>4609873163414</v>
      </c>
      <c r="D12" s="4" t="n">
        <v>5190654463931</v>
      </c>
      <c r="E12" s="4" t="n">
        <v>6228494136764</v>
      </c>
      <c r="F12" s="4" t="n">
        <v>7589289622311</v>
      </c>
      <c r="G12" s="4" t="n">
        <v>9111745534433</v>
      </c>
      <c r="H12" s="4" t="n">
        <v>11025080772955</v>
      </c>
      <c r="I12" s="4" t="n">
        <v>12951675964776</v>
      </c>
    </row>
    <row r="13">
      <c r="A13" s="3" t="inlineStr">
        <is>
          <t>Thu nhập khác</t>
        </is>
      </c>
      <c r="B13" s="4" t="n">
        <v>60448926027</v>
      </c>
      <c r="C13" s="4" t="n">
        <v>112683563071</v>
      </c>
      <c r="D13" s="4" t="n">
        <v>131401186949</v>
      </c>
      <c r="E13" s="4" t="n">
        <v>133219177622</v>
      </c>
      <c r="F13" s="4" t="n">
        <v>184323926142</v>
      </c>
      <c r="G13" s="4" t="n">
        <v>200956010920</v>
      </c>
      <c r="H13" s="4" t="n">
        <v>175450599740</v>
      </c>
      <c r="I13" s="4" t="n">
        <v>142892570480</v>
      </c>
    </row>
    <row r="14">
      <c r="A14" s="3" t="inlineStr">
        <is>
          <t>Chi phí khác</t>
        </is>
      </c>
      <c r="B14" s="4" t="n">
        <v>-2677526409</v>
      </c>
      <c r="C14" s="4" t="n">
        <v>-58026214779</v>
      </c>
      <c r="D14" s="4" t="n">
        <v>-58599020913</v>
      </c>
      <c r="E14" s="4" t="n">
        <v>-24506873428</v>
      </c>
      <c r="F14" s="4" t="n">
        <v>-111330588573</v>
      </c>
      <c r="G14" s="4" t="n">
        <v>-109695446783</v>
      </c>
      <c r="H14" s="4" t="n">
        <v>-130864954876</v>
      </c>
      <c r="I14" s="4" t="n">
        <v>-50935701459</v>
      </c>
    </row>
    <row r="15">
      <c r="A15" s="3" t="inlineStr">
        <is>
          <t>Thu nhập khác, ròng</t>
        </is>
      </c>
      <c r="B15" s="4" t="n">
        <v>57771399618</v>
      </c>
      <c r="C15" s="4" t="n">
        <v>54657348292</v>
      </c>
      <c r="D15" s="4" t="n">
        <v>72802166036</v>
      </c>
      <c r="E15" s="4" t="n">
        <v>108712304194</v>
      </c>
      <c r="F15" s="4" t="n">
        <v>72993337569</v>
      </c>
      <c r="G15" s="4" t="n">
        <v>91260564137</v>
      </c>
      <c r="H15" s="4" t="n">
        <v>44585644864</v>
      </c>
      <c r="I15" s="4" t="n">
        <v>91956869021</v>
      </c>
    </row>
    <row r="16">
      <c r="A16" s="3" t="inlineStr">
        <is>
          <t>Lãi/(lỗ) từ công ty liên doanh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</row>
    <row r="17">
      <c r="A17" s="3" t="inlineStr">
        <is>
          <t>Lãi/(lỗ) trước thuế</t>
        </is>
      </c>
      <c r="B17" s="4" t="n">
        <v>3857602555206</v>
      </c>
      <c r="C17" s="4" t="n">
        <v>4664530511706</v>
      </c>
      <c r="D17" s="4" t="n">
        <v>5263456629967</v>
      </c>
      <c r="E17" s="4" t="n">
        <v>6337206440958</v>
      </c>
      <c r="F17" s="4" t="n">
        <v>7662282959880</v>
      </c>
      <c r="G17" s="4" t="n">
        <v>9203006098570</v>
      </c>
      <c r="H17" s="4" t="n">
        <v>11069666417819</v>
      </c>
      <c r="I17" s="4" t="n">
        <v>13043632833797</v>
      </c>
    </row>
    <row r="18">
      <c r="A18" s="3" t="inlineStr">
        <is>
          <t>Thuế thu nhập doanh nghiệp - hiện thời</t>
        </is>
      </c>
      <c r="B18" s="4" t="n">
        <v>-599214896970</v>
      </c>
      <c r="C18" s="4" t="n">
        <v>-761989612116</v>
      </c>
      <c r="D18" s="4" t="n">
        <v>-942814118631</v>
      </c>
      <c r="E18" s="4" t="n">
        <v>-954883280274</v>
      </c>
      <c r="F18" s="4" t="n">
        <v>-1193613667231</v>
      </c>
      <c r="G18" s="4" t="n">
        <v>-1424017001796</v>
      </c>
      <c r="H18" s="4" t="n">
        <v>-1922927614658</v>
      </c>
      <c r="I18" s="4" t="n">
        <v>-1916998192442</v>
      </c>
    </row>
    <row r="19">
      <c r="A19" s="3" t="inlineStr">
        <is>
          <t>Thuế thu nhập doanh nghiệp - hoãn lại</t>
        </is>
      </c>
      <c r="B19" s="4" t="n">
        <v>-24390517191</v>
      </c>
      <c r="C19" s="4" t="n">
        <v>9171267283</v>
      </c>
      <c r="D19" s="4" t="n">
        <v>103102706262</v>
      </c>
      <c r="E19" s="4" t="n">
        <v>-33022061188</v>
      </c>
      <c r="F19" s="4" t="n">
        <v>22674161820</v>
      </c>
      <c r="G19" s="4" t="n">
        <v>9060642842</v>
      </c>
      <c r="H19" s="4" t="n">
        <v>280683727283</v>
      </c>
      <c r="I19" s="4" t="n">
        <v>105704809379</v>
      </c>
    </row>
    <row r="20">
      <c r="A20" s="3" t="inlineStr">
        <is>
          <t>Chi phí thuế thu nhập doanh nghiệp</t>
        </is>
      </c>
      <c r="B20" s="4" t="n">
        <v>-623605414161</v>
      </c>
      <c r="C20" s="4" t="n">
        <v>-752818344833</v>
      </c>
      <c r="D20" s="4" t="n">
        <v>-839711412369</v>
      </c>
      <c r="E20" s="4" t="n">
        <v>-987905341462</v>
      </c>
      <c r="F20" s="4" t="n">
        <v>-1170939505411</v>
      </c>
      <c r="G20" s="4" t="n">
        <v>-1414956358954</v>
      </c>
      <c r="H20" s="4" t="n">
        <v>-1642243887375</v>
      </c>
      <c r="I20" s="4" t="n">
        <v>-1811293383063</v>
      </c>
    </row>
    <row r="21">
      <c r="A21" s="3" t="inlineStr">
        <is>
          <t>Lãi/(lỗ) thuần sau thuế</t>
        </is>
      </c>
      <c r="B21" s="4" t="n">
        <v>3233997141045</v>
      </c>
      <c r="C21" s="4" t="n">
        <v>3911712166873</v>
      </c>
      <c r="D21" s="4" t="n">
        <v>4423745217598</v>
      </c>
      <c r="E21" s="4" t="n">
        <v>5349301099496</v>
      </c>
      <c r="F21" s="4" t="n">
        <v>6491343454469</v>
      </c>
      <c r="G21" s="4" t="n">
        <v>7788049739616</v>
      </c>
      <c r="H21" s="4" t="n">
        <v>9427422530444</v>
      </c>
      <c r="I21" s="4" t="n">
        <v>11232339450734</v>
      </c>
    </row>
    <row r="22">
      <c r="A22" s="3" t="inlineStr">
        <is>
          <t>Lợi ích của cổ đông thiểu số</t>
        </is>
      </c>
      <c r="B22" s="4" t="n">
        <v>613818509059</v>
      </c>
      <c r="C22" s="4" t="n">
        <v>776361790219</v>
      </c>
      <c r="D22" s="4" t="n">
        <v>885737478776</v>
      </c>
      <c r="E22" s="4" t="n">
        <v>1011889219694</v>
      </c>
      <c r="F22" s="4" t="n">
        <v>1181234863061</v>
      </c>
      <c r="G22" s="4" t="n">
        <v>1322859306994</v>
      </c>
      <c r="H22" s="4" t="n">
        <v>1570654718266</v>
      </c>
      <c r="I22" s="4" t="n">
        <v>1856211821233</v>
      </c>
    </row>
    <row r="23">
      <c r="A23" s="3" t="inlineStr">
        <is>
          <t>Lợi nhuận của Cổ đông của Công ty mẹ</t>
        </is>
      </c>
      <c r="B23" s="4" t="n">
        <v>2620178631986</v>
      </c>
      <c r="C23" s="4" t="n">
        <v>3135350376654</v>
      </c>
      <c r="D23" s="4" t="n">
        <v>3538007738822</v>
      </c>
      <c r="E23" s="4" t="n">
        <v>4337411879802</v>
      </c>
      <c r="F23" s="4" t="n">
        <v>5310108591408</v>
      </c>
      <c r="G23" s="4" t="n">
        <v>6465190432622</v>
      </c>
      <c r="H23" s="4" t="n">
        <v>7856767812178</v>
      </c>
      <c r="I23" s="4" t="n">
        <v>9376127629501</v>
      </c>
    </row>
    <row r="24">
      <c r="A24" s="3" t="inlineStr">
        <is>
          <t>Lãi cơ bản trên cổ phiếu (VND)</t>
        </is>
      </c>
      <c r="B24" s="4" t="n">
        <v>3903</v>
      </c>
      <c r="C24" s="4" t="n">
        <v>4220</v>
      </c>
      <c r="D24" s="4" t="n">
        <v>4120</v>
      </c>
      <c r="E24" s="4" t="n">
        <v>4349</v>
      </c>
      <c r="F24" s="4" t="n">
        <v>3847</v>
      </c>
      <c r="G24" s="4" t="n">
        <v>4661</v>
      </c>
      <c r="H24" s="4" t="n">
        <v>4292</v>
      </c>
      <c r="I24" s="4" t="n">
        <v>5216</v>
      </c>
    </row>
    <row r="25">
      <c r="A25" s="3" t="inlineStr">
        <is>
          <t>Lãi trên cổ phiếu pha loãng (VND)</t>
        </is>
      </c>
      <c r="B25" s="4" t="n">
        <v>3903</v>
      </c>
      <c r="C25" s="4" t="n">
        <v>4220</v>
      </c>
      <c r="D25" s="4" t="n">
        <v>4120</v>
      </c>
      <c r="E25" s="4" t="n">
        <v>4349</v>
      </c>
      <c r="F25" s="4" t="n">
        <v>3847</v>
      </c>
      <c r="G25" s="4" t="n">
        <v>4661</v>
      </c>
      <c r="H25" s="4" t="n">
        <v>4292</v>
      </c>
      <c r="I25" s="4" t="n">
        <v>5216</v>
      </c>
    </row>
    <row r="26">
      <c r="A26" s="3" t="inlineStr">
        <is>
          <t>Lãi/(lỗ) từ công ty liên doanh (từ năm 2015)</t>
        </is>
      </c>
      <c r="B26" s="4" t="n">
        <v>439027114689</v>
      </c>
      <c r="C26" s="4" t="n">
        <v>404927466313</v>
      </c>
      <c r="D26" s="4" t="n">
        <v>312193572178</v>
      </c>
      <c r="E26" s="4" t="n">
        <v>686864681119</v>
      </c>
      <c r="F26" s="4" t="n">
        <v>483598048401</v>
      </c>
      <c r="G26" s="4" t="n">
        <v>42347008961</v>
      </c>
      <c r="H26" s="4" t="n">
        <v>392531256272</v>
      </c>
      <c r="I26" s="4" t="n">
        <v>658024835314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Lợi nhuận/(lỗ) trước thuế</t>
        </is>
      </c>
      <c r="B2" s="4" t="n">
        <v>3857602555206</v>
      </c>
      <c r="C2" s="4" t="n">
        <v>4664530511706</v>
      </c>
      <c r="D2" s="4" t="n">
        <v>5263456629967</v>
      </c>
      <c r="E2" s="4" t="n">
        <v>6337206440958</v>
      </c>
      <c r="F2" s="4" t="n">
        <v>7662282959880</v>
      </c>
      <c r="G2" s="4" t="n">
        <v>9203006098570</v>
      </c>
      <c r="H2" s="4" t="n">
        <v>11069666417819</v>
      </c>
      <c r="I2" s="4" t="n">
        <v>13043632833797</v>
      </c>
    </row>
    <row r="3">
      <c r="A3" s="3" t="inlineStr">
        <is>
          <t>Khấu hao TSCĐ và BĐSĐT</t>
        </is>
      </c>
      <c r="B3" s="4" t="n">
        <v>1164692003074</v>
      </c>
      <c r="C3" s="4" t="n">
        <v>1354613458881</v>
      </c>
      <c r="D3" s="4" t="n">
        <v>1490607476892</v>
      </c>
      <c r="E3" s="4" t="n">
        <v>1643915685332</v>
      </c>
      <c r="F3" s="4" t="n">
        <v>1833064499128</v>
      </c>
      <c r="G3" s="4" t="n">
        <v>2286514158688</v>
      </c>
      <c r="H3" s="4" t="n">
        <v>2535298475665</v>
      </c>
      <c r="I3" s="4" t="n">
        <v>2914178360732</v>
      </c>
    </row>
    <row r="4">
      <c r="A4" s="3" t="inlineStr">
        <is>
          <t>Chi phí dự phòng</t>
        </is>
      </c>
      <c r="B4" s="4" t="n">
        <v>120544469503</v>
      </c>
      <c r="C4" s="4" t="n">
        <v>287785755015</v>
      </c>
      <c r="D4" s="4" t="n">
        <v>313851138486</v>
      </c>
      <c r="E4" s="4" t="n">
        <v>352207924154</v>
      </c>
      <c r="F4" s="4" t="n">
        <v>880253740252</v>
      </c>
      <c r="G4" s="4" t="n">
        <v>677928749053</v>
      </c>
      <c r="H4" s="4" t="n">
        <v>1148951390915</v>
      </c>
      <c r="I4" s="4" t="n">
        <v>651406282654</v>
      </c>
    </row>
    <row r="5">
      <c r="A5" s="3" t="inlineStr">
        <is>
          <t>Lãi/lỗ chênh lệch tỷ giá hối đoái do đánh giá lại các khoản mục tiền tệ có gốc ngoại tệ</t>
        </is>
      </c>
      <c r="B5" s="4" t="n">
        <v>18627355032</v>
      </c>
      <c r="C5" s="4" t="n">
        <v>9525407416</v>
      </c>
      <c r="D5" s="4" t="n">
        <v>-3386721059</v>
      </c>
      <c r="E5" s="4" t="n">
        <v>-63913432668</v>
      </c>
      <c r="F5" s="4" t="n">
        <v>7652847077</v>
      </c>
      <c r="G5" s="4" t="n">
        <v>-34070358211</v>
      </c>
      <c r="H5" s="4" t="n">
        <v>46311803197</v>
      </c>
      <c r="I5" s="4" t="n">
        <v>-27776460391</v>
      </c>
    </row>
    <row r="6">
      <c r="A6" s="3" t="inlineStr">
        <is>
          <t>Lãi/(lỗ) từ thanh lý tài sản cố định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3" t="inlineStr">
        <is>
          <t>(Lãi)/lỗ từ hoạt động đầu tư</t>
        </is>
      </c>
      <c r="B7" s="4" t="n">
        <v>-761304152101</v>
      </c>
      <c r="C7" s="4" t="n">
        <v>-903441404801</v>
      </c>
      <c r="D7" s="4" t="n">
        <v>-1039617856401</v>
      </c>
      <c r="E7" s="4" t="n">
        <v>-1700489438802</v>
      </c>
      <c r="F7" s="4" t="n">
        <v>-1986715685147</v>
      </c>
      <c r="G7" s="4" t="n">
        <v>-1976268355482</v>
      </c>
      <c r="H7" s="4" t="n">
        <v>-1725022480893</v>
      </c>
      <c r="I7" s="4" t="n">
        <v>-2575840046010</v>
      </c>
    </row>
    <row r="8">
      <c r="A8" s="3" t="inlineStr">
        <is>
          <t>Chi phí lãi vay</t>
        </is>
      </c>
      <c r="B8" s="4" t="n">
        <v>238344431747</v>
      </c>
      <c r="C8" s="4" t="n">
        <v>358987537452</v>
      </c>
      <c r="D8" s="4" t="n">
        <v>385337754896</v>
      </c>
      <c r="E8" s="4" t="n">
        <v>483995846804</v>
      </c>
      <c r="F8" s="4" t="n">
        <v>645725556308</v>
      </c>
      <c r="G8" s="4" t="n">
        <v>832648611261</v>
      </c>
      <c r="H8" s="4" t="n">
        <v>551639361786</v>
      </c>
      <c r="I8" s="4" t="n">
        <v>809759601156</v>
      </c>
    </row>
    <row r="9">
      <c r="A9" s="3" t="inlineStr">
        <is>
          <t>Thu lãi và cổ tức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3" t="inlineStr">
        <is>
          <t>Lợi nhuận/(lỗ) từ hoạt động kinh doanh trước những thay đổi vốn lưu động</t>
        </is>
      </c>
      <c r="B10" s="4" t="n">
        <v>4638506662461</v>
      </c>
      <c r="C10" s="4" t="n">
        <v>5772001265669</v>
      </c>
      <c r="D10" s="4" t="n">
        <v>6410248422781</v>
      </c>
      <c r="E10" s="4" t="n">
        <v>7052923025778</v>
      </c>
      <c r="F10" s="4" t="n">
        <v>9042263917498</v>
      </c>
      <c r="G10" s="4" t="n">
        <v>10989758903879</v>
      </c>
      <c r="H10" s="4" t="n">
        <v>13626844968489</v>
      </c>
      <c r="I10" s="4" t="n">
        <v>14815360571938</v>
      </c>
    </row>
    <row r="11">
      <c r="A11" s="3" t="inlineStr">
        <is>
          <t>(Tăng)/giảm các khoản phải thu</t>
        </is>
      </c>
      <c r="B11" s="4" t="n">
        <v>-159344472867</v>
      </c>
      <c r="C11" s="4" t="n">
        <v>-481202921282</v>
      </c>
      <c r="D11" s="4" t="n">
        <v>311571475172</v>
      </c>
      <c r="E11" s="4" t="n">
        <v>-693503200106</v>
      </c>
      <c r="F11" s="4" t="n">
        <v>-1949023327296</v>
      </c>
      <c r="G11" s="4" t="n">
        <v>-1163209212196</v>
      </c>
      <c r="H11" s="4" t="n">
        <v>-1913663012505</v>
      </c>
      <c r="I11" s="4" t="n">
        <v>-2874821969471</v>
      </c>
    </row>
    <row r="12">
      <c r="A12" s="3" t="inlineStr">
        <is>
          <t>(Tăng)/giảm hàng tồn kho</t>
        </is>
      </c>
      <c r="B12" s="4" t="n">
        <v>-229108218690</v>
      </c>
      <c r="C12" s="4" t="n">
        <v>256058829417</v>
      </c>
      <c r="D12" s="4" t="n">
        <v>-55124600922</v>
      </c>
      <c r="E12" s="4" t="n">
        <v>-218231826239</v>
      </c>
      <c r="F12" s="4" t="n">
        <v>-497802711008</v>
      </c>
      <c r="G12" s="4" t="n">
        <v>396161114891</v>
      </c>
      <c r="H12" s="4" t="n">
        <v>-265267561842</v>
      </c>
      <c r="I12" s="4" t="n">
        <v>-335071616492</v>
      </c>
    </row>
    <row r="13">
      <c r="A13" s="3" t="inlineStr">
        <is>
          <t>Tăng/(giảm) các khoản phải trả</t>
        </is>
      </c>
      <c r="B13" s="4" t="n">
        <v>644985031490</v>
      </c>
      <c r="C13" s="4" t="n">
        <v>305737668001</v>
      </c>
      <c r="D13" s="4" t="n">
        <v>1060519849887</v>
      </c>
      <c r="E13" s="4" t="n">
        <v>1910090001449</v>
      </c>
      <c r="F13" s="4" t="n">
        <v>1299834862339</v>
      </c>
      <c r="G13" s="4" t="n">
        <v>1380255770889</v>
      </c>
      <c r="H13" s="4" t="n">
        <v>2875571263689</v>
      </c>
      <c r="I13" s="4" t="n">
        <v>2556427255416</v>
      </c>
    </row>
    <row r="14">
      <c r="A14" s="3" t="inlineStr">
        <is>
          <t>(Tăng)/giảm chi phí trả trước</t>
        </is>
      </c>
      <c r="B14" s="4" t="n">
        <v>-367688759434</v>
      </c>
      <c r="C14" s="4" t="n">
        <v>-686544368251</v>
      </c>
      <c r="D14" s="4" t="n">
        <v>51528448148</v>
      </c>
      <c r="E14" s="4" t="n">
        <v>-375543134134</v>
      </c>
      <c r="F14" s="4" t="n">
        <v>-633951413583</v>
      </c>
      <c r="G14" s="4" t="n">
        <v>65247409505</v>
      </c>
      <c r="H14" s="4" t="n">
        <v>-393964502357</v>
      </c>
      <c r="I14" s="4" t="n">
        <v>-595604484389</v>
      </c>
    </row>
    <row r="15">
      <c r="A15" s="3" t="inlineStr">
        <is>
          <t>Tiền lãi vay đã trả</t>
        </is>
      </c>
      <c r="B15" s="4" t="n">
        <v>-263543299555</v>
      </c>
      <c r="C15" s="4" t="n">
        <v>-338497048207</v>
      </c>
      <c r="D15" s="4" t="n">
        <v>-401913784732</v>
      </c>
      <c r="E15" s="4" t="n">
        <v>-451555665838</v>
      </c>
      <c r="F15" s="4" t="n">
        <v>-635688969538</v>
      </c>
      <c r="G15" s="4" t="n">
        <v>-832038375945</v>
      </c>
      <c r="H15" s="4" t="n">
        <v>-607154747076</v>
      </c>
      <c r="I15" s="4" t="n">
        <v>-812474254533</v>
      </c>
    </row>
    <row r="16">
      <c r="A16" s="3" t="inlineStr">
        <is>
          <t>Thuế thu nhập doanh nghiệp đã nộp</t>
        </is>
      </c>
      <c r="B16" s="4" t="n">
        <v>-429913433339</v>
      </c>
      <c r="C16" s="4" t="n">
        <v>-638639276041</v>
      </c>
      <c r="D16" s="4" t="n">
        <v>-778286928782</v>
      </c>
      <c r="E16" s="4" t="n">
        <v>-1045034654569</v>
      </c>
      <c r="F16" s="4" t="n">
        <v>-1221846691729</v>
      </c>
      <c r="G16" s="4" t="n">
        <v>-971344830054</v>
      </c>
      <c r="H16" s="4" t="n">
        <v>-1209921507569</v>
      </c>
      <c r="I16" s="4" t="n">
        <v>-2238070257305</v>
      </c>
    </row>
    <row r="17">
      <c r="A17" s="3" t="inlineStr">
        <is>
          <t>Tiền thu khác từ hoạt động kinh doanh</t>
        </is>
      </c>
      <c r="B17" s="4" t="n">
        <v>0</v>
      </c>
      <c r="C17" s="4" t="n">
        <v>1946436785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3" t="inlineStr">
        <is>
          <t>Tiền chi khác cho hoạt động kinh doanh</t>
        </is>
      </c>
      <c r="B18" s="4" t="n">
        <v>-245573417730</v>
      </c>
      <c r="C18" s="4" t="n">
        <v>-292110600306</v>
      </c>
      <c r="D18" s="4" t="n">
        <v>-258863848216</v>
      </c>
      <c r="E18" s="4" t="n">
        <v>-339450991614</v>
      </c>
      <c r="F18" s="4" t="n">
        <v>-349953909983</v>
      </c>
      <c r="G18" s="4" t="n">
        <v>-347735082564</v>
      </c>
      <c r="H18" s="4" t="n">
        <v>-408667711961</v>
      </c>
      <c r="I18" s="4" t="n">
        <v>-379701329253</v>
      </c>
    </row>
    <row r="19">
      <c r="A19" s="3" t="inlineStr">
        <is>
          <t>Lưu chuyển tiền tệ ròng từ các hoạt động sản xuất kinh doanh</t>
        </is>
      </c>
      <c r="B19" s="4" t="n">
        <v>3588320092336</v>
      </c>
      <c r="C19" s="4" t="n">
        <v>3898749985785</v>
      </c>
      <c r="D19" s="4" t="n">
        <v>6339679033336</v>
      </c>
      <c r="E19" s="4" t="n">
        <v>5839693554727</v>
      </c>
      <c r="F19" s="4" t="n">
        <v>5053831756700</v>
      </c>
      <c r="G19" s="4" t="n">
        <v>9517095698405</v>
      </c>
      <c r="H19" s="4" t="n">
        <v>11703777188868</v>
      </c>
      <c r="I19" s="4" t="n">
        <v>10136043915911</v>
      </c>
    </row>
    <row r="20">
      <c r="A20" s="3" t="inlineStr">
        <is>
          <t>Tiền chi để mua sắm, xây dựng TSCĐ và các tài sản dài hạn khác</t>
        </is>
      </c>
      <c r="B20" s="4" t="n">
        <v>-2453675554507</v>
      </c>
      <c r="C20" s="4" t="n">
        <v>-3233069745365</v>
      </c>
      <c r="D20" s="4" t="n">
        <v>-3017645357713</v>
      </c>
      <c r="E20" s="4" t="n">
        <v>-2911001172725</v>
      </c>
      <c r="F20" s="4" t="n">
        <v>-3215243200871</v>
      </c>
      <c r="G20" s="4" t="n">
        <v>-3978252082224</v>
      </c>
      <c r="H20" s="4" t="n">
        <v>-3275312325702</v>
      </c>
      <c r="I20" s="4" t="n">
        <v>-5097919349856</v>
      </c>
    </row>
    <row r="21">
      <c r="A21" s="3" t="inlineStr">
        <is>
          <t>Tiền thu từ thanh lý, nhượng bán TSCĐ và các tài sản dài hạn khác</t>
        </is>
      </c>
      <c r="B21" s="4" t="n">
        <v>773278807</v>
      </c>
      <c r="C21" s="4" t="n">
        <v>2251555566</v>
      </c>
      <c r="D21" s="4" t="n">
        <v>3323070810</v>
      </c>
      <c r="E21" s="4" t="n">
        <v>2866890285</v>
      </c>
      <c r="F21" s="4" t="n">
        <v>5662030028</v>
      </c>
      <c r="G21" s="4" t="n">
        <v>29269655015</v>
      </c>
      <c r="H21" s="4" t="n">
        <v>14227383215</v>
      </c>
      <c r="I21" s="4" t="n">
        <v>7314216719</v>
      </c>
    </row>
    <row r="22">
      <c r="A22" s="3" t="inlineStr">
        <is>
          <t>Tiền chi cho vay, mua các công cụ nợ của đơn vị khác</t>
        </is>
      </c>
      <c r="B22" s="4" t="n">
        <v>-1188220715064</v>
      </c>
      <c r="C22" s="4" t="n">
        <v>-1206873685745</v>
      </c>
      <c r="D22" s="4" t="n">
        <v>-5954091321739</v>
      </c>
      <c r="E22" s="4" t="n">
        <v>-35827118645179</v>
      </c>
      <c r="F22" s="4" t="n">
        <v>-32995035947486</v>
      </c>
      <c r="G22" s="4" t="n">
        <v>-33536189070356</v>
      </c>
      <c r="H22" s="4" t="n">
        <v>-41956569113369</v>
      </c>
      <c r="I22" s="4" t="n">
        <v>-57012522823806</v>
      </c>
    </row>
    <row r="23">
      <c r="A23" s="3" t="inlineStr">
        <is>
          <t>Tiền thu hồi cho vay, bán lại các công cụ nợ của đơn vị khác</t>
        </is>
      </c>
      <c r="B23" s="4" t="n">
        <v>0</v>
      </c>
      <c r="C23" s="4" t="n">
        <v>0</v>
      </c>
      <c r="D23" s="4" t="n">
        <v>0</v>
      </c>
      <c r="E23" s="4" t="n">
        <v>27590009509475</v>
      </c>
      <c r="F23" s="4" t="n">
        <v>40669116046728</v>
      </c>
      <c r="G23" s="4" t="n">
        <v>30458251083042</v>
      </c>
      <c r="H23" s="4" t="n">
        <v>36283758374630</v>
      </c>
      <c r="I23" s="4" t="n">
        <v>49164792969282</v>
      </c>
    </row>
    <row r="24">
      <c r="A24" s="3" t="inlineStr">
        <is>
          <t>Tiền chi đầu tư góp vốn vào đơn vị khác</t>
        </is>
      </c>
      <c r="B24" s="4" t="n">
        <v>-709543569233</v>
      </c>
      <c r="C24" s="4" t="n">
        <v>-109971962499</v>
      </c>
      <c r="D24" s="4" t="n">
        <v>-101172751758</v>
      </c>
      <c r="E24" s="4" t="n">
        <v>-450878532336</v>
      </c>
      <c r="F24" s="4" t="n">
        <v>-557291900594</v>
      </c>
      <c r="G24" s="4" t="n">
        <v>-1753619182518</v>
      </c>
      <c r="H24" s="4" t="n">
        <v>-1106193484800</v>
      </c>
      <c r="I24" s="4" t="n">
        <v>-710700052777</v>
      </c>
    </row>
    <row r="25">
      <c r="A25" s="3" t="inlineStr">
        <is>
          <t>Tiền thu hồi đầu tư góp vốn vào đơn vị khác</t>
        </is>
      </c>
      <c r="B25" s="4" t="n">
        <v>180229124836</v>
      </c>
      <c r="C25" s="4" t="n">
        <v>120174850275</v>
      </c>
      <c r="D25" s="4" t="n">
        <v>31000000000</v>
      </c>
      <c r="E25" s="4" t="n">
        <v>420000000</v>
      </c>
      <c r="F25" s="4" t="n">
        <v>56400094000</v>
      </c>
      <c r="G25" s="4" t="n">
        <v>94939906000</v>
      </c>
      <c r="H25" s="4" t="n">
        <v>48102486048</v>
      </c>
      <c r="I25" s="4" t="n">
        <v>23532256656</v>
      </c>
    </row>
    <row r="26">
      <c r="A26" s="3" t="inlineStr">
        <is>
          <t>Tiền thu lãi cho vay, cổ tức và lợi nhuận được chia</t>
        </is>
      </c>
      <c r="B26" s="4" t="n">
        <v>473705873732</v>
      </c>
      <c r="C26" s="4" t="n">
        <v>582420492806</v>
      </c>
      <c r="D26" s="4" t="n">
        <v>894462073316</v>
      </c>
      <c r="E26" s="4" t="n">
        <v>1182811834149</v>
      </c>
      <c r="F26" s="4" t="n">
        <v>1793624815520</v>
      </c>
      <c r="G26" s="4" t="n">
        <v>2137225525330</v>
      </c>
      <c r="H26" s="4" t="n">
        <v>1530174506877</v>
      </c>
      <c r="I26" s="4" t="n">
        <v>2000759192153</v>
      </c>
    </row>
    <row r="27">
      <c r="A27" s="3" t="inlineStr">
        <is>
          <t>Lưu chuyển tiền thuần từ hoạt động đầu tư</t>
        </is>
      </c>
      <c r="B27" s="4" t="n">
        <v>-3696731561429</v>
      </c>
      <c r="C27" s="4" t="n">
        <v>-3845068494962</v>
      </c>
      <c r="D27" s="4" t="n">
        <v>-8144124287084</v>
      </c>
      <c r="E27" s="4" t="n">
        <v>-10412890116331</v>
      </c>
      <c r="F27" s="4" t="n">
        <v>5757231937325</v>
      </c>
      <c r="G27" s="4" t="n">
        <v>-6548374165711</v>
      </c>
      <c r="H27" s="4" t="n">
        <v>-8461812173101</v>
      </c>
      <c r="I27" s="4" t="n">
        <v>-11624743591629</v>
      </c>
    </row>
    <row r="28">
      <c r="A28" s="3" t="inlineStr">
        <is>
          <t>Tiền thu từ phát hành cổ phiếu, nhận vốn góp của chủ sở hữu</t>
        </is>
      </c>
      <c r="B28" s="4" t="n">
        <v>26545560000</v>
      </c>
      <c r="C28" s="4" t="n">
        <v>71715000000</v>
      </c>
      <c r="D28" s="4" t="n">
        <v>59633580760</v>
      </c>
      <c r="E28" s="4" t="n">
        <v>87611404675</v>
      </c>
      <c r="F28" s="4" t="n">
        <v>77028689275</v>
      </c>
      <c r="G28" s="4" t="n">
        <v>73050500000</v>
      </c>
      <c r="H28" s="4" t="n">
        <v>163342989874</v>
      </c>
      <c r="I28" s="4" t="n">
        <v>1196235184778</v>
      </c>
    </row>
    <row r="29">
      <c r="A29" s="3" t="inlineStr">
        <is>
          <t>Tiền chi trả vốn góp cho các chủ sở hữu, mua lại cổ phiếu của doanh nghiệp đã phát hành</t>
        </is>
      </c>
      <c r="B29" s="4" t="n">
        <v>0</v>
      </c>
      <c r="C29" s="4" t="n">
        <v>-269625000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</row>
    <row r="30">
      <c r="A30" s="3" t="inlineStr">
        <is>
          <t>Tiền thu được các khoản đi vay</t>
        </is>
      </c>
      <c r="B30" s="4" t="n">
        <v>10281501672838</v>
      </c>
      <c r="C30" s="4" t="n">
        <v>13403998747456</v>
      </c>
      <c r="D30" s="4" t="n">
        <v>20448570691368</v>
      </c>
      <c r="E30" s="4" t="n">
        <v>34463706577011</v>
      </c>
      <c r="F30" s="4" t="n">
        <v>28120228984733</v>
      </c>
      <c r="G30" s="4" t="n">
        <v>34271246237260</v>
      </c>
      <c r="H30" s="4" t="n">
        <v>30946282706201</v>
      </c>
      <c r="I30" s="4" t="n">
        <v>43070812885074</v>
      </c>
    </row>
    <row r="31">
      <c r="A31" s="3" t="inlineStr">
        <is>
          <t>Tiền trả nợ gốc vay</t>
        </is>
      </c>
      <c r="B31" s="4" t="n">
        <v>-8046946587865</v>
      </c>
      <c r="C31" s="4" t="n">
        <v>-12504733393240</v>
      </c>
      <c r="D31" s="4" t="n">
        <v>-15570014545746</v>
      </c>
      <c r="E31" s="4" t="n">
        <v>-26931165232996</v>
      </c>
      <c r="F31" s="4" t="n">
        <v>-35740054948912</v>
      </c>
      <c r="G31" s="4" t="n">
        <v>-32551882452709</v>
      </c>
      <c r="H31" s="4" t="n">
        <v>-30013226682923</v>
      </c>
      <c r="I31" s="4" t="n">
        <v>-36890984827601</v>
      </c>
    </row>
    <row r="32">
      <c r="A32" s="3" t="inlineStr">
        <is>
          <t>Tiền trả nợ gốc thuê tài chính</t>
        </is>
      </c>
      <c r="B32" s="4" t="n">
        <v>0</v>
      </c>
      <c r="C32" s="4" t="n">
        <v>-1522772466</v>
      </c>
      <c r="D32" s="4" t="n">
        <v>-1753793420</v>
      </c>
      <c r="E32" s="4" t="n">
        <v>-1306368312</v>
      </c>
      <c r="F32" s="4" t="n">
        <v>-8376145424</v>
      </c>
      <c r="G32" s="4" t="n">
        <v>-30169775111</v>
      </c>
      <c r="H32" s="4" t="n">
        <v>-2305346865</v>
      </c>
      <c r="I32" s="4" t="n">
        <v>-986795056</v>
      </c>
    </row>
    <row r="33">
      <c r="A33" s="3" t="inlineStr">
        <is>
          <t>Cổ tức, lợi nhuận đã trả cho chủ sở hữu</t>
        </is>
      </c>
      <c r="B33" s="4" t="n">
        <v>-1707621484375</v>
      </c>
      <c r="C33" s="4" t="n">
        <v>-1483558593800</v>
      </c>
      <c r="D33" s="4" t="n">
        <v>-1899079382925</v>
      </c>
      <c r="E33" s="4" t="n">
        <v>-2254183945975</v>
      </c>
      <c r="F33" s="4" t="n">
        <v>-2222134795995</v>
      </c>
      <c r="G33" s="4" t="n">
        <v>-2930628448135</v>
      </c>
      <c r="H33" s="4" t="n">
        <v>-3291859792121</v>
      </c>
      <c r="I33" s="4" t="n">
        <v>-4573753577663</v>
      </c>
    </row>
    <row r="34">
      <c r="A34" s="3" t="inlineStr">
        <is>
          <t>Tiền lãi đã nhận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Lưu chuyển tiền thuần từ hoạt động tài chính</t>
        </is>
      </c>
      <c r="B35" s="4" t="n">
        <v>553479160598</v>
      </c>
      <c r="C35" s="4" t="n">
        <v>-514370637050</v>
      </c>
      <c r="D35" s="4" t="n">
        <v>3037356550037</v>
      </c>
      <c r="E35" s="4" t="n">
        <v>5364662434403</v>
      </c>
      <c r="F35" s="4" t="n">
        <v>-9773308216323</v>
      </c>
      <c r="G35" s="4" t="n">
        <v>-1168383938695</v>
      </c>
      <c r="H35" s="4" t="n">
        <v>-2197766125834</v>
      </c>
      <c r="I35" s="4" t="n">
        <v>2801322869532</v>
      </c>
    </row>
    <row r="36">
      <c r="A36" s="3" t="inlineStr">
        <is>
          <t>Lưu chuyển tiền thuần trong kỳ</t>
        </is>
      </c>
      <c r="B36" s="4" t="n">
        <v>445067691505</v>
      </c>
      <c r="C36" s="4" t="n">
        <v>-460689146227</v>
      </c>
      <c r="D36" s="4" t="n">
        <v>1232911296289</v>
      </c>
      <c r="E36" s="4" t="n">
        <v>791465872799</v>
      </c>
      <c r="F36" s="4" t="n">
        <v>1037755477702</v>
      </c>
      <c r="G36" s="4" t="n">
        <v>1800337593999</v>
      </c>
      <c r="H36" s="4" t="n">
        <v>1044198889933</v>
      </c>
      <c r="I36" s="4" t="n">
        <v>1312623193814</v>
      </c>
    </row>
    <row r="37">
      <c r="A37" s="3" t="inlineStr">
        <is>
          <t>Tiền và tương đương tiền đầu kỳ</t>
        </is>
      </c>
      <c r="B37" s="4" t="n">
        <v>3480659514788</v>
      </c>
      <c r="C37" s="4" t="n">
        <v>3925727206293</v>
      </c>
      <c r="D37" s="4" t="n">
        <v>3453388617569</v>
      </c>
      <c r="E37" s="4" t="n">
        <v>4686191374038</v>
      </c>
      <c r="F37" s="4" t="n">
        <v>5417845293242</v>
      </c>
      <c r="G37" s="4" t="n">
        <v>6440177174322</v>
      </c>
      <c r="H37" s="4" t="n">
        <v>8279156683221</v>
      </c>
      <c r="I37" s="4" t="n">
        <v>9315440438884</v>
      </c>
    </row>
    <row r="38">
      <c r="A38" s="3" t="inlineStr">
        <is>
          <t>Ảnh hưởng của thay đổi tỷ giá hối đoái quy đổi ngoại tệ</t>
        </is>
      </c>
      <c r="B38" s="4" t="n">
        <v>0</v>
      </c>
      <c r="C38" s="4" t="n">
        <v>-11649442497</v>
      </c>
      <c r="D38" s="4" t="n">
        <v>-108539820</v>
      </c>
      <c r="E38" s="4" t="n">
        <v>-59811953595</v>
      </c>
      <c r="F38" s="4" t="n">
        <v>-15423596622</v>
      </c>
      <c r="G38" s="4" t="n">
        <v>38641914900</v>
      </c>
      <c r="H38" s="4" t="n">
        <v>-7915134270</v>
      </c>
      <c r="I38" s="4" t="n">
        <v>-105957902706</v>
      </c>
    </row>
    <row r="39">
      <c r="A39" s="3" t="inlineStr">
        <is>
          <t>Tiền và tương đương tiền cuối kỳ</t>
        </is>
      </c>
      <c r="B39" s="4" t="n">
        <v>3925727206293</v>
      </c>
      <c r="C39" s="4" t="n">
        <v>3453388617569</v>
      </c>
      <c r="D39" s="4" t="n">
        <v>4686191374038</v>
      </c>
      <c r="E39" s="4" t="n">
        <v>5417845293242</v>
      </c>
      <c r="F39" s="4" t="n">
        <v>6440177174322</v>
      </c>
      <c r="G39" s="4" t="n">
        <v>8279156683221</v>
      </c>
      <c r="H39" s="4" t="n">
        <v>9315440438884</v>
      </c>
      <c r="I39" s="4" t="n">
        <v>10522105729992</v>
      </c>
    </row>
    <row r="40">
      <c r="A40" s="3" t="inlineStr">
        <is>
          <t>Phân bổ lợi thế thương mại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Các khoản điều chỉnh khác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(Tăng)/giảm chứng khoán kinh doanh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selection activeCell="A1" sqref="A1"/>
    </sheetView>
  </sheetViews>
  <sheetFormatPr baseColWidth="8" defaultRowHeight="15"/>
  <cols>
    <col width="38.375" customWidth="1" min="1" max="1"/>
    <col width="19" customWidth="1" min="2" max="2"/>
    <col width="20.5" customWidth="1" min="10" max="10"/>
    <col width="9" customWidth="1" min="11" max="11"/>
  </cols>
  <sheetData>
    <row r="1">
      <c r="A1" s="5" t="inlineStr">
        <is>
          <t>Chỉ tiêu</t>
        </is>
      </c>
      <c r="B1" s="6">
        <f>balance_sheet!B1</f>
        <v/>
      </c>
      <c r="C1" s="6">
        <f>balance_sheet!C1</f>
        <v/>
      </c>
      <c r="D1" s="6">
        <f>balance_sheet!D1</f>
        <v/>
      </c>
      <c r="E1" s="6">
        <f>balance_sheet!E1</f>
        <v/>
      </c>
      <c r="F1" s="6">
        <f>balance_sheet!F1</f>
        <v/>
      </c>
      <c r="G1" s="6">
        <f>balance_sheet!G1</f>
        <v/>
      </c>
      <c r="H1" s="6">
        <f>balance_sheet!H1</f>
        <v/>
      </c>
      <c r="I1" s="6">
        <f>balance_sheet!I1</f>
        <v/>
      </c>
      <c r="J1" s="6" t="n">
        <v>2026</v>
      </c>
    </row>
    <row r="2">
      <c r="A2" s="5" t="inlineStr">
        <is>
          <t>ROE</t>
        </is>
      </c>
      <c r="B2" s="7" t="inlineStr">
        <is>
          <t>n/a</t>
        </is>
      </c>
      <c r="C2" s="8">
        <f>IFERROR(C$51/((C$39+B$39)/2),"n/a")</f>
        <v/>
      </c>
      <c r="D2" s="8">
        <f>IFERROR(D$51/((D$39+C$39)/2),"n/a")</f>
        <v/>
      </c>
      <c r="E2" s="8">
        <f>IFERROR(E$51/((E$39+D$39)/2),"n/a")</f>
        <v/>
      </c>
      <c r="F2" s="8">
        <f>IFERROR(F$51/((F$39+E$39)/2),"n/a")</f>
        <v/>
      </c>
      <c r="G2" s="8">
        <f>IFERROR(G$51/((G$39+F$39)/2),"n/a")</f>
        <v/>
      </c>
      <c r="H2" s="8">
        <f>IFERROR(H$51/((H$39+G$39)/2),"n/a")</f>
        <v/>
      </c>
      <c r="I2" s="8">
        <f>IFERROR(I$51/((I$39+H$39)/2),"n/a")</f>
        <v/>
      </c>
    </row>
    <row r="3">
      <c r="A3" s="5" t="inlineStr">
        <is>
          <t>ROA</t>
        </is>
      </c>
      <c r="B3" s="7">
        <f>IFERROR(B$51/((B$31+A$31)/2),"n/a")</f>
        <v/>
      </c>
      <c r="C3" s="8">
        <f>IFERROR(C$51/((C$31+B$31)/2),"n/a")</f>
        <v/>
      </c>
      <c r="D3" s="8">
        <f>IFERROR(D$51/((D$31+C$31)/2),"n/a")</f>
        <v/>
      </c>
      <c r="E3" s="8">
        <f>IFERROR(E$51/((E$31+D$31)/2),"n/a")</f>
        <v/>
      </c>
      <c r="F3" s="8">
        <f>IFERROR(F$51/((F$31+E$31)/2),"n/a")</f>
        <v/>
      </c>
      <c r="G3" s="8">
        <f>IFERROR(G$51/((G$31+F$31)/2),"n/a")</f>
        <v/>
      </c>
      <c r="H3" s="8">
        <f>IFERROR(H$51/((H$31+G$31)/2),"n/a")</f>
        <v/>
      </c>
      <c r="I3" s="8">
        <f>IFERROR(I$51/((I$31+H$31)/2),"n/a")</f>
        <v/>
      </c>
    </row>
    <row r="4">
      <c r="A4" s="5" t="inlineStr">
        <is>
          <t>Tăng trưởng LN Cổ đông Cty mẹ</t>
        </is>
      </c>
      <c r="B4" s="7" t="inlineStr">
        <is>
          <t>n/a</t>
        </is>
      </c>
      <c r="C4" s="8">
        <f>IFERROR((C$51-B$51)/ABS(B$51),"n/a")</f>
        <v/>
      </c>
      <c r="D4" s="8">
        <f>IFERROR((D$51-C$51)/ABS(C$51),"n/a")</f>
        <v/>
      </c>
      <c r="E4" s="8">
        <f>IFERROR((E$51-D$51)/ABS(D$51),"n/a")</f>
        <v/>
      </c>
      <c r="F4" s="8">
        <f>IFERROR((F$51-E$51)/ABS(E$51),"n/a")</f>
        <v/>
      </c>
      <c r="G4" s="8">
        <f>IFERROR((G$51-F$51)/ABS(F$51),"n/a")</f>
        <v/>
      </c>
      <c r="H4" s="8">
        <f>IFERROR((H$51-G$51)/ABS(G$51),"n/a")</f>
        <v/>
      </c>
      <c r="I4" s="8">
        <f>IFERROR((I$51-H$51)/ABS(H$51),"n/a")</f>
        <v/>
      </c>
      <c r="J4" s="8" t="n">
        <v>0.15</v>
      </c>
    </row>
    <row r="5">
      <c r="A5" s="5" t="inlineStr">
        <is>
          <t>Tăng trưởng Doanh thu thuần</t>
        </is>
      </c>
      <c r="B5" s="7" t="inlineStr">
        <is>
          <t>n/a</t>
        </is>
      </c>
      <c r="C5" s="8">
        <f>IFERROR((C$42-B$42)/ABS(B$42),"n/a")</f>
        <v/>
      </c>
      <c r="D5" s="8">
        <f>IFERROR((D$42-C$42)/ABS(C$42),"n/a")</f>
        <v/>
      </c>
      <c r="E5" s="8">
        <f>IFERROR((E$42-D$42)/ABS(D$42),"n/a")</f>
        <v/>
      </c>
      <c r="F5" s="8">
        <f>IFERROR((F$42-E$42)/ABS(E$42),"n/a")</f>
        <v/>
      </c>
      <c r="G5" s="8">
        <f>IFERROR((G$42-F$42)/ABS(F$42),"n/a")</f>
        <v/>
      </c>
      <c r="H5" s="8">
        <f>IFERROR((H$42-G$42)/ABS(G$42),"n/a")</f>
        <v/>
      </c>
      <c r="I5" s="8">
        <f>IFERROR((I$42-H$42)/ABS(H$42),"n/a")</f>
        <v/>
      </c>
      <c r="J5" s="8" t="n">
        <v>0.16</v>
      </c>
    </row>
    <row r="6">
      <c r="A6" s="5" t="inlineStr">
        <is>
          <t>Biên lợi nhuận gộp</t>
        </is>
      </c>
      <c r="B6" s="8">
        <f>IFERROR(B$44/B$42,"n/a")</f>
        <v/>
      </c>
      <c r="C6" s="8">
        <f>IFERROR(C$44/C$42,"n/a")</f>
        <v/>
      </c>
      <c r="D6" s="8">
        <f>IFERROR(D$44/D$42,"n/a")</f>
        <v/>
      </c>
      <c r="E6" s="8">
        <f>IFERROR(E$44/E$42,"n/a")</f>
        <v/>
      </c>
      <c r="F6" s="8">
        <f>IFERROR(F$44/F$42,"n/a")</f>
        <v/>
      </c>
      <c r="G6" s="8">
        <f>IFERROR(G$44/G$42,"n/a")</f>
        <v/>
      </c>
      <c r="H6" s="8">
        <f>IFERROR(H$44/H$42,"n/a")</f>
        <v/>
      </c>
      <c r="I6" s="8">
        <f>IFERROR(I$44/I$42,"n/a")</f>
        <v/>
      </c>
    </row>
    <row r="7">
      <c r="A7" s="5" t="inlineStr">
        <is>
          <t>Biên lợi nhuận ròng</t>
        </is>
      </c>
      <c r="B7" s="8">
        <f>IFERROR(B$51/B$42,"n/a")</f>
        <v/>
      </c>
      <c r="C7" s="8">
        <f>IFERROR(C$51/C$42,"n/a")</f>
        <v/>
      </c>
      <c r="D7" s="8">
        <f>IFERROR(D$51/D$42,"n/a")</f>
        <v/>
      </c>
      <c r="E7" s="8">
        <f>IFERROR(E$51/E$42,"n/a")</f>
        <v/>
      </c>
      <c r="F7" s="8">
        <f>IFERROR(F$51/F$42,"n/a")</f>
        <v/>
      </c>
      <c r="G7" s="8">
        <f>IFERROR(G$51/G$42,"n/a")</f>
        <v/>
      </c>
      <c r="H7" s="8">
        <f>IFERROR(H$51/H$42,"n/a")</f>
        <v/>
      </c>
      <c r="I7" s="8">
        <f>IFERROR(I$51/I$42,"n/a")</f>
        <v/>
      </c>
      <c r="J7" s="8">
        <f>IFERROR(J$51/J$42,"n/a")</f>
        <v/>
      </c>
    </row>
    <row r="8">
      <c r="A8" s="5" t="inlineStr">
        <is>
          <t>D/E (Nợ vay / Vốn chủ sở hữu)</t>
        </is>
      </c>
      <c r="B8" s="9">
        <f>IFERROR((B$34+B$36)/B$39,"n/a")</f>
        <v/>
      </c>
      <c r="C8" s="9">
        <f>IFERROR((C$34+C$36)/C$39,"n/a")</f>
        <v/>
      </c>
      <c r="D8" s="9">
        <f>IFERROR((D$34+D$36)/D$39,"n/a")</f>
        <v/>
      </c>
      <c r="E8" s="9">
        <f>IFERROR((E$34+E$36)/E$39,"n/a")</f>
        <v/>
      </c>
      <c r="F8" s="9">
        <f>IFERROR((F$34+F$36)/F$39,"n/a")</f>
        <v/>
      </c>
      <c r="G8" s="9">
        <f>IFERROR((G$34+G$36)/G$39,"n/a")</f>
        <v/>
      </c>
      <c r="H8" s="9">
        <f>IFERROR((H$34+H$36)/H$39,"n/a")</f>
        <v/>
      </c>
      <c r="I8" s="9">
        <f>IFERROR((I$34+I$36)/I$39,"n/a")</f>
        <v/>
      </c>
    </row>
    <row r="9">
      <c r="A9" s="10" t="inlineStr">
        <is>
          <t xml:space="preserve">     - Nợ vay dài hạn/Vốn chủ sở hữu</t>
        </is>
      </c>
      <c r="B9" s="9">
        <f>IFERROR(B$36/B$39,"n/a")</f>
        <v/>
      </c>
      <c r="C9" s="9">
        <f>IFERROR(C$36/C$39,"n/a")</f>
        <v/>
      </c>
      <c r="D9" s="9">
        <f>IFERROR(D$36/D$39,"n/a")</f>
        <v/>
      </c>
      <c r="E9" s="9">
        <f>IFERROR(E$36/E$39,"n/a")</f>
        <v/>
      </c>
      <c r="F9" s="9">
        <f>IFERROR(F$36/F$39,"n/a")</f>
        <v/>
      </c>
      <c r="G9" s="9">
        <f>IFERROR(G$36/G$39,"n/a")</f>
        <v/>
      </c>
      <c r="H9" s="9">
        <f>IFERROR(H$36/H$39,"n/a")</f>
        <v/>
      </c>
      <c r="I9" s="9">
        <f>IFERROR(I$36/I$39,"n/a")</f>
        <v/>
      </c>
    </row>
    <row r="10">
      <c r="A10" s="10" t="inlineStr">
        <is>
          <t xml:space="preserve">     - Nợ vay ngắn hạn/Vốn chủ sở hữu</t>
        </is>
      </c>
      <c r="B10" s="9">
        <f>IFERROR(B$34/B$39,"n/a")</f>
        <v/>
      </c>
      <c r="C10" s="9">
        <f>IFERROR(C$34/C$39,"n/a")</f>
        <v/>
      </c>
      <c r="D10" s="9">
        <f>IFERROR(D$34/D$39,"n/a")</f>
        <v/>
      </c>
      <c r="E10" s="9">
        <f>IFERROR(E$34/E$39,"n/a")</f>
        <v/>
      </c>
      <c r="F10" s="9">
        <f>IFERROR(F$34/F$39,"n/a")</f>
        <v/>
      </c>
      <c r="G10" s="9">
        <f>IFERROR(G$34/G$39,"n/a")</f>
        <v/>
      </c>
      <c r="H10" s="9">
        <f>IFERROR(H$34/H$39,"n/a")</f>
        <v/>
      </c>
      <c r="I10" s="9">
        <f>IFERROR(I$34/I$39,"n/a")</f>
        <v/>
      </c>
    </row>
    <row r="11">
      <c r="A11" s="5" t="inlineStr">
        <is>
          <t>Nợ phải trả/Vốn chủ sở hữu</t>
        </is>
      </c>
      <c r="B11" s="9">
        <f>IFERROR(B$38/B$39,"n/a")</f>
        <v/>
      </c>
      <c r="C11" s="9">
        <f>IFERROR(C$38/C$39,"n/a")</f>
        <v/>
      </c>
      <c r="D11" s="9">
        <f>IFERROR(D$38/D$39,"n/a")</f>
        <v/>
      </c>
      <c r="E11" s="9">
        <f>IFERROR(E$38/E$39,"n/a")</f>
        <v/>
      </c>
      <c r="F11" s="9">
        <f>IFERROR(F$38/F$39,"n/a")</f>
        <v/>
      </c>
      <c r="G11" s="9">
        <f>IFERROR(G$38/G$39,"n/a")</f>
        <v/>
      </c>
      <c r="H11" s="9">
        <f>IFERROR(H$38/H$39,"n/a")</f>
        <v/>
      </c>
      <c r="I11" s="9">
        <f>IFERROR(I$38/I$39,"n/a")</f>
        <v/>
      </c>
    </row>
    <row r="12">
      <c r="A12" s="10" t="inlineStr">
        <is>
          <t xml:space="preserve">     - Nợ dài hạn/Vốn chủ sở hữu</t>
        </is>
      </c>
      <c r="B12" s="9">
        <f>IFERROR(B$37/B$39,"n/a")</f>
        <v/>
      </c>
      <c r="C12" s="9">
        <f>IFERROR(C$37/C$39,"n/a")</f>
        <v/>
      </c>
      <c r="D12" s="9">
        <f>IFERROR(D$37/D$39,"n/a")</f>
        <v/>
      </c>
      <c r="E12" s="9">
        <f>IFERROR(E$37/E$39,"n/a")</f>
        <v/>
      </c>
      <c r="F12" s="9">
        <f>IFERROR(F$37/F$39,"n/a")</f>
        <v/>
      </c>
      <c r="G12" s="9">
        <f>IFERROR(G$37/G$39,"n/a")</f>
        <v/>
      </c>
      <c r="H12" s="9">
        <f>IFERROR(H$37/H$39,"n/a")</f>
        <v/>
      </c>
      <c r="I12" s="9">
        <f>IFERROR(I$37/I$39,"n/a")</f>
        <v/>
      </c>
    </row>
    <row r="13">
      <c r="A13" s="10" t="inlineStr">
        <is>
          <t xml:space="preserve">     - Nợ ngắn hạn/Vốn chủ sở hữu</t>
        </is>
      </c>
      <c r="B13" s="9">
        <f>IFERROR(B$35/B$39,"n/a")</f>
        <v/>
      </c>
      <c r="C13" s="9">
        <f>IFERROR(C$35/C$39,"n/a")</f>
        <v/>
      </c>
      <c r="D13" s="9">
        <f>IFERROR(D$35/D$39,"n/a")</f>
        <v/>
      </c>
      <c r="E13" s="9">
        <f>IFERROR(E$35/E$39,"n/a")</f>
        <v/>
      </c>
      <c r="F13" s="9">
        <f>IFERROR(F$35/F$39,"n/a")</f>
        <v/>
      </c>
      <c r="G13" s="9">
        <f>IFERROR(G$35/G$39,"n/a")</f>
        <v/>
      </c>
      <c r="H13" s="9">
        <f>IFERROR(H$35/H$39,"n/a")</f>
        <v/>
      </c>
      <c r="I13" s="9">
        <f>IFERROR(I$35/I$39,"n/a")</f>
        <v/>
      </c>
    </row>
    <row r="14">
      <c r="A14" s="5" t="inlineStr">
        <is>
          <t>Chi phí bán hàng, quản lý/LN gộp</t>
        </is>
      </c>
      <c r="B14" s="8">
        <f>IFERROR((ABS(B$45)+ABS(B$46))/B$44,"n/a")</f>
        <v/>
      </c>
      <c r="C14" s="8">
        <f>IFERROR((ABS(C$45)+ABS(C$46))/C$44,"n/a")</f>
        <v/>
      </c>
      <c r="D14" s="8">
        <f>IFERROR((ABS(D$45)+ABS(D$46))/D$44,"n/a")</f>
        <v/>
      </c>
      <c r="E14" s="8">
        <f>IFERROR((ABS(E$45)+ABS(E$46))/E$44,"n/a")</f>
        <v/>
      </c>
      <c r="F14" s="8">
        <f>IFERROR((ABS(F$45)+ABS(F$46))/F$44,"n/a")</f>
        <v/>
      </c>
      <c r="G14" s="8">
        <f>IFERROR((ABS(G$45)+ABS(G$46))/G$44,"n/a")</f>
        <v/>
      </c>
      <c r="H14" s="8">
        <f>IFERROR((ABS(H$45)+ABS(H$46))/H$44,"n/a")</f>
        <v/>
      </c>
      <c r="I14" s="8">
        <f>IFERROR((ABS(I$45)+ABS(I$46))/I$44,"n/a")</f>
        <v/>
      </c>
    </row>
    <row r="15">
      <c r="A15" s="5" t="inlineStr">
        <is>
          <t>Chi phí lãi vay/LN từ hoạt động kinh doanh</t>
        </is>
      </c>
      <c r="B15" s="8">
        <f>IFERROR(ABS(B$48)/B$47,"n/a")</f>
        <v/>
      </c>
      <c r="C15" s="8">
        <f>IFERROR(ABS(C$48)/C$47,"n/a")</f>
        <v/>
      </c>
      <c r="D15" s="8">
        <f>IFERROR(ABS(D$48)/D$47,"n/a")</f>
        <v/>
      </c>
      <c r="E15" s="8">
        <f>IFERROR(ABS(E$48)/E$47,"n/a")</f>
        <v/>
      </c>
      <c r="F15" s="8">
        <f>IFERROR(ABS(F$48)/F$47,"n/a")</f>
        <v/>
      </c>
      <c r="G15" s="8">
        <f>IFERROR(ABS(G$48)/G$47,"n/a")</f>
        <v/>
      </c>
      <c r="H15" s="8">
        <f>IFERROR(ABS(H$48)/H$47,"n/a")</f>
        <v/>
      </c>
      <c r="I15" s="8">
        <f>IFERROR(ABS(I$48)/I$47,"n/a")</f>
        <v/>
      </c>
    </row>
    <row r="16">
      <c r="A16" s="5" t="inlineStr">
        <is>
          <t>Số ngày phải trả (DPO)</t>
        </is>
      </c>
      <c r="B16" s="11" t="inlineStr">
        <is>
          <t>n/a</t>
        </is>
      </c>
      <c r="C16" s="12">
        <f>IFERROR(((C$33+B$33)/2)/ABS(C$43)*365,"n/a")</f>
        <v/>
      </c>
      <c r="D16" s="12">
        <f>IFERROR(((D$33+C$33)/2)/ABS(D$43)*365,"n/a")</f>
        <v/>
      </c>
      <c r="E16" s="12">
        <f>IFERROR(((E$33+D$33)/2)/ABS(E$43)*365,"n/a")</f>
        <v/>
      </c>
      <c r="F16" s="12">
        <f>IFERROR(((F$33+E$33)/2)/ABS(F$43)*365,"n/a")</f>
        <v/>
      </c>
      <c r="G16" s="12">
        <f>IFERROR(((G$33+F$33)/2)/ABS(G$43)*365,"n/a")</f>
        <v/>
      </c>
      <c r="H16" s="12">
        <f>IFERROR(((H$33+G$33)/2)/ABS(H$43)*365,"n/a")</f>
        <v/>
      </c>
      <c r="I16" s="12">
        <f>IFERROR(((I$33+H$33)/2)/ABS(I$43)*365,"n/a")</f>
        <v/>
      </c>
    </row>
    <row r="17">
      <c r="A17" s="5" t="inlineStr">
        <is>
          <t>Số ngày phải thu (DSO)</t>
        </is>
      </c>
      <c r="B17" s="11" t="inlineStr">
        <is>
          <t>n/a</t>
        </is>
      </c>
      <c r="C17" s="12">
        <f>IFERROR(((C$27+B$27)/2)/C$42*365,"n/a")</f>
        <v/>
      </c>
      <c r="D17" s="12">
        <f>IFERROR(((D$27+C$27)/2)/D$42*365,"n/a")</f>
        <v/>
      </c>
      <c r="E17" s="12">
        <f>IFERROR(((E$27+D$27)/2)/E$42*365,"n/a")</f>
        <v/>
      </c>
      <c r="F17" s="12">
        <f>IFERROR(((F$27+E$27)/2)/F$42*365,"n/a")</f>
        <v/>
      </c>
      <c r="G17" s="12">
        <f>IFERROR(((G$27+F$27)/2)/G$42*365,"n/a")</f>
        <v/>
      </c>
      <c r="H17" s="12">
        <f>IFERROR(((H$27+G$27)/2)/H$42*365,"n/a")</f>
        <v/>
      </c>
      <c r="I17" s="12">
        <f>IFERROR(((I$27+H$27)/2)/I$42*365,"n/a")</f>
        <v/>
      </c>
    </row>
    <row r="18">
      <c r="A18" s="5" t="inlineStr">
        <is>
          <t>Số ngày tồn kho (DIO)</t>
        </is>
      </c>
      <c r="B18" s="11" t="inlineStr">
        <is>
          <t>n/a</t>
        </is>
      </c>
      <c r="C18" s="12">
        <f>IFERROR(((C$28+B$28)/2)/ABS(C$43)*365,"n/a")</f>
        <v/>
      </c>
      <c r="D18" s="12">
        <f>IFERROR(((D$28+C$28)/2)/ABS(D$43)*365,"n/a")</f>
        <v/>
      </c>
      <c r="E18" s="12">
        <f>IFERROR(((E$28+D$28)/2)/ABS(E$43)*365,"n/a")</f>
        <v/>
      </c>
      <c r="F18" s="12">
        <f>IFERROR(((F$28+E$28)/2)/ABS(F$43)*365,"n/a")</f>
        <v/>
      </c>
      <c r="G18" s="12">
        <f>IFERROR(((G$28+F$28)/2)/ABS(G$43)*365,"n/a")</f>
        <v/>
      </c>
      <c r="H18" s="12">
        <f>IFERROR(((H$28+G$28)/2)/ABS(H$43)*365,"n/a")</f>
        <v/>
      </c>
      <c r="I18" s="12">
        <f>IFERROR(((I$28+H$28)/2)/ABS(I$43)*365,"n/a")</f>
        <v/>
      </c>
    </row>
    <row r="19">
      <c r="A19" s="5" t="inlineStr">
        <is>
          <t>Tiền và tương đương tiền/Tài sản</t>
        </is>
      </c>
      <c r="B19" s="8">
        <f>IFERROR(B$26/B$31,"n/a")</f>
        <v/>
      </c>
      <c r="C19" s="8">
        <f>IFERROR(C$26/C$31,"n/a")</f>
        <v/>
      </c>
      <c r="D19" s="8">
        <f>IFERROR(D$26/D$31,"n/a")</f>
        <v/>
      </c>
      <c r="E19" s="8">
        <f>IFERROR(E$26/E$31,"n/a")</f>
        <v/>
      </c>
      <c r="F19" s="8">
        <f>IFERROR(F$26/F$31,"n/a")</f>
        <v/>
      </c>
      <c r="G19" s="8">
        <f>IFERROR(G$26/G$31,"n/a")</f>
        <v/>
      </c>
      <c r="H19" s="8">
        <f>IFERROR(H$26/H$31,"n/a")</f>
        <v/>
      </c>
      <c r="I19" s="8">
        <f>IFERROR(I$26/I$31,"n/a")</f>
        <v/>
      </c>
    </row>
    <row r="20">
      <c r="A20" s="5" t="inlineStr">
        <is>
          <t>Hàng tồn kho/Tài sản</t>
        </is>
      </c>
      <c r="B20" s="8">
        <f>IFERROR(B$28/B$31,"n/a")</f>
        <v/>
      </c>
      <c r="C20" s="8">
        <f>IFERROR(C$28/C$31,"n/a")</f>
        <v/>
      </c>
      <c r="D20" s="8">
        <f>IFERROR(D$28/D$31,"n/a")</f>
        <v/>
      </c>
      <c r="E20" s="8">
        <f>IFERROR(E$28/E$31,"n/a")</f>
        <v/>
      </c>
      <c r="F20" s="8">
        <f>IFERROR(F$28/F$31,"n/a")</f>
        <v/>
      </c>
      <c r="G20" s="8">
        <f>IFERROR(G$28/G$31,"n/a")</f>
        <v/>
      </c>
      <c r="H20" s="8">
        <f>IFERROR(H$28/H$31,"n/a")</f>
        <v/>
      </c>
      <c r="I20" s="8">
        <f>IFERROR(I$28/I$31,"n/a")</f>
        <v/>
      </c>
    </row>
    <row r="21"/>
    <row r="22">
      <c r="A22" s="13" t="inlineStr">
        <is>
          <t>II. DỮ LIỆU TRÍCH XUẤT (tự động dò theo tên khoản mục)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15" t="inlineStr">
        <is>
          <t>Khoản mục</t>
        </is>
      </c>
      <c r="B23" s="16">
        <f>balance_sheet!B1</f>
        <v/>
      </c>
      <c r="C23" s="16">
        <f>balance_sheet!C1</f>
        <v/>
      </c>
      <c r="D23" s="16">
        <f>balance_sheet!D1</f>
        <v/>
      </c>
      <c r="E23" s="16">
        <f>balance_sheet!E1</f>
        <v/>
      </c>
      <c r="F23" s="16">
        <f>balance_sheet!F1</f>
        <v/>
      </c>
      <c r="G23" s="16">
        <f>balance_sheet!G1</f>
        <v/>
      </c>
      <c r="H23" s="16">
        <f>balance_sheet!H1</f>
        <v/>
      </c>
      <c r="I23" s="16">
        <f>balance_sheet!I1</f>
        <v/>
      </c>
    </row>
    <row r="24">
      <c r="A24" s="15" t="inlineStr">
        <is>
          <t>CĐKT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15" t="inlineStr">
        <is>
          <t>Tài sản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</row>
    <row r="26">
      <c r="A26" s="17" t="inlineStr">
        <is>
          <t>Tiền và tương đương tiền</t>
        </is>
      </c>
      <c r="B26" s="18">
        <f>IFERROR(INDEX(balance_sheet!$B:$I,MATCH("Tiền và tương đương tiền",balance_sheet!$A:$A,0),MATCH(B$23,balance_sheet!$B$1:$I$1,0)),"")</f>
        <v/>
      </c>
      <c r="C26" s="18">
        <f>IFERROR(INDEX(balance_sheet!$B:$I,MATCH("Tiền và tương đương tiền",balance_sheet!$A:$A,0),MATCH(C$23,balance_sheet!$B$1:$I$1,0)),"")</f>
        <v/>
      </c>
      <c r="D26" s="18">
        <f>IFERROR(INDEX(balance_sheet!$B:$I,MATCH("Tiền và tương đương tiền",balance_sheet!$A:$A,0),MATCH(D$23,balance_sheet!$B$1:$I$1,0)),"")</f>
        <v/>
      </c>
      <c r="E26" s="18">
        <f>IFERROR(INDEX(balance_sheet!$B:$I,MATCH("Tiền và tương đương tiền",balance_sheet!$A:$A,0),MATCH(E$23,balance_sheet!$B$1:$I$1,0)),"")</f>
        <v/>
      </c>
      <c r="F26" s="18">
        <f>IFERROR(INDEX(balance_sheet!$B:$I,MATCH("Tiền và tương đương tiền",balance_sheet!$A:$A,0),MATCH(F$23,balance_sheet!$B$1:$I$1,0)),"")</f>
        <v/>
      </c>
      <c r="G26" s="18">
        <f>IFERROR(INDEX(balance_sheet!$B:$I,MATCH("Tiền và tương đương tiền",balance_sheet!$A:$A,0),MATCH(G$23,balance_sheet!$B$1:$I$1,0)),"")</f>
        <v/>
      </c>
      <c r="H26" s="18">
        <f>IFERROR(INDEX(balance_sheet!$B:$I,MATCH("Tiền và tương đương tiền",balance_sheet!$A:$A,0),MATCH(H$23,balance_sheet!$B$1:$I$1,0)),"")</f>
        <v/>
      </c>
      <c r="I26" s="18">
        <f>IFERROR(INDEX(balance_sheet!$B:$I,MATCH("Tiền và tương đương tiền",balance_sheet!$A:$A,0),MATCH(I$23,balance_sheet!$B$1:$I$1,0)),"")</f>
        <v/>
      </c>
    </row>
    <row r="27">
      <c r="A27" s="17" t="inlineStr">
        <is>
          <t>Phải thu khách hàng</t>
        </is>
      </c>
      <c r="B27" s="18">
        <f>IFERROR(INDEX(balance_sheet!$B:$I,MATCH("Phải thu khách hàng",balance_sheet!$A:$A,0),MATCH(B$23,balance_sheet!$B$1:$I$1,0)),"")</f>
        <v/>
      </c>
      <c r="C27" s="18">
        <f>IFERROR(INDEX(balance_sheet!$B:$I,MATCH("Phải thu khách hàng",balance_sheet!$A:$A,0),MATCH(C$23,balance_sheet!$B$1:$I$1,0)),"")</f>
        <v/>
      </c>
      <c r="D27" s="18">
        <f>IFERROR(INDEX(balance_sheet!$B:$I,MATCH("Phải thu khách hàng",balance_sheet!$A:$A,0),MATCH(D$23,balance_sheet!$B$1:$I$1,0)),"")</f>
        <v/>
      </c>
      <c r="E27" s="18">
        <f>IFERROR(INDEX(balance_sheet!$B:$I,MATCH("Phải thu khách hàng",balance_sheet!$A:$A,0),MATCH(E$23,balance_sheet!$B$1:$I$1,0)),"")</f>
        <v/>
      </c>
      <c r="F27" s="18">
        <f>IFERROR(INDEX(balance_sheet!$B:$I,MATCH("Phải thu khách hàng",balance_sheet!$A:$A,0),MATCH(F$23,balance_sheet!$B$1:$I$1,0)),"")</f>
        <v/>
      </c>
      <c r="G27" s="18">
        <f>IFERROR(INDEX(balance_sheet!$B:$I,MATCH("Phải thu khách hàng",balance_sheet!$A:$A,0),MATCH(G$23,balance_sheet!$B$1:$I$1,0)),"")</f>
        <v/>
      </c>
      <c r="H27" s="18">
        <f>IFERROR(INDEX(balance_sheet!$B:$I,MATCH("Phải thu khách hàng",balance_sheet!$A:$A,0),MATCH(H$23,balance_sheet!$B$1:$I$1,0)),"")</f>
        <v/>
      </c>
      <c r="I27" s="18">
        <f>IFERROR(INDEX(balance_sheet!$B:$I,MATCH("Phải thu khách hàng",balance_sheet!$A:$A,0),MATCH(I$23,balance_sheet!$B$1:$I$1,0)),"")</f>
        <v/>
      </c>
    </row>
    <row r="28">
      <c r="A28" s="17" t="inlineStr">
        <is>
          <t>Hàng tồn kho, ròng</t>
        </is>
      </c>
      <c r="B28" s="18">
        <f>IFERROR(INDEX(balance_sheet!$B:$I,MATCH("Hàng tồn kho, ròng",balance_sheet!$A:$A,0),MATCH(B$23,balance_sheet!$B$1:$I$1,0)),"")</f>
        <v/>
      </c>
      <c r="C28" s="18">
        <f>IFERROR(INDEX(balance_sheet!$B:$I,MATCH("Hàng tồn kho, ròng",balance_sheet!$A:$A,0),MATCH(C$23,balance_sheet!$B$1:$I$1,0)),"")</f>
        <v/>
      </c>
      <c r="D28" s="18">
        <f>IFERROR(INDEX(balance_sheet!$B:$I,MATCH("Hàng tồn kho, ròng",balance_sheet!$A:$A,0),MATCH(D$23,balance_sheet!$B$1:$I$1,0)),"")</f>
        <v/>
      </c>
      <c r="E28" s="18">
        <f>IFERROR(INDEX(balance_sheet!$B:$I,MATCH("Hàng tồn kho, ròng",balance_sheet!$A:$A,0),MATCH(E$23,balance_sheet!$B$1:$I$1,0)),"")</f>
        <v/>
      </c>
      <c r="F28" s="18">
        <f>IFERROR(INDEX(balance_sheet!$B:$I,MATCH("Hàng tồn kho, ròng",balance_sheet!$A:$A,0),MATCH(F$23,balance_sheet!$B$1:$I$1,0)),"")</f>
        <v/>
      </c>
      <c r="G28" s="18">
        <f>IFERROR(INDEX(balance_sheet!$B:$I,MATCH("Hàng tồn kho, ròng",balance_sheet!$A:$A,0),MATCH(G$23,balance_sheet!$B$1:$I$1,0)),"")</f>
        <v/>
      </c>
      <c r="H28" s="18">
        <f>IFERROR(INDEX(balance_sheet!$B:$I,MATCH("Hàng tồn kho, ròng",balance_sheet!$A:$A,0),MATCH(H$23,balance_sheet!$B$1:$I$1,0)),"")</f>
        <v/>
      </c>
      <c r="I28" s="18">
        <f>IFERROR(INDEX(balance_sheet!$B:$I,MATCH("Hàng tồn kho, ròng",balance_sheet!$A:$A,0),MATCH(I$23,balance_sheet!$B$1:$I$1,0)),"")</f>
        <v/>
      </c>
    </row>
    <row r="29">
      <c r="A29" s="17" t="inlineStr">
        <is>
          <t>TÀI SẢN NGẮN HẠN</t>
        </is>
      </c>
      <c r="B29" s="18">
        <f>IFERROR(INDEX(balance_sheet!$B:$I,MATCH("TÀI SẢN NGẮN HẠN",balance_sheet!$A:$A,0),MATCH(B$23,balance_sheet!$B$1:$I$1,0)),"")</f>
        <v/>
      </c>
      <c r="C29" s="18">
        <f>IFERROR(INDEX(balance_sheet!$B:$I,MATCH("TÀI SẢN NGẮN HẠN",balance_sheet!$A:$A,0),MATCH(C$23,balance_sheet!$B$1:$I$1,0)),"")</f>
        <v/>
      </c>
      <c r="D29" s="18">
        <f>IFERROR(INDEX(balance_sheet!$B:$I,MATCH("TÀI SẢN NGẮN HẠN",balance_sheet!$A:$A,0),MATCH(D$23,balance_sheet!$B$1:$I$1,0)),"")</f>
        <v/>
      </c>
      <c r="E29" s="18">
        <f>IFERROR(INDEX(balance_sheet!$B:$I,MATCH("TÀI SẢN NGẮN HẠN",balance_sheet!$A:$A,0),MATCH(E$23,balance_sheet!$B$1:$I$1,0)),"")</f>
        <v/>
      </c>
      <c r="F29" s="18">
        <f>IFERROR(INDEX(balance_sheet!$B:$I,MATCH("TÀI SẢN NGẮN HẠN",balance_sheet!$A:$A,0),MATCH(F$23,balance_sheet!$B$1:$I$1,0)),"")</f>
        <v/>
      </c>
      <c r="G29" s="18">
        <f>IFERROR(INDEX(balance_sheet!$B:$I,MATCH("TÀI SẢN NGẮN HẠN",balance_sheet!$A:$A,0),MATCH(G$23,balance_sheet!$B$1:$I$1,0)),"")</f>
        <v/>
      </c>
      <c r="H29" s="18">
        <f>IFERROR(INDEX(balance_sheet!$B:$I,MATCH("TÀI SẢN NGẮN HẠN",balance_sheet!$A:$A,0),MATCH(H$23,balance_sheet!$B$1:$I$1,0)),"")</f>
        <v/>
      </c>
      <c r="I29" s="18">
        <f>IFERROR(INDEX(balance_sheet!$B:$I,MATCH("TÀI SẢN NGẮN HẠN",balance_sheet!$A:$A,0),MATCH(I$23,balance_sheet!$B$1:$I$1,0)),"")</f>
        <v/>
      </c>
    </row>
    <row r="30">
      <c r="A30" s="17" t="inlineStr">
        <is>
          <t>GTCL tài sản cố định vô hình</t>
        </is>
      </c>
      <c r="B30" s="18">
        <f>IFERROR(INDEX(balance_sheet!$B:$I,MATCH("GTCL tài sản cố định vô hình",balance_sheet!$A:$A,0),MATCH(B$23,balance_sheet!$B$1:$I$1,0)),"")</f>
        <v/>
      </c>
      <c r="C30" s="18">
        <f>IFERROR(INDEX(balance_sheet!$B:$I,MATCH("GTCL tài sản cố định vô hình",balance_sheet!$A:$A,0),MATCH(C$23,balance_sheet!$B$1:$I$1,0)),"")</f>
        <v/>
      </c>
      <c r="D30" s="18">
        <f>IFERROR(INDEX(balance_sheet!$B:$I,MATCH("GTCL tài sản cố định vô hình",balance_sheet!$A:$A,0),MATCH(D$23,balance_sheet!$B$1:$I$1,0)),"")</f>
        <v/>
      </c>
      <c r="E30" s="18">
        <f>IFERROR(INDEX(balance_sheet!$B:$I,MATCH("GTCL tài sản cố định vô hình",balance_sheet!$A:$A,0),MATCH(E$23,balance_sheet!$B$1:$I$1,0)),"")</f>
        <v/>
      </c>
      <c r="F30" s="18">
        <f>IFERROR(INDEX(balance_sheet!$B:$I,MATCH("GTCL tài sản cố định vô hình",balance_sheet!$A:$A,0),MATCH(F$23,balance_sheet!$B$1:$I$1,0)),"")</f>
        <v/>
      </c>
      <c r="G30" s="18">
        <f>IFERROR(INDEX(balance_sheet!$B:$I,MATCH("GTCL tài sản cố định vô hình",balance_sheet!$A:$A,0),MATCH(G$23,balance_sheet!$B$1:$I$1,0)),"")</f>
        <v/>
      </c>
      <c r="H30" s="18">
        <f>IFERROR(INDEX(balance_sheet!$B:$I,MATCH("GTCL tài sản cố định vô hình",balance_sheet!$A:$A,0),MATCH(H$23,balance_sheet!$B$1:$I$1,0)),"")</f>
        <v/>
      </c>
      <c r="I30" s="18">
        <f>IFERROR(INDEX(balance_sheet!$B:$I,MATCH("GTCL tài sản cố định vô hình",balance_sheet!$A:$A,0),MATCH(I$23,balance_sheet!$B$1:$I$1,0)),"")</f>
        <v/>
      </c>
    </row>
    <row r="31">
      <c r="A31" s="17" t="inlineStr">
        <is>
          <t>TỔNG CỘNG TÀI SẢN</t>
        </is>
      </c>
      <c r="B31" s="18">
        <f>IFERROR(INDEX(balance_sheet!$B:$I,MATCH("TỔNG CỘNG TÀI SẢN",balance_sheet!$A:$A,0),MATCH(B$23,balance_sheet!$B$1:$I$1,0)),"")</f>
        <v/>
      </c>
      <c r="C31" s="18">
        <f>IFERROR(INDEX(balance_sheet!$B:$I,MATCH("TỔNG CỘNG TÀI SẢN",balance_sheet!$A:$A,0),MATCH(C$23,balance_sheet!$B$1:$I$1,0)),"")</f>
        <v/>
      </c>
      <c r="D31" s="18">
        <f>IFERROR(INDEX(balance_sheet!$B:$I,MATCH("TỔNG CỘNG TÀI SẢN",balance_sheet!$A:$A,0),MATCH(D$23,balance_sheet!$B$1:$I$1,0)),"")</f>
        <v/>
      </c>
      <c r="E31" s="18">
        <f>IFERROR(INDEX(balance_sheet!$B:$I,MATCH("TỔNG CỘNG TÀI SẢN",balance_sheet!$A:$A,0),MATCH(E$23,balance_sheet!$B$1:$I$1,0)),"")</f>
        <v/>
      </c>
      <c r="F31" s="18">
        <f>IFERROR(INDEX(balance_sheet!$B:$I,MATCH("TỔNG CỘNG TÀI SẢN",balance_sheet!$A:$A,0),MATCH(F$23,balance_sheet!$B$1:$I$1,0)),"")</f>
        <v/>
      </c>
      <c r="G31" s="18">
        <f>IFERROR(INDEX(balance_sheet!$B:$I,MATCH("TỔNG CỘNG TÀI SẢN",balance_sheet!$A:$A,0),MATCH(G$23,balance_sheet!$B$1:$I$1,0)),"")</f>
        <v/>
      </c>
      <c r="H31" s="18">
        <f>IFERROR(INDEX(balance_sheet!$B:$I,MATCH("TỔNG CỘNG TÀI SẢN",balance_sheet!$A:$A,0),MATCH(H$23,balance_sheet!$B$1:$I$1,0)),"")</f>
        <v/>
      </c>
      <c r="I31" s="18">
        <f>IFERROR(INDEX(balance_sheet!$B:$I,MATCH("TỔNG CỘNG TÀI SẢN",balance_sheet!$A:$A,0),MATCH(I$23,balance_sheet!$B$1:$I$1,0)),"")</f>
        <v/>
      </c>
    </row>
    <row r="32">
      <c r="A32" s="15" t="inlineStr">
        <is>
          <t>Nguồn vốn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</row>
    <row r="33">
      <c r="A33" s="17" t="inlineStr">
        <is>
          <t>Phải trả người bán</t>
        </is>
      </c>
      <c r="B33" s="18">
        <f>IFERROR(INDEX(balance_sheet!$B:$I,MATCH("Phải trả người bán",balance_sheet!$A:$A,0),MATCH(B$23,balance_sheet!$B$1:$I$1,0)),"")</f>
        <v/>
      </c>
      <c r="C33" s="18">
        <f>IFERROR(INDEX(balance_sheet!$B:$I,MATCH("Phải trả người bán",balance_sheet!$A:$A,0),MATCH(C$23,balance_sheet!$B$1:$I$1,0)),"")</f>
        <v/>
      </c>
      <c r="D33" s="18">
        <f>IFERROR(INDEX(balance_sheet!$B:$I,MATCH("Phải trả người bán",balance_sheet!$A:$A,0),MATCH(D$23,balance_sheet!$B$1:$I$1,0)),"")</f>
        <v/>
      </c>
      <c r="E33" s="18">
        <f>IFERROR(INDEX(balance_sheet!$B:$I,MATCH("Phải trả người bán",balance_sheet!$A:$A,0),MATCH(E$23,balance_sheet!$B$1:$I$1,0)),"")</f>
        <v/>
      </c>
      <c r="F33" s="18">
        <f>IFERROR(INDEX(balance_sheet!$B:$I,MATCH("Phải trả người bán",balance_sheet!$A:$A,0),MATCH(F$23,balance_sheet!$B$1:$I$1,0)),"")</f>
        <v/>
      </c>
      <c r="G33" s="18">
        <f>IFERROR(INDEX(balance_sheet!$B:$I,MATCH("Phải trả người bán",balance_sheet!$A:$A,0),MATCH(G$23,balance_sheet!$B$1:$I$1,0)),"")</f>
        <v/>
      </c>
      <c r="H33" s="18">
        <f>IFERROR(INDEX(balance_sheet!$B:$I,MATCH("Phải trả người bán",balance_sheet!$A:$A,0),MATCH(H$23,balance_sheet!$B$1:$I$1,0)),"")</f>
        <v/>
      </c>
      <c r="I33" s="18">
        <f>IFERROR(INDEX(balance_sheet!$B:$I,MATCH("Phải trả người bán",balance_sheet!$A:$A,0),MATCH(I$23,balance_sheet!$B$1:$I$1,0)),"")</f>
        <v/>
      </c>
    </row>
    <row r="34">
      <c r="A34" s="17" t="inlineStr">
        <is>
          <t>Vay ngắn hạn</t>
        </is>
      </c>
      <c r="B34" s="18">
        <f>IFERROR(INDEX(balance_sheet!$B:$I,MATCH("Vay ngắn hạn",balance_sheet!$A:$A,0),MATCH(B$23,balance_sheet!$B$1:$I$1,0)),"")</f>
        <v/>
      </c>
      <c r="C34" s="18">
        <f>IFERROR(INDEX(balance_sheet!$B:$I,MATCH("Vay ngắn hạn",balance_sheet!$A:$A,0),MATCH(C$23,balance_sheet!$B$1:$I$1,0)),"")</f>
        <v/>
      </c>
      <c r="D34" s="18">
        <f>IFERROR(INDEX(balance_sheet!$B:$I,MATCH("Vay ngắn hạn",balance_sheet!$A:$A,0),MATCH(D$23,balance_sheet!$B$1:$I$1,0)),"")</f>
        <v/>
      </c>
      <c r="E34" s="18">
        <f>IFERROR(INDEX(balance_sheet!$B:$I,MATCH("Vay ngắn hạn",balance_sheet!$A:$A,0),MATCH(E$23,balance_sheet!$B$1:$I$1,0)),"")</f>
        <v/>
      </c>
      <c r="F34" s="18">
        <f>IFERROR(INDEX(balance_sheet!$B:$I,MATCH("Vay ngắn hạn",balance_sheet!$A:$A,0),MATCH(F$23,balance_sheet!$B$1:$I$1,0)),"")</f>
        <v/>
      </c>
      <c r="G34" s="18">
        <f>IFERROR(INDEX(balance_sheet!$B:$I,MATCH("Vay ngắn hạn",balance_sheet!$A:$A,0),MATCH(G$23,balance_sheet!$B$1:$I$1,0)),"")</f>
        <v/>
      </c>
      <c r="H34" s="18">
        <f>IFERROR(INDEX(balance_sheet!$B:$I,MATCH("Vay ngắn hạn",balance_sheet!$A:$A,0),MATCH(H$23,balance_sheet!$B$1:$I$1,0)),"")</f>
        <v/>
      </c>
      <c r="I34" s="18">
        <f>IFERROR(INDEX(balance_sheet!$B:$I,MATCH("Vay ngắn hạn",balance_sheet!$A:$A,0),MATCH(I$23,balance_sheet!$B$1:$I$1,0)),"")</f>
        <v/>
      </c>
    </row>
    <row r="35">
      <c r="A35" s="17" t="inlineStr">
        <is>
          <t>Nợ ngắn hạn</t>
        </is>
      </c>
      <c r="B35" s="18">
        <f>IFERROR(INDEX(balance_sheet!$B:$I,MATCH("Nợ ngắn hạn",balance_sheet!$A:$A,0),MATCH(B$23,balance_sheet!$B$1:$I$1,0)),"")</f>
        <v/>
      </c>
      <c r="C35" s="18">
        <f>IFERROR(INDEX(balance_sheet!$B:$I,MATCH("Nợ ngắn hạn",balance_sheet!$A:$A,0),MATCH(C$23,balance_sheet!$B$1:$I$1,0)),"")</f>
        <v/>
      </c>
      <c r="D35" s="18">
        <f>IFERROR(INDEX(balance_sheet!$B:$I,MATCH("Nợ ngắn hạn",balance_sheet!$A:$A,0),MATCH(D$23,balance_sheet!$B$1:$I$1,0)),"")</f>
        <v/>
      </c>
      <c r="E35" s="18">
        <f>IFERROR(INDEX(balance_sheet!$B:$I,MATCH("Nợ ngắn hạn",balance_sheet!$A:$A,0),MATCH(E$23,balance_sheet!$B$1:$I$1,0)),"")</f>
        <v/>
      </c>
      <c r="F35" s="18">
        <f>IFERROR(INDEX(balance_sheet!$B:$I,MATCH("Nợ ngắn hạn",balance_sheet!$A:$A,0),MATCH(F$23,balance_sheet!$B$1:$I$1,0)),"")</f>
        <v/>
      </c>
      <c r="G35" s="18">
        <f>IFERROR(INDEX(balance_sheet!$B:$I,MATCH("Nợ ngắn hạn",balance_sheet!$A:$A,0),MATCH(G$23,balance_sheet!$B$1:$I$1,0)),"")</f>
        <v/>
      </c>
      <c r="H35" s="18">
        <f>IFERROR(INDEX(balance_sheet!$B:$I,MATCH("Nợ ngắn hạn",balance_sheet!$A:$A,0),MATCH(H$23,balance_sheet!$B$1:$I$1,0)),"")</f>
        <v/>
      </c>
      <c r="I35" s="18">
        <f>IFERROR(INDEX(balance_sheet!$B:$I,MATCH("Nợ ngắn hạn",balance_sheet!$A:$A,0),MATCH(I$23,balance_sheet!$B$1:$I$1,0)),"")</f>
        <v/>
      </c>
    </row>
    <row r="36">
      <c r="A36" s="17" t="inlineStr">
        <is>
          <t>Vay dài hạn</t>
        </is>
      </c>
      <c r="B36" s="18">
        <f>IFERROR(INDEX(balance_sheet!$B:$I,MATCH("Vay dài hạn",balance_sheet!$A:$A,0),MATCH(B$23,balance_sheet!$B$1:$I$1,0)),"")</f>
        <v/>
      </c>
      <c r="C36" s="18">
        <f>IFERROR(INDEX(balance_sheet!$B:$I,MATCH("Vay dài hạn",balance_sheet!$A:$A,0),MATCH(C$23,balance_sheet!$B$1:$I$1,0)),"")</f>
        <v/>
      </c>
      <c r="D36" s="18">
        <f>IFERROR(INDEX(balance_sheet!$B:$I,MATCH("Vay dài hạn",balance_sheet!$A:$A,0),MATCH(D$23,balance_sheet!$B$1:$I$1,0)),"")</f>
        <v/>
      </c>
      <c r="E36" s="18">
        <f>IFERROR(INDEX(balance_sheet!$B:$I,MATCH("Vay dài hạn",balance_sheet!$A:$A,0),MATCH(E$23,balance_sheet!$B$1:$I$1,0)),"")</f>
        <v/>
      </c>
      <c r="F36" s="18">
        <f>IFERROR(INDEX(balance_sheet!$B:$I,MATCH("Vay dài hạn",balance_sheet!$A:$A,0),MATCH(F$23,balance_sheet!$B$1:$I$1,0)),"")</f>
        <v/>
      </c>
      <c r="G36" s="18">
        <f>IFERROR(INDEX(balance_sheet!$B:$I,MATCH("Vay dài hạn",balance_sheet!$A:$A,0),MATCH(G$23,balance_sheet!$B$1:$I$1,0)),"")</f>
        <v/>
      </c>
      <c r="H36" s="18">
        <f>IFERROR(INDEX(balance_sheet!$B:$I,MATCH("Vay dài hạn",balance_sheet!$A:$A,0),MATCH(H$23,balance_sheet!$B$1:$I$1,0)),"")</f>
        <v/>
      </c>
      <c r="I36" s="18">
        <f>IFERROR(INDEX(balance_sheet!$B:$I,MATCH("Vay dài hạn",balance_sheet!$A:$A,0),MATCH(I$23,balance_sheet!$B$1:$I$1,0)),"")</f>
        <v/>
      </c>
    </row>
    <row r="37">
      <c r="A37" s="17" t="inlineStr">
        <is>
          <t>Nợ dài hạn</t>
        </is>
      </c>
      <c r="B37" s="18">
        <f>IFERROR(INDEX(balance_sheet!$B:$I,MATCH("Nợ dài hạn",balance_sheet!$A:$A,0),MATCH(B$23,balance_sheet!$B$1:$I$1,0)),"")</f>
        <v/>
      </c>
      <c r="C37" s="18">
        <f>IFERROR(INDEX(balance_sheet!$B:$I,MATCH("Nợ dài hạn",balance_sheet!$A:$A,0),MATCH(C$23,balance_sheet!$B$1:$I$1,0)),"")</f>
        <v/>
      </c>
      <c r="D37" s="18">
        <f>IFERROR(INDEX(balance_sheet!$B:$I,MATCH("Nợ dài hạn",balance_sheet!$A:$A,0),MATCH(D$23,balance_sheet!$B$1:$I$1,0)),"")</f>
        <v/>
      </c>
      <c r="E37" s="18">
        <f>IFERROR(INDEX(balance_sheet!$B:$I,MATCH("Nợ dài hạn",balance_sheet!$A:$A,0),MATCH(E$23,balance_sheet!$B$1:$I$1,0)),"")</f>
        <v/>
      </c>
      <c r="F37" s="18">
        <f>IFERROR(INDEX(balance_sheet!$B:$I,MATCH("Nợ dài hạn",balance_sheet!$A:$A,0),MATCH(F$23,balance_sheet!$B$1:$I$1,0)),"")</f>
        <v/>
      </c>
      <c r="G37" s="18">
        <f>IFERROR(INDEX(balance_sheet!$B:$I,MATCH("Nợ dài hạn",balance_sheet!$A:$A,0),MATCH(G$23,balance_sheet!$B$1:$I$1,0)),"")</f>
        <v/>
      </c>
      <c r="H37" s="18">
        <f>IFERROR(INDEX(balance_sheet!$B:$I,MATCH("Nợ dài hạn",balance_sheet!$A:$A,0),MATCH(H$23,balance_sheet!$B$1:$I$1,0)),"")</f>
        <v/>
      </c>
      <c r="I37" s="18">
        <f>IFERROR(INDEX(balance_sheet!$B:$I,MATCH("Nợ dài hạn",balance_sheet!$A:$A,0),MATCH(I$23,balance_sheet!$B$1:$I$1,0)),"")</f>
        <v/>
      </c>
    </row>
    <row r="38">
      <c r="A38" s="17" t="inlineStr">
        <is>
          <t>NỢ PHẢI TRẢ</t>
        </is>
      </c>
      <c r="B38" s="18">
        <f>IFERROR(INDEX(balance_sheet!$B:$I,MATCH("NỢ PHẢI TRẢ",balance_sheet!$A:$A,0),MATCH(B$23,balance_sheet!$B$1:$I$1,0)),"")</f>
        <v/>
      </c>
      <c r="C38" s="18">
        <f>IFERROR(INDEX(balance_sheet!$B:$I,MATCH("NỢ PHẢI TRẢ",balance_sheet!$A:$A,0),MATCH(C$23,balance_sheet!$B$1:$I$1,0)),"")</f>
        <v/>
      </c>
      <c r="D38" s="18">
        <f>IFERROR(INDEX(balance_sheet!$B:$I,MATCH("NỢ PHẢI TRẢ",balance_sheet!$A:$A,0),MATCH(D$23,balance_sheet!$B$1:$I$1,0)),"")</f>
        <v/>
      </c>
      <c r="E38" s="18">
        <f>IFERROR(INDEX(balance_sheet!$B:$I,MATCH("NỢ PHẢI TRẢ",balance_sheet!$A:$A,0),MATCH(E$23,balance_sheet!$B$1:$I$1,0)),"")</f>
        <v/>
      </c>
      <c r="F38" s="18">
        <f>IFERROR(INDEX(balance_sheet!$B:$I,MATCH("NỢ PHẢI TRẢ",balance_sheet!$A:$A,0),MATCH(F$23,balance_sheet!$B$1:$I$1,0)),"")</f>
        <v/>
      </c>
      <c r="G38" s="18">
        <f>IFERROR(INDEX(balance_sheet!$B:$I,MATCH("NỢ PHẢI TRẢ",balance_sheet!$A:$A,0),MATCH(G$23,balance_sheet!$B$1:$I$1,0)),"")</f>
        <v/>
      </c>
      <c r="H38" s="18">
        <f>IFERROR(INDEX(balance_sheet!$B:$I,MATCH("NỢ PHẢI TRẢ",balance_sheet!$A:$A,0),MATCH(H$23,balance_sheet!$B$1:$I$1,0)),"")</f>
        <v/>
      </c>
      <c r="I38" s="18">
        <f>IFERROR(INDEX(balance_sheet!$B:$I,MATCH("NỢ PHẢI TRẢ",balance_sheet!$A:$A,0),MATCH(I$23,balance_sheet!$B$1:$I$1,0)),"")</f>
        <v/>
      </c>
    </row>
    <row r="39" ht="15" customHeight="1">
      <c r="A39" s="15" t="inlineStr">
        <is>
          <t>Vốn chủ sở hữu</t>
        </is>
      </c>
      <c r="B39" s="19">
        <f>IFERROR(INDEX(balance_sheet!$B:$I,MATCH("Vốn chủ sở hữu",balance_sheet!$A:$A,0),MATCH(B$23,balance_sheet!$B$1:$I$1,0)),"")</f>
        <v/>
      </c>
      <c r="C39" s="19">
        <f>IFERROR(INDEX(balance_sheet!$B:$I,MATCH("Vốn chủ sở hữu",balance_sheet!$A:$A,0),MATCH(C$23,balance_sheet!$B$1:$I$1,0)),"")</f>
        <v/>
      </c>
      <c r="D39" s="19">
        <f>IFERROR(INDEX(balance_sheet!$B:$I,MATCH("Vốn chủ sở hữu",balance_sheet!$A:$A,0),MATCH(D$23,balance_sheet!$B$1:$I$1,0)),"")</f>
        <v/>
      </c>
      <c r="E39" s="19">
        <f>IFERROR(INDEX(balance_sheet!$B:$I,MATCH("Vốn chủ sở hữu",balance_sheet!$A:$A,0),MATCH(E$23,balance_sheet!$B$1:$I$1,0)),"")</f>
        <v/>
      </c>
      <c r="F39" s="19">
        <f>IFERROR(INDEX(balance_sheet!$B:$I,MATCH("Vốn chủ sở hữu",balance_sheet!$A:$A,0),MATCH(F$23,balance_sheet!$B$1:$I$1,0)),"")</f>
        <v/>
      </c>
      <c r="G39" s="19">
        <f>IFERROR(INDEX(balance_sheet!$B:$I,MATCH("Vốn chủ sở hữu",balance_sheet!$A:$A,0),MATCH(G$23,balance_sheet!$B$1:$I$1,0)),"")</f>
        <v/>
      </c>
      <c r="H39" s="19">
        <f>IFERROR(INDEX(balance_sheet!$B:$I,MATCH("Vốn chủ sở hữu",balance_sheet!$A:$A,0),MATCH(H$23,balance_sheet!$B$1:$I$1,0)),"")</f>
        <v/>
      </c>
      <c r="I39" s="19">
        <f>IFERROR(INDEX(balance_sheet!$B:$I,MATCH("Vốn chủ sở hữu",balance_sheet!$A:$A,0),MATCH(I$23,balance_sheet!$B$1:$I$1,0)),"")</f>
        <v/>
      </c>
      <c r="J39" s="19" t="n"/>
    </row>
    <row r="40" ht="15" customHeight="1">
      <c r="A40" s="15" t="inlineStr">
        <is>
          <t>Lợi ích cổ đông không kiểm soát</t>
        </is>
      </c>
      <c r="B40" s="19">
        <f>IFERROR(INDEX(balance_sheet!$B:$I,MATCH("Lợi ích cổ đông không kiểm soát",balance_sheet!$A:$A,0),MATCH(B$23,balance_sheet!$B$1:$I$1,0)),"")</f>
        <v/>
      </c>
      <c r="C40" s="19">
        <f>IFERROR(INDEX(balance_sheet!$B:$I,MATCH("Lợi ích cổ đông không kiểm soát",balance_sheet!$A:$A,0),MATCH(C$23,balance_sheet!$B$1:$I$1,0)),"")</f>
        <v/>
      </c>
      <c r="D40" s="19">
        <f>IFERROR(INDEX(balance_sheet!$B:$I,MATCH("Lợi ích cổ đông không kiểm soát",balance_sheet!$A:$A,0),MATCH(D$23,balance_sheet!$B$1:$I$1,0)),"")</f>
        <v/>
      </c>
      <c r="E40" s="19">
        <f>IFERROR(INDEX(balance_sheet!$B:$I,MATCH("Lợi ích cổ đông không kiểm soát",balance_sheet!$A:$A,0),MATCH(E$23,balance_sheet!$B$1:$I$1,0)),"")</f>
        <v/>
      </c>
      <c r="F40" s="19">
        <f>IFERROR(INDEX(balance_sheet!$B:$I,MATCH("Lợi ích cổ đông không kiểm soát",balance_sheet!$A:$A,0),MATCH(F$23,balance_sheet!$B$1:$I$1,0)),"")</f>
        <v/>
      </c>
      <c r="G40" s="19">
        <f>IFERROR(INDEX(balance_sheet!$B:$I,MATCH("Lợi ích cổ đông không kiểm soát",balance_sheet!$A:$A,0),MATCH(G$23,balance_sheet!$B$1:$I$1,0)),"")</f>
        <v/>
      </c>
      <c r="H40" s="19">
        <f>IFERROR(INDEX(balance_sheet!$B:$I,MATCH("Lợi ích cổ đông không kiểm soát",balance_sheet!$A:$A,0),MATCH(H$23,balance_sheet!$B$1:$I$1,0)),"")</f>
        <v/>
      </c>
      <c r="I40" s="19">
        <f>IFERROR(INDEX(balance_sheet!$B:$I,MATCH("Lợi ích cổ đông không kiểm soát",balance_sheet!$A:$A,0),MATCH(I$23,balance_sheet!$B$1:$I$1,0)),"")</f>
        <v/>
      </c>
    </row>
    <row r="41">
      <c r="A41" s="15" t="inlineStr">
        <is>
          <t>Kết quả hoạt động kinh doanh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</row>
    <row r="42" ht="15" customHeight="1">
      <c r="A42" s="15" t="inlineStr">
        <is>
          <t>Doanh thu thuần</t>
        </is>
      </c>
      <c r="B42" s="19">
        <f>IFERROR(INDEX(income_statement!$B:$I,MATCH("Doanh thu thuần",income_statement!$A:$A,0),MATCH(B$23,income_statement!$B$1:$I$1,0)),"")</f>
        <v/>
      </c>
      <c r="C42" s="19">
        <f>IFERROR(INDEX(income_statement!$B:$I,MATCH("Doanh thu thuần",income_statement!$A:$A,0),MATCH(C$23,income_statement!$B$1:$I$1,0)),"")</f>
        <v/>
      </c>
      <c r="D42" s="19">
        <f>IFERROR(INDEX(income_statement!$B:$I,MATCH("Doanh thu thuần",income_statement!$A:$A,0),MATCH(D$23,income_statement!$B$1:$I$1,0)),"")</f>
        <v/>
      </c>
      <c r="E42" s="19">
        <f>IFERROR(INDEX(income_statement!$B:$I,MATCH("Doanh thu thuần",income_statement!$A:$A,0),MATCH(E$23,income_statement!$B$1:$I$1,0)),"")</f>
        <v/>
      </c>
      <c r="F42" s="19">
        <f>IFERROR(INDEX(income_statement!$B:$I,MATCH("Doanh thu thuần",income_statement!$A:$A,0),MATCH(F$23,income_statement!$B$1:$I$1,0)),"")</f>
        <v/>
      </c>
      <c r="G42" s="19">
        <f>IFERROR(INDEX(income_statement!$B:$I,MATCH("Doanh thu thuần",income_statement!$A:$A,0),MATCH(G$23,income_statement!$B$1:$I$1,0)),"")</f>
        <v/>
      </c>
      <c r="H42" s="19">
        <f>IFERROR(INDEX(income_statement!$B:$I,MATCH("Doanh thu thuần",income_statement!$A:$A,0),MATCH(H$23,income_statement!$B$1:$I$1,0)),"")</f>
        <v/>
      </c>
      <c r="I42" s="19">
        <f>IFERROR(INDEX(income_statement!$B:$I,MATCH("Doanh thu thuần",income_statement!$A:$A,0),MATCH(I$23,income_statement!$B$1:$I$1,0)),"")</f>
        <v/>
      </c>
      <c r="J42" s="19" t="n">
        <v>58580000000000</v>
      </c>
    </row>
    <row r="43">
      <c r="A43" s="17" t="inlineStr">
        <is>
          <t>Giá vốn hàng bán</t>
        </is>
      </c>
      <c r="B43" s="18">
        <f>IFERROR(INDEX(income_statement!$B:$I,MATCH("Giá vốn hàng bán",income_statement!$A:$A,0),MATCH(B$23,income_statement!$B$1:$I$1,0)),"")</f>
        <v/>
      </c>
      <c r="C43" s="18">
        <f>IFERROR(INDEX(income_statement!$B:$I,MATCH("Giá vốn hàng bán",income_statement!$A:$A,0),MATCH(C$23,income_statement!$B$1:$I$1,0)),"")</f>
        <v/>
      </c>
      <c r="D43" s="18">
        <f>IFERROR(INDEX(income_statement!$B:$I,MATCH("Giá vốn hàng bán",income_statement!$A:$A,0),MATCH(D$23,income_statement!$B$1:$I$1,0)),"")</f>
        <v/>
      </c>
      <c r="E43" s="18">
        <f>IFERROR(INDEX(income_statement!$B:$I,MATCH("Giá vốn hàng bán",income_statement!$A:$A,0),MATCH(E$23,income_statement!$B$1:$I$1,0)),"")</f>
        <v/>
      </c>
      <c r="F43" s="18">
        <f>IFERROR(INDEX(income_statement!$B:$I,MATCH("Giá vốn hàng bán",income_statement!$A:$A,0),MATCH(F$23,income_statement!$B$1:$I$1,0)),"")</f>
        <v/>
      </c>
      <c r="G43" s="18">
        <f>IFERROR(INDEX(income_statement!$B:$I,MATCH("Giá vốn hàng bán",income_statement!$A:$A,0),MATCH(G$23,income_statement!$B$1:$I$1,0)),"")</f>
        <v/>
      </c>
      <c r="H43" s="18">
        <f>IFERROR(INDEX(income_statement!$B:$I,MATCH("Giá vốn hàng bán",income_statement!$A:$A,0),MATCH(H$23,income_statement!$B$1:$I$1,0)),"")</f>
        <v/>
      </c>
      <c r="I43" s="18">
        <f>IFERROR(INDEX(income_statement!$B:$I,MATCH("Giá vốn hàng bán",income_statement!$A:$A,0),MATCH(I$23,income_statement!$B$1:$I$1,0)),"")</f>
        <v/>
      </c>
    </row>
    <row r="44" ht="15" customHeight="1">
      <c r="A44" s="15" t="inlineStr">
        <is>
          <t>Lợi nhuận gộp</t>
        </is>
      </c>
      <c r="B44" s="19">
        <f>IFERROR(INDEX(income_statement!$B:$I,MATCH("Lợi nhuận gộp",income_statement!$A:$A,0),MATCH(B$23,income_statement!$B$1:$I$1,0)),"")</f>
        <v/>
      </c>
      <c r="C44" s="19">
        <f>IFERROR(INDEX(income_statement!$B:$I,MATCH("Lợi nhuận gộp",income_statement!$A:$A,0),MATCH(C$23,income_statement!$B$1:$I$1,0)),"")</f>
        <v/>
      </c>
      <c r="D44" s="19">
        <f>IFERROR(INDEX(income_statement!$B:$I,MATCH("Lợi nhuận gộp",income_statement!$A:$A,0),MATCH(D$23,income_statement!$B$1:$I$1,0)),"")</f>
        <v/>
      </c>
      <c r="E44" s="19">
        <f>IFERROR(INDEX(income_statement!$B:$I,MATCH("Lợi nhuận gộp",income_statement!$A:$A,0),MATCH(E$23,income_statement!$B$1:$I$1,0)),"")</f>
        <v/>
      </c>
      <c r="F44" s="19">
        <f>IFERROR(INDEX(income_statement!$B:$I,MATCH("Lợi nhuận gộp",income_statement!$A:$A,0),MATCH(F$23,income_statement!$B$1:$I$1,0)),"")</f>
        <v/>
      </c>
      <c r="G44" s="19">
        <f>IFERROR(INDEX(income_statement!$B:$I,MATCH("Lợi nhuận gộp",income_statement!$A:$A,0),MATCH(G$23,income_statement!$B$1:$I$1,0)),"")</f>
        <v/>
      </c>
      <c r="H44" s="19">
        <f>IFERROR(INDEX(income_statement!$B:$I,MATCH("Lợi nhuận gộp",income_statement!$A:$A,0),MATCH(H$23,income_statement!$B$1:$I$1,0)),"")</f>
        <v/>
      </c>
      <c r="I44" s="19">
        <f>IFERROR(INDEX(income_statement!$B:$I,MATCH("Lợi nhuận gộp",income_statement!$A:$A,0),MATCH(I$23,income_statement!$B$1:$I$1,0)),"")</f>
        <v/>
      </c>
    </row>
    <row r="45">
      <c r="A45" s="17" t="inlineStr">
        <is>
          <t>Chi phí bán hàng</t>
        </is>
      </c>
      <c r="B45" s="18">
        <f>IFERROR(INDEX(income_statement!$B:$I,MATCH("Chi phí bán hàng",income_statement!$A:$A,0),MATCH(B$23,income_statement!$B$1:$I$1,0)),"")</f>
        <v/>
      </c>
      <c r="C45" s="18">
        <f>IFERROR(INDEX(income_statement!$B:$I,MATCH("Chi phí bán hàng",income_statement!$A:$A,0),MATCH(C$23,income_statement!$B$1:$I$1,0)),"")</f>
        <v/>
      </c>
      <c r="D45" s="18">
        <f>IFERROR(INDEX(income_statement!$B:$I,MATCH("Chi phí bán hàng",income_statement!$A:$A,0),MATCH(D$23,income_statement!$B$1:$I$1,0)),"")</f>
        <v/>
      </c>
      <c r="E45" s="18">
        <f>IFERROR(INDEX(income_statement!$B:$I,MATCH("Chi phí bán hàng",income_statement!$A:$A,0),MATCH(E$23,income_statement!$B$1:$I$1,0)),"")</f>
        <v/>
      </c>
      <c r="F45" s="18">
        <f>IFERROR(INDEX(income_statement!$B:$I,MATCH("Chi phí bán hàng",income_statement!$A:$A,0),MATCH(F$23,income_statement!$B$1:$I$1,0)),"")</f>
        <v/>
      </c>
      <c r="G45" s="18">
        <f>IFERROR(INDEX(income_statement!$B:$I,MATCH("Chi phí bán hàng",income_statement!$A:$A,0),MATCH(G$23,income_statement!$B$1:$I$1,0)),"")</f>
        <v/>
      </c>
      <c r="H45" s="18">
        <f>IFERROR(INDEX(income_statement!$B:$I,MATCH("Chi phí bán hàng",income_statement!$A:$A,0),MATCH(H$23,income_statement!$B$1:$I$1,0)),"")</f>
        <v/>
      </c>
      <c r="I45" s="18">
        <f>IFERROR(INDEX(income_statement!$B:$I,MATCH("Chi phí bán hàng",income_statement!$A:$A,0),MATCH(I$23,income_statement!$B$1:$I$1,0)),"")</f>
        <v/>
      </c>
    </row>
    <row r="46">
      <c r="A46" s="17" t="inlineStr">
        <is>
          <t>Chi phí quản lý doanh nghiệp</t>
        </is>
      </c>
      <c r="B46" s="18">
        <f>IFERROR(INDEX(income_statement!$B:$I,MATCH("Chi phí quản lý doanh nghiệp",income_statement!$A:$A,0),MATCH(B$23,income_statement!$B$1:$I$1,0)),"")</f>
        <v/>
      </c>
      <c r="C46" s="18">
        <f>IFERROR(INDEX(income_statement!$B:$I,MATCH("Chi phí quản lý doanh nghiệp",income_statement!$A:$A,0),MATCH(C$23,income_statement!$B$1:$I$1,0)),"")</f>
        <v/>
      </c>
      <c r="D46" s="18">
        <f>IFERROR(INDEX(income_statement!$B:$I,MATCH("Chi phí quản lý doanh nghiệp",income_statement!$A:$A,0),MATCH(D$23,income_statement!$B$1:$I$1,0)),"")</f>
        <v/>
      </c>
      <c r="E46" s="18">
        <f>IFERROR(INDEX(income_statement!$B:$I,MATCH("Chi phí quản lý doanh nghiệp",income_statement!$A:$A,0),MATCH(E$23,income_statement!$B$1:$I$1,0)),"")</f>
        <v/>
      </c>
      <c r="F46" s="18">
        <f>IFERROR(INDEX(income_statement!$B:$I,MATCH("Chi phí quản lý doanh nghiệp",income_statement!$A:$A,0),MATCH(F$23,income_statement!$B$1:$I$1,0)),"")</f>
        <v/>
      </c>
      <c r="G46" s="18">
        <f>IFERROR(INDEX(income_statement!$B:$I,MATCH("Chi phí quản lý doanh nghiệp",income_statement!$A:$A,0),MATCH(G$23,income_statement!$B$1:$I$1,0)),"")</f>
        <v/>
      </c>
      <c r="H46" s="18">
        <f>IFERROR(INDEX(income_statement!$B:$I,MATCH("Chi phí quản lý doanh nghiệp",income_statement!$A:$A,0),MATCH(H$23,income_statement!$B$1:$I$1,0)),"")</f>
        <v/>
      </c>
      <c r="I46" s="18">
        <f>IFERROR(INDEX(income_statement!$B:$I,MATCH("Chi phí quản lý doanh nghiệp",income_statement!$A:$A,0),MATCH(I$23,income_statement!$B$1:$I$1,0)),"")</f>
        <v/>
      </c>
    </row>
    <row r="47">
      <c r="A47" s="17" t="inlineStr">
        <is>
          <t>Lãi/(lỗ) từ hoạt động kinh doanh</t>
        </is>
      </c>
      <c r="B47" s="18">
        <f>IFERROR(INDEX(income_statement!$B:$I,MATCH("Lãi/(lỗ) từ hoạt động kinh doanh",income_statement!$A:$A,0),MATCH(B$23,income_statement!$B$1:$I$1,0)),"")</f>
        <v/>
      </c>
      <c r="C47" s="18">
        <f>IFERROR(INDEX(income_statement!$B:$I,MATCH("Lãi/(lỗ) từ hoạt động kinh doanh",income_statement!$A:$A,0),MATCH(C$23,income_statement!$B$1:$I$1,0)),"")</f>
        <v/>
      </c>
      <c r="D47" s="18">
        <f>IFERROR(INDEX(income_statement!$B:$I,MATCH("Lãi/(lỗ) từ hoạt động kinh doanh",income_statement!$A:$A,0),MATCH(D$23,income_statement!$B$1:$I$1,0)),"")</f>
        <v/>
      </c>
      <c r="E47" s="18">
        <f>IFERROR(INDEX(income_statement!$B:$I,MATCH("Lãi/(lỗ) từ hoạt động kinh doanh",income_statement!$A:$A,0),MATCH(E$23,income_statement!$B$1:$I$1,0)),"")</f>
        <v/>
      </c>
      <c r="F47" s="18">
        <f>IFERROR(INDEX(income_statement!$B:$I,MATCH("Lãi/(lỗ) từ hoạt động kinh doanh",income_statement!$A:$A,0),MATCH(F$23,income_statement!$B$1:$I$1,0)),"")</f>
        <v/>
      </c>
      <c r="G47" s="18">
        <f>IFERROR(INDEX(income_statement!$B:$I,MATCH("Lãi/(lỗ) từ hoạt động kinh doanh",income_statement!$A:$A,0),MATCH(G$23,income_statement!$B$1:$I$1,0)),"")</f>
        <v/>
      </c>
      <c r="H47" s="18">
        <f>IFERROR(INDEX(income_statement!$B:$I,MATCH("Lãi/(lỗ) từ hoạt động kinh doanh",income_statement!$A:$A,0),MATCH(H$23,income_statement!$B$1:$I$1,0)),"")</f>
        <v/>
      </c>
      <c r="I47" s="18">
        <f>IFERROR(INDEX(income_statement!$B:$I,MATCH("Lãi/(lỗ) từ hoạt động kinh doanh",income_statement!$A:$A,0),MATCH(I$23,income_statement!$B$1:$I$1,0)),"")</f>
        <v/>
      </c>
    </row>
    <row r="48">
      <c r="A48" s="17" t="inlineStr">
        <is>
          <t>Chi phí lãi vay</t>
        </is>
      </c>
      <c r="B48" s="18">
        <f>IFERROR(INDEX(income_statement!$B:$I,MATCH("Chi phí lãi vay",income_statement!$A:$A,0),MATCH(B$23,income_statement!$B$1:$I$1,0)),"")</f>
        <v/>
      </c>
      <c r="C48" s="18">
        <f>IFERROR(INDEX(income_statement!$B:$I,MATCH("Chi phí lãi vay",income_statement!$A:$A,0),MATCH(C$23,income_statement!$B$1:$I$1,0)),"")</f>
        <v/>
      </c>
      <c r="D48" s="18">
        <f>IFERROR(INDEX(income_statement!$B:$I,MATCH("Chi phí lãi vay",income_statement!$A:$A,0),MATCH(D$23,income_statement!$B$1:$I$1,0)),"")</f>
        <v/>
      </c>
      <c r="E48" s="18">
        <f>IFERROR(INDEX(income_statement!$B:$I,MATCH("Chi phí lãi vay",income_statement!$A:$A,0),MATCH(E$23,income_statement!$B$1:$I$1,0)),"")</f>
        <v/>
      </c>
      <c r="F48" s="18">
        <f>IFERROR(INDEX(income_statement!$B:$I,MATCH("Chi phí lãi vay",income_statement!$A:$A,0),MATCH(F$23,income_statement!$B$1:$I$1,0)),"")</f>
        <v/>
      </c>
      <c r="G48" s="18">
        <f>IFERROR(INDEX(income_statement!$B:$I,MATCH("Chi phí lãi vay",income_statement!$A:$A,0),MATCH(G$23,income_statement!$B$1:$I$1,0)),"")</f>
        <v/>
      </c>
      <c r="H48" s="18">
        <f>IFERROR(INDEX(income_statement!$B:$I,MATCH("Chi phí lãi vay",income_statement!$A:$A,0),MATCH(H$23,income_statement!$B$1:$I$1,0)),"")</f>
        <v/>
      </c>
      <c r="I48" s="18">
        <f>IFERROR(INDEX(income_statement!$B:$I,MATCH("Chi phí lãi vay",income_statement!$A:$A,0),MATCH(I$23,income_statement!$B$1:$I$1,0)),"")</f>
        <v/>
      </c>
    </row>
    <row r="49" ht="15" customHeight="1">
      <c r="A49" s="20" t="inlineStr">
        <is>
          <t>Lãi/(lỗ) trước thuế</t>
        </is>
      </c>
      <c r="B49" s="19">
        <f>IFERROR(INDEX(income_statement!$B:$I,MATCH("Lãi/(lỗ) trước thuế",income_statement!$A:$A,0),MATCH(B$23,income_statement!$B$1:$I$1,0)),"")</f>
        <v/>
      </c>
      <c r="C49" s="19">
        <f>IFERROR(INDEX(income_statement!$B:$I,MATCH("Lãi/(lỗ) trước thuế",income_statement!$A:$A,0),MATCH(C$23,income_statement!$B$1:$I$1,0)),"")</f>
        <v/>
      </c>
      <c r="D49" s="19">
        <f>IFERROR(INDEX(income_statement!$B:$I,MATCH("Lãi/(lỗ) trước thuế",income_statement!$A:$A,0),MATCH(D$23,income_statement!$B$1:$I$1,0)),"")</f>
        <v/>
      </c>
      <c r="E49" s="19">
        <f>IFERROR(INDEX(income_statement!$B:$I,MATCH("Lãi/(lỗ) trước thuế",income_statement!$A:$A,0),MATCH(E$23,income_statement!$B$1:$I$1,0)),"")</f>
        <v/>
      </c>
      <c r="F49" s="19">
        <f>IFERROR(INDEX(income_statement!$B:$I,MATCH("Lãi/(lỗ) trước thuế",income_statement!$A:$A,0),MATCH(F$23,income_statement!$B$1:$I$1,0)),"")</f>
        <v/>
      </c>
      <c r="G49" s="19">
        <f>IFERROR(INDEX(income_statement!$B:$I,MATCH("Lãi/(lỗ) trước thuế",income_statement!$A:$A,0),MATCH(G$23,income_statement!$B$1:$I$1,0)),"")</f>
        <v/>
      </c>
      <c r="H49" s="19">
        <f>IFERROR(INDEX(income_statement!$B:$I,MATCH("Lãi/(lỗ) trước thuế",income_statement!$A:$A,0),MATCH(H$23,income_statement!$B$1:$I$1,0)),"")</f>
        <v/>
      </c>
      <c r="I49" s="19">
        <f>IFERROR(INDEX(income_statement!$B:$I,MATCH("Lãi/(lỗ) trước thuế",income_statement!$A:$A,0),MATCH(I$23,income_statement!$B$1:$I$1,0)),"")</f>
        <v/>
      </c>
      <c r="J49" s="19" t="n">
        <v>11629000000000</v>
      </c>
    </row>
    <row r="50" ht="15" customHeight="1">
      <c r="A50" s="15" t="inlineStr">
        <is>
          <t>Lãi/(lỗ) thuần sau thuế</t>
        </is>
      </c>
      <c r="B50" s="19">
        <f>IFERROR(INDEX(income_statement!$B:$I,MATCH("Lãi/(lỗ) thuần sau thuế",income_statement!$A:$A,0),MATCH(B$23,income_statement!$B$1:$I$1,0)),"")</f>
        <v/>
      </c>
      <c r="C50" s="19">
        <f>IFERROR(INDEX(income_statement!$B:$I,MATCH("Lãi/(lỗ) thuần sau thuế",income_statement!$A:$A,0),MATCH(C$23,income_statement!$B$1:$I$1,0)),"")</f>
        <v/>
      </c>
      <c r="D50" s="19">
        <f>IFERROR(INDEX(income_statement!$B:$I,MATCH("Lãi/(lỗ) thuần sau thuế",income_statement!$A:$A,0),MATCH(D$23,income_statement!$B$1:$I$1,0)),"")</f>
        <v/>
      </c>
      <c r="E50" s="19">
        <f>IFERROR(INDEX(income_statement!$B:$I,MATCH("Lãi/(lỗ) thuần sau thuế",income_statement!$A:$A,0),MATCH(E$23,income_statement!$B$1:$I$1,0)),"")</f>
        <v/>
      </c>
      <c r="F50" s="19">
        <f>IFERROR(INDEX(income_statement!$B:$I,MATCH("Lãi/(lỗ) thuần sau thuế",income_statement!$A:$A,0),MATCH(F$23,income_statement!$B$1:$I$1,0)),"")</f>
        <v/>
      </c>
      <c r="G50" s="19">
        <f>IFERROR(INDEX(income_statement!$B:$I,MATCH("Lãi/(lỗ) thuần sau thuế",income_statement!$A:$A,0),MATCH(G$23,income_statement!$B$1:$I$1,0)),"")</f>
        <v/>
      </c>
      <c r="H50" s="19">
        <f>IFERROR(INDEX(income_statement!$B:$I,MATCH("Lãi/(lỗ) thuần sau thuế",income_statement!$A:$A,0),MATCH(H$23,income_statement!$B$1:$I$1,0)),"")</f>
        <v/>
      </c>
      <c r="I50" s="19">
        <f>IFERROR(INDEX(income_statement!$B:$I,MATCH("Lãi/(lỗ) thuần sau thuế",income_statement!$A:$A,0),MATCH(I$23,income_statement!$B$1:$I$1,0)),"")</f>
        <v/>
      </c>
    </row>
    <row r="51" ht="15" customHeight="1">
      <c r="A51" s="15" t="inlineStr">
        <is>
          <t>Lợi nhuận của Cổ đông của Công ty mẹ</t>
        </is>
      </c>
      <c r="B51" s="19">
        <f>IFERROR(INDEX(income_statement!$B:$I,MATCH("Lợi nhuận của Cổ đông của Công ty mẹ",income_statement!$A:$A,0),MATCH(B$23,income_statement!$B$1:$I$1,0)),"")</f>
        <v/>
      </c>
      <c r="C51" s="19">
        <f>IFERROR(INDEX(income_statement!$B:$I,MATCH("Lợi nhuận của Cổ đông của Công ty mẹ",income_statement!$A:$A,0),MATCH(C$23,income_statement!$B$1:$I$1,0)),"")</f>
        <v/>
      </c>
      <c r="D51" s="19">
        <f>IFERROR(INDEX(income_statement!$B:$I,MATCH("Lợi nhuận của Cổ đông của Công ty mẹ",income_statement!$A:$A,0),MATCH(D$23,income_statement!$B$1:$I$1,0)),"")</f>
        <v/>
      </c>
      <c r="E51" s="19">
        <f>IFERROR(INDEX(income_statement!$B:$I,MATCH("Lợi nhuận của Cổ đông của Công ty mẹ",income_statement!$A:$A,0),MATCH(E$23,income_statement!$B$1:$I$1,0)),"")</f>
        <v/>
      </c>
      <c r="F51" s="19">
        <f>IFERROR(INDEX(income_statement!$B:$I,MATCH("Lợi nhuận của Cổ đông của Công ty mẹ",income_statement!$A:$A,0),MATCH(F$23,income_statement!$B$1:$I$1,0)),"")</f>
        <v/>
      </c>
      <c r="G51" s="19">
        <f>IFERROR(INDEX(income_statement!$B:$I,MATCH("Lợi nhuận của Cổ đông của Công ty mẹ",income_statement!$A:$A,0),MATCH(G$23,income_statement!$B$1:$I$1,0)),"")</f>
        <v/>
      </c>
      <c r="H51" s="19">
        <f>IFERROR(INDEX(income_statement!$B:$I,MATCH("Lợi nhuận của Cổ đông của Công ty mẹ",income_statement!$A:$A,0),MATCH(H$23,income_statement!$B$1:$I$1,0)),"")</f>
        <v/>
      </c>
      <c r="I51" s="19">
        <f>IFERROR(INDEX(income_statement!$B:$I,MATCH("Lợi nhuận của Cổ đông của Công ty mẹ",income_statement!$A:$A,0),MATCH(I$23,income_statement!$B$1:$I$1,0)),"")</f>
        <v/>
      </c>
      <c r="J51" s="19">
        <f>I51*1.15</f>
        <v/>
      </c>
    </row>
    <row r="52">
      <c r="A52" s="15" t="inlineStr">
        <is>
          <t>Lưu chuyển tiền tệ</t>
        </is>
      </c>
      <c r="B52" s="16" t="n"/>
      <c r="C52" s="16" t="n"/>
      <c r="D52" s="16" t="n"/>
      <c r="E52" s="16" t="n"/>
      <c r="F52" s="16" t="n"/>
      <c r="G52" s="16" t="n"/>
      <c r="H52" s="16" t="n"/>
      <c r="I52" s="16" t="n"/>
    </row>
    <row r="53">
      <c r="A53" s="17" t="inlineStr">
        <is>
          <t>Khấu hao TSCĐ và BĐSĐT</t>
        </is>
      </c>
      <c r="B53" s="18">
        <f>IFERROR(INDEX(cash_flow!$B:$I,MATCH("Khấu hao TSCĐ và BĐSĐT",cash_flow!$A:$A,0),MATCH(B$23,cash_flow!$B$1:$I$1,0)),"")</f>
        <v/>
      </c>
      <c r="C53" s="18">
        <f>IFERROR(INDEX(cash_flow!$B:$I,MATCH("Khấu hao TSCĐ và BĐSĐT",cash_flow!$A:$A,0),MATCH(C$23,cash_flow!$B$1:$I$1,0)),"")</f>
        <v/>
      </c>
      <c r="D53" s="18">
        <f>IFERROR(INDEX(cash_flow!$B:$I,MATCH("Khấu hao TSCĐ và BĐSĐT",cash_flow!$A:$A,0),MATCH(D$23,cash_flow!$B$1:$I$1,0)),"")</f>
        <v/>
      </c>
      <c r="E53" s="18">
        <f>IFERROR(INDEX(cash_flow!$B:$I,MATCH("Khấu hao TSCĐ và BĐSĐT",cash_flow!$A:$A,0),MATCH(E$23,cash_flow!$B$1:$I$1,0)),"")</f>
        <v/>
      </c>
      <c r="F53" s="18">
        <f>IFERROR(INDEX(cash_flow!$B:$I,MATCH("Khấu hao TSCĐ và BĐSĐT",cash_flow!$A:$A,0),MATCH(F$23,cash_flow!$B$1:$I$1,0)),"")</f>
        <v/>
      </c>
      <c r="G53" s="18">
        <f>IFERROR(INDEX(cash_flow!$B:$I,MATCH("Khấu hao TSCĐ và BĐSĐT",cash_flow!$A:$A,0),MATCH(G$23,cash_flow!$B$1:$I$1,0)),"")</f>
        <v/>
      </c>
      <c r="H53" s="18">
        <f>IFERROR(INDEX(cash_flow!$B:$I,MATCH("Khấu hao TSCĐ và BĐSĐT",cash_flow!$A:$A,0),MATCH(H$23,cash_flow!$B$1:$I$1,0)),"")</f>
        <v/>
      </c>
      <c r="I53" s="18">
        <f>IFERROR(INDEX(cash_flow!$B:$I,MATCH("Khấu hao TSCĐ và BĐSĐT",cash_flow!$A:$A,0),MATCH(I$23,cash_flow!$B$1:$I$1,0)),"")</f>
        <v/>
      </c>
    </row>
    <row r="54">
      <c r="A54" s="17" t="inlineStr">
        <is>
          <t>Tiền chi để mua sắm, xây dựng TSCĐ và các tài sản dài hạn khác</t>
        </is>
      </c>
      <c r="B54" s="18">
        <f>IFERROR(INDEX(cash_flow!$B:$I,MATCH("Tiền chi để mua sắm, xây dựng TSCĐ và các tài sản dài hạn khác",cash_flow!$A:$A,0),MATCH(B$23,cash_flow!$B$1:$I$1,0)),"")</f>
        <v/>
      </c>
      <c r="C54" s="18">
        <f>IFERROR(INDEX(cash_flow!$B:$I,MATCH("Tiền chi để mua sắm, xây dựng TSCĐ và các tài sản dài hạn khác",cash_flow!$A:$A,0),MATCH(C$23,cash_flow!$B$1:$I$1,0)),"")</f>
        <v/>
      </c>
      <c r="D54" s="18">
        <f>IFERROR(INDEX(cash_flow!$B:$I,MATCH("Tiền chi để mua sắm, xây dựng TSCĐ và các tài sản dài hạn khác",cash_flow!$A:$A,0),MATCH(D$23,cash_flow!$B$1:$I$1,0)),"")</f>
        <v/>
      </c>
      <c r="E54" s="18">
        <f>IFERROR(INDEX(cash_flow!$B:$I,MATCH("Tiền chi để mua sắm, xây dựng TSCĐ và các tài sản dài hạn khác",cash_flow!$A:$A,0),MATCH(E$23,cash_flow!$B$1:$I$1,0)),"")</f>
        <v/>
      </c>
      <c r="F54" s="18">
        <f>IFERROR(INDEX(cash_flow!$B:$I,MATCH("Tiền chi để mua sắm, xây dựng TSCĐ và các tài sản dài hạn khác",cash_flow!$A:$A,0),MATCH(F$23,cash_flow!$B$1:$I$1,0)),"")</f>
        <v/>
      </c>
      <c r="G54" s="18">
        <f>IFERROR(INDEX(cash_flow!$B:$I,MATCH("Tiền chi để mua sắm, xây dựng TSCĐ và các tài sản dài hạn khác",cash_flow!$A:$A,0),MATCH(G$23,cash_flow!$B$1:$I$1,0)),"")</f>
        <v/>
      </c>
      <c r="H54" s="18">
        <f>IFERROR(INDEX(cash_flow!$B:$I,MATCH("Tiền chi để mua sắm, xây dựng TSCĐ và các tài sản dài hạn khác",cash_flow!$A:$A,0),MATCH(H$23,cash_flow!$B$1:$I$1,0)),"")</f>
        <v/>
      </c>
      <c r="I54" s="18">
        <f>IFERROR(INDEX(cash_flow!$B:$I,MATCH("Tiền chi để mua sắm, xây dựng TSCĐ và các tài sản dài hạn khác",cash_flow!$A:$A,0),MATCH(I$23,cash_flow!$B$1:$I$1,0)),"")</f>
        <v/>
      </c>
    </row>
    <row r="55">
      <c r="A55" s="17" t="inlineStr">
        <is>
          <t>Lưu chuyển tiền tệ ròng từ các hoạt động sản xuất kinh doanh</t>
        </is>
      </c>
      <c r="B55" s="18">
        <f>IFERROR(INDEX(cash_flow!$B:$I,MATCH("Lưu chuyển tiền tệ ròng từ các hoạt động sản xuất kinh doanh",cash_flow!$A:$A,0),MATCH(B$23,cash_flow!$B$1:$I$1,0)),"")</f>
        <v/>
      </c>
      <c r="C55" s="18">
        <f>IFERROR(INDEX(cash_flow!$B:$I,MATCH("Lưu chuyển tiền tệ ròng từ các hoạt động sản xuất kinh doanh",cash_flow!$A:$A,0),MATCH(C$23,cash_flow!$B$1:$I$1,0)),"")</f>
        <v/>
      </c>
      <c r="D55" s="18">
        <f>IFERROR(INDEX(cash_flow!$B:$I,MATCH("Lưu chuyển tiền tệ ròng từ các hoạt động sản xuất kinh doanh",cash_flow!$A:$A,0),MATCH(D$23,cash_flow!$B$1:$I$1,0)),"")</f>
        <v/>
      </c>
      <c r="E55" s="18">
        <f>IFERROR(INDEX(cash_flow!$B:$I,MATCH("Lưu chuyển tiền tệ ròng từ các hoạt động sản xuất kinh doanh",cash_flow!$A:$A,0),MATCH(E$23,cash_flow!$B$1:$I$1,0)),"")</f>
        <v/>
      </c>
      <c r="F55" s="18">
        <f>IFERROR(INDEX(cash_flow!$B:$I,MATCH("Lưu chuyển tiền tệ ròng từ các hoạt động sản xuất kinh doanh",cash_flow!$A:$A,0),MATCH(F$23,cash_flow!$B$1:$I$1,0)),"")</f>
        <v/>
      </c>
      <c r="G55" s="18">
        <f>IFERROR(INDEX(cash_flow!$B:$I,MATCH("Lưu chuyển tiền tệ ròng từ các hoạt động sản xuất kinh doanh",cash_flow!$A:$A,0),MATCH(G$23,cash_flow!$B$1:$I$1,0)),"")</f>
        <v/>
      </c>
      <c r="H55" s="18">
        <f>IFERROR(INDEX(cash_flow!$B:$I,MATCH("Lưu chuyển tiền tệ ròng từ các hoạt động sản xuất kinh doanh",cash_flow!$A:$A,0),MATCH(H$23,cash_flow!$B$1:$I$1,0)),"")</f>
        <v/>
      </c>
      <c r="I55" s="18">
        <f>IFERROR(INDEX(cash_flow!$B:$I,MATCH("Lưu chuyển tiền tệ ròng từ các hoạt động sản xuất kinh doanh",cash_flow!$A:$A,0),MATCH(I$23,cash_flow!$B$1:$I$1,0)),"")</f>
        <v/>
      </c>
    </row>
    <row r="56"/>
    <row r="57">
      <c r="A57" s="21" t="inlineStr">
        <is>
          <t>CHỈ SỐ THÊM</t>
        </is>
      </c>
      <c r="B57" s="22" t="n">
        <v>2018</v>
      </c>
      <c r="C57" s="22" t="n">
        <v>2019</v>
      </c>
      <c r="D57" s="22" t="n">
        <v>2020</v>
      </c>
      <c r="E57" s="22" t="n">
        <v>2021</v>
      </c>
      <c r="F57" s="22" t="n">
        <v>2022</v>
      </c>
      <c r="G57" s="22" t="n">
        <v>2023</v>
      </c>
      <c r="H57" s="22" t="n">
        <v>2024</v>
      </c>
      <c r="I57" s="22" t="n">
        <v>2025</v>
      </c>
    </row>
    <row r="58">
      <c r="A58" s="21" t="inlineStr">
        <is>
          <t>Khả năng sinh lời &amp; hiệu quả sử dụng vốn</t>
        </is>
      </c>
      <c r="B58" s="23" t="n"/>
      <c r="C58" s="23" t="n"/>
      <c r="D58" s="23" t="n"/>
      <c r="E58" s="23" t="n"/>
      <c r="F58" s="23" t="n"/>
      <c r="G58" s="23" t="n"/>
      <c r="H58" s="23" t="n"/>
      <c r="I58" s="23" t="n"/>
    </row>
    <row r="59">
      <c r="A59" s="23" t="inlineStr">
        <is>
          <t>ROCE</t>
        </is>
      </c>
      <c r="B59" s="24">
        <f>IFERROR(B$61/(B$31-B$35),"n/a")</f>
        <v/>
      </c>
      <c r="C59" s="24">
        <f>IFERROR(C$61/(C$31-C$35),"n/a")</f>
        <v/>
      </c>
      <c r="D59" s="24">
        <f>IFERROR(D$61/(D$31-D$35),"n/a")</f>
        <v/>
      </c>
      <c r="E59" s="24">
        <f>IFERROR(E$61/(E$31-E$35),"n/a")</f>
        <v/>
      </c>
      <c r="F59" s="24">
        <f>IFERROR(F$61/(F$31-F$35),"n/a")</f>
        <v/>
      </c>
      <c r="G59" s="24">
        <f>IFERROR(G$61/(G$31-G$35),"n/a")</f>
        <v/>
      </c>
      <c r="H59" s="24">
        <f>IFERROR(H$61/(H$31-H$35),"n/a")</f>
        <v/>
      </c>
      <c r="I59" s="24">
        <f>IFERROR(I$61/(I$31-I$35),"n/a")</f>
        <v/>
      </c>
    </row>
    <row r="60">
      <c r="A60" s="23" t="inlineStr">
        <is>
          <t>CROIC</t>
        </is>
      </c>
      <c r="B60" s="24">
        <f>IFERROR(B$65/(B$31-B$35),"n/a")</f>
        <v/>
      </c>
      <c r="C60" s="24">
        <f>IFERROR(C$65/(C$31-C$35),"n/a")</f>
        <v/>
      </c>
      <c r="D60" s="24">
        <f>IFERROR(D$65/(D$31-D$35),"n/a")</f>
        <v/>
      </c>
      <c r="E60" s="24">
        <f>IFERROR(E$65/(E$31-E$35),"n/a")</f>
        <v/>
      </c>
      <c r="F60" s="24">
        <f>IFERROR(F$65/(F$31-F$35),"n/a")</f>
        <v/>
      </c>
      <c r="G60" s="24">
        <f>IFERROR(G$65/(G$31-G$35),"n/a")</f>
        <v/>
      </c>
      <c r="H60" s="24">
        <f>IFERROR(H$65/(H$31-H$35),"n/a")</f>
        <v/>
      </c>
      <c r="I60" s="24">
        <f>IFERROR(I$65/(I$31-I$35),"n/a")</f>
        <v/>
      </c>
    </row>
    <row r="61">
      <c r="A61" s="23" t="inlineStr">
        <is>
          <t>EBIT</t>
        </is>
      </c>
      <c r="B61" s="25">
        <f>IFERROR(B$47+ABS(B$48),"n/a")</f>
        <v/>
      </c>
      <c r="C61" s="25">
        <f>IFERROR(C$47+ABS(C$48),"n/a")</f>
        <v/>
      </c>
      <c r="D61" s="25">
        <f>IFERROR(D$47+ABS(D$48),"n/a")</f>
        <v/>
      </c>
      <c r="E61" s="25">
        <f>IFERROR(E$47+ABS(E$48),"n/a")</f>
        <v/>
      </c>
      <c r="F61" s="25">
        <f>IFERROR(F$47+ABS(F$48),"n/a")</f>
        <v/>
      </c>
      <c r="G61" s="25">
        <f>IFERROR(G$47+ABS(G$48),"n/a")</f>
        <v/>
      </c>
      <c r="H61" s="25">
        <f>IFERROR(H$47+ABS(H$48),"n/a")</f>
        <v/>
      </c>
      <c r="I61" s="25">
        <f>IFERROR(I$47+ABS(I$48),"n/a")</f>
        <v/>
      </c>
    </row>
    <row r="62">
      <c r="A62" s="23" t="inlineStr">
        <is>
          <t>EBIT/DT</t>
        </is>
      </c>
      <c r="B62" s="24">
        <f>IFERROR(B$61/B$42,"n/a")</f>
        <v/>
      </c>
      <c r="C62" s="24">
        <f>IFERROR(C$61/C$42,"n/a")</f>
        <v/>
      </c>
      <c r="D62" s="24">
        <f>IFERROR(D$61/D$42,"n/a")</f>
        <v/>
      </c>
      <c r="E62" s="24">
        <f>IFERROR(E$61/E$42,"n/a")</f>
        <v/>
      </c>
      <c r="F62" s="24">
        <f>IFERROR(F$61/F$42,"n/a")</f>
        <v/>
      </c>
      <c r="G62" s="24">
        <f>IFERROR(G$61/G$42,"n/a")</f>
        <v/>
      </c>
      <c r="H62" s="24">
        <f>IFERROR(H$61/H$42,"n/a")</f>
        <v/>
      </c>
      <c r="I62" s="24">
        <f>IFERROR(I$61/I$42,"n/a")</f>
        <v/>
      </c>
    </row>
    <row r="63">
      <c r="A63" s="23" t="inlineStr">
        <is>
          <t>DT/TS</t>
        </is>
      </c>
      <c r="B63" s="24">
        <f>IFERROR(B$42/B$31,"n/a")</f>
        <v/>
      </c>
      <c r="C63" s="24">
        <f>IFERROR(C$42/C$31,"n/a")</f>
        <v/>
      </c>
      <c r="D63" s="24">
        <f>IFERROR(D$42/D$31,"n/a")</f>
        <v/>
      </c>
      <c r="E63" s="24">
        <f>IFERROR(E$42/E$31,"n/a")</f>
        <v/>
      </c>
      <c r="F63" s="24">
        <f>IFERROR(F$42/F$31,"n/a")</f>
        <v/>
      </c>
      <c r="G63" s="24">
        <f>IFERROR(G$42/G$31,"n/a")</f>
        <v/>
      </c>
      <c r="H63" s="24">
        <f>IFERROR(H$42/H$31,"n/a")</f>
        <v/>
      </c>
      <c r="I63" s="24">
        <f>IFERROR(I$42/I$31,"n/a")</f>
        <v/>
      </c>
    </row>
    <row r="64">
      <c r="A64" s="21" t="inlineStr">
        <is>
          <t>Dòng tiền &amp; tái đầu tư</t>
        </is>
      </c>
      <c r="B64" s="23" t="n"/>
      <c r="C64" s="23" t="n"/>
      <c r="D64" s="23" t="n"/>
      <c r="E64" s="23" t="n"/>
      <c r="F64" s="23" t="n"/>
      <c r="G64" s="23" t="n"/>
      <c r="H64" s="23" t="n"/>
      <c r="I64" s="23" t="n"/>
    </row>
    <row r="65">
      <c r="A65" s="23" t="inlineStr">
        <is>
          <t>FCF</t>
        </is>
      </c>
      <c r="B65" s="25">
        <f>IFERROR(B$55-ABS(B$54),"n/a")</f>
        <v/>
      </c>
      <c r="C65" s="25">
        <f>IFERROR(C$55-ABS(C$54),"n/a")</f>
        <v/>
      </c>
      <c r="D65" s="25">
        <f>IFERROR(D$55-ABS(D$54),"n/a")</f>
        <v/>
      </c>
      <c r="E65" s="25">
        <f>IFERROR(E$55-ABS(E$54),"n/a")</f>
        <v/>
      </c>
      <c r="F65" s="25">
        <f>IFERROR(F$55-ABS(F$54),"n/a")</f>
        <v/>
      </c>
      <c r="G65" s="25">
        <f>IFERROR(G$55-ABS(G$54),"n/a")</f>
        <v/>
      </c>
      <c r="H65" s="25">
        <f>IFERROR(H$55-ABS(H$54),"n/a")</f>
        <v/>
      </c>
      <c r="I65" s="25">
        <f>IFERROR(I$55-ABS(I$54),"n/a")</f>
        <v/>
      </c>
    </row>
    <row r="66">
      <c r="A66" s="23" t="inlineStr">
        <is>
          <t>FCF/DT</t>
        </is>
      </c>
      <c r="B66" s="24">
        <f>IFERROR(B$65/B$42,"n/a")</f>
        <v/>
      </c>
      <c r="C66" s="24">
        <f>IFERROR(C$65/C$42,"n/a")</f>
        <v/>
      </c>
      <c r="D66" s="24">
        <f>IFERROR(D$65/D$42,"n/a")</f>
        <v/>
      </c>
      <c r="E66" s="24">
        <f>IFERROR(E$65/E$42,"n/a")</f>
        <v/>
      </c>
      <c r="F66" s="24">
        <f>IFERROR(F$65/F$42,"n/a")</f>
        <v/>
      </c>
      <c r="G66" s="24">
        <f>IFERROR(G$65/G$42,"n/a")</f>
        <v/>
      </c>
      <c r="H66" s="24">
        <f>IFERROR(H$65/H$42,"n/a")</f>
        <v/>
      </c>
      <c r="I66" s="24">
        <f>IFERROR(I$65/I$42,"n/a")</f>
        <v/>
      </c>
    </row>
    <row r="67">
      <c r="A67" s="23" t="inlineStr">
        <is>
          <t>FCF/Nợ ngắn hạn</t>
        </is>
      </c>
      <c r="B67" s="24">
        <f>IFERROR(B$65/B$35,"n/a")</f>
        <v/>
      </c>
      <c r="C67" s="24">
        <f>IFERROR(C$65/C$35,"n/a")</f>
        <v/>
      </c>
      <c r="D67" s="24">
        <f>IFERROR(D$65/D$35,"n/a")</f>
        <v/>
      </c>
      <c r="E67" s="24">
        <f>IFERROR(E$65/E$35,"n/a")</f>
        <v/>
      </c>
      <c r="F67" s="24">
        <f>IFERROR(F$65/F$35,"n/a")</f>
        <v/>
      </c>
      <c r="G67" s="24">
        <f>IFERROR(G$65/G$35,"n/a")</f>
        <v/>
      </c>
      <c r="H67" s="24">
        <f>IFERROR(H$65/H$35,"n/a")</f>
        <v/>
      </c>
      <c r="I67" s="24">
        <f>IFERROR(I$65/I$35,"n/a")</f>
        <v/>
      </c>
    </row>
    <row r="68">
      <c r="A68" s="23" t="inlineStr">
        <is>
          <t>Capex</t>
        </is>
      </c>
      <c r="B68" s="25">
        <f>IFERROR(ABS(B$54),"n/a")</f>
        <v/>
      </c>
      <c r="C68" s="25">
        <f>IFERROR(ABS(C$54),"n/a")</f>
        <v/>
      </c>
      <c r="D68" s="25">
        <f>IFERROR(ABS(D$54),"n/a")</f>
        <v/>
      </c>
      <c r="E68" s="25">
        <f>IFERROR(ABS(E$54),"n/a")</f>
        <v/>
      </c>
      <c r="F68" s="25">
        <f>IFERROR(ABS(F$54),"n/a")</f>
        <v/>
      </c>
      <c r="G68" s="25">
        <f>IFERROR(ABS(G$54),"n/a")</f>
        <v/>
      </c>
      <c r="H68" s="25">
        <f>IFERROR(ABS(H$54),"n/a")</f>
        <v/>
      </c>
      <c r="I68" s="25">
        <f>IFERROR(ABS(I$54),"n/a")</f>
        <v/>
      </c>
    </row>
    <row r="69">
      <c r="A69" s="23" t="inlineStr">
        <is>
          <t>Capex/TS</t>
        </is>
      </c>
      <c r="B69" s="24">
        <f>IFERROR(B$68/B$31,"n/a")</f>
        <v/>
      </c>
      <c r="C69" s="24">
        <f>IFERROR(C$68/C$31,"n/a")</f>
        <v/>
      </c>
      <c r="D69" s="24">
        <f>IFERROR(D$68/D$31,"n/a")</f>
        <v/>
      </c>
      <c r="E69" s="24">
        <f>IFERROR(E$68/E$31,"n/a")</f>
        <v/>
      </c>
      <c r="F69" s="24">
        <f>IFERROR(F$68/F$31,"n/a")</f>
        <v/>
      </c>
      <c r="G69" s="24">
        <f>IFERROR(G$68/G$31,"n/a")</f>
        <v/>
      </c>
      <c r="H69" s="24">
        <f>IFERROR(H$68/H$31,"n/a")</f>
        <v/>
      </c>
      <c r="I69" s="24">
        <f>IFERROR(I$68/I$31,"n/a")</f>
        <v/>
      </c>
    </row>
    <row r="70">
      <c r="A70" s="23" t="inlineStr">
        <is>
          <t>Capex/LNST</t>
        </is>
      </c>
      <c r="B70" s="24">
        <f>IFERROR(B$68/ABS(B$50),"n/a")</f>
        <v/>
      </c>
      <c r="C70" s="24">
        <f>IFERROR(C$68/ABS(C$50),"n/a")</f>
        <v/>
      </c>
      <c r="D70" s="24">
        <f>IFERROR(D$68/ABS(D$50),"n/a")</f>
        <v/>
      </c>
      <c r="E70" s="24">
        <f>IFERROR(E$68/ABS(E$50),"n/a")</f>
        <v/>
      </c>
      <c r="F70" s="24">
        <f>IFERROR(F$68/ABS(F$50),"n/a")</f>
        <v/>
      </c>
      <c r="G70" s="24">
        <f>IFERROR(G$68/ABS(G$50),"n/a")</f>
        <v/>
      </c>
      <c r="H70" s="24">
        <f>IFERROR(H$68/ABS(H$50),"n/a")</f>
        <v/>
      </c>
      <c r="I70" s="24">
        <f>IFERROR(I$68/ABS(I$50),"n/a")</f>
        <v/>
      </c>
    </row>
    <row r="71">
      <c r="A71" s="23" t="inlineStr">
        <is>
          <t>Chi phí khấu hao/Lợi nhuận gộp</t>
        </is>
      </c>
      <c r="B71" s="24">
        <f>IFERROR(ABS(B$53)/B$44,"n/a")</f>
        <v/>
      </c>
      <c r="C71" s="24">
        <f>IFERROR(ABS(C$53)/C$44,"n/a")</f>
        <v/>
      </c>
      <c r="D71" s="24">
        <f>IFERROR(ABS(D$53)/D$44,"n/a")</f>
        <v/>
      </c>
      <c r="E71" s="24">
        <f>IFERROR(ABS(E$53)/E$44,"n/a")</f>
        <v/>
      </c>
      <c r="F71" s="24">
        <f>IFERROR(ABS(F$53)/F$44,"n/a")</f>
        <v/>
      </c>
      <c r="G71" s="24">
        <f>IFERROR(ABS(G$53)/G$44,"n/a")</f>
        <v/>
      </c>
      <c r="H71" s="24">
        <f>IFERROR(ABS(H$53)/H$44,"n/a")</f>
        <v/>
      </c>
      <c r="I71" s="24">
        <f>IFERROR(ABS(I$53)/I$44,"n/a")</f>
        <v/>
      </c>
    </row>
    <row r="72">
      <c r="A72" s="23" t="inlineStr">
        <is>
          <t>EBIT/Chi phí lãi vay</t>
        </is>
      </c>
      <c r="B72" s="24">
        <f>IFERROR(B$61/ABS(B$48),"n/a")</f>
        <v/>
      </c>
      <c r="C72" s="24">
        <f>IFERROR(C$61/ABS(C$48),"n/a")</f>
        <v/>
      </c>
      <c r="D72" s="24">
        <f>IFERROR(D$61/ABS(D$48),"n/a")</f>
        <v/>
      </c>
      <c r="E72" s="24">
        <f>IFERROR(E$61/ABS(E$48),"n/a")</f>
        <v/>
      </c>
      <c r="F72" s="24">
        <f>IFERROR(F$61/ABS(F$48),"n/a")</f>
        <v/>
      </c>
      <c r="G72" s="24">
        <f>IFERROR(G$61/ABS(G$48),"n/a")</f>
        <v/>
      </c>
      <c r="H72" s="24">
        <f>IFERROR(H$61/ABS(H$48),"n/a")</f>
        <v/>
      </c>
      <c r="I72" s="24">
        <f>IFERROR(I$61/ABS(I$48),"n/a")</f>
        <v/>
      </c>
    </row>
    <row r="73">
      <c r="A73" s="21" t="inlineStr">
        <is>
          <t>Vốn lưu động &amp; hiệu quả hoạt động</t>
        </is>
      </c>
      <c r="B73" s="23" t="n"/>
      <c r="C73" s="23" t="n"/>
      <c r="D73" s="23" t="n"/>
      <c r="E73" s="23" t="n"/>
      <c r="F73" s="23" t="n"/>
      <c r="G73" s="23" t="n"/>
      <c r="H73" s="23" t="n"/>
      <c r="I73" s="23" t="n"/>
    </row>
    <row r="74">
      <c r="A74" s="23" t="inlineStr">
        <is>
          <t>Vòng quay tiền mặt</t>
        </is>
      </c>
      <c r="B74" s="26">
        <f>IFERROR(B$17+B$18-B$16,"n/a")</f>
        <v/>
      </c>
      <c r="C74" s="26">
        <f>IFERROR(C$17+C$18-C$16,"n/a")</f>
        <v/>
      </c>
      <c r="D74" s="26">
        <f>IFERROR(D$17+D$18-D$16,"n/a")</f>
        <v/>
      </c>
      <c r="E74" s="26">
        <f>IFERROR(E$17+E$18-E$16,"n/a")</f>
        <v/>
      </c>
      <c r="F74" s="26">
        <f>IFERROR(F$17+F$18-F$16,"n/a")</f>
        <v/>
      </c>
      <c r="G74" s="26">
        <f>IFERROR(G$17+G$18-G$16,"n/a")</f>
        <v/>
      </c>
      <c r="H74" s="26">
        <f>IFERROR(H$17+H$18-H$16,"n/a")</f>
        <v/>
      </c>
      <c r="I74" s="26">
        <f>IFERROR(I$17+I$18-I$16,"n/a")</f>
        <v/>
      </c>
    </row>
    <row r="75">
      <c r="A75" s="23" t="inlineStr">
        <is>
          <t>HTK/DT</t>
        </is>
      </c>
      <c r="B75" s="24">
        <f>IFERROR(B$28/B$42,"n/a")</f>
        <v/>
      </c>
      <c r="C75" s="24">
        <f>IFERROR(C$28/C$42,"n/a")</f>
        <v/>
      </c>
      <c r="D75" s="24">
        <f>IFERROR(D$28/D$42,"n/a")</f>
        <v/>
      </c>
      <c r="E75" s="24">
        <f>IFERROR(E$28/E$42,"n/a")</f>
        <v/>
      </c>
      <c r="F75" s="24">
        <f>IFERROR(F$28/F$42,"n/a")</f>
        <v/>
      </c>
      <c r="G75" s="24">
        <f>IFERROR(G$28/G$42,"n/a")</f>
        <v/>
      </c>
      <c r="H75" s="24">
        <f>IFERROR(H$28/H$42,"n/a")</f>
        <v/>
      </c>
      <c r="I75" s="24">
        <f>IFERROR(I$28/I$42,"n/a")</f>
        <v/>
      </c>
    </row>
    <row r="76">
      <c r="A76" s="23" t="inlineStr">
        <is>
          <t>HTK/TS</t>
        </is>
      </c>
      <c r="B76" s="24">
        <f>IFERROR(B$28/B$31,"n/a")</f>
        <v/>
      </c>
      <c r="C76" s="24">
        <f>IFERROR(C$28/C$31,"n/a")</f>
        <v/>
      </c>
      <c r="D76" s="24">
        <f>IFERROR(D$28/D$31,"n/a")</f>
        <v/>
      </c>
      <c r="E76" s="24">
        <f>IFERROR(E$28/E$31,"n/a")</f>
        <v/>
      </c>
      <c r="F76" s="24">
        <f>IFERROR(F$28/F$31,"n/a")</f>
        <v/>
      </c>
      <c r="G76" s="24">
        <f>IFERROR(G$28/G$31,"n/a")</f>
        <v/>
      </c>
      <c r="H76" s="24">
        <f>IFERROR(H$28/H$31,"n/a")</f>
        <v/>
      </c>
      <c r="I76" s="24">
        <f>IFERROR(I$28/I$31,"n/a")</f>
        <v/>
      </c>
    </row>
    <row r="77">
      <c r="A77" s="23" t="inlineStr">
        <is>
          <t>DT/TS</t>
        </is>
      </c>
      <c r="B77" s="24">
        <f>IFERROR(B$42/B$31,"n/a")</f>
        <v/>
      </c>
      <c r="C77" s="24">
        <f>IFERROR(C$42/C$31,"n/a")</f>
        <v/>
      </c>
      <c r="D77" s="24">
        <f>IFERROR(D$42/D$31,"n/a")</f>
        <v/>
      </c>
      <c r="E77" s="24">
        <f>IFERROR(E$42/E$31,"n/a")</f>
        <v/>
      </c>
      <c r="F77" s="24">
        <f>IFERROR(F$42/F$31,"n/a")</f>
        <v/>
      </c>
      <c r="G77" s="24">
        <f>IFERROR(G$42/G$31,"n/a")</f>
        <v/>
      </c>
      <c r="H77" s="24">
        <f>IFERROR(H$42/H$31,"n/a")</f>
        <v/>
      </c>
      <c r="I77" s="24">
        <f>IFERROR(I$42/I$31,"n/a")</f>
        <v/>
      </c>
    </row>
    <row r="78">
      <c r="A78" s="21" t="inlineStr">
        <is>
          <t>Khả năng thanh toán</t>
        </is>
      </c>
      <c r="B78" s="23" t="n"/>
      <c r="C78" s="23" t="n"/>
      <c r="D78" s="23" t="n"/>
      <c r="E78" s="23" t="n"/>
      <c r="F78" s="23" t="n"/>
      <c r="G78" s="23" t="n"/>
      <c r="H78" s="23" t="n"/>
      <c r="I78" s="23" t="n"/>
    </row>
    <row r="79">
      <c r="A79" s="23" t="inlineStr">
        <is>
          <t>(TS ngắn hạn − HTK)/Nợ ngắn hạn</t>
        </is>
      </c>
      <c r="B79" s="24">
        <f>IFERROR((B$29-B$28)/B$35,"n/a")</f>
        <v/>
      </c>
      <c r="C79" s="24">
        <f>IFERROR((C$29-C$28)/C$35,"n/a")</f>
        <v/>
      </c>
      <c r="D79" s="24">
        <f>IFERROR((D$29-D$28)/D$35,"n/a")</f>
        <v/>
      </c>
      <c r="E79" s="24">
        <f>IFERROR((E$29-E$28)/E$35,"n/a")</f>
        <v/>
      </c>
      <c r="F79" s="24">
        <f>IFERROR((F$29-F$28)/F$35,"n/a")</f>
        <v/>
      </c>
      <c r="G79" s="24">
        <f>IFERROR((G$29-G$28)/G$35,"n/a")</f>
        <v/>
      </c>
      <c r="H79" s="24">
        <f>IFERROR((H$29-H$28)/H$35,"n/a")</f>
        <v/>
      </c>
      <c r="I79" s="24">
        <f>IFERROR((I$29-I$28)/I$35,"n/a")</f>
        <v/>
      </c>
    </row>
    <row r="80">
      <c r="A80" s="23" t="inlineStr">
        <is>
          <t>TS ngắn hạn/Nợ ngắn hạn</t>
        </is>
      </c>
      <c r="B80" s="24">
        <f>IFERROR(B$29/B$35,"n/a")</f>
        <v/>
      </c>
      <c r="C80" s="24">
        <f>IFERROR(C$29/C$35,"n/a")</f>
        <v/>
      </c>
      <c r="D80" s="24">
        <f>IFERROR(D$29/D$35,"n/a")</f>
        <v/>
      </c>
      <c r="E80" s="24">
        <f>IFERROR(E$29/E$35,"n/a")</f>
        <v/>
      </c>
      <c r="F80" s="24">
        <f>IFERROR(F$29/F$35,"n/a")</f>
        <v/>
      </c>
      <c r="G80" s="24">
        <f>IFERROR(G$29/G$35,"n/a")</f>
        <v/>
      </c>
      <c r="H80" s="24">
        <f>IFERROR(H$29/H$35,"n/a")</f>
        <v/>
      </c>
      <c r="I80" s="24">
        <f>IFERROR(I$29/I$35,"n/a")</f>
        <v/>
      </c>
    </row>
    <row r="81">
      <c r="A81" s="21" t="inlineStr">
        <is>
          <t>Tài sản &amp; cơ cấu tài sản</t>
        </is>
      </c>
      <c r="B81" s="23" t="n"/>
      <c r="C81" s="23" t="n"/>
      <c r="D81" s="23" t="n"/>
      <c r="E81" s="23" t="n"/>
      <c r="F81" s="23" t="n"/>
      <c r="G81" s="23" t="n"/>
      <c r="H81" s="23" t="n"/>
      <c r="I81" s="23" t="n"/>
    </row>
    <row r="82">
      <c r="A82" s="23" t="inlineStr">
        <is>
          <t>TSCĐ vô hình</t>
        </is>
      </c>
      <c r="B82" s="25">
        <f>IFERROR(B$30,"n/a")</f>
        <v/>
      </c>
      <c r="C82" s="25">
        <f>IFERROR(C$30,"n/a")</f>
        <v/>
      </c>
      <c r="D82" s="25">
        <f>IFERROR(D$30,"n/a")</f>
        <v/>
      </c>
      <c r="E82" s="25">
        <f>IFERROR(E$30,"n/a")</f>
        <v/>
      </c>
      <c r="F82" s="25">
        <f>IFERROR(F$30,"n/a")</f>
        <v/>
      </c>
      <c r="G82" s="25">
        <f>IFERROR(G$30,"n/a")</f>
        <v/>
      </c>
      <c r="H82" s="25">
        <f>IFERROR(H$30,"n/a")</f>
        <v/>
      </c>
      <c r="I82" s="25">
        <f>IFERROR(I$30,"n/a")</f>
        <v/>
      </c>
    </row>
    <row r="83">
      <c r="A83" s="23" t="inlineStr">
        <is>
          <t>Tài sản vô hình/Giá trị sổ sách</t>
        </is>
      </c>
      <c r="B83" s="24">
        <f>IFERROR(B$30/B$39,"n/a")</f>
        <v/>
      </c>
      <c r="C83" s="24">
        <f>IFERROR(C$30/C$39,"n/a")</f>
        <v/>
      </c>
      <c r="D83" s="24">
        <f>IFERROR(D$30/D$39,"n/a")</f>
        <v/>
      </c>
      <c r="E83" s="24">
        <f>IFERROR(E$30/E$39,"n/a")</f>
        <v/>
      </c>
      <c r="F83" s="24">
        <f>IFERROR(F$30/F$39,"n/a")</f>
        <v/>
      </c>
      <c r="G83" s="24">
        <f>IFERROR(G$30/G$39,"n/a")</f>
        <v/>
      </c>
      <c r="H83" s="24">
        <f>IFERROR(H$30/H$39,"n/a")</f>
        <v/>
      </c>
      <c r="I83" s="24">
        <f>IFERROR(I$30/I$39,"n/a")</f>
        <v/>
      </c>
    </row>
  </sheetData>
  <conditionalFormatting sqref="B3">
    <cfRule type="cellIs" priority="4" operator="lessThan" dxfId="0">
      <formula>0.1</formula>
    </cfRule>
    <cfRule type="cellIs" priority="5" operator="greaterThanOrEqual" dxfId="1">
      <formula>0.15</formula>
    </cfRule>
    <cfRule type="cellIs" priority="6" operator="between" dxfId="2">
      <formula>0.1</formula>
      <formula>0.15</formula>
    </cfRule>
  </conditionalFormatting>
  <conditionalFormatting sqref="B2:I2">
    <cfRule type="cellIs" priority="20" operator="greaterThanOrEqual" dxfId="1">
      <formula>0.15</formula>
    </cfRule>
    <cfRule type="cellIs" priority="21" operator="lessThan" dxfId="0">
      <formula>0.15</formula>
    </cfRule>
  </conditionalFormatting>
  <conditionalFormatting sqref="B6:I6">
    <cfRule type="cellIs" priority="14" operator="greaterThanOrEqual" dxfId="1">
      <formula>0.3</formula>
    </cfRule>
    <cfRule type="cellIs" priority="15" operator="lessThanOrEqual" dxfId="0">
      <formula>0.1</formula>
    </cfRule>
    <cfRule type="cellIs" priority="16" operator="between" dxfId="2">
      <formula>0.1</formula>
      <formula>0.3</formula>
    </cfRule>
  </conditionalFormatting>
  <conditionalFormatting sqref="B8:I8 B11:I11">
    <cfRule type="cellIs" priority="12" operator="lessThanOrEqual" dxfId="1">
      <formula>0.5</formula>
    </cfRule>
  </conditionalFormatting>
  <conditionalFormatting sqref="B14:I14">
    <cfRule type="cellIs" priority="10" operator="lessThanOrEqual" dxfId="1">
      <formula>0.3</formula>
    </cfRule>
    <cfRule type="cellIs" priority="11" operator="greaterThanOrEqual" dxfId="0">
      <formula>0.7</formula>
    </cfRule>
  </conditionalFormatting>
  <conditionalFormatting sqref="B19:I19">
    <cfRule type="cellIs" priority="8" operator="notBetween" dxfId="0">
      <formula>0.02</formula>
      <formula>0.3</formula>
    </cfRule>
    <cfRule type="cellIs" priority="9" operator="between" dxfId="1">
      <formula>0.02</formula>
      <formula>0.3</formula>
    </cfRule>
  </conditionalFormatting>
  <conditionalFormatting sqref="B4:J5">
    <cfRule type="cellIs" priority="1" operator="lessThan" dxfId="0">
      <formula>0.1</formula>
    </cfRule>
    <cfRule type="cellIs" priority="2" operator="greaterThanOrEqual" dxfId="1">
      <formula>0.15</formula>
    </cfRule>
    <cfRule type="cellIs" priority="3" operator="between" dxfId="2">
      <formula>0.1</formula>
      <formula>0.15</formula>
    </cfRule>
  </conditionalFormatting>
  <conditionalFormatting sqref="B7:J7">
    <cfRule type="cellIs" priority="13" operator="greaterThanOrEqual" dxfId="1">
      <formula>0.1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9" customWidth="1" min="6" max="6"/>
  </cols>
  <sheetData>
    <row r="1">
      <c r="A1" s="27" t="n"/>
      <c r="B1" s="27" t="inlineStr">
        <is>
          <t>Q1/2026</t>
        </is>
      </c>
      <c r="C1" s="27" t="inlineStr">
        <is>
          <t>Q2/2026</t>
        </is>
      </c>
      <c r="D1" s="27" t="inlineStr">
        <is>
          <t>Q3/2026</t>
        </is>
      </c>
      <c r="E1" s="27" t="inlineStr">
        <is>
          <t>Q4/2026</t>
        </is>
      </c>
    </row>
    <row r="2">
      <c r="A2" s="27" t="inlineStr">
        <is>
          <t>Số CP</t>
        </is>
      </c>
      <c r="B2" s="28" t="n">
        <v>1714326422</v>
      </c>
      <c r="C2" s="28" t="n">
        <v>1714326422</v>
      </c>
      <c r="D2" s="28" t="n">
        <v>1714326422</v>
      </c>
      <c r="E2" s="28" t="n">
        <v>1714326422</v>
      </c>
    </row>
    <row r="3">
      <c r="A3" s="27" t="inlineStr">
        <is>
          <t>Thị giá</t>
        </is>
      </c>
      <c r="B3" s="28" t="n">
        <v>66400</v>
      </c>
      <c r="C3" s="28" t="n">
        <v>66400</v>
      </c>
      <c r="D3" s="28" t="n">
        <v>66400</v>
      </c>
      <c r="E3" s="28" t="n">
        <v>66400</v>
      </c>
    </row>
    <row r="4">
      <c r="A4" s="27" t="inlineStr">
        <is>
          <t>Vốn hoá</t>
        </is>
      </c>
      <c r="B4" s="28">
        <f>B2*B3</f>
        <v/>
      </c>
      <c r="C4" s="28">
        <f>C2*C3</f>
        <v/>
      </c>
      <c r="D4" s="28">
        <f>D2*D3</f>
        <v/>
      </c>
      <c r="E4" s="28">
        <f>E2*E3</f>
        <v/>
      </c>
    </row>
    <row r="5"/>
    <row r="6">
      <c r="A6" s="27" t="inlineStr">
        <is>
          <t>VCSH</t>
        </is>
      </c>
      <c r="B6" s="29" t="n">
        <v>40122000000000</v>
      </c>
      <c r="C6" s="29" t="n">
        <v>40996000000000</v>
      </c>
      <c r="D6" s="29">
        <f>$C$6*(($E$6/$C$6)^(1/2))</f>
        <v/>
      </c>
      <c r="E6" s="29" t="n">
        <v>46100000000000</v>
      </c>
    </row>
    <row r="7">
      <c r="A7" s="27" t="inlineStr">
        <is>
          <t>LICĐKKS</t>
        </is>
      </c>
      <c r="B7" s="29" t="n">
        <v>1170000000000</v>
      </c>
      <c r="C7" s="29" t="n">
        <v>1144000000000</v>
      </c>
      <c r="D7" s="29">
        <f>D6*0.03</f>
        <v/>
      </c>
      <c r="E7" s="29">
        <f>E6*0.03</f>
        <v/>
      </c>
    </row>
    <row r="8">
      <c r="A8" s="27" t="inlineStr">
        <is>
          <t>BV</t>
        </is>
      </c>
      <c r="B8" s="29">
        <f>B6-B7</f>
        <v/>
      </c>
      <c r="C8" s="29">
        <f>C6-C7</f>
        <v/>
      </c>
      <c r="D8" s="29">
        <f>D6-D7</f>
        <v/>
      </c>
      <c r="E8" s="29">
        <f>E6-E7</f>
        <v/>
      </c>
    </row>
    <row r="9">
      <c r="A9" s="30" t="inlineStr">
        <is>
          <t>BVPS</t>
        </is>
      </c>
      <c r="B9" s="31">
        <f>B8/B2</f>
        <v/>
      </c>
      <c r="C9" s="31">
        <f>C8/C2</f>
        <v/>
      </c>
      <c r="D9" s="31">
        <f>D8/D2</f>
        <v/>
      </c>
      <c r="E9" s="31">
        <f>E8/E2</f>
        <v/>
      </c>
    </row>
    <row r="10">
      <c r="A10" s="30" t="inlineStr">
        <is>
          <t>PB</t>
        </is>
      </c>
      <c r="B10" s="32">
        <f>B4/B8</f>
        <v/>
      </c>
      <c r="C10" s="32">
        <f>C4/C8</f>
        <v/>
      </c>
      <c r="D10" s="32">
        <f>D4/D8</f>
        <v/>
      </c>
      <c r="E10" s="32">
        <f>E4/E8</f>
        <v/>
      </c>
    </row>
    <row r="11"/>
    <row r="12">
      <c r="A12" s="27" t="inlineStr">
        <is>
          <t>Trailing Earning</t>
        </is>
      </c>
      <c r="B12" s="27" t="n"/>
      <c r="C12" s="29">
        <f>(2568+2487+2503+2435)*1000000000</f>
        <v/>
      </c>
      <c r="D12" s="29">
        <f>$C$12*(($E$12/$C$12)^(1/2))</f>
        <v/>
      </c>
      <c r="E12" s="29">
        <f>chi_so_tai_chinh!J51</f>
        <v/>
      </c>
    </row>
    <row r="13">
      <c r="A13" s="27" t="inlineStr">
        <is>
          <t>EPS</t>
        </is>
      </c>
      <c r="B13" s="31" t="n">
        <v>5687</v>
      </c>
      <c r="C13" s="31">
        <f>C12/C2</f>
        <v/>
      </c>
      <c r="D13" s="31">
        <f>$C$13*(($E$13/$C$13)^(1/2))</f>
        <v/>
      </c>
      <c r="E13" s="31">
        <f>E12/E2</f>
        <v/>
      </c>
    </row>
    <row r="14">
      <c r="A14" s="30" t="inlineStr">
        <is>
          <t>PE</t>
        </is>
      </c>
      <c r="B14" s="32">
        <f>$E$3/B13</f>
        <v/>
      </c>
      <c r="C14" s="32">
        <f>$E$3/C13</f>
        <v/>
      </c>
      <c r="D14" s="32">
        <f>$E$3/D13</f>
        <v/>
      </c>
      <c r="E14" s="32">
        <f>$E$3/E13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9.375" customWidth="1" min="1" max="1"/>
    <col width="8.125" customWidth="1" min="2" max="2"/>
    <col width="8.875" customWidth="1" min="9" max="9"/>
  </cols>
  <sheetData>
    <row r="1">
      <c r="A1" s="27" t="n"/>
      <c r="B1" s="27" t="n">
        <v>2020</v>
      </c>
      <c r="C1" s="27" t="n">
        <v>2021</v>
      </c>
      <c r="D1" s="27" t="n">
        <v>2022</v>
      </c>
      <c r="E1" s="27" t="n">
        <v>2023</v>
      </c>
      <c r="F1" s="27" t="n">
        <v>2024</v>
      </c>
      <c r="G1" s="27" t="n">
        <v>2025</v>
      </c>
      <c r="H1" s="27" t="n">
        <v>2026</v>
      </c>
    </row>
    <row r="2">
      <c r="A2" s="27" t="inlineStr">
        <is>
          <t>Doanh thu kế hoạch</t>
        </is>
      </c>
      <c r="B2" s="33" t="n">
        <v>32450</v>
      </c>
      <c r="C2" s="33" t="n">
        <v>34720</v>
      </c>
      <c r="D2" s="33" t="n">
        <v>42420</v>
      </c>
      <c r="E2" s="33" t="n">
        <v>52289</v>
      </c>
      <c r="F2" s="33" t="n">
        <v>61850</v>
      </c>
      <c r="G2" s="33" t="n">
        <v>75400</v>
      </c>
      <c r="H2" s="33" t="n">
        <v>58580</v>
      </c>
    </row>
    <row r="3">
      <c r="A3" s="27" t="inlineStr">
        <is>
          <t>Doanh thu thuần</t>
        </is>
      </c>
      <c r="B3" s="33">
        <f>chi_so_tai_chinh!D42/1000000000</f>
        <v/>
      </c>
      <c r="C3" s="33">
        <f>chi_so_tai_chinh!E42/1000000000</f>
        <v/>
      </c>
      <c r="D3" s="33">
        <f>chi_so_tai_chinh!F42/1000000000</f>
        <v/>
      </c>
      <c r="E3" s="33">
        <f>chi_so_tai_chinh!G42/1000000000</f>
        <v/>
      </c>
      <c r="F3" s="33">
        <f>chi_so_tai_chinh!H42/1000000000</f>
        <v/>
      </c>
      <c r="G3" s="33">
        <f>chi_so_tai_chinh!I42/1000000000</f>
        <v/>
      </c>
      <c r="H3" s="33">
        <f>12486+13810</f>
        <v/>
      </c>
    </row>
    <row r="4">
      <c r="A4" s="27" t="inlineStr">
        <is>
          <t>% thực hiện</t>
        </is>
      </c>
      <c r="B4" s="34">
        <f>B3/B2</f>
        <v/>
      </c>
      <c r="C4" s="34">
        <f>C3/C2</f>
        <v/>
      </c>
      <c r="D4" s="34">
        <f>D3/D2</f>
        <v/>
      </c>
      <c r="E4" s="34">
        <f>E3/E2</f>
        <v/>
      </c>
      <c r="F4" s="34">
        <f>F3/F2</f>
        <v/>
      </c>
      <c r="G4" s="34">
        <f>G3/G2</f>
        <v/>
      </c>
      <c r="H4" s="34">
        <f>H3/H2</f>
        <v/>
      </c>
    </row>
    <row r="5">
      <c r="A5" s="27" t="inlineStr">
        <is>
          <t>Lợi nhuận trước thuế kế hoạch</t>
        </is>
      </c>
      <c r="B5" s="33" t="n">
        <v>5510</v>
      </c>
      <c r="C5" s="33" t="n">
        <v>6210</v>
      </c>
      <c r="D5" s="33" t="n">
        <v>7618</v>
      </c>
      <c r="E5" s="33" t="n">
        <v>9055</v>
      </c>
      <c r="F5" s="33" t="n">
        <v>10875</v>
      </c>
      <c r="G5" s="33" t="n">
        <v>13395</v>
      </c>
      <c r="H5" s="33" t="n">
        <v>11629</v>
      </c>
    </row>
    <row r="6">
      <c r="A6" s="27" t="inlineStr">
        <is>
          <t>Tổng lợi nhuận kế toán trước thuế</t>
        </is>
      </c>
      <c r="B6" s="33">
        <f>chi_so_tai_chinh!D49/1000000000</f>
        <v/>
      </c>
      <c r="C6" s="33">
        <f>chi_so_tai_chinh!E49/1000000000</f>
        <v/>
      </c>
      <c r="D6" s="33">
        <f>chi_so_tai_chinh!F49/1000000000</f>
        <v/>
      </c>
      <c r="E6" s="33">
        <f>chi_so_tai_chinh!G49/1000000000</f>
        <v/>
      </c>
      <c r="F6" s="33">
        <f>chi_so_tai_chinh!H49/1000000000</f>
        <v/>
      </c>
      <c r="G6" s="33">
        <f>chi_so_tai_chinh!I49/1000000000</f>
        <v/>
      </c>
      <c r="H6" s="33">
        <f>2804+2910</f>
        <v/>
      </c>
    </row>
    <row r="7">
      <c r="A7" s="27" t="inlineStr">
        <is>
          <t>% thực hiện</t>
        </is>
      </c>
      <c r="B7" s="34">
        <f>B6/B5</f>
        <v/>
      </c>
      <c r="C7" s="34">
        <f>C6/C5</f>
        <v/>
      </c>
      <c r="D7" s="34">
        <f>D6/D5</f>
        <v/>
      </c>
      <c r="E7" s="34">
        <f>E6/E5</f>
        <v/>
      </c>
      <c r="F7" s="34">
        <f>F6/F5</f>
        <v/>
      </c>
      <c r="G7" s="34">
        <f>G6/G5</f>
        <v/>
      </c>
      <c r="H7" s="34">
        <f>H6/H5</f>
        <v/>
      </c>
    </row>
    <row r="8"/>
    <row r="9">
      <c r="A9" s="27" t="inlineStr">
        <is>
          <t>Trung vị thực hiện DT</t>
        </is>
      </c>
      <c r="B9" s="34">
        <f>MEDIAN(B4:F4)</f>
        <v/>
      </c>
    </row>
    <row r="10">
      <c r="A10" s="27" t="inlineStr">
        <is>
          <t>Trung vị thực hiện LNKTTT</t>
        </is>
      </c>
      <c r="B10" s="34">
        <f>MEDIAN(B7:F7)</f>
        <v/>
      </c>
    </row>
    <row r="11"/>
    <row r="12">
      <c r="A12" s="27" t="inlineStr">
        <is>
          <t>Tỷ lệ hoàn thành DT trên 95%</t>
        </is>
      </c>
      <c r="B12" s="34">
        <f>COUNTIF(B4:G4,"&gt;=95%")/COUNT(B4:G4)</f>
        <v/>
      </c>
    </row>
    <row r="13">
      <c r="A13" s="27" t="inlineStr">
        <is>
          <t>Tỷ lệ hoàn thành LNTT trên 95%</t>
        </is>
      </c>
      <c r="B13" s="34">
        <f>COUNTIF(B7:G7,"&gt;=95%")/COUNT(B7:G7)</f>
        <v/>
      </c>
    </row>
  </sheetData>
  <conditionalFormatting sqref="B9:B10">
    <cfRule type="cellIs" priority="3" operator="greaterThanOrEqual" dxfId="3">
      <formula>1</formula>
    </cfRule>
  </conditionalFormatting>
  <conditionalFormatting sqref="B12:B13">
    <cfRule type="cellIs" priority="1" operator="greaterThanOrEqual" dxfId="3">
      <formula>1</formula>
    </cfRule>
  </conditionalFormatting>
  <conditionalFormatting sqref="B4:H4 B7:H7">
    <cfRule type="cellIs" priority="2" operator="greaterThanOrEqual" dxfId="3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2026-10-29T03:12:42Z</dcterms:created>
  <dcterms:modified xsi:type="dcterms:W3CDTF">2026-10-29T03:12:42Z</dcterms:modified>
</cp:coreProperties>
</file>
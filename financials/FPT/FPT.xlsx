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"/>
    <numFmt numFmtId="166" formatCode="0.00&quot;x&quot;"/>
    <numFmt numFmtId="167" formatCode="#,##0\ &quot;ngày&quot;"/>
    <numFmt numFmtId="168" formatCode="#,##0;\(#,##0\);&quot;-&quot;"/>
    <numFmt numFmtId="169" formatCode="_-* #,##0_-;\-* #,##0_-;_-* &quot;-&quot;_-;_-@_-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FFFFFFFF"/>
      <sz val="14"/>
    </font>
    <font>
      <name val="Tahoma"/>
      <b val="1"/>
      <sz val="11"/>
    </font>
    <font>
      <name val="Arial"/>
      <family val="2"/>
      <color theme="1"/>
      <sz val="11"/>
      <scheme val="minor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FF808080"/>
      <sz val="10"/>
    </font>
    <font>
      <name val="Tahoma"/>
      <color rgb="FF000000"/>
      <sz val="10"/>
    </font>
    <font>
      <name val="Tahoma"/>
      <color rgb="FF008000"/>
      <sz val="10"/>
    </font>
    <font>
      <name val="Calibri"/>
      <family val="2"/>
      <color theme="1"/>
      <sz val="11"/>
    </font>
    <font>
      <name val="Times New Roman"/>
      <family val="1"/>
      <color theme="1"/>
      <sz val="12"/>
    </font>
    <font>
      <name val="Calibri"/>
      <family val="2"/>
      <color rgb="FF7030A0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FF1F4E78"/>
      </patternFill>
    </fill>
    <fill>
      <patternFill patternType="solid">
        <fgColor rgb="FFD9E1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4" borderId="0" pivotButton="0" quotePrefix="0" xfId="0"/>
    <xf numFmtId="0" fontId="5" fillId="0" borderId="3" pivotButton="0" quotePrefix="0" xfId="0"/>
    <xf numFmtId="1" fontId="5" fillId="0" borderId="3" applyAlignment="1" pivotButton="0" quotePrefix="0" xfId="0">
      <alignment horizontal="center"/>
    </xf>
    <xf numFmtId="0" fontId="7" fillId="0" borderId="0" pivotButton="0" quotePrefix="0" xfId="0"/>
    <xf numFmtId="0" fontId="8" fillId="0" borderId="3" pivotButton="0" quotePrefix="0" xfId="0"/>
    <xf numFmtId="0" fontId="9" fillId="0" borderId="3" pivotButton="0" quotePrefix="0" xfId="0"/>
    <xf numFmtId="165" fontId="10" fillId="0" borderId="3" pivotButton="0" quotePrefix="0" xfId="0"/>
    <xf numFmtId="166" fontId="10" fillId="0" borderId="3" pivotButton="0" quotePrefix="0" xfId="0"/>
    <xf numFmtId="0" fontId="3" fillId="0" borderId="3" pivotButton="0" quotePrefix="0" xfId="0"/>
    <xf numFmtId="167" fontId="10" fillId="0" borderId="3" pivotButton="0" quotePrefix="0" xfId="0"/>
    <xf numFmtId="168" fontId="11" fillId="0" borderId="3" pivotButton="0" quotePrefix="0" xfId="0"/>
    <xf numFmtId="0" fontId="6" fillId="0" borderId="4" pivotButton="0" quotePrefix="0" xfId="0"/>
    <xf numFmtId="0" fontId="12" fillId="0" borderId="0" pivotButton="0" quotePrefix="0" xfId="0"/>
    <xf numFmtId="0" fontId="6" fillId="0" borderId="0" pivotButton="0" quotePrefix="0" xfId="0"/>
    <xf numFmtId="3" fontId="12" fillId="0" borderId="0" pivotButton="0" quotePrefix="0" xfId="0"/>
    <xf numFmtId="169" fontId="13" fillId="0" borderId="4" pivotButton="0" quotePrefix="0" xfId="0"/>
    <xf numFmtId="169" fontId="12" fillId="0" borderId="4" pivotButton="0" quotePrefix="0" xfId="0"/>
    <xf numFmtId="0" fontId="14" fillId="0" borderId="4" pivotButton="0" quotePrefix="0" xfId="0"/>
    <xf numFmtId="9" fontId="14" fillId="0" borderId="4" pivotButton="0" quotePrefix="0" xfId="0"/>
    <xf numFmtId="3" fontId="13" fillId="0" borderId="4" pivotButton="0" quotePrefix="0" xfId="0"/>
    <xf numFmtId="2" fontId="14" fillId="0" borderId="4" pivotButton="0" quotePrefix="0" xfId="0"/>
    <xf numFmtId="169" fontId="13" fillId="0" borderId="5" pivotButton="0" quotePrefix="0" xfId="0"/>
    <xf numFmtId="10" fontId="14" fillId="0" borderId="4" pivotButton="0" quotePrefix="0" xfId="0"/>
    <xf numFmtId="0" fontId="14" fillId="0" borderId="0" pivotButton="0" quotePrefix="0" xfId="0"/>
    <xf numFmtId="169" fontId="14" fillId="0" borderId="0" pivotButton="0" quotePrefix="0" xfId="0"/>
    <xf numFmtId="2" fontId="14" fillId="0" borderId="0" pivotButton="0" quotePrefix="0" xfId="0"/>
    <xf numFmtId="9" fontId="12" fillId="0" borderId="0" pivotButton="0" quotePrefix="0" xfId="0"/>
    <xf numFmtId="10" fontId="14" fillId="0" borderId="0" pivotButton="0" quotePrefix="0" xfId="0"/>
    <xf numFmtId="2" fontId="1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.25" customWidth="1" min="1" max="1"/>
    <col width="7.125" customWidth="1" min="2" max="2"/>
    <col width="3" customWidth="1" min="10" max="10"/>
  </cols>
  <sheetData>
    <row r="1" ht="21.95" customHeight="1">
      <c r="A1" s="5" t="inlineStr">
        <is>
          <t>CHỈ SỐ TÀI CHÍNH — FPT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balance_sheet!B1</f>
        <v/>
      </c>
      <c r="C3" s="9">
        <f>balance_sheet!C1</f>
        <v/>
      </c>
      <c r="D3" s="9">
        <f>balance_sheet!D1</f>
        <v/>
      </c>
      <c r="E3" s="9">
        <f>balance_sheet!E1</f>
        <v/>
      </c>
      <c r="F3" s="9">
        <f>balance_sheet!F1</f>
        <v/>
      </c>
      <c r="G3" s="9">
        <f>balance_sheet!G1</f>
        <v/>
      </c>
      <c r="H3" s="9">
        <f>balance_sheet!H1</f>
        <v/>
      </c>
      <c r="I3" s="9">
        <f>balance_sheet!I1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15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15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15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15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6">
        <f>IFERROR(((C$49+B$49)/2)/ABS(C$40)*365,"n/a")</f>
        <v/>
      </c>
      <c r="D23" s="16">
        <f>IFERROR(((D$49+C$49)/2)/ABS(D$40)*365,"n/a")</f>
        <v/>
      </c>
      <c r="E23" s="16">
        <f>IFERROR(((E$49+D$49)/2)/ABS(E$40)*365,"n/a")</f>
        <v/>
      </c>
      <c r="F23" s="16">
        <f>IFERROR(((F$49+E$49)/2)/ABS(F$40)*365,"n/a")</f>
        <v/>
      </c>
      <c r="G23" s="16">
        <f>IFERROR(((G$49+F$49)/2)/ABS(G$40)*365,"n/a")</f>
        <v/>
      </c>
      <c r="H23" s="16">
        <f>IFERROR(((H$49+G$49)/2)/ABS(H$40)*365,"n/a")</f>
        <v/>
      </c>
      <c r="I23" s="16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6">
        <f>IFERROR(((C$48+B$48)/2)/C$39*365,"n/a")</f>
        <v/>
      </c>
      <c r="D24" s="16">
        <f>IFERROR(((D$48+C$48)/2)/D$39*365,"n/a")</f>
        <v/>
      </c>
      <c r="E24" s="16">
        <f>IFERROR(((E$48+D$48)/2)/E$39*365,"n/a")</f>
        <v/>
      </c>
      <c r="F24" s="16">
        <f>IFERROR(((F$48+E$48)/2)/F$39*365,"n/a")</f>
        <v/>
      </c>
      <c r="G24" s="16">
        <f>IFERROR(((G$48+F$48)/2)/G$39*365,"n/a")</f>
        <v/>
      </c>
      <c r="H24" s="16">
        <f>IFERROR(((H$48+G$48)/2)/H$39*365,"n/a")</f>
        <v/>
      </c>
      <c r="I24" s="16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6">
        <f>IFERROR(((C$50+B$50)/2)/ABS(C$40)*365,"n/a")</f>
        <v/>
      </c>
      <c r="D25" s="16">
        <f>IFERROR(((D$50+C$50)/2)/ABS(D$40)*365,"n/a")</f>
        <v/>
      </c>
      <c r="E25" s="16">
        <f>IFERROR(((E$50+D$50)/2)/ABS(E$40)*365,"n/a")</f>
        <v/>
      </c>
      <c r="F25" s="16">
        <f>IFERROR(((F$50+E$50)/2)/ABS(F$40)*365,"n/a")</f>
        <v/>
      </c>
      <c r="G25" s="16">
        <f>IFERROR(((G$50+F$50)/2)/ABS(G$40)*365,"n/a")</f>
        <v/>
      </c>
      <c r="H25" s="16">
        <f>IFERROR(((H$50+G$50)/2)/ABS(H$40)*365,"n/a")</f>
        <v/>
      </c>
      <c r="I25" s="16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balance_sheet!B1</f>
        <v/>
      </c>
      <c r="C31" s="9">
        <f>balance_sheet!C1</f>
        <v/>
      </c>
      <c r="D31" s="9">
        <f>balance_sheet!D1</f>
        <v/>
      </c>
      <c r="E31" s="9">
        <f>balance_sheet!E1</f>
        <v/>
      </c>
      <c r="F31" s="9">
        <f>balance_sheet!F1</f>
        <v/>
      </c>
      <c r="G31" s="9">
        <f>balance_sheet!G1</f>
        <v/>
      </c>
      <c r="H31" s="9">
        <f>balance_sheet!H1</f>
        <v/>
      </c>
      <c r="I31" s="9">
        <f>balance_sheet!I1</f>
        <v/>
      </c>
    </row>
    <row r="32">
      <c r="A32" s="15" t="inlineStr">
        <is>
          <t>Vốn chủ sở hữu</t>
        </is>
      </c>
      <c r="B32" s="17">
        <f>IFERROR(INDEX(balance_sheet!$B:$I,MATCH("Vốn chủ sở hữu",balance_sheet!$A:$A,0),MATCH(B$31,balance_sheet!$B$1:$I$1,0)),"")</f>
        <v/>
      </c>
      <c r="C32" s="17">
        <f>IFERROR(INDEX(balance_sheet!$B:$I,MATCH("Vốn chủ sở hữu",balance_sheet!$A:$A,0),MATCH(C$31,balance_sheet!$B$1:$I$1,0)),"")</f>
        <v/>
      </c>
      <c r="D32" s="17">
        <f>IFERROR(INDEX(balance_sheet!$B:$I,MATCH("Vốn chủ sở hữu",balance_sheet!$A:$A,0),MATCH(D$31,balance_sheet!$B$1:$I$1,0)),"")</f>
        <v/>
      </c>
      <c r="E32" s="17">
        <f>IFERROR(INDEX(balance_sheet!$B:$I,MATCH("Vốn chủ sở hữu",balance_sheet!$A:$A,0),MATCH(E$31,balance_sheet!$B$1:$I$1,0)),"")</f>
        <v/>
      </c>
      <c r="F32" s="17">
        <f>IFERROR(INDEX(balance_sheet!$B:$I,MATCH("Vốn chủ sở hữu",balance_sheet!$A:$A,0),MATCH(F$31,balance_sheet!$B$1:$I$1,0)),"")</f>
        <v/>
      </c>
      <c r="G32" s="17">
        <f>IFERROR(INDEX(balance_sheet!$B:$I,MATCH("Vốn chủ sở hữu",balance_sheet!$A:$A,0),MATCH(G$31,balance_sheet!$B$1:$I$1,0)),"")</f>
        <v/>
      </c>
      <c r="H32" s="17">
        <f>IFERROR(INDEX(balance_sheet!$B:$I,MATCH("Vốn chủ sở hữu",balance_sheet!$A:$A,0),MATCH(H$31,balance_sheet!$B$1:$I$1,0)),"")</f>
        <v/>
      </c>
      <c r="I32" s="17">
        <f>IFERROR(INDEX(balance_sheet!$B:$I,MATCH("Vốn chủ sở hữu",balance_sheet!$A:$A,0),MATCH(I$31,balance_sheet!$B$1:$I$1,0)),"")</f>
        <v/>
      </c>
    </row>
    <row r="33">
      <c r="A33" s="15" t="inlineStr">
        <is>
          <t>TỔNG CỘNG TÀI SẢN</t>
        </is>
      </c>
      <c r="B33" s="17">
        <f>IFERROR(INDEX(balance_sheet!$B:$I,MATCH("TỔNG CỘNG TÀI SẢN",balance_sheet!$A:$A,0),MATCH(B$31,balance_sheet!$B$1:$I$1,0)),"")</f>
        <v/>
      </c>
      <c r="C33" s="17">
        <f>IFERROR(INDEX(balance_sheet!$B:$I,MATCH("TỔNG CỘNG TÀI SẢN",balance_sheet!$A:$A,0),MATCH(C$31,balance_sheet!$B$1:$I$1,0)),"")</f>
        <v/>
      </c>
      <c r="D33" s="17">
        <f>IFERROR(INDEX(balance_sheet!$B:$I,MATCH("TỔNG CỘNG TÀI SẢN",balance_sheet!$A:$A,0),MATCH(D$31,balance_sheet!$B$1:$I$1,0)),"")</f>
        <v/>
      </c>
      <c r="E33" s="17">
        <f>IFERROR(INDEX(balance_sheet!$B:$I,MATCH("TỔNG CỘNG TÀI SẢN",balance_sheet!$A:$A,0),MATCH(E$31,balance_sheet!$B$1:$I$1,0)),"")</f>
        <v/>
      </c>
      <c r="F33" s="17">
        <f>IFERROR(INDEX(balance_sheet!$B:$I,MATCH("TỔNG CỘNG TÀI SẢN",balance_sheet!$A:$A,0),MATCH(F$31,balance_sheet!$B$1:$I$1,0)),"")</f>
        <v/>
      </c>
      <c r="G33" s="17">
        <f>IFERROR(INDEX(balance_sheet!$B:$I,MATCH("TỔNG CỘNG TÀI SẢN",balance_sheet!$A:$A,0),MATCH(G$31,balance_sheet!$B$1:$I$1,0)),"")</f>
        <v/>
      </c>
      <c r="H33" s="17">
        <f>IFERROR(INDEX(balance_sheet!$B:$I,MATCH("TỔNG CỘNG TÀI SẢN",balance_sheet!$A:$A,0),MATCH(H$31,balance_sheet!$B$1:$I$1,0)),"")</f>
        <v/>
      </c>
      <c r="I33" s="17">
        <f>IFERROR(INDEX(balance_sheet!$B:$I,MATCH("TỔNG CỘNG TÀI SẢN",balance_sheet!$A:$A,0),MATCH(I$31,balance_sheet!$B$1:$I$1,0)),"")</f>
        <v/>
      </c>
    </row>
    <row r="34">
      <c r="A34" s="15" t="inlineStr">
        <is>
          <t>NỢ PHẢI TRẢ</t>
        </is>
      </c>
      <c r="B34" s="17">
        <f>IFERROR(INDEX(balance_sheet!$B:$I,MATCH("NỢ PHẢI TRẢ",balance_sheet!$A:$A,0),MATCH(B$31,balance_sheet!$B$1:$I$1,0)),"")</f>
        <v/>
      </c>
      <c r="C34" s="17">
        <f>IFERROR(INDEX(balance_sheet!$B:$I,MATCH("NỢ PHẢI TRẢ",balance_sheet!$A:$A,0),MATCH(C$31,balance_sheet!$B$1:$I$1,0)),"")</f>
        <v/>
      </c>
      <c r="D34" s="17">
        <f>IFERROR(INDEX(balance_sheet!$B:$I,MATCH("NỢ PHẢI TRẢ",balance_sheet!$A:$A,0),MATCH(D$31,balance_sheet!$B$1:$I$1,0)),"")</f>
        <v/>
      </c>
      <c r="E34" s="17">
        <f>IFERROR(INDEX(balance_sheet!$B:$I,MATCH("NỢ PHẢI TRẢ",balance_sheet!$A:$A,0),MATCH(E$31,balance_sheet!$B$1:$I$1,0)),"")</f>
        <v/>
      </c>
      <c r="F34" s="17">
        <f>IFERROR(INDEX(balance_sheet!$B:$I,MATCH("NỢ PHẢI TRẢ",balance_sheet!$A:$A,0),MATCH(F$31,balance_sheet!$B$1:$I$1,0)),"")</f>
        <v/>
      </c>
      <c r="G34" s="17">
        <f>IFERROR(INDEX(balance_sheet!$B:$I,MATCH("NỢ PHẢI TRẢ",balance_sheet!$A:$A,0),MATCH(G$31,balance_sheet!$B$1:$I$1,0)),"")</f>
        <v/>
      </c>
      <c r="H34" s="17">
        <f>IFERROR(INDEX(balance_sheet!$B:$I,MATCH("NỢ PHẢI TRẢ",balance_sheet!$A:$A,0),MATCH(H$31,balance_sheet!$B$1:$I$1,0)),"")</f>
        <v/>
      </c>
      <c r="I34" s="17">
        <f>IFERROR(INDEX(balance_sheet!$B:$I,MATCH("NỢ PHẢI TRẢ",balance_sheet!$A:$A,0),MATCH(I$31,balance_sheet!$B$1:$I$1,0)),"")</f>
        <v/>
      </c>
    </row>
    <row r="35">
      <c r="A35" s="15" t="inlineStr">
        <is>
          <t>Nợ ngắn hạn</t>
        </is>
      </c>
      <c r="B35" s="17">
        <f>IFERROR(INDEX(balance_sheet!$B:$I,MATCH("Nợ ngắn hạn",balance_sheet!$A:$A,0),MATCH(B$31,balance_sheet!$B$1:$I$1,0)),"")</f>
        <v/>
      </c>
      <c r="C35" s="17">
        <f>IFERROR(INDEX(balance_sheet!$B:$I,MATCH("Nợ ngắn hạn",balance_sheet!$A:$A,0),MATCH(C$31,balance_sheet!$B$1:$I$1,0)),"")</f>
        <v/>
      </c>
      <c r="D35" s="17">
        <f>IFERROR(INDEX(balance_sheet!$B:$I,MATCH("Nợ ngắn hạn",balance_sheet!$A:$A,0),MATCH(D$31,balance_sheet!$B$1:$I$1,0)),"")</f>
        <v/>
      </c>
      <c r="E35" s="17">
        <f>IFERROR(INDEX(balance_sheet!$B:$I,MATCH("Nợ ngắn hạn",balance_sheet!$A:$A,0),MATCH(E$31,balance_sheet!$B$1:$I$1,0)),"")</f>
        <v/>
      </c>
      <c r="F35" s="17">
        <f>IFERROR(INDEX(balance_sheet!$B:$I,MATCH("Nợ ngắn hạn",balance_sheet!$A:$A,0),MATCH(F$31,balance_sheet!$B$1:$I$1,0)),"")</f>
        <v/>
      </c>
      <c r="G35" s="17">
        <f>IFERROR(INDEX(balance_sheet!$B:$I,MATCH("Nợ ngắn hạn",balance_sheet!$A:$A,0),MATCH(G$31,balance_sheet!$B$1:$I$1,0)),"")</f>
        <v/>
      </c>
      <c r="H35" s="17">
        <f>IFERROR(INDEX(balance_sheet!$B:$I,MATCH("Nợ ngắn hạn",balance_sheet!$A:$A,0),MATCH(H$31,balance_sheet!$B$1:$I$1,0)),"")</f>
        <v/>
      </c>
      <c r="I35" s="17">
        <f>IFERROR(INDEX(balance_sheet!$B:$I,MATCH("Nợ ngắn hạn",balance_sheet!$A:$A,0),MATCH(I$31,balance_sheet!$B$1:$I$1,0)),"")</f>
        <v/>
      </c>
    </row>
    <row r="36">
      <c r="A36" s="15" t="inlineStr">
        <is>
          <t>Nợ dài hạn</t>
        </is>
      </c>
      <c r="B36" s="17">
        <f>IFERROR(INDEX(balance_sheet!$B:$I,MATCH("Nợ dài hạn",balance_sheet!$A:$A,0),MATCH(B$31,balance_sheet!$B$1:$I$1,0)),"")</f>
        <v/>
      </c>
      <c r="C36" s="17">
        <f>IFERROR(INDEX(balance_sheet!$B:$I,MATCH("Nợ dài hạn",balance_sheet!$A:$A,0),MATCH(C$31,balance_sheet!$B$1:$I$1,0)),"")</f>
        <v/>
      </c>
      <c r="D36" s="17">
        <f>IFERROR(INDEX(balance_sheet!$B:$I,MATCH("Nợ dài hạn",balance_sheet!$A:$A,0),MATCH(D$31,balance_sheet!$B$1:$I$1,0)),"")</f>
        <v/>
      </c>
      <c r="E36" s="17">
        <f>IFERROR(INDEX(balance_sheet!$B:$I,MATCH("Nợ dài hạn",balance_sheet!$A:$A,0),MATCH(E$31,balance_sheet!$B$1:$I$1,0)),"")</f>
        <v/>
      </c>
      <c r="F36" s="17">
        <f>IFERROR(INDEX(balance_sheet!$B:$I,MATCH("Nợ dài hạn",balance_sheet!$A:$A,0),MATCH(F$31,balance_sheet!$B$1:$I$1,0)),"")</f>
        <v/>
      </c>
      <c r="G36" s="17">
        <f>IFERROR(INDEX(balance_sheet!$B:$I,MATCH("Nợ dài hạn",balance_sheet!$A:$A,0),MATCH(G$31,balance_sheet!$B$1:$I$1,0)),"")</f>
        <v/>
      </c>
      <c r="H36" s="17">
        <f>IFERROR(INDEX(balance_sheet!$B:$I,MATCH("Nợ dài hạn",balance_sheet!$A:$A,0),MATCH(H$31,balance_sheet!$B$1:$I$1,0)),"")</f>
        <v/>
      </c>
      <c r="I36" s="17">
        <f>IFERROR(INDEX(balance_sheet!$B:$I,MATCH("Nợ dài hạn",balance_sheet!$A:$A,0),MATCH(I$31,balance_sheet!$B$1:$I$1,0)),"")</f>
        <v/>
      </c>
    </row>
    <row r="37">
      <c r="A37" s="15" t="inlineStr">
        <is>
          <t>Vay ngắn hạn</t>
        </is>
      </c>
      <c r="B37" s="17">
        <f>IFERROR(INDEX(balance_sheet!$B:$I,MATCH("Vay ngắn hạn",balance_sheet!$A:$A,0),MATCH(B$31,balance_sheet!$B$1:$I$1,0)),"")</f>
        <v/>
      </c>
      <c r="C37" s="17">
        <f>IFERROR(INDEX(balance_sheet!$B:$I,MATCH("Vay ngắn hạn",balance_sheet!$A:$A,0),MATCH(C$31,balance_sheet!$B$1:$I$1,0)),"")</f>
        <v/>
      </c>
      <c r="D37" s="17">
        <f>IFERROR(INDEX(balance_sheet!$B:$I,MATCH("Vay ngắn hạn",balance_sheet!$A:$A,0),MATCH(D$31,balance_sheet!$B$1:$I$1,0)),"")</f>
        <v/>
      </c>
      <c r="E37" s="17">
        <f>IFERROR(INDEX(balance_sheet!$B:$I,MATCH("Vay ngắn hạn",balance_sheet!$A:$A,0),MATCH(E$31,balance_sheet!$B$1:$I$1,0)),"")</f>
        <v/>
      </c>
      <c r="F37" s="17">
        <f>IFERROR(INDEX(balance_sheet!$B:$I,MATCH("Vay ngắn hạn",balance_sheet!$A:$A,0),MATCH(F$31,balance_sheet!$B$1:$I$1,0)),"")</f>
        <v/>
      </c>
      <c r="G37" s="17">
        <f>IFERROR(INDEX(balance_sheet!$B:$I,MATCH("Vay ngắn hạn",balance_sheet!$A:$A,0),MATCH(G$31,balance_sheet!$B$1:$I$1,0)),"")</f>
        <v/>
      </c>
      <c r="H37" s="17">
        <f>IFERROR(INDEX(balance_sheet!$B:$I,MATCH("Vay ngắn hạn",balance_sheet!$A:$A,0),MATCH(H$31,balance_sheet!$B$1:$I$1,0)),"")</f>
        <v/>
      </c>
      <c r="I37" s="17">
        <f>IFERROR(INDEX(balance_sheet!$B:$I,MATCH("Vay ngắn hạn",balance_sheet!$A:$A,0),MATCH(I$31,balance_sheet!$B$1:$I$1,0)),"")</f>
        <v/>
      </c>
    </row>
    <row r="38">
      <c r="A38" s="15" t="inlineStr">
        <is>
          <t>Vay dài hạn</t>
        </is>
      </c>
      <c r="B38" s="17">
        <f>IFERROR(INDEX(balance_sheet!$B:$I,MATCH("Vay dài hạn",balance_sheet!$A:$A,0),MATCH(B$31,balance_sheet!$B$1:$I$1,0)),"")</f>
        <v/>
      </c>
      <c r="C38" s="17">
        <f>IFERROR(INDEX(balance_sheet!$B:$I,MATCH("Vay dài hạn",balance_sheet!$A:$A,0),MATCH(C$31,balance_sheet!$B$1:$I$1,0)),"")</f>
        <v/>
      </c>
      <c r="D38" s="17">
        <f>IFERROR(INDEX(balance_sheet!$B:$I,MATCH("Vay dài hạn",balance_sheet!$A:$A,0),MATCH(D$31,balance_sheet!$B$1:$I$1,0)),"")</f>
        <v/>
      </c>
      <c r="E38" s="17">
        <f>IFERROR(INDEX(balance_sheet!$B:$I,MATCH("Vay dài hạn",balance_sheet!$A:$A,0),MATCH(E$31,balance_sheet!$B$1:$I$1,0)),"")</f>
        <v/>
      </c>
      <c r="F38" s="17">
        <f>IFERROR(INDEX(balance_sheet!$B:$I,MATCH("Vay dài hạn",balance_sheet!$A:$A,0),MATCH(F$31,balance_sheet!$B$1:$I$1,0)),"")</f>
        <v/>
      </c>
      <c r="G38" s="17">
        <f>IFERROR(INDEX(balance_sheet!$B:$I,MATCH("Vay dài hạn",balance_sheet!$A:$A,0),MATCH(G$31,balance_sheet!$B$1:$I$1,0)),"")</f>
        <v/>
      </c>
      <c r="H38" s="17">
        <f>IFERROR(INDEX(balance_sheet!$B:$I,MATCH("Vay dài hạn",balance_sheet!$A:$A,0),MATCH(H$31,balance_sheet!$B$1:$I$1,0)),"")</f>
        <v/>
      </c>
      <c r="I38" s="17">
        <f>IFERROR(INDEX(balance_sheet!$B:$I,MATCH("Vay dài hạn",balance_sheet!$A:$A,0),MATCH(I$31,balance_sheet!$B$1:$I$1,0)),"")</f>
        <v/>
      </c>
    </row>
    <row r="39">
      <c r="A39" s="15" t="inlineStr">
        <is>
          <t>Doanh thu thuần</t>
        </is>
      </c>
      <c r="B39" s="17">
        <f>IFERROR(INDEX(income_statement!$B:$I,MATCH("Doanh thu thuần",income_statement!$A:$A,0),MATCH(B$31,income_statement!$B$1:$I$1,0)),"")</f>
        <v/>
      </c>
      <c r="C39" s="17">
        <f>IFERROR(INDEX(income_statement!$B:$I,MATCH("Doanh thu thuần",income_statement!$A:$A,0),MATCH(C$31,income_statement!$B$1:$I$1,0)),"")</f>
        <v/>
      </c>
      <c r="D39" s="17">
        <f>IFERROR(INDEX(income_statement!$B:$I,MATCH("Doanh thu thuần",income_statement!$A:$A,0),MATCH(D$31,income_statement!$B$1:$I$1,0)),"")</f>
        <v/>
      </c>
      <c r="E39" s="17">
        <f>IFERROR(INDEX(income_statement!$B:$I,MATCH("Doanh thu thuần",income_statement!$A:$A,0),MATCH(E$31,income_statement!$B$1:$I$1,0)),"")</f>
        <v/>
      </c>
      <c r="F39" s="17">
        <f>IFERROR(INDEX(income_statement!$B:$I,MATCH("Doanh thu thuần",income_statement!$A:$A,0),MATCH(F$31,income_statement!$B$1:$I$1,0)),"")</f>
        <v/>
      </c>
      <c r="G39" s="17">
        <f>IFERROR(INDEX(income_statement!$B:$I,MATCH("Doanh thu thuần",income_statement!$A:$A,0),MATCH(G$31,income_statement!$B$1:$I$1,0)),"")</f>
        <v/>
      </c>
      <c r="H39" s="17">
        <f>IFERROR(INDEX(income_statement!$B:$I,MATCH("Doanh thu thuần",income_statement!$A:$A,0),MATCH(H$31,income_statement!$B$1:$I$1,0)),"")</f>
        <v/>
      </c>
      <c r="I39" s="17">
        <f>IFERROR(INDEX(income_statement!$B:$I,MATCH("Doanh thu thuần",income_statement!$A:$A,0),MATCH(I$31,income_statement!$B$1:$I$1,0)),"")</f>
        <v/>
      </c>
    </row>
    <row r="40">
      <c r="A40" s="15" t="inlineStr">
        <is>
          <t>Giá vốn hàng bán</t>
        </is>
      </c>
      <c r="B40" s="17">
        <f>IFERROR(INDEX(income_statement!$B:$I,MATCH("Giá vốn hàng bán",income_statement!$A:$A,0),MATCH(B$31,income_statement!$B$1:$I$1,0)),"")</f>
        <v/>
      </c>
      <c r="C40" s="17">
        <f>IFERROR(INDEX(income_statement!$B:$I,MATCH("Giá vốn hàng bán",income_statement!$A:$A,0),MATCH(C$31,income_statement!$B$1:$I$1,0)),"")</f>
        <v/>
      </c>
      <c r="D40" s="17">
        <f>IFERROR(INDEX(income_statement!$B:$I,MATCH("Giá vốn hàng bán",income_statement!$A:$A,0),MATCH(D$31,income_statement!$B$1:$I$1,0)),"")</f>
        <v/>
      </c>
      <c r="E40" s="17">
        <f>IFERROR(INDEX(income_statement!$B:$I,MATCH("Giá vốn hàng bán",income_statement!$A:$A,0),MATCH(E$31,income_statement!$B$1:$I$1,0)),"")</f>
        <v/>
      </c>
      <c r="F40" s="17">
        <f>IFERROR(INDEX(income_statement!$B:$I,MATCH("Giá vốn hàng bán",income_statement!$A:$A,0),MATCH(F$31,income_statement!$B$1:$I$1,0)),"")</f>
        <v/>
      </c>
      <c r="G40" s="17">
        <f>IFERROR(INDEX(income_statement!$B:$I,MATCH("Giá vốn hàng bán",income_statement!$A:$A,0),MATCH(G$31,income_statement!$B$1:$I$1,0)),"")</f>
        <v/>
      </c>
      <c r="H40" s="17">
        <f>IFERROR(INDEX(income_statement!$B:$I,MATCH("Giá vốn hàng bán",income_statement!$A:$A,0),MATCH(H$31,income_statement!$B$1:$I$1,0)),"")</f>
        <v/>
      </c>
      <c r="I40" s="17">
        <f>IFERROR(INDEX(income_statement!$B:$I,MATCH("Giá vốn hàng bán",income_statement!$A:$A,0),MATCH(I$31,income_statement!$B$1:$I$1,0)),"")</f>
        <v/>
      </c>
    </row>
    <row r="41">
      <c r="A41" s="15" t="inlineStr">
        <is>
          <t>Lợi nhuận gộp</t>
        </is>
      </c>
      <c r="B41" s="17">
        <f>IFERROR(INDEX(income_statement!$B:$I,MATCH("Lợi nhuận gộp",income_statement!$A:$A,0),MATCH(B$31,income_statement!$B$1:$I$1,0)),"")</f>
        <v/>
      </c>
      <c r="C41" s="17">
        <f>IFERROR(INDEX(income_statement!$B:$I,MATCH("Lợi nhuận gộp",income_statement!$A:$A,0),MATCH(C$31,income_statement!$B$1:$I$1,0)),"")</f>
        <v/>
      </c>
      <c r="D41" s="17">
        <f>IFERROR(INDEX(income_statement!$B:$I,MATCH("Lợi nhuận gộp",income_statement!$A:$A,0),MATCH(D$31,income_statement!$B$1:$I$1,0)),"")</f>
        <v/>
      </c>
      <c r="E41" s="17">
        <f>IFERROR(INDEX(income_statement!$B:$I,MATCH("Lợi nhuận gộp",income_statement!$A:$A,0),MATCH(E$31,income_statement!$B$1:$I$1,0)),"")</f>
        <v/>
      </c>
      <c r="F41" s="17">
        <f>IFERROR(INDEX(income_statement!$B:$I,MATCH("Lợi nhuận gộp",income_statement!$A:$A,0),MATCH(F$31,income_statement!$B$1:$I$1,0)),"")</f>
        <v/>
      </c>
      <c r="G41" s="17">
        <f>IFERROR(INDEX(income_statement!$B:$I,MATCH("Lợi nhuận gộp",income_statement!$A:$A,0),MATCH(G$31,income_statement!$B$1:$I$1,0)),"")</f>
        <v/>
      </c>
      <c r="H41" s="17">
        <f>IFERROR(INDEX(income_statement!$B:$I,MATCH("Lợi nhuận gộp",income_statement!$A:$A,0),MATCH(H$31,income_statement!$B$1:$I$1,0)),"")</f>
        <v/>
      </c>
      <c r="I41" s="17">
        <f>IFERROR(INDEX(income_statement!$B:$I,MATCH("Lợi nhuận gộp",income_statement!$A:$A,0),MATCH(I$31,income_statement!$B$1:$I$1,0)),"")</f>
        <v/>
      </c>
    </row>
    <row r="42">
      <c r="A42" s="15" t="inlineStr">
        <is>
          <t>Chi phí bán hàng</t>
        </is>
      </c>
      <c r="B42" s="17">
        <f>IFERROR(INDEX(income_statement!$B:$I,MATCH("Chi phí bán hàng",income_statement!$A:$A,0),MATCH(B$31,income_statement!$B$1:$I$1,0)),"")</f>
        <v/>
      </c>
      <c r="C42" s="17">
        <f>IFERROR(INDEX(income_statement!$B:$I,MATCH("Chi phí bán hàng",income_statement!$A:$A,0),MATCH(C$31,income_statement!$B$1:$I$1,0)),"")</f>
        <v/>
      </c>
      <c r="D42" s="17">
        <f>IFERROR(INDEX(income_statement!$B:$I,MATCH("Chi phí bán hàng",income_statement!$A:$A,0),MATCH(D$31,income_statement!$B$1:$I$1,0)),"")</f>
        <v/>
      </c>
      <c r="E42" s="17">
        <f>IFERROR(INDEX(income_statement!$B:$I,MATCH("Chi phí bán hàng",income_statement!$A:$A,0),MATCH(E$31,income_statement!$B$1:$I$1,0)),"")</f>
        <v/>
      </c>
      <c r="F42" s="17">
        <f>IFERROR(INDEX(income_statement!$B:$I,MATCH("Chi phí bán hàng",income_statement!$A:$A,0),MATCH(F$31,income_statement!$B$1:$I$1,0)),"")</f>
        <v/>
      </c>
      <c r="G42" s="17">
        <f>IFERROR(INDEX(income_statement!$B:$I,MATCH("Chi phí bán hàng",income_statement!$A:$A,0),MATCH(G$31,income_statement!$B$1:$I$1,0)),"")</f>
        <v/>
      </c>
      <c r="H42" s="17">
        <f>IFERROR(INDEX(income_statement!$B:$I,MATCH("Chi phí bán hàng",income_statement!$A:$A,0),MATCH(H$31,income_statement!$B$1:$I$1,0)),"")</f>
        <v/>
      </c>
      <c r="I42" s="17">
        <f>IFERROR(INDEX(income_statement!$B:$I,MATCH("Chi phí bán hàng",income_statement!$A:$A,0),MATCH(I$31,income_statement!$B$1:$I$1,0)),"")</f>
        <v/>
      </c>
    </row>
    <row r="43">
      <c r="A43" s="15" t="inlineStr">
        <is>
          <t>Chi phí quản lý doanh nghiệp</t>
        </is>
      </c>
      <c r="B43" s="17">
        <f>IFERROR(INDEX(income_statement!$B:$I,MATCH("Chi phí quản lý doanh nghiệp",income_statement!$A:$A,0),MATCH(B$31,income_statement!$B$1:$I$1,0)),"")</f>
        <v/>
      </c>
      <c r="C43" s="17">
        <f>IFERROR(INDEX(income_statement!$B:$I,MATCH("Chi phí quản lý doanh nghiệp",income_statement!$A:$A,0),MATCH(C$31,income_statement!$B$1:$I$1,0)),"")</f>
        <v/>
      </c>
      <c r="D43" s="17">
        <f>IFERROR(INDEX(income_statement!$B:$I,MATCH("Chi phí quản lý doanh nghiệp",income_statement!$A:$A,0),MATCH(D$31,income_statement!$B$1:$I$1,0)),"")</f>
        <v/>
      </c>
      <c r="E43" s="17">
        <f>IFERROR(INDEX(income_statement!$B:$I,MATCH("Chi phí quản lý doanh nghiệp",income_statement!$A:$A,0),MATCH(E$31,income_statement!$B$1:$I$1,0)),"")</f>
        <v/>
      </c>
      <c r="F43" s="17">
        <f>IFERROR(INDEX(income_statement!$B:$I,MATCH("Chi phí quản lý doanh nghiệp",income_statement!$A:$A,0),MATCH(F$31,income_statement!$B$1:$I$1,0)),"")</f>
        <v/>
      </c>
      <c r="G43" s="17">
        <f>IFERROR(INDEX(income_statement!$B:$I,MATCH("Chi phí quản lý doanh nghiệp",income_statement!$A:$A,0),MATCH(G$31,income_statement!$B$1:$I$1,0)),"")</f>
        <v/>
      </c>
      <c r="H43" s="17">
        <f>IFERROR(INDEX(income_statement!$B:$I,MATCH("Chi phí quản lý doanh nghiệp",income_statement!$A:$A,0),MATCH(H$31,income_statement!$B$1:$I$1,0)),"")</f>
        <v/>
      </c>
      <c r="I43" s="17">
        <f>IFERROR(INDEX(income_statement!$B:$I,MATCH("Chi phí quản lý doanh nghiệp",income_statement!$A:$A,0),MATCH(I$31,income_statement!$B$1:$I$1,0)),"")</f>
        <v/>
      </c>
    </row>
    <row r="44">
      <c r="A44" s="15" t="inlineStr">
        <is>
          <t>Lãi/(lỗ) từ hoạt động kinh doanh</t>
        </is>
      </c>
      <c r="B44" s="17">
        <f>IFERROR(INDEX(income_statement!$B:$I,MATCH("Lãi/(lỗ) từ hoạt động kinh doanh",income_statement!$A:$A,0),MATCH(B$31,income_statement!$B$1:$I$1,0)),"")</f>
        <v/>
      </c>
      <c r="C44" s="17">
        <f>IFERROR(INDEX(income_statement!$B:$I,MATCH("Lãi/(lỗ) từ hoạt động kinh doanh",income_statement!$A:$A,0),MATCH(C$31,income_statement!$B$1:$I$1,0)),"")</f>
        <v/>
      </c>
      <c r="D44" s="17">
        <f>IFERROR(INDEX(income_statement!$B:$I,MATCH("Lãi/(lỗ) từ hoạt động kinh doanh",income_statement!$A:$A,0),MATCH(D$31,income_statement!$B$1:$I$1,0)),"")</f>
        <v/>
      </c>
      <c r="E44" s="17">
        <f>IFERROR(INDEX(income_statement!$B:$I,MATCH("Lãi/(lỗ) từ hoạt động kinh doanh",income_statement!$A:$A,0),MATCH(E$31,income_statement!$B$1:$I$1,0)),"")</f>
        <v/>
      </c>
      <c r="F44" s="17">
        <f>IFERROR(INDEX(income_statement!$B:$I,MATCH("Lãi/(lỗ) từ hoạt động kinh doanh",income_statement!$A:$A,0),MATCH(F$31,income_statement!$B$1:$I$1,0)),"")</f>
        <v/>
      </c>
      <c r="G44" s="17">
        <f>IFERROR(INDEX(income_statement!$B:$I,MATCH("Lãi/(lỗ) từ hoạt động kinh doanh",income_statement!$A:$A,0),MATCH(G$31,income_statement!$B$1:$I$1,0)),"")</f>
        <v/>
      </c>
      <c r="H44" s="17">
        <f>IFERROR(INDEX(income_statement!$B:$I,MATCH("Lãi/(lỗ) từ hoạt động kinh doanh",income_statement!$A:$A,0),MATCH(H$31,income_statement!$B$1:$I$1,0)),"")</f>
        <v/>
      </c>
      <c r="I44" s="17">
        <f>IFERROR(INDEX(income_statement!$B:$I,MATCH("Lãi/(lỗ) từ hoạt động kinh doanh",income_statement!$A:$A,0),MATCH(I$31,income_statement!$B$1:$I$1,0)),"")</f>
        <v/>
      </c>
    </row>
    <row r="45">
      <c r="A45" s="15" t="inlineStr">
        <is>
          <t>Chi phí lãi vay</t>
        </is>
      </c>
      <c r="B45" s="17">
        <f>IFERROR(INDEX(income_statement!$B:$I,MATCH("Chi phí lãi vay",income_statement!$A:$A,0),MATCH(B$31,income_statement!$B$1:$I$1,0)),"")</f>
        <v/>
      </c>
      <c r="C45" s="17">
        <f>IFERROR(INDEX(income_statement!$B:$I,MATCH("Chi phí lãi vay",income_statement!$A:$A,0),MATCH(C$31,income_statement!$B$1:$I$1,0)),"")</f>
        <v/>
      </c>
      <c r="D45" s="17">
        <f>IFERROR(INDEX(income_statement!$B:$I,MATCH("Chi phí lãi vay",income_statement!$A:$A,0),MATCH(D$31,income_statement!$B$1:$I$1,0)),"")</f>
        <v/>
      </c>
      <c r="E45" s="17">
        <f>IFERROR(INDEX(income_statement!$B:$I,MATCH("Chi phí lãi vay",income_statement!$A:$A,0),MATCH(E$31,income_statement!$B$1:$I$1,0)),"")</f>
        <v/>
      </c>
      <c r="F45" s="17">
        <f>IFERROR(INDEX(income_statement!$B:$I,MATCH("Chi phí lãi vay",income_statement!$A:$A,0),MATCH(F$31,income_statement!$B$1:$I$1,0)),"")</f>
        <v/>
      </c>
      <c r="G45" s="17">
        <f>IFERROR(INDEX(income_statement!$B:$I,MATCH("Chi phí lãi vay",income_statement!$A:$A,0),MATCH(G$31,income_statement!$B$1:$I$1,0)),"")</f>
        <v/>
      </c>
      <c r="H45" s="17">
        <f>IFERROR(INDEX(income_statement!$B:$I,MATCH("Chi phí lãi vay",income_statement!$A:$A,0),MATCH(H$31,income_statement!$B$1:$I$1,0)),"")</f>
        <v/>
      </c>
      <c r="I45" s="17">
        <f>IFERROR(INDEX(income_statement!$B:$I,MATCH("Chi phí lãi vay",income_statement!$A:$A,0),MATCH(I$31,income_statement!$B$1:$I$1,0)),"")</f>
        <v/>
      </c>
    </row>
    <row r="46">
      <c r="A46" s="15" t="inlineStr">
        <is>
          <t>Lãi/(lỗ) thuần sau thuế</t>
        </is>
      </c>
      <c r="B46" s="17">
        <f>IFERROR(INDEX(income_statement!$B:$I,MATCH("Lãi/(lỗ) thuần sau thuế",income_statement!$A:$A,0),MATCH(B$31,income_statement!$B$1:$I$1,0)),"")</f>
        <v/>
      </c>
      <c r="C46" s="17">
        <f>IFERROR(INDEX(income_statement!$B:$I,MATCH("Lãi/(lỗ) thuần sau thuế",income_statement!$A:$A,0),MATCH(C$31,income_statement!$B$1:$I$1,0)),"")</f>
        <v/>
      </c>
      <c r="D46" s="17">
        <f>IFERROR(INDEX(income_statement!$B:$I,MATCH("Lãi/(lỗ) thuần sau thuế",income_statement!$A:$A,0),MATCH(D$31,income_statement!$B$1:$I$1,0)),"")</f>
        <v/>
      </c>
      <c r="E46" s="17">
        <f>IFERROR(INDEX(income_statement!$B:$I,MATCH("Lãi/(lỗ) thuần sau thuế",income_statement!$A:$A,0),MATCH(E$31,income_statement!$B$1:$I$1,0)),"")</f>
        <v/>
      </c>
      <c r="F46" s="17">
        <f>IFERROR(INDEX(income_statement!$B:$I,MATCH("Lãi/(lỗ) thuần sau thuế",income_statement!$A:$A,0),MATCH(F$31,income_statement!$B$1:$I$1,0)),"")</f>
        <v/>
      </c>
      <c r="G46" s="17">
        <f>IFERROR(INDEX(income_statement!$B:$I,MATCH("Lãi/(lỗ) thuần sau thuế",income_statement!$A:$A,0),MATCH(G$31,income_statement!$B$1:$I$1,0)),"")</f>
        <v/>
      </c>
      <c r="H46" s="17">
        <f>IFERROR(INDEX(income_statement!$B:$I,MATCH("Lãi/(lỗ) thuần sau thuế",income_statement!$A:$A,0),MATCH(H$31,income_statement!$B$1:$I$1,0)),"")</f>
        <v/>
      </c>
      <c r="I46" s="17">
        <f>IFERROR(INDEX(income_statement!$B:$I,MATCH("Lãi/(lỗ) thuần sau thuế",income_statement!$A:$A,0),MATCH(I$31,income_statement!$B$1:$I$1,0)),"")</f>
        <v/>
      </c>
    </row>
    <row r="47">
      <c r="A47" s="15" t="inlineStr">
        <is>
          <t>Lợi nhuận của Cổ đông của Công ty mẹ</t>
        </is>
      </c>
      <c r="B47" s="17">
        <f>IFERROR(INDEX(income_statement!$B:$I,MATCH("Lợi nhuận của Cổ đông của Công ty mẹ",income_statement!$A:$A,0),MATCH(B$31,income_statement!$B$1:$I$1,0)),"")</f>
        <v/>
      </c>
      <c r="C47" s="17">
        <f>IFERROR(INDEX(income_statement!$B:$I,MATCH("Lợi nhuận của Cổ đông của Công ty mẹ",income_statement!$A:$A,0),MATCH(C$31,income_statement!$B$1:$I$1,0)),"")</f>
        <v/>
      </c>
      <c r="D47" s="17">
        <f>IFERROR(INDEX(income_statement!$B:$I,MATCH("Lợi nhuận của Cổ đông của Công ty mẹ",income_statement!$A:$A,0),MATCH(D$31,income_statement!$B$1:$I$1,0)),"")</f>
        <v/>
      </c>
      <c r="E47" s="17">
        <f>IFERROR(INDEX(income_statement!$B:$I,MATCH("Lợi nhuận của Cổ đông của Công ty mẹ",income_statement!$A:$A,0),MATCH(E$31,income_statement!$B$1:$I$1,0)),"")</f>
        <v/>
      </c>
      <c r="F47" s="17">
        <f>IFERROR(INDEX(income_statement!$B:$I,MATCH("Lợi nhuận của Cổ đông của Công ty mẹ",income_statement!$A:$A,0),MATCH(F$31,income_statement!$B$1:$I$1,0)),"")</f>
        <v/>
      </c>
      <c r="G47" s="17">
        <f>IFERROR(INDEX(income_statement!$B:$I,MATCH("Lợi nhuận của Cổ đông của Công ty mẹ",income_statement!$A:$A,0),MATCH(G$31,income_statement!$B$1:$I$1,0)),"")</f>
        <v/>
      </c>
      <c r="H47" s="17">
        <f>IFERROR(INDEX(income_statement!$B:$I,MATCH("Lợi nhuận của Cổ đông của Công ty mẹ",income_statement!$A:$A,0),MATCH(H$31,income_statement!$B$1:$I$1,0)),"")</f>
        <v/>
      </c>
      <c r="I47" s="17">
        <f>IFERROR(INDEX(income_statement!$B:$I,MATCH("Lợi nhuận của Cổ đông của Công ty mẹ",income_statement!$A:$A,0),MATCH(I$31,income_statement!$B$1:$I$1,0)),"")</f>
        <v/>
      </c>
    </row>
    <row r="48">
      <c r="A48" s="15" t="inlineStr">
        <is>
          <t>Phải thu khách hàng</t>
        </is>
      </c>
      <c r="B48" s="17">
        <f>IFERROR(INDEX(balance_sheet!$B:$I,MATCH("Phải thu khách hàng",balance_sheet!$A:$A,0),MATCH(B$31,balance_sheet!$B$1:$I$1,0)),"")</f>
        <v/>
      </c>
      <c r="C48" s="17">
        <f>IFERROR(INDEX(balance_sheet!$B:$I,MATCH("Phải thu khách hàng",balance_sheet!$A:$A,0),MATCH(C$31,balance_sheet!$B$1:$I$1,0)),"")</f>
        <v/>
      </c>
      <c r="D48" s="17">
        <f>IFERROR(INDEX(balance_sheet!$B:$I,MATCH("Phải thu khách hàng",balance_sheet!$A:$A,0),MATCH(D$31,balance_sheet!$B$1:$I$1,0)),"")</f>
        <v/>
      </c>
      <c r="E48" s="17">
        <f>IFERROR(INDEX(balance_sheet!$B:$I,MATCH("Phải thu khách hàng",balance_sheet!$A:$A,0),MATCH(E$31,balance_sheet!$B$1:$I$1,0)),"")</f>
        <v/>
      </c>
      <c r="F48" s="17">
        <f>IFERROR(INDEX(balance_sheet!$B:$I,MATCH("Phải thu khách hàng",balance_sheet!$A:$A,0),MATCH(F$31,balance_sheet!$B$1:$I$1,0)),"")</f>
        <v/>
      </c>
      <c r="G48" s="17">
        <f>IFERROR(INDEX(balance_sheet!$B:$I,MATCH("Phải thu khách hàng",balance_sheet!$A:$A,0),MATCH(G$31,balance_sheet!$B$1:$I$1,0)),"")</f>
        <v/>
      </c>
      <c r="H48" s="17">
        <f>IFERROR(INDEX(balance_sheet!$B:$I,MATCH("Phải thu khách hàng",balance_sheet!$A:$A,0),MATCH(H$31,balance_sheet!$B$1:$I$1,0)),"")</f>
        <v/>
      </c>
      <c r="I48" s="17">
        <f>IFERROR(INDEX(balance_sheet!$B:$I,MATCH("Phải thu khách hàng",balance_sheet!$A:$A,0),MATCH(I$31,balance_sheet!$B$1:$I$1,0)),"")</f>
        <v/>
      </c>
    </row>
    <row r="49">
      <c r="A49" s="15" t="inlineStr">
        <is>
          <t>Phải trả người bán</t>
        </is>
      </c>
      <c r="B49" s="17">
        <f>IFERROR(INDEX(balance_sheet!$B:$I,MATCH("Phải trả người bán",balance_sheet!$A:$A,0),MATCH(B$31,balance_sheet!$B$1:$I$1,0)),"")</f>
        <v/>
      </c>
      <c r="C49" s="17">
        <f>IFERROR(INDEX(balance_sheet!$B:$I,MATCH("Phải trả người bán",balance_sheet!$A:$A,0),MATCH(C$31,balance_sheet!$B$1:$I$1,0)),"")</f>
        <v/>
      </c>
      <c r="D49" s="17">
        <f>IFERROR(INDEX(balance_sheet!$B:$I,MATCH("Phải trả người bán",balance_sheet!$A:$A,0),MATCH(D$31,balance_sheet!$B$1:$I$1,0)),"")</f>
        <v/>
      </c>
      <c r="E49" s="17">
        <f>IFERROR(INDEX(balance_sheet!$B:$I,MATCH("Phải trả người bán",balance_sheet!$A:$A,0),MATCH(E$31,balance_sheet!$B$1:$I$1,0)),"")</f>
        <v/>
      </c>
      <c r="F49" s="17">
        <f>IFERROR(INDEX(balance_sheet!$B:$I,MATCH("Phải trả người bán",balance_sheet!$A:$A,0),MATCH(F$31,balance_sheet!$B$1:$I$1,0)),"")</f>
        <v/>
      </c>
      <c r="G49" s="17">
        <f>IFERROR(INDEX(balance_sheet!$B:$I,MATCH("Phải trả người bán",balance_sheet!$A:$A,0),MATCH(G$31,balance_sheet!$B$1:$I$1,0)),"")</f>
        <v/>
      </c>
      <c r="H49" s="17">
        <f>IFERROR(INDEX(balance_sheet!$B:$I,MATCH("Phải trả người bán",balance_sheet!$A:$A,0),MATCH(H$31,balance_sheet!$B$1:$I$1,0)),"")</f>
        <v/>
      </c>
      <c r="I49" s="17">
        <f>IFERROR(INDEX(balance_sheet!$B:$I,MATCH("Phải trả người bán",balance_sheet!$A:$A,0),MATCH(I$31,balance_sheet!$B$1:$I$1,0)),"")</f>
        <v/>
      </c>
    </row>
    <row r="50">
      <c r="A50" s="15" t="inlineStr">
        <is>
          <t>Hàng tồn kho, ròng</t>
        </is>
      </c>
      <c r="B50" s="17">
        <f>IFERROR(INDEX(balance_sheet!$B:$I,MATCH("Hàng tồn kho, ròng",balance_sheet!$A:$A,0),MATCH(B$31,balance_sheet!$B$1:$I$1,0)),"")</f>
        <v/>
      </c>
      <c r="C50" s="17">
        <f>IFERROR(INDEX(balance_sheet!$B:$I,MATCH("Hàng tồn kho, ròng",balance_sheet!$A:$A,0),MATCH(C$31,balance_sheet!$B$1:$I$1,0)),"")</f>
        <v/>
      </c>
      <c r="D50" s="17">
        <f>IFERROR(INDEX(balance_sheet!$B:$I,MATCH("Hàng tồn kho, ròng",balance_sheet!$A:$A,0),MATCH(D$31,balance_sheet!$B$1:$I$1,0)),"")</f>
        <v/>
      </c>
      <c r="E50" s="17">
        <f>IFERROR(INDEX(balance_sheet!$B:$I,MATCH("Hàng tồn kho, ròng",balance_sheet!$A:$A,0),MATCH(E$31,balance_sheet!$B$1:$I$1,0)),"")</f>
        <v/>
      </c>
      <c r="F50" s="17">
        <f>IFERROR(INDEX(balance_sheet!$B:$I,MATCH("Hàng tồn kho, ròng",balance_sheet!$A:$A,0),MATCH(F$31,balance_sheet!$B$1:$I$1,0)),"")</f>
        <v/>
      </c>
      <c r="G50" s="17">
        <f>IFERROR(INDEX(balance_sheet!$B:$I,MATCH("Hàng tồn kho, ròng",balance_sheet!$A:$A,0),MATCH(G$31,balance_sheet!$B$1:$I$1,0)),"")</f>
        <v/>
      </c>
      <c r="H50" s="17">
        <f>IFERROR(INDEX(balance_sheet!$B:$I,MATCH("Hàng tồn kho, ròng",balance_sheet!$A:$A,0),MATCH(H$31,balance_sheet!$B$1:$I$1,0)),"")</f>
        <v/>
      </c>
      <c r="I50" s="17">
        <f>IFERROR(INDEX(balance_sheet!$B:$I,MATCH("Hàng tồn kho, ròng",balance_sheet!$A:$A,0),MATCH(I$31,balance_sheet!$B$1:$I$1,0)),"")</f>
        <v/>
      </c>
    </row>
    <row r="51">
      <c r="A51" s="15" t="inlineStr">
        <is>
          <t>Tiền và tương đương tiền</t>
        </is>
      </c>
      <c r="B51" s="17">
        <f>IFERROR(INDEX(balance_sheet!$B:$I,MATCH("Tiền và tương đương tiền",balance_sheet!$A:$A,0),MATCH(B$31,balance_sheet!$B$1:$I$1,0)),"")</f>
        <v/>
      </c>
      <c r="C51" s="17">
        <f>IFERROR(INDEX(balance_sheet!$B:$I,MATCH("Tiền và tương đương tiền",balance_sheet!$A:$A,0),MATCH(C$31,balance_sheet!$B$1:$I$1,0)),"")</f>
        <v/>
      </c>
      <c r="D51" s="17">
        <f>IFERROR(INDEX(balance_sheet!$B:$I,MATCH("Tiền và tương đương tiền",balance_sheet!$A:$A,0),MATCH(D$31,balance_sheet!$B$1:$I$1,0)),"")</f>
        <v/>
      </c>
      <c r="E51" s="17">
        <f>IFERROR(INDEX(balance_sheet!$B:$I,MATCH("Tiền và tương đương tiền",balance_sheet!$A:$A,0),MATCH(E$31,balance_sheet!$B$1:$I$1,0)),"")</f>
        <v/>
      </c>
      <c r="F51" s="17">
        <f>IFERROR(INDEX(balance_sheet!$B:$I,MATCH("Tiền và tương đương tiền",balance_sheet!$A:$A,0),MATCH(F$31,balance_sheet!$B$1:$I$1,0)),"")</f>
        <v/>
      </c>
      <c r="G51" s="17">
        <f>IFERROR(INDEX(balance_sheet!$B:$I,MATCH("Tiền và tương đương tiền",balance_sheet!$A:$A,0),MATCH(G$31,balance_sheet!$B$1:$I$1,0)),"")</f>
        <v/>
      </c>
      <c r="H51" s="17">
        <f>IFERROR(INDEX(balance_sheet!$B:$I,MATCH("Tiền và tương đương tiền",balance_sheet!$A:$A,0),MATCH(H$31,balance_sheet!$B$1:$I$1,0)),"")</f>
        <v/>
      </c>
      <c r="I51" s="17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cols>
    <col width="8.25" customWidth="1" min="2" max="2"/>
    <col width="19" customWidth="1" min="3" max="3"/>
    <col width="7.125" customWidth="1" min="10" max="10"/>
    <col width="7.625" customWidth="1" min="11" max="11"/>
  </cols>
  <sheetData>
    <row r="1" ht="15" customHeight="1">
      <c r="C1" s="18" t="inlineStr">
        <is>
          <t>Q1/2026</t>
        </is>
      </c>
      <c r="D1" s="18" t="inlineStr">
        <is>
          <t>Q2/2026</t>
        </is>
      </c>
      <c r="E1" s="18" t="inlineStr">
        <is>
          <t>Q3/2026</t>
        </is>
      </c>
      <c r="F1" s="18" t="inlineStr">
        <is>
          <t>Q4/2026</t>
        </is>
      </c>
      <c r="J1" s="19" t="inlineStr">
        <is>
          <t>Q1/2026</t>
        </is>
      </c>
      <c r="K1" s="19" t="inlineStr">
        <is>
          <t>Q2/2026</t>
        </is>
      </c>
      <c r="L1" s="19" t="inlineStr">
        <is>
          <t>Q3/2026</t>
        </is>
      </c>
      <c r="M1" s="19" t="inlineStr">
        <is>
          <t>Q4/2026</t>
        </is>
      </c>
    </row>
    <row r="2" ht="15.75" customHeight="1">
      <c r="B2" s="20" t="inlineStr">
        <is>
          <t>Số CP</t>
        </is>
      </c>
      <c r="C2" s="21" t="n">
        <v>1703507121</v>
      </c>
      <c r="D2" s="21" t="n">
        <v>1703507121</v>
      </c>
      <c r="E2" s="21" t="n">
        <v>1703507121</v>
      </c>
      <c r="F2" s="21" t="n">
        <v>1703507121</v>
      </c>
      <c r="I2" s="18" t="inlineStr">
        <is>
          <t>EPS</t>
        </is>
      </c>
      <c r="J2" s="22" t="n">
        <v>5687</v>
      </c>
      <c r="K2" s="22">
        <f>$J$2*(($M$2/$J$2)^(1/3))</f>
        <v/>
      </c>
      <c r="L2" s="22">
        <f>$J$2*(($M$2/$J$2)^(2/3))</f>
        <v/>
      </c>
      <c r="M2" s="23" t="n">
        <v>6329.530336022586</v>
      </c>
    </row>
    <row r="3" ht="15" customHeight="1">
      <c r="B3" s="20" t="inlineStr">
        <is>
          <t>Thị giá</t>
        </is>
      </c>
      <c r="C3" s="21" t="n"/>
      <c r="D3" s="21" t="n"/>
      <c r="E3" s="21" t="n"/>
      <c r="F3" s="21" t="n"/>
      <c r="I3" s="24" t="n"/>
      <c r="J3" s="18" t="n"/>
      <c r="K3" s="18" t="n"/>
      <c r="L3" s="18" t="n"/>
      <c r="M3" s="25" t="n"/>
    </row>
    <row r="4" ht="15.75" customHeight="1">
      <c r="B4" s="20" t="inlineStr">
        <is>
          <t>Vốn hoá</t>
        </is>
      </c>
      <c r="C4" s="26">
        <f>C2*C3</f>
        <v/>
      </c>
      <c r="D4" s="26">
        <f>D2*D3</f>
        <v/>
      </c>
      <c r="E4" s="26">
        <f>E2*E3</f>
        <v/>
      </c>
      <c r="F4" s="26">
        <f>F2*F3</f>
        <v/>
      </c>
      <c r="I4" s="24" t="inlineStr">
        <is>
          <t>fPE</t>
        </is>
      </c>
      <c r="J4" s="27">
        <f>$F$3/J2</f>
        <v/>
      </c>
      <c r="K4" s="27">
        <f>$F$3/K2</f>
        <v/>
      </c>
      <c r="L4" s="27">
        <f>$F$3/L2</f>
        <v/>
      </c>
      <c r="M4" s="27">
        <f>$F$3/M2</f>
        <v/>
      </c>
    </row>
    <row r="5" ht="15.75" customHeight="1">
      <c r="B5" s="20" t="inlineStr">
        <is>
          <t>VCSH</t>
        </is>
      </c>
      <c r="C5" s="28" t="n">
        <v>40122000000000</v>
      </c>
      <c r="D5" s="28">
        <f>$C$5*(($F$5/$C$5)^(1/3))</f>
        <v/>
      </c>
      <c r="E5" s="28">
        <f>$C$5*(($F$5/$C$5)^(2/3))</f>
        <v/>
      </c>
      <c r="F5" s="28" t="n">
        <v>46100000000000</v>
      </c>
      <c r="I5" s="24" t="inlineStr">
        <is>
          <t>EP</t>
        </is>
      </c>
      <c r="J5" s="29">
        <f>1/J4</f>
        <v/>
      </c>
      <c r="K5" s="29">
        <f>1/K4</f>
        <v/>
      </c>
      <c r="L5" s="29">
        <f>1/L4</f>
        <v/>
      </c>
      <c r="M5" s="29">
        <f>1/M4</f>
        <v/>
      </c>
    </row>
    <row r="6" ht="15.75" customHeight="1">
      <c r="B6" s="20" t="inlineStr">
        <is>
          <t>LICĐKKS</t>
        </is>
      </c>
      <c r="C6" s="28" t="n">
        <v>1170000000000</v>
      </c>
      <c r="D6" s="28">
        <f>D5*0.05</f>
        <v/>
      </c>
      <c r="E6" s="28">
        <f>E5*0.05</f>
        <v/>
      </c>
      <c r="F6" s="28">
        <f>F5*0.05</f>
        <v/>
      </c>
    </row>
    <row r="7" ht="15.75" customHeight="1">
      <c r="B7" s="20" t="inlineStr">
        <is>
          <t>BV</t>
        </is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I7" s="20" t="inlineStr">
        <is>
          <t>DT</t>
        </is>
      </c>
      <c r="J7" s="21" t="n"/>
      <c r="K7" s="21" t="n"/>
      <c r="L7" s="21" t="n"/>
      <c r="M7" s="21" t="n"/>
    </row>
    <row r="8" ht="15" customHeight="1">
      <c r="B8" s="30" t="inlineStr">
        <is>
          <t>BVPS</t>
        </is>
      </c>
      <c r="C8" s="31">
        <f>C7/C2</f>
        <v/>
      </c>
      <c r="D8" s="31">
        <f>D7/D2</f>
        <v/>
      </c>
      <c r="E8" s="31">
        <f>E7/E2</f>
        <v/>
      </c>
      <c r="F8" s="31">
        <f>F7/F2</f>
        <v/>
      </c>
      <c r="I8" s="30" t="n"/>
    </row>
    <row r="9" ht="15" customHeight="1">
      <c r="B9" s="30" t="inlineStr">
        <is>
          <t>PB</t>
        </is>
      </c>
      <c r="C9" s="32">
        <f>C4/C7</f>
        <v/>
      </c>
      <c r="D9" s="32">
        <f>D4/D7</f>
        <v/>
      </c>
      <c r="E9" s="32">
        <f>E4/E7</f>
        <v/>
      </c>
      <c r="F9" s="32">
        <f>F4/F7</f>
        <v/>
      </c>
      <c r="J9" s="30" t="n"/>
      <c r="K9" s="30" t="n"/>
      <c r="L9" s="30" t="n"/>
      <c r="M9" s="30" t="n"/>
      <c r="N9" s="30" t="n"/>
    </row>
    <row r="10" ht="15" customHeight="1">
      <c r="P10" s="30" t="n"/>
      <c r="Q10" s="30" t="n"/>
    </row>
    <row r="11" ht="15" customHeight="1">
      <c r="B11" s="19" t="inlineStr">
        <is>
          <t>ROE</t>
        </is>
      </c>
      <c r="C11" s="33" t="n">
        <v>0.25</v>
      </c>
      <c r="J11" s="30" t="n"/>
      <c r="K11" s="30" t="n"/>
      <c r="L11" s="30" t="n"/>
      <c r="M11" s="30" t="n"/>
      <c r="N11" s="30" t="n"/>
      <c r="O11" s="30" t="n"/>
    </row>
    <row r="12" ht="15" customHeight="1">
      <c r="B12" s="19" t="inlineStr">
        <is>
          <t>ROE*1/PB</t>
        </is>
      </c>
      <c r="C12" s="34">
        <f>C11*1/F9</f>
        <v/>
      </c>
      <c r="P12" s="30" t="n"/>
      <c r="Q12" s="30" t="n"/>
    </row>
    <row r="13" ht="15" customHeight="1">
      <c r="B13" s="19" t="inlineStr">
        <is>
          <t>LS</t>
        </is>
      </c>
      <c r="C13" s="33" t="n">
        <v>0.05</v>
      </c>
    </row>
    <row r="14" ht="15" customHeight="1">
      <c r="C14" s="35" t="n"/>
      <c r="P14" s="30" t="n"/>
      <c r="Q14" s="30" t="n"/>
    </row>
    <row r="15"/>
    <row r="16"/>
    <row r="17"/>
    <row r="18" ht="15" customHeight="1">
      <c r="C18" s="33" t="n"/>
    </row>
    <row r="19"/>
    <row r="20"/>
    <row r="21">
      <c r="F21" s="20" t="inlineStr">
        <is>
          <t>.</t>
        </is>
      </c>
    </row>
  </sheetData>
  <conditionalFormatting sqref="M3">
    <cfRule type="cellIs" priority="1" operator="lessThan" dxfId="0">
      <formula>0.1</formula>
    </cfRule>
    <cfRule type="cellIs" priority="2" operator="greaterThanOrEqual" dxfId="1">
      <formula>0.2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2026-08-21T02:01:28Z</dcterms:created>
  <dcterms:modified xsi:type="dcterms:W3CDTF">2026-08-21T02:01:28Z</dcterms:modified>
</cp:coreProperties>
</file>
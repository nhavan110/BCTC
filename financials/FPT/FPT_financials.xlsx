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balance_sheet" sheetId="1" state="visible" r:id="rId1"/>
    <sheet xmlns:r="http://schemas.openxmlformats.org/officeDocument/2006/relationships" name="income_statement" sheetId="2" state="visible" r:id="rId2"/>
    <sheet xmlns:r="http://schemas.openxmlformats.org/officeDocument/2006/relationships" name="cash_flow" sheetId="3" state="visible" r:id="rId3"/>
    <sheet xmlns:r="http://schemas.openxmlformats.org/officeDocument/2006/relationships" name="chi_so_tai_chinh" sheetId="4" state="visible" r:id="rId4"/>
  </sheets>
  <definedNames/>
  <calcPr calcId="124519" fullCalcOnLoad="1" refMode="A1" iterate="0" iterateCount="100" iterateDelta="0.0001"/>
</workbook>
</file>

<file path=xl/styles.xml><?xml version="1.0" encoding="utf-8"?>
<styleSheet xmlns="http://schemas.openxmlformats.org/spreadsheetml/2006/main">
  <numFmts count="7">
    <numFmt numFmtId="164" formatCode="#,##0;\(#,##0\);\-"/>
    <numFmt numFmtId="165" formatCode="0.0%"/>
    <numFmt numFmtId="166" formatCode="0.00\x"/>
    <numFmt numFmtId="167" formatCode="#,##0&quot; ngày&quot;"/>
    <numFmt numFmtId="168" formatCode="0.00&quot;x&quot;"/>
    <numFmt numFmtId="169" formatCode="#,##0 &quot;ngày&quot;"/>
    <numFmt numFmtId="170" formatCode="#,##0;(#,##0);&quot;-&quot;"/>
  </numFmts>
  <fonts count="24">
    <font>
      <name val="Calibri"/>
      <charset val="1"/>
      <family val="2"/>
      <color theme="1"/>
      <sz val="11"/>
    </font>
    <font>
      <name val="Arial"/>
      <family val="0"/>
      <sz val="10"/>
    </font>
    <font>
      <name val="Arial"/>
      <family val="0"/>
      <sz val="10"/>
    </font>
    <font>
      <name val="Arial"/>
      <family val="0"/>
      <sz val="10"/>
    </font>
    <font>
      <name val="Calibri"/>
      <charset val="1"/>
      <family val="0"/>
      <b val="1"/>
      <color rgb="FFFFFFFF"/>
      <sz val="14"/>
    </font>
    <font>
      <name val="Calibri"/>
      <charset val="1"/>
      <family val="0"/>
      <i val="1"/>
      <color rgb="FF808080"/>
      <sz val="9"/>
    </font>
    <font>
      <name val="Calibri"/>
      <charset val="1"/>
      <family val="0"/>
      <b val="1"/>
      <sz val="11"/>
    </font>
    <font>
      <name val="Calibri"/>
      <charset val="1"/>
      <family val="0"/>
      <sz val="10"/>
    </font>
    <font>
      <name val="Calibri"/>
      <charset val="1"/>
      <family val="0"/>
      <color rgb="FF008000"/>
      <sz val="10"/>
    </font>
    <font>
      <name val="Calibri"/>
      <charset val="1"/>
      <family val="0"/>
      <b val="1"/>
      <i val="1"/>
      <sz val="10"/>
    </font>
    <font>
      <name val="Calibri"/>
      <charset val="1"/>
      <family val="0"/>
      <b val="1"/>
      <sz val="10"/>
    </font>
    <font>
      <name val="Calibri"/>
      <charset val="1"/>
      <family val="0"/>
      <color rgb="FF000000"/>
      <sz val="10"/>
    </font>
    <font>
      <name val="Calibri"/>
      <charset val="1"/>
      <family val="0"/>
      <i val="1"/>
      <color rgb="FF808080"/>
      <sz val="10"/>
    </font>
    <font>
      <name val="Tahoma"/>
      <b val="1"/>
      <color rgb="00FFFFFF"/>
      <sz val="14"/>
    </font>
    <font>
      <name val="Tahoma"/>
      <i val="1"/>
      <color rgb="00808080"/>
      <sz val="9"/>
    </font>
    <font>
      <name val="Tahoma"/>
      <b val="1"/>
      <sz val="11"/>
    </font>
    <font>
      <name val="Tahoma"/>
      <b val="1"/>
    </font>
    <font>
      <name val="Tahoma"/>
      <b val="1"/>
      <i val="1"/>
      <sz val="10"/>
    </font>
    <font>
      <name val="Tahoma"/>
      <b val="1"/>
      <sz val="10"/>
    </font>
    <font>
      <name val="Tahoma"/>
      <i val="1"/>
      <color rgb="00808080"/>
      <sz val="10"/>
    </font>
    <font>
      <name val="Tahoma"/>
      <color rgb="00000000"/>
      <sz val="10"/>
    </font>
    <font>
      <name val="Tahoma"/>
      <sz val="10"/>
    </font>
    <font>
      <name val="Tahoma"/>
      <color rgb="00008000"/>
      <sz val="10"/>
    </font>
    <font>
      <name val="Tahoma"/>
      <b val="1"/>
      <color rgb="00FFFFFF"/>
    </font>
  </fonts>
  <fills count="6">
    <fill>
      <patternFill/>
    </fill>
    <fill>
      <patternFill patternType="gray125"/>
    </fill>
    <fill>
      <patternFill patternType="solid">
        <fgColor rgb="FF1F4E78"/>
        <bgColor rgb="FF003366"/>
      </patternFill>
    </fill>
    <fill>
      <patternFill patternType="solid">
        <fgColor rgb="FFD9E1F2"/>
        <bgColor rgb="FFCCFFFF"/>
      </patternFill>
    </fill>
    <fill>
      <patternFill patternType="solid">
        <fgColor rgb="001F4E78"/>
      </patternFill>
    </fill>
    <fill>
      <patternFill patternType="solid">
        <fgColor rgb="00D9E1F2"/>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00BFBFBF"/>
      </left>
      <right style="thin">
        <color rgb="00BFBFBF"/>
      </right>
      <top style="thin">
        <color rgb="00BFBFBF"/>
      </top>
      <bottom style="thin">
        <color rgb="00BFBFBF"/>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7">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5" fillId="0" borderId="0" applyAlignment="1" pivotButton="0" quotePrefix="0" xfId="0">
      <alignment horizontal="general" vertical="top" wrapText="1"/>
    </xf>
    <xf numFmtId="0" fontId="6" fillId="3" borderId="0" applyAlignment="1" pivotButton="0" quotePrefix="0" xfId="0">
      <alignment horizontal="general" vertical="bottom"/>
    </xf>
    <xf numFmtId="0" fontId="0" fillId="3" borderId="0" applyAlignment="1" pivotButton="0" quotePrefix="0" xfId="0">
      <alignment horizontal="general" vertical="bottom"/>
    </xf>
    <xf numFmtId="0" fontId="6" fillId="0" borderId="1" applyAlignment="1" pivotButton="0" quotePrefix="0" xfId="0">
      <alignment horizontal="general" vertical="bottom"/>
    </xf>
    <xf numFmtId="1" fontId="6" fillId="0" borderId="1" applyAlignment="1" pivotButton="0" quotePrefix="0" xfId="0">
      <alignment horizontal="center" vertical="bottom"/>
    </xf>
    <xf numFmtId="0" fontId="7" fillId="0" borderId="1" applyAlignment="1" pivotButton="0" quotePrefix="0" xfId="0">
      <alignment horizontal="general" vertical="bottom"/>
    </xf>
    <xf numFmtId="164" fontId="8" fillId="0" borderId="1" applyAlignment="1" pivotButton="0" quotePrefix="0" xfId="0">
      <alignment horizontal="general" vertical="bottom"/>
    </xf>
    <xf numFmtId="0" fontId="9" fillId="0" borderId="0" applyAlignment="1" pivotButton="0" quotePrefix="0" xfId="0">
      <alignment horizontal="general" vertical="bottom"/>
    </xf>
    <xf numFmtId="0" fontId="10" fillId="0" borderId="1" applyAlignment="1" pivotButton="0" quotePrefix="0" xfId="0">
      <alignment horizontal="general" vertical="bottom"/>
    </xf>
    <xf numFmtId="165" fontId="11" fillId="0" borderId="1" applyAlignment="1" pivotButton="0" quotePrefix="0" xfId="0">
      <alignment horizontal="general" vertical="bottom"/>
    </xf>
    <xf numFmtId="0" fontId="12" fillId="0" borderId="1" applyAlignment="1" pivotButton="0" quotePrefix="0" xfId="0">
      <alignment horizontal="general" vertical="bottom"/>
    </xf>
    <xf numFmtId="166" fontId="11" fillId="0" borderId="1" applyAlignment="1" pivotButton="0" quotePrefix="0" xfId="0">
      <alignment horizontal="general" vertical="bottom"/>
    </xf>
    <xf numFmtId="167" fontId="11" fillId="0" borderId="1" applyAlignment="1" pivotButton="0" quotePrefix="0" xfId="0">
      <alignment horizontal="general" vertical="bottom"/>
    </xf>
    <xf numFmtId="0" fontId="0" fillId="0" borderId="0" pivotButton="0" quotePrefix="0" xfId="0"/>
    <xf numFmtId="0" fontId="0" fillId="0" borderId="0" applyAlignment="1" pivotButton="0" quotePrefix="0" xfId="0">
      <alignment horizontal="general" vertical="bottom"/>
    </xf>
    <xf numFmtId="0" fontId="13" fillId="4" borderId="0" pivotButton="0" quotePrefix="0" xfId="0"/>
    <xf numFmtId="0" fontId="0" fillId="4" borderId="0" pivotButton="0" quotePrefix="0" xfId="0"/>
    <xf numFmtId="0" fontId="14" fillId="0" borderId="0" applyAlignment="1" pivotButton="0" quotePrefix="0" xfId="0">
      <alignment vertical="top" wrapText="1"/>
    </xf>
    <xf numFmtId="0" fontId="15" fillId="5" borderId="0" pivotButton="0" quotePrefix="0" xfId="0"/>
    <xf numFmtId="0" fontId="0" fillId="5" borderId="0" pivotButton="0" quotePrefix="0" xfId="0"/>
    <xf numFmtId="0" fontId="16" fillId="0" borderId="2" pivotButton="0" quotePrefix="0" xfId="0"/>
    <xf numFmtId="1" fontId="16" fillId="0" borderId="2" applyAlignment="1" pivotButton="0" quotePrefix="0" xfId="0">
      <alignment horizontal="center"/>
    </xf>
    <xf numFmtId="0" fontId="17" fillId="0" borderId="0" pivotButton="0" quotePrefix="0" xfId="0"/>
    <xf numFmtId="0" fontId="18" fillId="0" borderId="2" pivotButton="0" quotePrefix="0" xfId="0"/>
    <xf numFmtId="0" fontId="19" fillId="0" borderId="2" pivotButton="0" quotePrefix="0" xfId="0"/>
    <xf numFmtId="165" fontId="20" fillId="0" borderId="2" pivotButton="0" quotePrefix="0" xfId="0"/>
    <xf numFmtId="168" fontId="20" fillId="0" borderId="2" pivotButton="0" quotePrefix="0" xfId="0"/>
    <xf numFmtId="0" fontId="21" fillId="0" borderId="2" pivotButton="0" quotePrefix="0" xfId="0"/>
    <xf numFmtId="169" fontId="20" fillId="0" borderId="2" pivotButton="0" quotePrefix="0" xfId="0"/>
    <xf numFmtId="170" fontId="22" fillId="0" borderId="2" pivotButton="0" quotePrefix="0" xfId="0"/>
    <xf numFmtId="0" fontId="23" fillId="4" borderId="2" applyAlignment="1" pivotButton="0" quotePrefix="0" xfId="0">
      <alignment horizontal="left"/>
    </xf>
    <xf numFmtId="0" fontId="23" fillId="4" borderId="2" applyAlignment="1" pivotButton="0" quotePrefix="0" xfId="0">
      <alignment horizontal="center"/>
    </xf>
    <xf numFmtId="0" fontId="21" fillId="0" borderId="2" applyAlignment="1" pivotButton="0" quotePrefix="0" xfId="0">
      <alignment horizontal="general" vertical="bottom"/>
    </xf>
    <xf numFmtId="170" fontId="21" fillId="0" borderId="2" applyAlignment="1" pivotButton="0" quotePrefix="0" xfId="0">
      <alignment horizontal="general" vertical="bottom"/>
    </xf>
    <xf numFmtId="170" fontId="21" fillId="0" borderId="2"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00C6E0B4"/>
        </patternFill>
      </fill>
    </dxf>
    <dxf>
      <fill>
        <patternFill patternType="solid">
          <fgColor rgb="00F8CBA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E123"/>
  <sheetViews>
    <sheetView showFormulas="0" showGridLines="0" showRowColHeaders="1" showZeros="1" rightToLeft="0" tabSelected="1" showOutlineSymbols="1" defaultGridColor="1" view="normal" topLeftCell="A1" colorId="64" zoomScale="100" zoomScaleNormal="100" zoomScalePageLayoutView="100" workbookViewId="0">
      <pane xSplit="1" ySplit="1" topLeftCell="B2" activePane="bottomRight" state="frozen"/>
      <selection pane="topRight"/>
      <selection pane="bottomLeft"/>
      <selection pane="bottomRight" activeCell="A1" activeCellId="0" sqref="A1"/>
    </sheetView>
  </sheetViews>
  <sheetFormatPr baseColWidth="8" defaultColWidth="8.6796875" defaultRowHeight="15" zeroHeight="0" outlineLevelRow="0"/>
  <cols>
    <col width="42" customWidth="1" style="15" min="1" max="1"/>
    <col width="15" customWidth="1" style="15" min="2" max="2"/>
    <col width="15" customWidth="1" style="15" min="3" max="3"/>
    <col width="15" customWidth="1" style="15" min="4" max="4"/>
    <col width="15" customWidth="1" style="15" min="5" max="5"/>
  </cols>
  <sheetData>
    <row r="1" ht="15" customHeight="1" s="15">
      <c r="A1" s="32" t="inlineStr">
        <is>
          <t>item</t>
        </is>
      </c>
      <c r="B1" s="33" t="inlineStr">
        <is>
          <t>2025</t>
        </is>
      </c>
      <c r="C1" s="33" t="inlineStr">
        <is>
          <t>2024</t>
        </is>
      </c>
      <c r="D1" s="33" t="inlineStr">
        <is>
          <t>2023</t>
        </is>
      </c>
      <c r="E1" s="33" t="inlineStr">
        <is>
          <t>2022</t>
        </is>
      </c>
    </row>
    <row r="2" ht="15" customHeight="1" s="15">
      <c r="A2" s="34" t="inlineStr">
        <is>
          <t>TÀI SẢN NGẮN HẠN</t>
        </is>
      </c>
      <c r="B2" s="35" t="n">
        <v>58137438254908</v>
      </c>
      <c r="C2" s="35" t="n">
        <v>45535942846453</v>
      </c>
      <c r="D2" s="35" t="n">
        <v>36705751751876</v>
      </c>
      <c r="E2" s="35" t="n">
        <v>30937711076141</v>
      </c>
    </row>
    <row r="3" ht="15" customHeight="1" s="15">
      <c r="A3" s="34" t="inlineStr">
        <is>
          <t>Tiền và tương đương tiền</t>
        </is>
      </c>
      <c r="B3" s="35" t="n">
        <v>10522105729992</v>
      </c>
      <c r="C3" s="35" t="n">
        <v>9315440438884</v>
      </c>
      <c r="D3" s="35" t="n">
        <v>8279156683221</v>
      </c>
      <c r="E3" s="35" t="n">
        <v>6440177174322</v>
      </c>
    </row>
    <row r="4" ht="15" customHeight="1" s="15">
      <c r="A4" s="34" t="inlineStr">
        <is>
          <t>Tiền</t>
        </is>
      </c>
      <c r="B4" s="35" t="n">
        <v>8084751080186</v>
      </c>
      <c r="C4" s="35" t="n">
        <v>6725619929289</v>
      </c>
      <c r="D4" s="35" t="n">
        <v>5975127685903</v>
      </c>
      <c r="E4" s="35" t="n">
        <v>3880860111180</v>
      </c>
    </row>
    <row r="5" ht="15" customHeight="1" s="15">
      <c r="A5" s="34" t="inlineStr">
        <is>
          <t>Các khoản tương đương tiền</t>
        </is>
      </c>
      <c r="B5" s="35" t="n">
        <v>2437354649806</v>
      </c>
      <c r="C5" s="35" t="n">
        <v>2589820509595</v>
      </c>
      <c r="D5" s="35" t="n">
        <v>2304028997318</v>
      </c>
      <c r="E5" s="35" t="n">
        <v>2559317063142</v>
      </c>
    </row>
    <row r="6" ht="15" customHeight="1" s="15">
      <c r="A6" s="34" t="inlineStr">
        <is>
          <t>Đầu tư ngắn hạn</t>
        </is>
      </c>
      <c r="B6" s="35" t="n">
        <v>29630986737440</v>
      </c>
      <c r="C6" s="35" t="n">
        <v>21785213686808</v>
      </c>
      <c r="D6" s="35" t="n">
        <v>16104205358010</v>
      </c>
      <c r="E6" s="35" t="n">
        <v>13047234131950</v>
      </c>
    </row>
    <row r="7" ht="15" customHeight="1" s="15">
      <c r="A7" s="34" t="inlineStr">
        <is>
          <t>Đầu tư ngắn hạn</t>
        </is>
      </c>
      <c r="B7" s="35" t="n">
        <v>0</v>
      </c>
      <c r="C7" s="35" t="n">
        <v>0</v>
      </c>
      <c r="D7" s="35" t="n">
        <v>0</v>
      </c>
      <c r="E7" s="35" t="n">
        <v>0</v>
      </c>
    </row>
    <row r="8" ht="15" customHeight="1" s="15">
      <c r="A8" s="34" t="inlineStr">
        <is>
          <t>Dự phòng giảm giá</t>
        </is>
      </c>
      <c r="B8" s="35" t="n">
        <v>0</v>
      </c>
      <c r="C8" s="35" t="n">
        <v>0</v>
      </c>
      <c r="D8" s="35" t="n">
        <v>0</v>
      </c>
      <c r="E8" s="35" t="n">
        <v>0</v>
      </c>
    </row>
    <row r="9" ht="15" customHeight="1" s="15">
      <c r="A9" s="34" t="inlineStr">
        <is>
          <t>Các khoản phải thu</t>
        </is>
      </c>
      <c r="B9" s="35" t="n">
        <v>14402017450105</v>
      </c>
      <c r="C9" s="35" t="n">
        <v>11381523992803</v>
      </c>
      <c r="D9" s="35" t="n">
        <v>9674343237344</v>
      </c>
      <c r="E9" s="35" t="n">
        <v>8502895161839</v>
      </c>
    </row>
    <row r="10" ht="15" customHeight="1" s="15">
      <c r="A10" s="34" t="inlineStr">
        <is>
          <t>Phải thu khách hàng</t>
        </is>
      </c>
      <c r="B10" s="35" t="n">
        <v>12734600596550</v>
      </c>
      <c r="C10" s="35" t="n">
        <v>10537019113380</v>
      </c>
      <c r="D10" s="35" t="n">
        <v>9057647206985</v>
      </c>
      <c r="E10" s="35" t="n">
        <v>7990076948983</v>
      </c>
    </row>
    <row r="11" ht="15" customHeight="1" s="15">
      <c r="A11" s="34" t="inlineStr">
        <is>
          <t>Trả trước người bán</t>
        </is>
      </c>
      <c r="B11" s="35" t="n">
        <v>952737932722</v>
      </c>
      <c r="C11" s="35" t="n">
        <v>610379845664</v>
      </c>
      <c r="D11" s="35" t="n">
        <v>482074732731</v>
      </c>
      <c r="E11" s="35" t="n">
        <v>292916357080</v>
      </c>
    </row>
    <row r="12" ht="15" customHeight="1" s="15">
      <c r="A12" s="34" t="inlineStr">
        <is>
          <t>Phải thu nội bộ</t>
        </is>
      </c>
      <c r="B12" s="35" t="n">
        <v>0</v>
      </c>
      <c r="C12" s="35" t="n">
        <v>0</v>
      </c>
      <c r="D12" s="35" t="n">
        <v>0</v>
      </c>
      <c r="E12" s="35" t="n">
        <v>0</v>
      </c>
    </row>
    <row r="13" ht="15" customHeight="1" s="15">
      <c r="A13" s="34" t="inlineStr">
        <is>
          <t>Phải thu hợp đồng xây dựng đang thực hiện</t>
        </is>
      </c>
      <c r="B13" s="35" t="n">
        <v>200405269967</v>
      </c>
      <c r="C13" s="35" t="n">
        <v>136097256629</v>
      </c>
      <c r="D13" s="35" t="n">
        <v>176770894412</v>
      </c>
      <c r="E13" s="35" t="n">
        <v>199252243559</v>
      </c>
    </row>
    <row r="14" ht="15" customHeight="1" s="15">
      <c r="A14" s="34" t="inlineStr">
        <is>
          <t>Phải thu khác</t>
        </is>
      </c>
      <c r="B14" s="35" t="n">
        <v>1091244484321</v>
      </c>
      <c r="C14" s="35" t="n">
        <v>707751585399</v>
      </c>
      <c r="D14" s="35" t="n">
        <v>869491618296</v>
      </c>
      <c r="E14" s="35" t="n">
        <v>719203074569</v>
      </c>
    </row>
    <row r="15" ht="15" customHeight="1" s="15">
      <c r="A15" s="34" t="inlineStr">
        <is>
          <t>Dự phòng nợ khó đòi</t>
        </is>
      </c>
      <c r="B15" s="35" t="n">
        <v>-586166744274</v>
      </c>
      <c r="C15" s="35" t="n">
        <v>-619531925859</v>
      </c>
      <c r="D15" s="35" t="n">
        <v>-912156645080</v>
      </c>
      <c r="E15" s="35" t="n">
        <v>-699436023253</v>
      </c>
    </row>
    <row r="16" ht="15" customHeight="1" s="15">
      <c r="A16" s="34" t="inlineStr">
        <is>
          <t>Hàng tồn kho, ròng</t>
        </is>
      </c>
      <c r="B16" s="35" t="n">
        <v>2193769802339</v>
      </c>
      <c r="C16" s="35" t="n">
        <v>1856756949030</v>
      </c>
      <c r="D16" s="35" t="n">
        <v>1593411075233</v>
      </c>
      <c r="E16" s="35" t="n">
        <v>1965787736563</v>
      </c>
    </row>
    <row r="17" ht="15" customHeight="1" s="15">
      <c r="A17" s="34" t="inlineStr">
        <is>
          <t>Hàng tồn kho</t>
        </is>
      </c>
      <c r="B17" s="35" t="n">
        <v>2277393610177</v>
      </c>
      <c r="C17" s="35" t="n">
        <v>1990224486513</v>
      </c>
      <c r="D17" s="35" t="n">
        <v>1724956924671</v>
      </c>
      <c r="E17" s="35" t="n">
        <v>2121118039562</v>
      </c>
    </row>
    <row r="18" ht="15" customHeight="1" s="15">
      <c r="A18" s="34" t="inlineStr">
        <is>
          <t>Dự phòng giảm giá hàng tồn kho</t>
        </is>
      </c>
      <c r="B18" s="35" t="n">
        <v>-83623807838</v>
      </c>
      <c r="C18" s="35" t="n">
        <v>-133467537483</v>
      </c>
      <c r="D18" s="35" t="n">
        <v>-131545849438</v>
      </c>
      <c r="E18" s="35" t="n">
        <v>-155330302999</v>
      </c>
    </row>
    <row r="19" ht="15" customHeight="1" s="15">
      <c r="A19" s="34" t="inlineStr">
        <is>
          <t>Tài sản lưu động khác</t>
        </is>
      </c>
      <c r="B19" s="35" t="n">
        <v>1388558535032</v>
      </c>
      <c r="C19" s="35" t="n">
        <v>1197007778928</v>
      </c>
      <c r="D19" s="35" t="n">
        <v>1054635398068</v>
      </c>
      <c r="E19" s="35" t="n">
        <v>981616871467</v>
      </c>
    </row>
    <row r="20" ht="15" customHeight="1" s="15">
      <c r="A20" s="34" t="inlineStr">
        <is>
          <t>Chi phí trả trước ngắn hạn</t>
        </is>
      </c>
      <c r="B20" s="35" t="n">
        <v>641974035769</v>
      </c>
      <c r="C20" s="35" t="n">
        <v>479707218558</v>
      </c>
      <c r="D20" s="35" t="n">
        <v>449245737865</v>
      </c>
      <c r="E20" s="35" t="n">
        <v>409346699247</v>
      </c>
    </row>
    <row r="21" ht="15" customHeight="1" s="15">
      <c r="A21" s="34" t="inlineStr">
        <is>
          <t>Thuế GTGT được khấu trừ</t>
        </is>
      </c>
      <c r="B21" s="35" t="n">
        <v>609517465104</v>
      </c>
      <c r="C21" s="35" t="n">
        <v>648697117785</v>
      </c>
      <c r="D21" s="35" t="n">
        <v>528984574991</v>
      </c>
      <c r="E21" s="35" t="n">
        <v>392864305787</v>
      </c>
    </row>
    <row r="22" ht="15" customHeight="1" s="15">
      <c r="A22" s="34" t="inlineStr">
        <is>
          <t>Phải thu thuế khác</t>
        </is>
      </c>
      <c r="B22" s="35" t="n">
        <v>137067034159</v>
      </c>
      <c r="C22" s="35" t="n">
        <v>68603442585</v>
      </c>
      <c r="D22" s="35" t="n">
        <v>76405085212</v>
      </c>
      <c r="E22" s="35" t="n">
        <v>179405866433</v>
      </c>
    </row>
    <row r="23" ht="15" customHeight="1" s="15">
      <c r="A23" s="34" t="inlineStr">
        <is>
          <t>Tài sản lưu động khác</t>
        </is>
      </c>
      <c r="B23" s="35" t="n">
        <v>0</v>
      </c>
      <c r="C23" s="35" t="n">
        <v>0</v>
      </c>
      <c r="D23" s="35" t="n">
        <v>0</v>
      </c>
      <c r="E23" s="35" t="n">
        <v>0</v>
      </c>
    </row>
    <row r="24" ht="15" customHeight="1" s="15">
      <c r="A24" s="34" t="inlineStr">
        <is>
          <t>TÀI SẢN DÀI HẠN</t>
        </is>
      </c>
      <c r="B24" s="35" t="n">
        <v>30004553379717</v>
      </c>
      <c r="C24" s="35" t="n">
        <v>26464052832167</v>
      </c>
      <c r="D24" s="35" t="n">
        <v>23577075781023</v>
      </c>
      <c r="E24" s="35" t="n">
        <v>20712692658989</v>
      </c>
    </row>
    <row r="25" ht="15" customHeight="1" s="15">
      <c r="A25" s="34" t="inlineStr">
        <is>
          <t>Phải thu dài hạn</t>
        </is>
      </c>
      <c r="B25" s="35" t="n">
        <v>564342065270</v>
      </c>
      <c r="C25" s="35" t="n">
        <v>331646166008</v>
      </c>
      <c r="D25" s="35" t="n">
        <v>247392102550</v>
      </c>
      <c r="E25" s="35" t="n">
        <v>225090876189</v>
      </c>
    </row>
    <row r="26" ht="15" customHeight="1" s="15">
      <c r="A26" s="34" t="inlineStr">
        <is>
          <t>Phải thu khách hàng dài hạn</t>
        </is>
      </c>
      <c r="B26" s="35" t="n">
        <v>0</v>
      </c>
      <c r="C26" s="35" t="n">
        <v>0</v>
      </c>
      <c r="D26" s="35" t="n">
        <v>0</v>
      </c>
      <c r="E26" s="35" t="n">
        <v>0</v>
      </c>
    </row>
    <row r="27" ht="15" customHeight="1" s="15">
      <c r="A27" s="34" t="inlineStr">
        <is>
          <t>Phải thu nội bộ dài hạn</t>
        </is>
      </c>
      <c r="B27" s="35" t="n">
        <v>0</v>
      </c>
      <c r="C27" s="35" t="n">
        <v>0</v>
      </c>
      <c r="D27" s="35" t="n">
        <v>0</v>
      </c>
      <c r="E27" s="35" t="n">
        <v>0</v>
      </c>
    </row>
    <row r="28" ht="15" customHeight="1" s="15">
      <c r="A28" s="34" t="inlineStr">
        <is>
          <t>Phải thu dài hạn khác</t>
        </is>
      </c>
      <c r="B28" s="35" t="n">
        <v>611435814893</v>
      </c>
      <c r="C28" s="35" t="n">
        <v>381508926294</v>
      </c>
      <c r="D28" s="35" t="n">
        <v>299764585187</v>
      </c>
      <c r="E28" s="35" t="n">
        <v>276273436689</v>
      </c>
    </row>
    <row r="29" ht="15" customHeight="1" s="15">
      <c r="A29" s="34" t="inlineStr">
        <is>
          <t>Dự phòng phải thu dài hạn</t>
        </is>
      </c>
      <c r="B29" s="35" t="n">
        <v>-52372482637</v>
      </c>
      <c r="C29" s="35" t="n">
        <v>-52372482637</v>
      </c>
      <c r="D29" s="35" t="n">
        <v>-52372482637</v>
      </c>
      <c r="E29" s="35" t="n">
        <v>-52372482637</v>
      </c>
    </row>
    <row r="30" ht="15" customHeight="1" s="15">
      <c r="A30" s="34" t="inlineStr">
        <is>
          <t>Tài sản cố định</t>
        </is>
      </c>
      <c r="B30" s="35" t="n">
        <v>17288541848861</v>
      </c>
      <c r="C30" s="35" t="n">
        <v>14816131186204</v>
      </c>
      <c r="D30" s="35" t="n">
        <v>13643232649833</v>
      </c>
      <c r="E30" s="35" t="n">
        <v>12032914964907</v>
      </c>
    </row>
    <row r="31" ht="15" customHeight="1" s="15">
      <c r="A31" s="34" t="inlineStr">
        <is>
          <t>GTCL TSCĐ hữu hình</t>
        </is>
      </c>
      <c r="B31" s="35" t="n">
        <v>15359168484059</v>
      </c>
      <c r="C31" s="35" t="n">
        <v>12774567961718</v>
      </c>
      <c r="D31" s="35" t="n">
        <v>12382116875249</v>
      </c>
      <c r="E31" s="35" t="n">
        <v>10714231138520</v>
      </c>
    </row>
    <row r="32" ht="15" customHeight="1" s="15">
      <c r="A32" s="34" t="inlineStr">
        <is>
          <t>Nguyên giá TSCĐ hữu hình</t>
        </is>
      </c>
      <c r="B32" s="35" t="n">
        <v>29122042372002</v>
      </c>
      <c r="C32" s="35" t="n">
        <v>24457733666511</v>
      </c>
      <c r="D32" s="35" t="n">
        <v>22288962278190</v>
      </c>
      <c r="E32" s="35" t="n">
        <v>19007982397113</v>
      </c>
    </row>
    <row r="33" ht="15" customHeight="1" s="15">
      <c r="A33" s="34" t="inlineStr">
        <is>
          <t>Khấu hao lũy kế TSCĐ hữu hình</t>
        </is>
      </c>
      <c r="B33" s="35" t="n">
        <v>-13762873887943</v>
      </c>
      <c r="C33" s="35" t="n">
        <v>-11683165704793</v>
      </c>
      <c r="D33" s="35" t="n">
        <v>-9906845402941</v>
      </c>
      <c r="E33" s="35" t="n">
        <v>-8293751258593</v>
      </c>
    </row>
    <row r="34" ht="15" customHeight="1" s="15">
      <c r="A34" s="34" t="inlineStr">
        <is>
          <t>GTCL tài sản thuê tài chính</t>
        </is>
      </c>
      <c r="B34" s="35" t="n">
        <v>1277212606</v>
      </c>
      <c r="C34" s="35" t="n">
        <v>2042708364</v>
      </c>
      <c r="D34" s="35" t="n">
        <v>4018633151</v>
      </c>
      <c r="E34" s="35" t="n">
        <v>31623636433</v>
      </c>
    </row>
    <row r="35" ht="15" customHeight="1" s="15">
      <c r="A35" s="34" t="inlineStr">
        <is>
          <t>Nguyên giá tài sản thuê tài chính</t>
        </is>
      </c>
      <c r="B35" s="35" t="n">
        <v>5871006196</v>
      </c>
      <c r="C35" s="35" t="n">
        <v>5716034788</v>
      </c>
      <c r="D35" s="35" t="n">
        <v>8032465332</v>
      </c>
      <c r="E35" s="35" t="n">
        <v>54439419528</v>
      </c>
    </row>
    <row r="36" ht="15" customHeight="1" s="15">
      <c r="A36" s="34" t="inlineStr">
        <is>
          <t>Khấu hao lũy kế tài sản thuê tài chính</t>
        </is>
      </c>
      <c r="B36" s="35" t="n">
        <v>-4593793590</v>
      </c>
      <c r="C36" s="35" t="n">
        <v>-3673326424</v>
      </c>
      <c r="D36" s="35" t="n">
        <v>-4013832181</v>
      </c>
      <c r="E36" s="35" t="n">
        <v>-22815783095</v>
      </c>
    </row>
    <row r="37" ht="15" customHeight="1" s="15">
      <c r="A37" s="34" t="inlineStr">
        <is>
          <t>GTCL tài sản cố định vô hình</t>
        </is>
      </c>
      <c r="B37" s="35" t="n">
        <v>1928096152196</v>
      </c>
      <c r="C37" s="35" t="n">
        <v>2039520516122</v>
      </c>
      <c r="D37" s="35" t="n">
        <v>1257097141433</v>
      </c>
      <c r="E37" s="35" t="n">
        <v>1287060189954</v>
      </c>
    </row>
    <row r="38" ht="15" customHeight="1" s="15">
      <c r="A38" s="34" t="inlineStr">
        <is>
          <t>Nguyên giá TSCĐ vô hình</t>
        </is>
      </c>
      <c r="B38" s="35" t="n">
        <v>3868883110367</v>
      </c>
      <c r="C38" s="35" t="n">
        <v>3656302027788</v>
      </c>
      <c r="D38" s="35" t="n">
        <v>2595586732247</v>
      </c>
      <c r="E38" s="35" t="n">
        <v>2547883324785</v>
      </c>
    </row>
    <row r="39" ht="15" customHeight="1" s="15">
      <c r="A39" s="34" t="inlineStr">
        <is>
          <t>Khấu hao lũy kế TSCĐ vô hình</t>
        </is>
      </c>
      <c r="B39" s="35" t="n">
        <v>-1940786958171</v>
      </c>
      <c r="C39" s="35" t="n">
        <v>-1616781511666</v>
      </c>
      <c r="D39" s="35" t="n">
        <v>-1338489590814</v>
      </c>
      <c r="E39" s="35" t="n">
        <v>-1260823134831</v>
      </c>
    </row>
    <row r="40" ht="15" customHeight="1" s="15">
      <c r="A40" s="34" t="inlineStr">
        <is>
          <t>Xây dựng cơ bản đang dang dở (trước 2015)</t>
        </is>
      </c>
      <c r="B40" s="35" t="n">
        <v>0</v>
      </c>
      <c r="C40" s="35" t="n">
        <v>0</v>
      </c>
      <c r="D40" s="35" t="n">
        <v>0</v>
      </c>
      <c r="E40" s="35" t="n">
        <v>0</v>
      </c>
    </row>
    <row r="41" ht="15" customHeight="1" s="15">
      <c r="A41" s="34" t="inlineStr">
        <is>
          <t>Giá trị ròng tài sản đầu tư</t>
        </is>
      </c>
      <c r="B41" s="35" t="n">
        <v>0</v>
      </c>
      <c r="C41" s="35" t="n">
        <v>0</v>
      </c>
      <c r="D41" s="35" t="n">
        <v>0</v>
      </c>
      <c r="E41" s="35" t="n">
        <v>0</v>
      </c>
    </row>
    <row r="42" ht="15" customHeight="1" s="15">
      <c r="A42" s="34" t="inlineStr">
        <is>
          <t>Nguyên giá tài sản đầu tư</t>
        </is>
      </c>
      <c r="B42" s="35" t="n">
        <v>0</v>
      </c>
      <c r="C42" s="35" t="n">
        <v>0</v>
      </c>
      <c r="D42" s="35" t="n">
        <v>0</v>
      </c>
      <c r="E42" s="35" t="n">
        <v>0</v>
      </c>
    </row>
    <row r="43" ht="15" customHeight="1" s="15">
      <c r="A43" s="34" t="inlineStr">
        <is>
          <t>Khấu hao lũy kế tài sản đầu tư</t>
        </is>
      </c>
      <c r="B43" s="35" t="n">
        <v>0</v>
      </c>
      <c r="C43" s="35" t="n">
        <v>0</v>
      </c>
      <c r="D43" s="35" t="n">
        <v>0</v>
      </c>
      <c r="E43" s="35" t="n">
        <v>0</v>
      </c>
    </row>
    <row r="44" ht="15" customHeight="1" s="15">
      <c r="A44" s="34" t="inlineStr">
        <is>
          <t>Đầu tư dài hạn</t>
        </is>
      </c>
      <c r="B44" s="35" t="n">
        <v>4737863994182</v>
      </c>
      <c r="C44" s="35" t="n">
        <v>3318095237260</v>
      </c>
      <c r="D44" s="35" t="n">
        <v>3335009108332</v>
      </c>
      <c r="E44" s="35" t="n">
        <v>3238299217787</v>
      </c>
    </row>
    <row r="45" ht="15" customHeight="1" s="15">
      <c r="A45" s="34" t="inlineStr">
        <is>
          <t>Đầu tư vào các công ty con</t>
        </is>
      </c>
      <c r="B45" s="35" t="n">
        <v>0</v>
      </c>
      <c r="C45" s="35" t="n">
        <v>0</v>
      </c>
      <c r="D45" s="35" t="n">
        <v>0</v>
      </c>
      <c r="E45" s="35" t="n">
        <v>0</v>
      </c>
    </row>
    <row r="46" ht="15" customHeight="1" s="15">
      <c r="A46" s="34" t="inlineStr">
        <is>
          <t>Đầu tư vào các công ty liên kết</t>
        </is>
      </c>
      <c r="B46" s="35" t="n">
        <v>3581128517425</v>
      </c>
      <c r="C46" s="35" t="n">
        <v>2281222436752</v>
      </c>
      <c r="D46" s="35" t="n">
        <v>2107616686383</v>
      </c>
      <c r="E46" s="35" t="n">
        <v>2205736337693</v>
      </c>
    </row>
    <row r="47" ht="15" customHeight="1" s="15">
      <c r="A47" s="34" t="inlineStr">
        <is>
          <t>Đầu tư dài hạn khác</t>
        </is>
      </c>
      <c r="B47" s="35" t="n">
        <v>3823762975906</v>
      </c>
      <c r="C47" s="35" t="n">
        <v>3393737969842</v>
      </c>
      <c r="D47" s="35" t="n">
        <v>2830348813038</v>
      </c>
      <c r="E47" s="35" t="n">
        <v>2399073118584</v>
      </c>
    </row>
    <row r="48" ht="15" customHeight="1" s="15">
      <c r="A48" s="34" t="inlineStr">
        <is>
          <t>Dự phòng giảm giá đầu tư dài hạn</t>
        </is>
      </c>
      <c r="B48" s="35" t="n">
        <v>-2667027499149</v>
      </c>
      <c r="C48" s="35" t="n">
        <v>-2357065169334</v>
      </c>
      <c r="D48" s="35" t="n">
        <v>-1623156391089</v>
      </c>
      <c r="E48" s="35" t="n">
        <v>-1376710238490</v>
      </c>
    </row>
    <row r="49" ht="15" customHeight="1" s="15">
      <c r="A49" s="34" t="inlineStr">
        <is>
          <t>Lợi thế thương mại (trước 2015)</t>
        </is>
      </c>
      <c r="B49" s="35" t="n">
        <v>0</v>
      </c>
      <c r="C49" s="35" t="n">
        <v>0</v>
      </c>
      <c r="D49" s="35" t="n">
        <v>0</v>
      </c>
      <c r="E49" s="35" t="n">
        <v>0</v>
      </c>
    </row>
    <row r="50" ht="15" customHeight="1" s="15">
      <c r="A50" s="34" t="inlineStr">
        <is>
          <t>Tài sản dài hạn khác</t>
        </is>
      </c>
      <c r="B50" s="35" t="n">
        <v>5808727466506</v>
      </c>
      <c r="C50" s="35" t="n">
        <v>5438413518284</v>
      </c>
      <c r="D50" s="35" t="n">
        <v>5036171784305</v>
      </c>
      <c r="E50" s="35" t="n">
        <v>4154202857855</v>
      </c>
    </row>
    <row r="51" ht="15" customHeight="1" s="15">
      <c r="A51" s="34" t="inlineStr">
        <is>
          <t>Trả trước dài hạn</t>
        </is>
      </c>
      <c r="B51" s="35" t="n">
        <v>4200230383066</v>
      </c>
      <c r="C51" s="35" t="n">
        <v>3765187625417</v>
      </c>
      <c r="D51" s="35" t="n">
        <v>3391434748762</v>
      </c>
      <c r="E51" s="35" t="n">
        <v>3488252134893</v>
      </c>
    </row>
    <row r="52" ht="15" customHeight="1" s="15">
      <c r="A52" s="34" t="inlineStr">
        <is>
          <t>Thuế thu nhập hoãn lại</t>
        </is>
      </c>
      <c r="B52" s="35" t="n">
        <v>592766817279</v>
      </c>
      <c r="C52" s="35" t="n">
        <v>575767686189</v>
      </c>
      <c r="D52" s="35" t="n">
        <v>360946956414</v>
      </c>
      <c r="E52" s="35" t="n">
        <v>258005875001</v>
      </c>
    </row>
    <row r="53" ht="15" customHeight="1" s="15">
      <c r="A53" s="34" t="inlineStr">
        <is>
          <t>Các tài sản dài hạn khác</t>
        </is>
      </c>
      <c r="B53" s="35" t="n">
        <v>0</v>
      </c>
      <c r="C53" s="35" t="n">
        <v>0</v>
      </c>
      <c r="D53" s="35" t="n">
        <v>0</v>
      </c>
      <c r="E53" s="35" t="n">
        <v>0</v>
      </c>
    </row>
    <row r="54" ht="15" customHeight="1" s="15">
      <c r="A54" s="34" t="inlineStr">
        <is>
          <t>TỔNG CỘNG TÀI SẢN</t>
        </is>
      </c>
      <c r="B54" s="35" t="n">
        <v>88141991634625</v>
      </c>
      <c r="C54" s="35" t="n">
        <v>71999995678620</v>
      </c>
      <c r="D54" s="35" t="n">
        <v>60282827532899</v>
      </c>
      <c r="E54" s="35" t="n">
        <v>51650403735130</v>
      </c>
    </row>
    <row r="55" ht="15" customHeight="1" s="15">
      <c r="A55" s="34" t="inlineStr">
        <is>
          <t>NỢ PHẢI TRẢ</t>
        </is>
      </c>
      <c r="B55" s="35" t="n">
        <v>44393950887086</v>
      </c>
      <c r="C55" s="35" t="n">
        <v>36272455573820</v>
      </c>
      <c r="D55" s="35" t="n">
        <v>30349816316666</v>
      </c>
      <c r="E55" s="35" t="n">
        <v>26294279047318</v>
      </c>
    </row>
    <row r="56" ht="15" customHeight="1" s="15">
      <c r="A56" s="34" t="inlineStr">
        <is>
          <t>Nợ ngắn hạn</t>
        </is>
      </c>
      <c r="B56" s="35" t="n">
        <v>41524928721230</v>
      </c>
      <c r="C56" s="35" t="n">
        <v>34836184067740</v>
      </c>
      <c r="D56" s="35" t="n">
        <v>29651673556227</v>
      </c>
      <c r="E56" s="35" t="n">
        <v>24521161696202</v>
      </c>
    </row>
    <row r="57" ht="15" customHeight="1" s="15">
      <c r="A57" s="34" t="inlineStr">
        <is>
          <t>Vay ngắn hạn</t>
        </is>
      </c>
      <c r="B57" s="35" t="n">
        <v>19169697497955</v>
      </c>
      <c r="C57" s="35" t="n">
        <v>14446238451323</v>
      </c>
      <c r="D57" s="35" t="n">
        <v>13837894474107</v>
      </c>
      <c r="E57" s="35" t="n">
        <v>10904344845014</v>
      </c>
    </row>
    <row r="58" ht="15" customHeight="1" s="15">
      <c r="A58" s="34" t="inlineStr">
        <is>
          <t>Phải trả người bán</t>
        </is>
      </c>
      <c r="B58" s="35" t="n">
        <v>3837081314767</v>
      </c>
      <c r="C58" s="35" t="n">
        <v>4423912840298</v>
      </c>
      <c r="D58" s="35" t="n">
        <v>2602977290710</v>
      </c>
      <c r="E58" s="35" t="n">
        <v>3209205494368</v>
      </c>
    </row>
    <row r="59" ht="15" customHeight="1" s="15">
      <c r="A59" s="34" t="inlineStr">
        <is>
          <t>Người mua trả tiền trước</t>
        </is>
      </c>
      <c r="B59" s="35" t="n">
        <v>734726007595</v>
      </c>
      <c r="C59" s="35" t="n">
        <v>562066755666</v>
      </c>
      <c r="D59" s="35" t="n">
        <v>602010036721</v>
      </c>
      <c r="E59" s="35" t="n">
        <v>491097603761</v>
      </c>
    </row>
    <row r="60" ht="15" customHeight="1" s="15">
      <c r="A60" s="34" t="inlineStr">
        <is>
          <t>Thuế và các khoản phải trả Nhà nước</t>
        </is>
      </c>
      <c r="B60" s="35" t="n">
        <v>2199487107880</v>
      </c>
      <c r="C60" s="35" t="n">
        <v>2298821801748</v>
      </c>
      <c r="D60" s="35" t="n">
        <v>1432356605157</v>
      </c>
      <c r="E60" s="35" t="n">
        <v>670648917592</v>
      </c>
    </row>
    <row r="61" ht="15" customHeight="1" s="15">
      <c r="A61" s="34" t="inlineStr">
        <is>
          <t>Phải trả người lao động</t>
        </is>
      </c>
      <c r="B61" s="35" t="n">
        <v>5724811126353</v>
      </c>
      <c r="C61" s="35" t="n">
        <v>4341013546853</v>
      </c>
      <c r="D61" s="35" t="n">
        <v>3734341060086</v>
      </c>
      <c r="E61" s="35" t="n">
        <v>3276698433947</v>
      </c>
    </row>
    <row r="62" ht="15" customHeight="1" s="15">
      <c r="A62" s="34" t="inlineStr">
        <is>
          <t>Chi phí phải trả</t>
        </is>
      </c>
      <c r="B62" s="35" t="n">
        <v>1765446702057</v>
      </c>
      <c r="C62" s="35" t="n">
        <v>1241089122260</v>
      </c>
      <c r="D62" s="35" t="n">
        <v>848293082410</v>
      </c>
      <c r="E62" s="35" t="n">
        <v>807640094658</v>
      </c>
    </row>
    <row r="63" ht="15" customHeight="1" s="15">
      <c r="A63" s="34" t="inlineStr">
        <is>
          <t>Phải trả nội bộ</t>
        </is>
      </c>
      <c r="B63" s="35" t="n">
        <v>0</v>
      </c>
      <c r="C63" s="35" t="n">
        <v>0</v>
      </c>
      <c r="D63" s="35" t="n">
        <v>0</v>
      </c>
      <c r="E63" s="35" t="n">
        <v>0</v>
      </c>
    </row>
    <row r="64" ht="15" customHeight="1" s="15">
      <c r="A64" s="34" t="inlineStr">
        <is>
          <t>Phải trả về xây dựng cơ bản</t>
        </is>
      </c>
      <c r="B64" s="35" t="n">
        <v>85650109236</v>
      </c>
      <c r="C64" s="35" t="n">
        <v>92738882375</v>
      </c>
      <c r="D64" s="35" t="n">
        <v>78456375540</v>
      </c>
      <c r="E64" s="35" t="n">
        <v>78663541041</v>
      </c>
    </row>
    <row r="65" ht="15" customHeight="1" s="15">
      <c r="A65" s="34" t="inlineStr">
        <is>
          <t>Phải trả khác</t>
        </is>
      </c>
      <c r="B65" s="35" t="n">
        <v>1014754880632</v>
      </c>
      <c r="C65" s="35" t="n">
        <v>874015837328</v>
      </c>
      <c r="D65" s="35" t="n">
        <v>1015101605957</v>
      </c>
      <c r="E65" s="35" t="n">
        <v>568807386283</v>
      </c>
    </row>
    <row r="66" ht="15" customHeight="1" s="15">
      <c r="A66" s="34" t="inlineStr">
        <is>
          <t>Dự phòng các khoản phải trả ngắn hạn</t>
        </is>
      </c>
      <c r="B66" s="35" t="n">
        <v>599498384069</v>
      </c>
      <c r="C66" s="35" t="n">
        <v>496600145127</v>
      </c>
      <c r="D66" s="35" t="n">
        <v>417401434437</v>
      </c>
      <c r="E66" s="35" t="n">
        <v>251132995783</v>
      </c>
    </row>
    <row r="67" ht="15" customHeight="1" s="15">
      <c r="A67" s="34" t="inlineStr">
        <is>
          <t>Quỹ khen thưởng, phúc lợi</t>
        </is>
      </c>
      <c r="B67" s="35" t="n">
        <v>2160076871985</v>
      </c>
      <c r="C67" s="35" t="n">
        <v>1835037318363</v>
      </c>
      <c r="D67" s="35" t="n">
        <v>1462636131060</v>
      </c>
      <c r="E67" s="35" t="n">
        <v>1062521021900</v>
      </c>
    </row>
    <row r="68" ht="15" customHeight="1" s="15">
      <c r="A68" s="34" t="inlineStr">
        <is>
          <t>Nợ dài hạn</t>
        </is>
      </c>
      <c r="B68" s="35" t="n">
        <v>2869022165856</v>
      </c>
      <c r="C68" s="35" t="n">
        <v>1436271506080</v>
      </c>
      <c r="D68" s="35" t="n">
        <v>698142760439</v>
      </c>
      <c r="E68" s="35" t="n">
        <v>1773117351116</v>
      </c>
    </row>
    <row r="69" ht="15" customHeight="1" s="15">
      <c r="A69" s="34" t="inlineStr">
        <is>
          <t>Phải trả nhà cung cấp dài hạn</t>
        </is>
      </c>
      <c r="B69" s="35" t="n">
        <v>0</v>
      </c>
      <c r="C69" s="35" t="n">
        <v>0</v>
      </c>
      <c r="D69" s="35" t="n">
        <v>0</v>
      </c>
      <c r="E69" s="35" t="n">
        <v>0</v>
      </c>
    </row>
    <row r="70" ht="15" customHeight="1" s="15">
      <c r="A70" s="34" t="inlineStr">
        <is>
          <t>Phải trả nội bộ dài hạn</t>
        </is>
      </c>
      <c r="B70" s="35" t="n">
        <v>0</v>
      </c>
      <c r="C70" s="35" t="n">
        <v>0</v>
      </c>
      <c r="D70" s="35" t="n">
        <v>0</v>
      </c>
      <c r="E70" s="35" t="n">
        <v>0</v>
      </c>
    </row>
    <row r="71" ht="15" customHeight="1" s="15">
      <c r="A71" s="34" t="inlineStr">
        <is>
          <t>Phải trả dài hạn khác</t>
        </is>
      </c>
      <c r="B71" s="35" t="n">
        <v>149213186822</v>
      </c>
      <c r="C71" s="35" t="n">
        <v>183788442785</v>
      </c>
      <c r="D71" s="35" t="n">
        <v>41914135058</v>
      </c>
      <c r="E71" s="35" t="n">
        <v>28146819108</v>
      </c>
    </row>
    <row r="72" ht="15" customHeight="1" s="15">
      <c r="A72" s="34" t="inlineStr">
        <is>
          <t>Vay dài hạn</t>
        </is>
      </c>
      <c r="B72" s="35" t="n">
        <v>1903789988184</v>
      </c>
      <c r="C72" s="35" t="n">
        <v>501115537075</v>
      </c>
      <c r="D72" s="35" t="n">
        <v>208074996962</v>
      </c>
      <c r="E72" s="35" t="n">
        <v>1477830333990</v>
      </c>
    </row>
    <row r="73" ht="15" customHeight="1" s="15">
      <c r="A73" s="34" t="inlineStr">
        <is>
          <t>Thuế thu nhập hoãn lại</t>
        </is>
      </c>
      <c r="B73" s="35" t="n">
        <v>257727308967</v>
      </c>
      <c r="C73" s="35" t="n">
        <v>356966680614</v>
      </c>
      <c r="D73" s="35" t="n">
        <v>245716712513</v>
      </c>
      <c r="E73" s="35" t="n">
        <v>149305200735</v>
      </c>
    </row>
    <row r="74" ht="15" customHeight="1" s="15">
      <c r="A74" s="34" t="inlineStr">
        <is>
          <t>Dự phòng trợ cấp thôi việc</t>
        </is>
      </c>
      <c r="B74" s="35" t="n">
        <v>0</v>
      </c>
      <c r="C74" s="35" t="n">
        <v>0</v>
      </c>
      <c r="D74" s="35" t="n">
        <v>0</v>
      </c>
      <c r="E74" s="35" t="n">
        <v>0</v>
      </c>
    </row>
    <row r="75" ht="15" customHeight="1" s="15">
      <c r="A75" s="34" t="inlineStr">
        <is>
          <t>Dự phòng các khoản nợ dài hạn</t>
        </is>
      </c>
      <c r="B75" s="35" t="n">
        <v>405858410471</v>
      </c>
      <c r="C75" s="35" t="n">
        <v>262864215119</v>
      </c>
      <c r="D75" s="35" t="n">
        <v>69317780976</v>
      </c>
      <c r="E75" s="35" t="n">
        <v>2763464633</v>
      </c>
    </row>
    <row r="76" ht="15" customHeight="1" s="15">
      <c r="A76" s="34" t="inlineStr">
        <is>
          <t>Doanh thu chưa thực hiện</t>
        </is>
      </c>
      <c r="B76" s="35" t="n">
        <v>152241175129</v>
      </c>
      <c r="C76" s="35" t="n">
        <v>131344534204</v>
      </c>
      <c r="D76" s="35" t="n">
        <v>132927038647</v>
      </c>
      <c r="E76" s="35" t="n">
        <v>114879436367</v>
      </c>
    </row>
    <row r="77" ht="15" customHeight="1" s="15">
      <c r="A77" s="34" t="inlineStr">
        <is>
          <t>Quỹ phát triển khoa học công nghệ</t>
        </is>
      </c>
      <c r="B77" s="35" t="n">
        <v>192096283</v>
      </c>
      <c r="C77" s="35" t="n">
        <v>192096283</v>
      </c>
      <c r="D77" s="35" t="n">
        <v>192096283</v>
      </c>
      <c r="E77" s="35" t="n">
        <v>192096283</v>
      </c>
    </row>
    <row r="78" ht="15" customHeight="1" s="15">
      <c r="A78" s="34" t="inlineStr">
        <is>
          <t>Vốn chủ sở hữu</t>
        </is>
      </c>
      <c r="B78" s="35" t="n">
        <v>43748040747539</v>
      </c>
      <c r="C78" s="35" t="n">
        <v>35727540104800</v>
      </c>
      <c r="D78" s="35" t="n">
        <v>29933011216233</v>
      </c>
      <c r="E78" s="35" t="n">
        <v>25356124687812</v>
      </c>
    </row>
    <row r="79" ht="15" customHeight="1" s="15">
      <c r="A79" s="34" t="inlineStr">
        <is>
          <t>Vốn và các quỹ</t>
        </is>
      </c>
      <c r="B79" s="35" t="n">
        <v>43745290747539</v>
      </c>
      <c r="C79" s="35" t="n">
        <v>35724790104800</v>
      </c>
      <c r="D79" s="35" t="n">
        <v>29930261216233</v>
      </c>
      <c r="E79" s="35" t="n">
        <v>25353374687812</v>
      </c>
    </row>
    <row r="80" ht="15" customHeight="1" s="15">
      <c r="A80" s="34" t="inlineStr">
        <is>
          <t>Vốn góp</t>
        </is>
      </c>
      <c r="B80" s="35" t="n">
        <v>17035071210000</v>
      </c>
      <c r="C80" s="35" t="n">
        <v>14710691830000</v>
      </c>
      <c r="D80" s="35" t="n">
        <v>12699688750000</v>
      </c>
      <c r="E80" s="35" t="n">
        <v>10970265720000</v>
      </c>
    </row>
    <row r="81" ht="15" customHeight="1" s="15">
      <c r="A81" s="34" t="inlineStr">
        <is>
          <t>Thặng dư vốn cổ phần</t>
        </is>
      </c>
      <c r="B81" s="35" t="n">
        <v>49713213411</v>
      </c>
      <c r="C81" s="35" t="n">
        <v>49713213411</v>
      </c>
      <c r="D81" s="35" t="n">
        <v>49713213411</v>
      </c>
      <c r="E81" s="35" t="n">
        <v>49713213411</v>
      </c>
    </row>
    <row r="82" ht="15" customHeight="1" s="15">
      <c r="A82" s="34" t="inlineStr">
        <is>
          <t>Vốn khác</t>
        </is>
      </c>
      <c r="B82" s="35" t="n">
        <v>3499547369952</v>
      </c>
      <c r="C82" s="35" t="n">
        <v>1929012703454</v>
      </c>
      <c r="D82" s="35" t="n">
        <v>1928602158147</v>
      </c>
      <c r="E82" s="35" t="n">
        <v>1179064868147</v>
      </c>
    </row>
    <row r="83" ht="15" customHeight="1" s="15">
      <c r="A83" s="34" t="inlineStr">
        <is>
          <t>Cổ phiếu quỹ</t>
        </is>
      </c>
      <c r="B83" s="35" t="n">
        <v>0</v>
      </c>
      <c r="C83" s="35" t="n">
        <v>0</v>
      </c>
      <c r="D83" s="35" t="n">
        <v>0</v>
      </c>
      <c r="E83" s="35" t="n">
        <v>0</v>
      </c>
    </row>
    <row r="84" ht="15" customHeight="1" s="15">
      <c r="A84" s="34" t="inlineStr">
        <is>
          <t>Chênh lệch đánh giá lại tài sản</t>
        </is>
      </c>
      <c r="B84" s="35" t="n">
        <v>0</v>
      </c>
      <c r="C84" s="35" t="n">
        <v>0</v>
      </c>
      <c r="D84" s="35" t="n">
        <v>0</v>
      </c>
      <c r="E84" s="35" t="n">
        <v>0</v>
      </c>
    </row>
    <row r="85" ht="15" customHeight="1" s="15">
      <c r="A85" s="34" t="inlineStr">
        <is>
          <t>Chênh lệch tỷ giá</t>
        </is>
      </c>
      <c r="B85" s="35" t="n">
        <v>-70185856586</v>
      </c>
      <c r="C85" s="35" t="n">
        <v>-49485560860</v>
      </c>
      <c r="D85" s="35" t="n">
        <v>-17778502626</v>
      </c>
      <c r="E85" s="35" t="n">
        <v>-40480690557</v>
      </c>
    </row>
    <row r="86" ht="15" customHeight="1" s="15">
      <c r="A86" s="34" t="inlineStr">
        <is>
          <t>Quỹ đầu tư và phát triển</t>
        </is>
      </c>
      <c r="B86" s="35" t="n">
        <v>1575367587172</v>
      </c>
      <c r="C86" s="35" t="n">
        <v>2033289141535</v>
      </c>
      <c r="D86" s="35" t="n">
        <v>1549850939920</v>
      </c>
      <c r="E86" s="35" t="n">
        <v>1086270726048</v>
      </c>
    </row>
    <row r="87" ht="15" customHeight="1" s="15">
      <c r="A87" s="34" t="inlineStr">
        <is>
          <t>Quỹ dự phòng tài chính</t>
        </is>
      </c>
      <c r="B87" s="35" t="n">
        <v>0</v>
      </c>
      <c r="C87" s="35" t="n">
        <v>0</v>
      </c>
      <c r="D87" s="35" t="n">
        <v>0</v>
      </c>
      <c r="E87" s="35" t="n">
        <v>0</v>
      </c>
    </row>
    <row r="88" ht="15" customHeight="1" s="15">
      <c r="A88" s="34" t="inlineStr">
        <is>
          <t>Quỹ khác</t>
        </is>
      </c>
      <c r="B88" s="35" t="n">
        <v>88263628887</v>
      </c>
      <c r="C88" s="35" t="n">
        <v>87730484825</v>
      </c>
      <c r="D88" s="35" t="n">
        <v>87203093024</v>
      </c>
      <c r="E88" s="35" t="n">
        <v>87203093024</v>
      </c>
    </row>
    <row r="89" ht="15" customHeight="1" s="15">
      <c r="A89" s="34" t="inlineStr">
        <is>
          <t>Lãi chưa phân phối</t>
        </is>
      </c>
      <c r="B89" s="35" t="n">
        <v>14302416791936</v>
      </c>
      <c r="C89" s="35" t="n">
        <v>11030528671431</v>
      </c>
      <c r="D89" s="35" t="n">
        <v>8674126708670</v>
      </c>
      <c r="E89" s="35" t="n">
        <v>7711681484541</v>
      </c>
    </row>
    <row r="90" ht="15" customHeight="1" s="15">
      <c r="A90" s="34" t="inlineStr">
        <is>
          <t>Quỹ hỗ trợ sắp xếp doanh nghiệp</t>
        </is>
      </c>
      <c r="B90" s="35" t="n">
        <v>0</v>
      </c>
      <c r="C90" s="35" t="n">
        <v>0</v>
      </c>
      <c r="D90" s="35" t="n">
        <v>0</v>
      </c>
      <c r="E90" s="35" t="n">
        <v>0</v>
      </c>
    </row>
    <row r="91" ht="15" customHeight="1" s="15">
      <c r="A91" s="34" t="inlineStr">
        <is>
          <t>Vốn Ngân sách nhà nước và quỹ khác</t>
        </is>
      </c>
      <c r="B91" s="35" t="n">
        <v>2750000000</v>
      </c>
      <c r="C91" s="35" t="n">
        <v>2750000000</v>
      </c>
      <c r="D91" s="35" t="n">
        <v>2750000000</v>
      </c>
      <c r="E91" s="35" t="n">
        <v>2750000000</v>
      </c>
    </row>
    <row r="92" ht="15" customHeight="1" s="15">
      <c r="A92" s="34" t="inlineStr">
        <is>
          <t>Quỹ khen thưởng, phúc lợi (trước 2010)</t>
        </is>
      </c>
      <c r="B92" s="35" t="n">
        <v>0</v>
      </c>
      <c r="C92" s="35" t="n">
        <v>0</v>
      </c>
      <c r="D92" s="35" t="n">
        <v>0</v>
      </c>
      <c r="E92" s="35" t="n">
        <v>0</v>
      </c>
    </row>
    <row r="93" ht="15" customHeight="1" s="15">
      <c r="A93" s="34" t="inlineStr">
        <is>
          <t>Vốn ngân sách nhà nước và quỹ khác</t>
        </is>
      </c>
      <c r="B93" s="35" t="n">
        <v>2750000000</v>
      </c>
      <c r="C93" s="35" t="n">
        <v>2750000000</v>
      </c>
      <c r="D93" s="35" t="n">
        <v>2750000000</v>
      </c>
      <c r="E93" s="35" t="n">
        <v>2750000000</v>
      </c>
    </row>
    <row r="94" ht="15" customHeight="1" s="15">
      <c r="A94" s="34" t="inlineStr">
        <is>
          <t>Lợi ích của cổ đông thiểu số</t>
        </is>
      </c>
      <c r="B94" s="35" t="n">
        <v>0</v>
      </c>
      <c r="C94" s="35" t="n">
        <v>0</v>
      </c>
      <c r="D94" s="35" t="n">
        <v>0</v>
      </c>
      <c r="E94" s="35" t="n">
        <v>0</v>
      </c>
    </row>
    <row r="95" ht="15" customHeight="1" s="15">
      <c r="A95" s="34" t="inlineStr">
        <is>
          <t>Tổng cộng nguồn vốn</t>
        </is>
      </c>
      <c r="B95" s="35" t="n">
        <v>88141991634625</v>
      </c>
      <c r="C95" s="35" t="n">
        <v>71999995678620</v>
      </c>
      <c r="D95" s="35" t="n">
        <v>60282827532899</v>
      </c>
      <c r="E95" s="35" t="n">
        <v>51650403735130</v>
      </c>
    </row>
    <row r="96" ht="15" customHeight="1" s="15">
      <c r="A96" s="34" t="inlineStr">
        <is>
          <t>Cổ phiếu ưu đãi</t>
        </is>
      </c>
      <c r="B96" s="36" t="n"/>
      <c r="C96" s="36" t="n"/>
      <c r="D96" s="36" t="n"/>
      <c r="E96" s="36" t="n"/>
    </row>
    <row r="97" ht="15" customHeight="1" s="15">
      <c r="A97" s="34" t="inlineStr">
        <is>
          <t>Đầu tư nắm giữ đến ngày đáo hạn</t>
        </is>
      </c>
      <c r="B97" s="35" t="n">
        <v>29630986737440</v>
      </c>
      <c r="C97" s="35" t="n">
        <v>21785213686808</v>
      </c>
      <c r="D97" s="35" t="n">
        <v>16104205358010</v>
      </c>
      <c r="E97" s="35" t="n">
        <v>13047234131950</v>
      </c>
    </row>
    <row r="98" ht="15" customHeight="1" s="15">
      <c r="A98" s="34" t="inlineStr">
        <is>
          <t>Vốn kinh doanh ở các đơn vị trực thuộc</t>
        </is>
      </c>
      <c r="B98" s="35" t="n">
        <v>0</v>
      </c>
      <c r="C98" s="35" t="n">
        <v>0</v>
      </c>
      <c r="D98" s="35" t="n">
        <v>0</v>
      </c>
      <c r="E98" s="35" t="n">
        <v>0</v>
      </c>
    </row>
    <row r="99" ht="15" customHeight="1" s="15">
      <c r="A99" s="34" t="inlineStr">
        <is>
          <t>Tài sản thiếu cần xử lý</t>
        </is>
      </c>
      <c r="B99" s="35" t="n">
        <v>0</v>
      </c>
      <c r="C99" s="35" t="n">
        <v>0</v>
      </c>
      <c r="D99" s="35" t="n">
        <v>0</v>
      </c>
      <c r="E99" s="35" t="n">
        <v>0</v>
      </c>
    </row>
    <row r="100" ht="15" customHeight="1" s="15">
      <c r="A100" s="34" t="inlineStr">
        <is>
          <t>Phải thu cho vay ngắn hạn</t>
        </is>
      </c>
      <c r="B100" s="35" t="n">
        <v>9195910819</v>
      </c>
      <c r="C100" s="35" t="n">
        <v>9808117590</v>
      </c>
      <c r="D100" s="35" t="n">
        <v>515430000</v>
      </c>
      <c r="E100" s="35" t="n">
        <v>882560901</v>
      </c>
    </row>
    <row r="101" ht="15" customHeight="1" s="15">
      <c r="A101" s="34" t="inlineStr">
        <is>
          <t>Giao dịch mua bán lại trái phiếu Chính phủ</t>
        </is>
      </c>
      <c r="B101" s="35" t="n">
        <v>0</v>
      </c>
      <c r="C101" s="35" t="n">
        <v>0</v>
      </c>
      <c r="D101" s="35" t="n">
        <v>0</v>
      </c>
      <c r="E101" s="35" t="n">
        <v>0</v>
      </c>
    </row>
    <row r="102" ht="15" customHeight="1" s="15">
      <c r="A102" s="34" t="inlineStr">
        <is>
          <t>Trả trước người bán dài hạn</t>
        </is>
      </c>
      <c r="B102" s="35" t="n">
        <v>0</v>
      </c>
      <c r="C102" s="35" t="n">
        <v>0</v>
      </c>
      <c r="D102" s="35" t="n">
        <v>0</v>
      </c>
      <c r="E102" s="35" t="n">
        <v>0</v>
      </c>
    </row>
    <row r="103" ht="15" customHeight="1" s="15">
      <c r="A103" s="34" t="inlineStr">
        <is>
          <t>Phải thu cho vay dài hạn</t>
        </is>
      </c>
      <c r="B103" s="35" t="n">
        <v>5278733014</v>
      </c>
      <c r="C103" s="35" t="n">
        <v>2509722351</v>
      </c>
      <c r="D103" s="35" t="n">
        <v>0</v>
      </c>
      <c r="E103" s="35" t="n">
        <v>1189922137</v>
      </c>
    </row>
    <row r="104" ht="15" customHeight="1" s="15">
      <c r="A104" s="34" t="inlineStr">
        <is>
          <t>Tài sản dở dang dài hạn</t>
        </is>
      </c>
      <c r="B104" s="35" t="n">
        <v>1605078004898</v>
      </c>
      <c r="C104" s="35" t="n">
        <v>2559766724411</v>
      </c>
      <c r="D104" s="35" t="n">
        <v>1315270136003</v>
      </c>
      <c r="E104" s="35" t="n">
        <v>1062184742251</v>
      </c>
    </row>
    <row r="105" ht="15" customHeight="1" s="15">
      <c r="A105" s="34" t="inlineStr">
        <is>
          <t>Chi phí sản xuất, kinh doanh dở dang dài hạn</t>
        </is>
      </c>
      <c r="B105" s="35" t="n">
        <v>0</v>
      </c>
      <c r="C105" s="35" t="n">
        <v>0</v>
      </c>
      <c r="D105" s="35" t="n">
        <v>0</v>
      </c>
      <c r="E105" s="35" t="n">
        <v>0</v>
      </c>
    </row>
    <row r="106" ht="15" customHeight="1" s="15">
      <c r="A106" s="34" t="inlineStr">
        <is>
          <t>Đầu tư nắm giữ đến ngày đáo hạn</t>
        </is>
      </c>
      <c r="B106" s="35" t="n">
        <v>0</v>
      </c>
      <c r="C106" s="35" t="n">
        <v>200000000</v>
      </c>
      <c r="D106" s="35" t="n">
        <v>20200000000</v>
      </c>
      <c r="E106" s="35" t="n">
        <v>10200000000</v>
      </c>
    </row>
    <row r="107" ht="15" customHeight="1" s="15">
      <c r="A107" s="34" t="inlineStr">
        <is>
          <t>Thiết bị, vật tư, phụ tùng thay thế dài hạn</t>
        </is>
      </c>
      <c r="B107" s="35" t="n">
        <v>0</v>
      </c>
      <c r="C107" s="35" t="n">
        <v>0</v>
      </c>
      <c r="D107" s="35" t="n">
        <v>0</v>
      </c>
      <c r="E107" s="35" t="n">
        <v>0</v>
      </c>
    </row>
    <row r="108" ht="15" customHeight="1" s="15">
      <c r="A108" s="34" t="inlineStr">
        <is>
          <t>Doanh thu chưa thực hiện ngắn hạn</t>
        </is>
      </c>
      <c r="B108" s="35" t="n">
        <v>4233698718701</v>
      </c>
      <c r="C108" s="35" t="n">
        <v>4224649366399</v>
      </c>
      <c r="D108" s="35" t="n">
        <v>3620205460042</v>
      </c>
      <c r="E108" s="35" t="n">
        <v>3200401361855</v>
      </c>
    </row>
    <row r="109" ht="15" customHeight="1" s="15">
      <c r="A109" s="34" t="inlineStr">
        <is>
          <t>Quỹ bình ổn giá</t>
        </is>
      </c>
      <c r="B109" s="35" t="n">
        <v>0</v>
      </c>
      <c r="C109" s="35" t="n">
        <v>0</v>
      </c>
      <c r="D109" s="35" t="n">
        <v>0</v>
      </c>
      <c r="E109" s="35" t="n">
        <v>0</v>
      </c>
    </row>
    <row r="110" ht="15" customHeight="1" s="15">
      <c r="A110" s="34" t="inlineStr">
        <is>
          <t>Giao dịch mua bán lại trái phiếu chính phủ</t>
        </is>
      </c>
      <c r="B110" s="35" t="n">
        <v>0</v>
      </c>
      <c r="C110" s="35" t="n">
        <v>0</v>
      </c>
      <c r="D110" s="35" t="n">
        <v>0</v>
      </c>
      <c r="E110" s="35" t="n">
        <v>0</v>
      </c>
    </row>
    <row r="111" ht="15" customHeight="1" s="15">
      <c r="A111" s="34" t="inlineStr">
        <is>
          <t>Người mua trả tiền trước dài hạn</t>
        </is>
      </c>
      <c r="B111" s="35" t="n">
        <v>0</v>
      </c>
      <c r="C111" s="35" t="n">
        <v>0</v>
      </c>
      <c r="D111" s="35" t="n">
        <v>0</v>
      </c>
      <c r="E111" s="35" t="n">
        <v>0</v>
      </c>
    </row>
    <row r="112" ht="15" customHeight="1" s="15">
      <c r="A112" s="34" t="inlineStr">
        <is>
          <t>Chi phí phải trả dài hạn</t>
        </is>
      </c>
      <c r="B112" s="35" t="n">
        <v>0</v>
      </c>
      <c r="C112" s="35" t="n">
        <v>0</v>
      </c>
      <c r="D112" s="35" t="n">
        <v>0</v>
      </c>
      <c r="E112" s="35" t="n">
        <v>0</v>
      </c>
    </row>
    <row r="113" ht="15" customHeight="1" s="15">
      <c r="A113" s="34" t="inlineStr">
        <is>
          <t>Phải trả nội bộ về vốn kinh doanh</t>
        </is>
      </c>
      <c r="B113" s="35" t="n">
        <v>0</v>
      </c>
      <c r="C113" s="35" t="n">
        <v>0</v>
      </c>
      <c r="D113" s="35" t="n">
        <v>0</v>
      </c>
      <c r="E113" s="35" t="n">
        <v>0</v>
      </c>
    </row>
    <row r="114" ht="15" customHeight="1" s="15">
      <c r="A114" s="34" t="inlineStr">
        <is>
          <t>Trái phiếu chuyển đổi</t>
        </is>
      </c>
      <c r="B114" s="35" t="n">
        <v>0</v>
      </c>
      <c r="C114" s="35" t="n">
        <v>0</v>
      </c>
      <c r="D114" s="35" t="n">
        <v>0</v>
      </c>
      <c r="E114" s="35" t="n">
        <v>0</v>
      </c>
    </row>
    <row r="115" ht="15" customHeight="1" s="15">
      <c r="A115" s="34" t="inlineStr">
        <is>
          <t>Cổ phiếu ưu đãi</t>
        </is>
      </c>
      <c r="B115" s="35" t="n">
        <v>0</v>
      </c>
      <c r="C115" s="35" t="n">
        <v>0</v>
      </c>
      <c r="D115" s="35" t="n">
        <v>0</v>
      </c>
      <c r="E115" s="35" t="n">
        <v>0</v>
      </c>
    </row>
    <row r="116" ht="15" customHeight="1" s="15">
      <c r="A116" s="34" t="inlineStr">
        <is>
          <t>Cổ phiếu phổ thông</t>
        </is>
      </c>
      <c r="B116" s="35" t="n">
        <v>17035071210000</v>
      </c>
      <c r="C116" s="35" t="n">
        <v>14710691830000</v>
      </c>
      <c r="D116" s="35" t="n">
        <v>12699688750000</v>
      </c>
      <c r="E116" s="35" t="n">
        <v>10970265720000</v>
      </c>
    </row>
    <row r="117" ht="15" customHeight="1" s="15">
      <c r="A117" s="34" t="inlineStr">
        <is>
          <t>Quyền chọn chuyển đổi trái phiếu</t>
        </is>
      </c>
      <c r="B117" s="35" t="n">
        <v>0</v>
      </c>
      <c r="C117" s="35" t="n">
        <v>0</v>
      </c>
      <c r="D117" s="35" t="n">
        <v>0</v>
      </c>
      <c r="E117" s="35" t="n">
        <v>0</v>
      </c>
    </row>
    <row r="118" ht="15" customHeight="1" s="15">
      <c r="A118" s="34" t="inlineStr">
        <is>
          <t>LNST chưa phân phối lũy kế đến cuối kỳ trước</t>
        </is>
      </c>
      <c r="B118" s="35" t="n">
        <v>7369582215178</v>
      </c>
      <c r="C118" s="35" t="n">
        <v>5458228109134</v>
      </c>
      <c r="D118" s="35" t="n">
        <v>4471895918464</v>
      </c>
      <c r="E118" s="35" t="n">
        <v>4103787447601</v>
      </c>
    </row>
    <row r="119" ht="15" customHeight="1" s="15">
      <c r="A119" s="34" t="inlineStr">
        <is>
          <t>LNST chưa phân phối kỳ này</t>
        </is>
      </c>
      <c r="B119" s="35" t="n">
        <v>6932834576758</v>
      </c>
      <c r="C119" s="35" t="n">
        <v>5572300562297</v>
      </c>
      <c r="D119" s="35" t="n">
        <v>4202230790206</v>
      </c>
      <c r="E119" s="35" t="n">
        <v>3607894036940</v>
      </c>
    </row>
    <row r="120" ht="15" customHeight="1" s="15">
      <c r="A120" s="34" t="inlineStr">
        <is>
          <t>Xây dựng cơ bản đang dở dang</t>
        </is>
      </c>
      <c r="B120" s="35" t="n">
        <v>1605078004898</v>
      </c>
      <c r="C120" s="35" t="n">
        <v>2559766724411</v>
      </c>
      <c r="D120" s="35" t="n">
        <v>1315270136003</v>
      </c>
      <c r="E120" s="35" t="n">
        <v>1062184742251</v>
      </c>
    </row>
    <row r="121" ht="15" customHeight="1" s="15">
      <c r="A121" s="34" t="inlineStr">
        <is>
          <t>Lợi thế thương mại</t>
        </is>
      </c>
      <c r="B121" s="35" t="n">
        <v>1015730266161</v>
      </c>
      <c r="C121" s="35" t="n">
        <v>1097458206678</v>
      </c>
      <c r="D121" s="35" t="n">
        <v>1283790079129</v>
      </c>
      <c r="E121" s="35" t="n">
        <v>407944847961</v>
      </c>
    </row>
    <row r="122" ht="15" customHeight="1" s="15">
      <c r="A122" s="34" t="inlineStr">
        <is>
          <t>Lợi ích cổ đông không kiểm soát</t>
        </is>
      </c>
      <c r="B122" s="35" t="n">
        <v>7265096802767</v>
      </c>
      <c r="C122" s="35" t="n">
        <v>5933309621004</v>
      </c>
      <c r="D122" s="35" t="n">
        <v>4958854855687</v>
      </c>
      <c r="E122" s="35" t="n">
        <v>4309656273198</v>
      </c>
    </row>
    <row r="123" ht="15" customHeight="1" s="15">
      <c r="A123" s="34" t="inlineStr">
        <is>
          <t>Nguồn kinh phí đã hình thành TSCĐ</t>
        </is>
      </c>
      <c r="B123" s="35" t="n">
        <v>0</v>
      </c>
      <c r="C123" s="35" t="n">
        <v>0</v>
      </c>
      <c r="D123" s="35" t="n">
        <v>0</v>
      </c>
      <c r="E123" s="35" t="n">
        <v>0</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E26"/>
  <sheetViews>
    <sheetView showFormulas="0" showGridLines="0"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Right"/>
      <selection pane="bottomLeft"/>
      <selection pane="bottomRight" activeCell="A1" activeCellId="0" sqref="A1"/>
    </sheetView>
  </sheetViews>
  <sheetFormatPr baseColWidth="8" defaultColWidth="8.6796875" defaultRowHeight="15" zeroHeight="0" outlineLevelRow="0"/>
  <cols>
    <col width="42" customWidth="1" style="15" min="1" max="1"/>
    <col width="15" customWidth="1" style="15" min="2" max="2"/>
    <col width="15" customWidth="1" style="15" min="3" max="3"/>
    <col width="15" customWidth="1" style="15" min="4" max="4"/>
    <col width="15" customWidth="1" style="15" min="5" max="5"/>
  </cols>
  <sheetData>
    <row r="1" ht="15" customHeight="1" s="15">
      <c r="A1" s="32" t="inlineStr">
        <is>
          <t>item</t>
        </is>
      </c>
      <c r="B1" s="33" t="inlineStr">
        <is>
          <t>2025</t>
        </is>
      </c>
      <c r="C1" s="33" t="inlineStr">
        <is>
          <t>2024</t>
        </is>
      </c>
      <c r="D1" s="33" t="inlineStr">
        <is>
          <t>2023</t>
        </is>
      </c>
      <c r="E1" s="33" t="inlineStr">
        <is>
          <t>2022</t>
        </is>
      </c>
    </row>
    <row r="2" ht="15" customHeight="1" s="15">
      <c r="A2" s="34" t="inlineStr">
        <is>
          <t>Doanh thu bán hàng và cung cấp dịch vụ</t>
        </is>
      </c>
      <c r="B2" s="35" t="n">
        <v>70207688944553</v>
      </c>
      <c r="C2" s="35" t="n">
        <v>62962652134635</v>
      </c>
      <c r="D2" s="35" t="n">
        <v>52625174861333</v>
      </c>
      <c r="E2" s="35" t="n">
        <v>44023010881275</v>
      </c>
    </row>
    <row r="3" ht="15" customHeight="1" s="15">
      <c r="A3" s="34" t="inlineStr">
        <is>
          <t>Các khoản giảm trừ doanh thu</t>
        </is>
      </c>
      <c r="B3" s="35" t="n">
        <v>-94863843843</v>
      </c>
      <c r="C3" s="35" t="n">
        <v>-113857783268</v>
      </c>
      <c r="D3" s="35" t="n">
        <v>-7274033948</v>
      </c>
      <c r="E3" s="35" t="n">
        <v>-13483200364</v>
      </c>
    </row>
    <row r="4" ht="15" customHeight="1" s="15">
      <c r="A4" s="34" t="inlineStr">
        <is>
          <t>Doanh thu thuần</t>
        </is>
      </c>
      <c r="B4" s="35" t="n">
        <v>70112825100710</v>
      </c>
      <c r="C4" s="35" t="n">
        <v>62848794351367</v>
      </c>
      <c r="D4" s="35" t="n">
        <v>52617900827385</v>
      </c>
      <c r="E4" s="35" t="n">
        <v>44009527680911</v>
      </c>
    </row>
    <row r="5" ht="15" customHeight="1" s="15">
      <c r="A5" s="34" t="inlineStr">
        <is>
          <t>Giá vốn hàng bán</t>
        </is>
      </c>
      <c r="B5" s="35" t="n">
        <v>-44224295588297</v>
      </c>
      <c r="C5" s="35" t="n">
        <v>-39150445981451</v>
      </c>
      <c r="D5" s="35" t="n">
        <v>-32298347382703</v>
      </c>
      <c r="E5" s="35" t="n">
        <v>-26842249039713</v>
      </c>
    </row>
    <row r="6" ht="15" customHeight="1" s="15">
      <c r="A6" s="34" t="inlineStr">
        <is>
          <t>Lợi nhuận gộp</t>
        </is>
      </c>
      <c r="B6" s="35" t="n">
        <v>25888529512413</v>
      </c>
      <c r="C6" s="35" t="n">
        <v>23698348369916</v>
      </c>
      <c r="D6" s="35" t="n">
        <v>20319553444682</v>
      </c>
      <c r="E6" s="35" t="n">
        <v>17167278641198</v>
      </c>
    </row>
    <row r="7" ht="15" customHeight="1" s="15">
      <c r="A7" s="34" t="inlineStr">
        <is>
          <t>Doanh thu hoạt động tài chính</t>
        </is>
      </c>
      <c r="B7" s="35" t="n">
        <v>2977156356773</v>
      </c>
      <c r="C7" s="35" t="n">
        <v>1935749115305</v>
      </c>
      <c r="D7" s="35" t="n">
        <v>2336069089819</v>
      </c>
      <c r="E7" s="35" t="n">
        <v>1998503979865</v>
      </c>
    </row>
    <row r="8" ht="15" customHeight="1" s="15">
      <c r="A8" s="34" t="inlineStr">
        <is>
          <t>Chi phí tài chính</t>
        </is>
      </c>
      <c r="B8" s="35" t="n">
        <v>-1672048701466</v>
      </c>
      <c r="C8" s="35" t="n">
        <v>-1811547381981</v>
      </c>
      <c r="D8" s="35" t="n">
        <v>-1718298463710</v>
      </c>
      <c r="E8" s="35" t="n">
        <v>-1687369701824</v>
      </c>
    </row>
    <row r="9" ht="15" customHeight="1" s="15">
      <c r="A9" s="34" t="inlineStr">
        <is>
          <t>Chi phí lãi vay</t>
        </is>
      </c>
      <c r="B9" s="35" t="n">
        <v>-809759601156</v>
      </c>
      <c r="C9" s="35" t="n">
        <v>-551639361786</v>
      </c>
      <c r="D9" s="35" t="n">
        <v>-832648611261</v>
      </c>
      <c r="E9" s="35" t="n">
        <v>-645725556308</v>
      </c>
    </row>
    <row r="10" ht="15" customHeight="1" s="15">
      <c r="A10" s="34" t="inlineStr">
        <is>
          <t>Chi phí bán hàng</t>
        </is>
      </c>
      <c r="B10" s="35" t="n">
        <v>-7562660640454</v>
      </c>
      <c r="C10" s="35" t="n">
        <v>-6115961971783</v>
      </c>
      <c r="D10" s="35" t="n">
        <v>-5242551906960</v>
      </c>
      <c r="E10" s="35" t="n">
        <v>-4526440691815</v>
      </c>
    </row>
    <row r="11" ht="15" customHeight="1" s="15">
      <c r="A11" s="34" t="inlineStr">
        <is>
          <t>Chi phí quản lý doanh nghiệp</t>
        </is>
      </c>
      <c r="B11" s="35" t="n">
        <v>-7337325397804</v>
      </c>
      <c r="C11" s="35" t="n">
        <v>-7074038614774</v>
      </c>
      <c r="D11" s="35" t="n">
        <v>-6625373638359</v>
      </c>
      <c r="E11" s="35" t="n">
        <v>-5846280653514</v>
      </c>
    </row>
    <row r="12" ht="15" customHeight="1" s="15">
      <c r="A12" s="34" t="inlineStr">
        <is>
          <t>Lãi/(lỗ) từ hoạt động kinh doanh</t>
        </is>
      </c>
      <c r="B12" s="35" t="n">
        <v>12951675964776</v>
      </c>
      <c r="C12" s="35" t="n">
        <v>11025080772955</v>
      </c>
      <c r="D12" s="35" t="n">
        <v>9111745534433</v>
      </c>
      <c r="E12" s="35" t="n">
        <v>7589289622311</v>
      </c>
    </row>
    <row r="13" ht="15" customHeight="1" s="15">
      <c r="A13" s="34" t="inlineStr">
        <is>
          <t>Thu nhập khác</t>
        </is>
      </c>
      <c r="B13" s="35" t="n">
        <v>142892570480</v>
      </c>
      <c r="C13" s="35" t="n">
        <v>175450599740</v>
      </c>
      <c r="D13" s="35" t="n">
        <v>200956010920</v>
      </c>
      <c r="E13" s="35" t="n">
        <v>184323926142</v>
      </c>
    </row>
    <row r="14" ht="15" customHeight="1" s="15">
      <c r="A14" s="34" t="inlineStr">
        <is>
          <t>Chi phí khác</t>
        </is>
      </c>
      <c r="B14" s="35" t="n">
        <v>-50935701459</v>
      </c>
      <c r="C14" s="35" t="n">
        <v>-130864954876</v>
      </c>
      <c r="D14" s="35" t="n">
        <v>-109695446783</v>
      </c>
      <c r="E14" s="35" t="n">
        <v>-111330588573</v>
      </c>
    </row>
    <row r="15" ht="15" customHeight="1" s="15">
      <c r="A15" s="34" t="inlineStr">
        <is>
          <t>Thu nhập khác, ròng</t>
        </is>
      </c>
      <c r="B15" s="35" t="n">
        <v>91956869021</v>
      </c>
      <c r="C15" s="35" t="n">
        <v>44585644864</v>
      </c>
      <c r="D15" s="35" t="n">
        <v>91260564137</v>
      </c>
      <c r="E15" s="35" t="n">
        <v>72993337569</v>
      </c>
    </row>
    <row r="16" ht="15" customHeight="1" s="15">
      <c r="A16" s="34" t="inlineStr">
        <is>
          <t>Lãi/(lỗ) từ công ty liên doanh</t>
        </is>
      </c>
      <c r="B16" s="35" t="n">
        <v>0</v>
      </c>
      <c r="C16" s="35" t="n">
        <v>0</v>
      </c>
      <c r="D16" s="35" t="n">
        <v>0</v>
      </c>
      <c r="E16" s="35" t="n">
        <v>0</v>
      </c>
    </row>
    <row r="17" ht="15" customHeight="1" s="15">
      <c r="A17" s="34" t="inlineStr">
        <is>
          <t>Lãi/(lỗ) trước thuế</t>
        </is>
      </c>
      <c r="B17" s="35" t="n">
        <v>13043632833797</v>
      </c>
      <c r="C17" s="35" t="n">
        <v>11069666417819</v>
      </c>
      <c r="D17" s="35" t="n">
        <v>9203006098570</v>
      </c>
      <c r="E17" s="35" t="n">
        <v>7662282959880</v>
      </c>
    </row>
    <row r="18" ht="15" customHeight="1" s="15">
      <c r="A18" s="34" t="inlineStr">
        <is>
          <t>Thuế thu nhập doanh nghiệp - hiện thời</t>
        </is>
      </c>
      <c r="B18" s="35" t="n">
        <v>-1916998192442</v>
      </c>
      <c r="C18" s="35" t="n">
        <v>-1922927614658</v>
      </c>
      <c r="D18" s="35" t="n">
        <v>-1424017001796</v>
      </c>
      <c r="E18" s="35" t="n">
        <v>-1193613667231</v>
      </c>
    </row>
    <row r="19" ht="15" customHeight="1" s="15">
      <c r="A19" s="34" t="inlineStr">
        <is>
          <t>Thuế thu nhập doanh nghiệp - hoãn lại</t>
        </is>
      </c>
      <c r="B19" s="35" t="n">
        <v>105704809379</v>
      </c>
      <c r="C19" s="35" t="n">
        <v>280683727283</v>
      </c>
      <c r="D19" s="35" t="n">
        <v>9060642842</v>
      </c>
      <c r="E19" s="35" t="n">
        <v>22674161820</v>
      </c>
    </row>
    <row r="20" ht="15" customHeight="1" s="15">
      <c r="A20" s="34" t="inlineStr">
        <is>
          <t>Chi phí thuế thu nhập doanh nghiệp</t>
        </is>
      </c>
      <c r="B20" s="35" t="n">
        <v>-1811293383063</v>
      </c>
      <c r="C20" s="35" t="n">
        <v>-1642243887375</v>
      </c>
      <c r="D20" s="35" t="n">
        <v>-1414956358954</v>
      </c>
      <c r="E20" s="35" t="n">
        <v>-1170939505411</v>
      </c>
    </row>
    <row r="21" ht="15" customHeight="1" s="15">
      <c r="A21" s="34" t="inlineStr">
        <is>
          <t>Lãi/(lỗ) thuần sau thuế</t>
        </is>
      </c>
      <c r="B21" s="35" t="n">
        <v>11232339450734</v>
      </c>
      <c r="C21" s="35" t="n">
        <v>9427422530444</v>
      </c>
      <c r="D21" s="35" t="n">
        <v>7788049739616</v>
      </c>
      <c r="E21" s="35" t="n">
        <v>6491343454469</v>
      </c>
    </row>
    <row r="22" ht="15" customHeight="1" s="15">
      <c r="A22" s="34" t="inlineStr">
        <is>
          <t>Lợi ích của cổ đông thiểu số</t>
        </is>
      </c>
      <c r="B22" s="35" t="n">
        <v>1856211821233</v>
      </c>
      <c r="C22" s="35" t="n">
        <v>1570654718266</v>
      </c>
      <c r="D22" s="35" t="n">
        <v>1322859306994</v>
      </c>
      <c r="E22" s="35" t="n">
        <v>1181234863061</v>
      </c>
    </row>
    <row r="23" ht="15" customHeight="1" s="15">
      <c r="A23" s="34" t="inlineStr">
        <is>
          <t>Lợi nhuận của Cổ đông của Công ty mẹ</t>
        </is>
      </c>
      <c r="B23" s="35" t="n">
        <v>9376127629501</v>
      </c>
      <c r="C23" s="35" t="n">
        <v>7856767812178</v>
      </c>
      <c r="D23" s="35" t="n">
        <v>6465190432622</v>
      </c>
      <c r="E23" s="35" t="n">
        <v>5310108591408</v>
      </c>
    </row>
    <row r="24" ht="15" customHeight="1" s="15">
      <c r="A24" s="34" t="inlineStr">
        <is>
          <t>Lãi cơ bản trên cổ phiếu (VND)</t>
        </is>
      </c>
      <c r="B24" s="35" t="n">
        <v>5216</v>
      </c>
      <c r="C24" s="35" t="n">
        <v>4292</v>
      </c>
      <c r="D24" s="35" t="n">
        <v>4661</v>
      </c>
      <c r="E24" s="35" t="n">
        <v>3847</v>
      </c>
    </row>
    <row r="25" ht="15" customHeight="1" s="15">
      <c r="A25" s="34" t="inlineStr">
        <is>
          <t>Lãi trên cổ phiếu pha loãng (VND)</t>
        </is>
      </c>
      <c r="B25" s="35" t="n">
        <v>5216</v>
      </c>
      <c r="C25" s="35" t="n">
        <v>4292</v>
      </c>
      <c r="D25" s="35" t="n">
        <v>4661</v>
      </c>
      <c r="E25" s="35" t="n">
        <v>3847</v>
      </c>
    </row>
    <row r="26" ht="15" customHeight="1" s="15">
      <c r="A26" s="34" t="inlineStr">
        <is>
          <t>Lãi/(lỗ) từ công ty liên doanh (từ năm 2015)</t>
        </is>
      </c>
      <c r="B26" s="35" t="n">
        <v>658024835314</v>
      </c>
      <c r="C26" s="35" t="n">
        <v>392531256272</v>
      </c>
      <c r="D26" s="35" t="n">
        <v>42347008961</v>
      </c>
      <c r="E26" s="35" t="n">
        <v>483598048401</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42"/>
  <sheetViews>
    <sheetView showFormulas="0" showGridLines="0"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Right"/>
      <selection pane="bottomLeft"/>
      <selection pane="bottomRight" activeCell="A1" activeCellId="0" sqref="A1"/>
    </sheetView>
  </sheetViews>
  <sheetFormatPr baseColWidth="8" defaultColWidth="8.6796875" defaultRowHeight="15" zeroHeight="0" outlineLevelRow="0"/>
  <cols>
    <col width="42" customWidth="1" style="15" min="1" max="1"/>
    <col width="15" customWidth="1" style="15" min="2" max="2"/>
    <col width="15" customWidth="1" style="15" min="3" max="3"/>
    <col width="15" customWidth="1" style="15" min="4" max="4"/>
    <col width="15" customWidth="1" style="15" min="5" max="5"/>
  </cols>
  <sheetData>
    <row r="1" ht="15" customHeight="1" s="15">
      <c r="A1" s="32" t="inlineStr">
        <is>
          <t>item</t>
        </is>
      </c>
      <c r="B1" s="33" t="inlineStr">
        <is>
          <t>2025</t>
        </is>
      </c>
      <c r="C1" s="33" t="inlineStr">
        <is>
          <t>2024</t>
        </is>
      </c>
      <c r="D1" s="33" t="inlineStr">
        <is>
          <t>2023</t>
        </is>
      </c>
      <c r="E1" s="33" t="inlineStr">
        <is>
          <t>2022</t>
        </is>
      </c>
    </row>
    <row r="2" ht="15" customHeight="1" s="15">
      <c r="A2" s="34" t="inlineStr">
        <is>
          <t>Lợi nhuận/(lỗ) trước thuế</t>
        </is>
      </c>
      <c r="B2" s="35" t="n">
        <v>13043632833797</v>
      </c>
      <c r="C2" s="35" t="n">
        <v>11069666417819</v>
      </c>
      <c r="D2" s="35" t="n">
        <v>9203006098570</v>
      </c>
      <c r="E2" s="35" t="n">
        <v>7662282959880</v>
      </c>
    </row>
    <row r="3" ht="15" customHeight="1" s="15">
      <c r="A3" s="34" t="inlineStr">
        <is>
          <t>Khấu hao TSCĐ và BĐSĐT</t>
        </is>
      </c>
      <c r="B3" s="35" t="n">
        <v>2914178360732</v>
      </c>
      <c r="C3" s="35" t="n">
        <v>2535298475665</v>
      </c>
      <c r="D3" s="35" t="n">
        <v>2286514158688</v>
      </c>
      <c r="E3" s="35" t="n">
        <v>1833064499128</v>
      </c>
    </row>
    <row r="4" ht="15" customHeight="1" s="15">
      <c r="A4" s="34" t="inlineStr">
        <is>
          <t>Chi phí dự phòng</t>
        </is>
      </c>
      <c r="B4" s="35" t="n">
        <v>651406282654</v>
      </c>
      <c r="C4" s="35" t="n">
        <v>1148951390915</v>
      </c>
      <c r="D4" s="35" t="n">
        <v>677928749053</v>
      </c>
      <c r="E4" s="35" t="n">
        <v>880253740252</v>
      </c>
    </row>
    <row r="5" ht="15" customHeight="1" s="15">
      <c r="A5" s="34" t="inlineStr">
        <is>
          <t>Lãi/lỗ chênh lệch tỷ giá hối đoái do đánh giá lại các khoản mục tiền tệ có gốc ngoại tệ</t>
        </is>
      </c>
      <c r="B5" s="35" t="n">
        <v>-27776460391</v>
      </c>
      <c r="C5" s="35" t="n">
        <v>46311803197</v>
      </c>
      <c r="D5" s="35" t="n">
        <v>-34070358211</v>
      </c>
      <c r="E5" s="35" t="n">
        <v>7652847077</v>
      </c>
    </row>
    <row r="6" ht="15" customHeight="1" s="15">
      <c r="A6" s="34" t="inlineStr">
        <is>
          <t>Lãi/(lỗ) từ thanh lý tài sản cố định</t>
        </is>
      </c>
      <c r="B6" s="35" t="n">
        <v>0</v>
      </c>
      <c r="C6" s="35" t="n">
        <v>0</v>
      </c>
      <c r="D6" s="35" t="n">
        <v>0</v>
      </c>
      <c r="E6" s="35" t="n">
        <v>0</v>
      </c>
    </row>
    <row r="7" ht="15" customHeight="1" s="15">
      <c r="A7" s="34" t="inlineStr">
        <is>
          <t>(Lãi)/lỗ từ hoạt động đầu tư</t>
        </is>
      </c>
      <c r="B7" s="35" t="n">
        <v>-2575840046010</v>
      </c>
      <c r="C7" s="35" t="n">
        <v>-1725022480893</v>
      </c>
      <c r="D7" s="35" t="n">
        <v>-1976268355482</v>
      </c>
      <c r="E7" s="35" t="n">
        <v>-1986715685147</v>
      </c>
    </row>
    <row r="8" ht="15" customHeight="1" s="15">
      <c r="A8" s="34" t="inlineStr">
        <is>
          <t>Chi phí lãi vay</t>
        </is>
      </c>
      <c r="B8" s="35" t="n">
        <v>809759601156</v>
      </c>
      <c r="C8" s="35" t="n">
        <v>551639361786</v>
      </c>
      <c r="D8" s="35" t="n">
        <v>832648611261</v>
      </c>
      <c r="E8" s="35" t="n">
        <v>645725556308</v>
      </c>
    </row>
    <row r="9" ht="15" customHeight="1" s="15">
      <c r="A9" s="34" t="inlineStr">
        <is>
          <t>Thu lãi và cổ tức</t>
        </is>
      </c>
      <c r="B9" s="35" t="n">
        <v>0</v>
      </c>
      <c r="C9" s="35" t="n">
        <v>0</v>
      </c>
      <c r="D9" s="35" t="n">
        <v>0</v>
      </c>
      <c r="E9" s="35" t="n">
        <v>0</v>
      </c>
    </row>
    <row r="10" ht="15" customHeight="1" s="15">
      <c r="A10" s="34" t="inlineStr">
        <is>
          <t>Lợi nhuận/(lỗ) từ hoạt động kinh doanh trước những thay đổi vốn lưu động</t>
        </is>
      </c>
      <c r="B10" s="35" t="n">
        <v>14815360571938</v>
      </c>
      <c r="C10" s="35" t="n">
        <v>13626844968489</v>
      </c>
      <c r="D10" s="35" t="n">
        <v>10989758903879</v>
      </c>
      <c r="E10" s="35" t="n">
        <v>9042263917498</v>
      </c>
    </row>
    <row r="11" ht="15" customHeight="1" s="15">
      <c r="A11" s="34" t="inlineStr">
        <is>
          <t>(Tăng)/giảm các khoản phải thu</t>
        </is>
      </c>
      <c r="B11" s="35" t="n">
        <v>-2874821969471</v>
      </c>
      <c r="C11" s="35" t="n">
        <v>-1913663012505</v>
      </c>
      <c r="D11" s="35" t="n">
        <v>-1163209212196</v>
      </c>
      <c r="E11" s="35" t="n">
        <v>-1949023327296</v>
      </c>
    </row>
    <row r="12" ht="15" customHeight="1" s="15">
      <c r="A12" s="34" t="inlineStr">
        <is>
          <t>(Tăng)/giảm hàng tồn kho</t>
        </is>
      </c>
      <c r="B12" s="35" t="n">
        <v>-335071616492</v>
      </c>
      <c r="C12" s="35" t="n">
        <v>-265267561842</v>
      </c>
      <c r="D12" s="35" t="n">
        <v>396161114891</v>
      </c>
      <c r="E12" s="35" t="n">
        <v>-497802711008</v>
      </c>
    </row>
    <row r="13" ht="15" customHeight="1" s="15">
      <c r="A13" s="34" t="inlineStr">
        <is>
          <t>Tăng/(giảm) các khoản phải trả</t>
        </is>
      </c>
      <c r="B13" s="35" t="n">
        <v>2556427255416</v>
      </c>
      <c r="C13" s="35" t="n">
        <v>2875571263689</v>
      </c>
      <c r="D13" s="35" t="n">
        <v>1380255770889</v>
      </c>
      <c r="E13" s="35" t="n">
        <v>1299834862339</v>
      </c>
    </row>
    <row r="14" ht="15" customHeight="1" s="15">
      <c r="A14" s="34" t="inlineStr">
        <is>
          <t>(Tăng)/giảm chi phí trả trước</t>
        </is>
      </c>
      <c r="B14" s="35" t="n">
        <v>-595604484389</v>
      </c>
      <c r="C14" s="35" t="n">
        <v>-393964502357</v>
      </c>
      <c r="D14" s="35" t="n">
        <v>65247409505</v>
      </c>
      <c r="E14" s="35" t="n">
        <v>-633951413583</v>
      </c>
    </row>
    <row r="15" ht="15" customHeight="1" s="15">
      <c r="A15" s="34" t="inlineStr">
        <is>
          <t>Tiền lãi vay đã trả</t>
        </is>
      </c>
      <c r="B15" s="35" t="n">
        <v>-812474254533</v>
      </c>
      <c r="C15" s="35" t="n">
        <v>-607154747076</v>
      </c>
      <c r="D15" s="35" t="n">
        <v>-832038375945</v>
      </c>
      <c r="E15" s="35" t="n">
        <v>-635688969538</v>
      </c>
    </row>
    <row r="16" ht="15" customHeight="1" s="15">
      <c r="A16" s="34" t="inlineStr">
        <is>
          <t>Thuế thu nhập doanh nghiệp đã nộp</t>
        </is>
      </c>
      <c r="B16" s="35" t="n">
        <v>-2238070257305</v>
      </c>
      <c r="C16" s="35" t="n">
        <v>-1209921507569</v>
      </c>
      <c r="D16" s="35" t="n">
        <v>-971344830054</v>
      </c>
      <c r="E16" s="35" t="n">
        <v>-1221846691729</v>
      </c>
    </row>
    <row r="17" ht="15" customHeight="1" s="15">
      <c r="A17" s="34" t="inlineStr">
        <is>
          <t>Tiền thu khác từ hoạt động kinh doanh</t>
        </is>
      </c>
      <c r="B17" s="35" t="n">
        <v>0</v>
      </c>
      <c r="C17" s="35" t="n">
        <v>0</v>
      </c>
      <c r="D17" s="35" t="n">
        <v>0</v>
      </c>
      <c r="E17" s="35" t="n">
        <v>0</v>
      </c>
    </row>
    <row r="18" ht="15" customHeight="1" s="15">
      <c r="A18" s="34" t="inlineStr">
        <is>
          <t>Tiền chi khác cho hoạt động kinh doanh</t>
        </is>
      </c>
      <c r="B18" s="35" t="n">
        <v>-379701329253</v>
      </c>
      <c r="C18" s="35" t="n">
        <v>-408667711961</v>
      </c>
      <c r="D18" s="35" t="n">
        <v>-347735082564</v>
      </c>
      <c r="E18" s="35" t="n">
        <v>-349953909983</v>
      </c>
    </row>
    <row r="19" ht="15" customHeight="1" s="15">
      <c r="A19" s="34" t="inlineStr">
        <is>
          <t>Lưu chuyển tiền tệ ròng từ các hoạt động sản xuất kinh doanh</t>
        </is>
      </c>
      <c r="B19" s="35" t="n">
        <v>10136043915911</v>
      </c>
      <c r="C19" s="35" t="n">
        <v>11703777188868</v>
      </c>
      <c r="D19" s="35" t="n">
        <v>9517095698405</v>
      </c>
      <c r="E19" s="35" t="n">
        <v>5053831756700</v>
      </c>
    </row>
    <row r="20" ht="15" customHeight="1" s="15">
      <c r="A20" s="34" t="inlineStr">
        <is>
          <t>Tiền chi để mua sắm, xây dựng TSCĐ và các tài sản dài hạn khác</t>
        </is>
      </c>
      <c r="B20" s="35" t="n">
        <v>-5097919349856</v>
      </c>
      <c r="C20" s="35" t="n">
        <v>-3275312325702</v>
      </c>
      <c r="D20" s="35" t="n">
        <v>-3978252082224</v>
      </c>
      <c r="E20" s="35" t="n">
        <v>-3215243200871</v>
      </c>
    </row>
    <row r="21" ht="15" customHeight="1" s="15">
      <c r="A21" s="34" t="inlineStr">
        <is>
          <t>Tiền thu từ thanh lý, nhượng bán TSCĐ và các tài sản dài hạn khác</t>
        </is>
      </c>
      <c r="B21" s="35" t="n">
        <v>7314216719</v>
      </c>
      <c r="C21" s="35" t="n">
        <v>14227383215</v>
      </c>
      <c r="D21" s="35" t="n">
        <v>29269655015</v>
      </c>
      <c r="E21" s="35" t="n">
        <v>5662030028</v>
      </c>
    </row>
    <row r="22" ht="15" customHeight="1" s="15">
      <c r="A22" s="34" t="inlineStr">
        <is>
          <t>Tiền chi cho vay, mua các công cụ nợ của đơn vị khác</t>
        </is>
      </c>
      <c r="B22" s="35" t="n">
        <v>-57012522823806</v>
      </c>
      <c r="C22" s="35" t="n">
        <v>-41956569113369</v>
      </c>
      <c r="D22" s="35" t="n">
        <v>-33536189070356</v>
      </c>
      <c r="E22" s="35" t="n">
        <v>-32995035947486</v>
      </c>
    </row>
    <row r="23" ht="15" customHeight="1" s="15">
      <c r="A23" s="34" t="inlineStr">
        <is>
          <t>Tiền thu hồi cho vay, bán lại các công cụ nợ của đơn vị khác</t>
        </is>
      </c>
      <c r="B23" s="35" t="n">
        <v>49164792969282</v>
      </c>
      <c r="C23" s="35" t="n">
        <v>36283758374630</v>
      </c>
      <c r="D23" s="35" t="n">
        <v>30458251083042</v>
      </c>
      <c r="E23" s="35" t="n">
        <v>40669116046728</v>
      </c>
    </row>
    <row r="24" ht="15" customHeight="1" s="15">
      <c r="A24" s="34" t="inlineStr">
        <is>
          <t>Tiền chi đầu tư góp vốn vào đơn vị khác</t>
        </is>
      </c>
      <c r="B24" s="35" t="n">
        <v>-710700052777</v>
      </c>
      <c r="C24" s="35" t="n">
        <v>-1106193484800</v>
      </c>
      <c r="D24" s="35" t="n">
        <v>-1753619182518</v>
      </c>
      <c r="E24" s="35" t="n">
        <v>-557291900594</v>
      </c>
    </row>
    <row r="25" ht="15" customHeight="1" s="15">
      <c r="A25" s="34" t="inlineStr">
        <is>
          <t>Tiền thu hồi đầu tư góp vốn vào đơn vị khác</t>
        </is>
      </c>
      <c r="B25" s="35" t="n">
        <v>23532256656</v>
      </c>
      <c r="C25" s="35" t="n">
        <v>48102486048</v>
      </c>
      <c r="D25" s="35" t="n">
        <v>94939906000</v>
      </c>
      <c r="E25" s="35" t="n">
        <v>56400094000</v>
      </c>
    </row>
    <row r="26" ht="15" customHeight="1" s="15">
      <c r="A26" s="34" t="inlineStr">
        <is>
          <t>Tiền thu lãi cho vay, cổ tức và lợi nhuận được chia</t>
        </is>
      </c>
      <c r="B26" s="35" t="n">
        <v>2000759192153</v>
      </c>
      <c r="C26" s="35" t="n">
        <v>1530174506877</v>
      </c>
      <c r="D26" s="35" t="n">
        <v>2137225525330</v>
      </c>
      <c r="E26" s="35" t="n">
        <v>1793624815520</v>
      </c>
    </row>
    <row r="27" ht="15" customHeight="1" s="15">
      <c r="A27" s="34" t="inlineStr">
        <is>
          <t>Lưu chuyển tiền thuần từ hoạt động đầu tư</t>
        </is>
      </c>
      <c r="B27" s="35" t="n">
        <v>-11624743591629</v>
      </c>
      <c r="C27" s="35" t="n">
        <v>-8461812173101</v>
      </c>
      <c r="D27" s="35" t="n">
        <v>-6548374165711</v>
      </c>
      <c r="E27" s="35" t="n">
        <v>5757231937325</v>
      </c>
    </row>
    <row r="28" ht="15" customHeight="1" s="15">
      <c r="A28" s="34" t="inlineStr">
        <is>
          <t>Tiền thu từ phát hành cổ phiếu, nhận vốn góp của chủ sở hữu</t>
        </is>
      </c>
      <c r="B28" s="35" t="n">
        <v>1196235184778</v>
      </c>
      <c r="C28" s="35" t="n">
        <v>163342989874</v>
      </c>
      <c r="D28" s="35" t="n">
        <v>73050500000</v>
      </c>
      <c r="E28" s="35" t="n">
        <v>77028689275</v>
      </c>
    </row>
    <row r="29" ht="15" customHeight="1" s="15">
      <c r="A29" s="34" t="inlineStr">
        <is>
          <t>Tiền chi trả vốn góp cho các chủ sở hữu, mua lại cổ phiếu của doanh nghiệp đã phát hành</t>
        </is>
      </c>
      <c r="B29" s="35" t="n">
        <v>0</v>
      </c>
      <c r="C29" s="35" t="n">
        <v>0</v>
      </c>
      <c r="D29" s="35" t="n">
        <v>0</v>
      </c>
      <c r="E29" s="35" t="n">
        <v>0</v>
      </c>
    </row>
    <row r="30" ht="15" customHeight="1" s="15">
      <c r="A30" s="34" t="inlineStr">
        <is>
          <t>Tiền thu được các khoản đi vay</t>
        </is>
      </c>
      <c r="B30" s="35" t="n">
        <v>43070812885074</v>
      </c>
      <c r="C30" s="35" t="n">
        <v>30946282706201</v>
      </c>
      <c r="D30" s="35" t="n">
        <v>34271246237260</v>
      </c>
      <c r="E30" s="35" t="n">
        <v>28120228984733</v>
      </c>
    </row>
    <row r="31" ht="15" customHeight="1" s="15">
      <c r="A31" s="34" t="inlineStr">
        <is>
          <t>Tiền trả nợ gốc vay</t>
        </is>
      </c>
      <c r="B31" s="35" t="n">
        <v>-36890984827601</v>
      </c>
      <c r="C31" s="35" t="n">
        <v>-30013226682923</v>
      </c>
      <c r="D31" s="35" t="n">
        <v>-32551882452709</v>
      </c>
      <c r="E31" s="35" t="n">
        <v>-35740054948912</v>
      </c>
    </row>
    <row r="32" ht="15" customHeight="1" s="15">
      <c r="A32" s="34" t="inlineStr">
        <is>
          <t>Tiền trả nợ gốc thuê tài chính</t>
        </is>
      </c>
      <c r="B32" s="35" t="n">
        <v>-986795056</v>
      </c>
      <c r="C32" s="35" t="n">
        <v>-2305346865</v>
      </c>
      <c r="D32" s="35" t="n">
        <v>-30169775111</v>
      </c>
      <c r="E32" s="35" t="n">
        <v>-8376145424</v>
      </c>
    </row>
    <row r="33" ht="15" customHeight="1" s="15">
      <c r="A33" s="34" t="inlineStr">
        <is>
          <t>Cổ tức, lợi nhuận đã trả cho chủ sở hữu</t>
        </is>
      </c>
      <c r="B33" s="35" t="n">
        <v>-4573753577663</v>
      </c>
      <c r="C33" s="35" t="n">
        <v>-3291859792121</v>
      </c>
      <c r="D33" s="35" t="n">
        <v>-2930628448135</v>
      </c>
      <c r="E33" s="35" t="n">
        <v>-2222134795995</v>
      </c>
    </row>
    <row r="34" ht="15" customHeight="1" s="15">
      <c r="A34" s="34" t="inlineStr">
        <is>
          <t>Tiền lãi đã nhận</t>
        </is>
      </c>
      <c r="B34" s="35" t="n">
        <v>0</v>
      </c>
      <c r="C34" s="35" t="n">
        <v>0</v>
      </c>
      <c r="D34" s="35" t="n">
        <v>0</v>
      </c>
      <c r="E34" s="35" t="n">
        <v>0</v>
      </c>
    </row>
    <row r="35" ht="15" customHeight="1" s="15">
      <c r="A35" s="34" t="inlineStr">
        <is>
          <t>Lưu chuyển tiền thuần từ hoạt động tài chính</t>
        </is>
      </c>
      <c r="B35" s="35" t="n">
        <v>2801322869532</v>
      </c>
      <c r="C35" s="35" t="n">
        <v>-2197766125834</v>
      </c>
      <c r="D35" s="35" t="n">
        <v>-1168383938695</v>
      </c>
      <c r="E35" s="35" t="n">
        <v>-9773308216323</v>
      </c>
    </row>
    <row r="36" ht="15" customHeight="1" s="15">
      <c r="A36" s="34" t="inlineStr">
        <is>
          <t>Lưu chuyển tiền thuần trong kỳ</t>
        </is>
      </c>
      <c r="B36" s="35" t="n">
        <v>1312623193814</v>
      </c>
      <c r="C36" s="35" t="n">
        <v>1044198889933</v>
      </c>
      <c r="D36" s="35" t="n">
        <v>1800337593999</v>
      </c>
      <c r="E36" s="35" t="n">
        <v>1037755477702</v>
      </c>
    </row>
    <row r="37" ht="15" customHeight="1" s="15">
      <c r="A37" s="34" t="inlineStr">
        <is>
          <t>Tiền và tương đương tiền đầu kỳ</t>
        </is>
      </c>
      <c r="B37" s="35" t="n">
        <v>9315440438884</v>
      </c>
      <c r="C37" s="35" t="n">
        <v>8279156683221</v>
      </c>
      <c r="D37" s="35" t="n">
        <v>6440177174322</v>
      </c>
      <c r="E37" s="35" t="n">
        <v>5417845293242</v>
      </c>
    </row>
    <row r="38" ht="15" customHeight="1" s="15">
      <c r="A38" s="34" t="inlineStr">
        <is>
          <t>Ảnh hưởng của thay đổi tỷ giá hối đoái quy đổi ngoại tệ</t>
        </is>
      </c>
      <c r="B38" s="35" t="n">
        <v>-105957902706</v>
      </c>
      <c r="C38" s="35" t="n">
        <v>-7915134270</v>
      </c>
      <c r="D38" s="35" t="n">
        <v>38641914900</v>
      </c>
      <c r="E38" s="35" t="n">
        <v>-15423596622</v>
      </c>
    </row>
    <row r="39" ht="15" customHeight="1" s="15">
      <c r="A39" s="34" t="inlineStr">
        <is>
          <t>Tiền và tương đương tiền cuối kỳ</t>
        </is>
      </c>
      <c r="B39" s="35" t="n">
        <v>10522105729992</v>
      </c>
      <c r="C39" s="35" t="n">
        <v>9315440438884</v>
      </c>
      <c r="D39" s="35" t="n">
        <v>8279156683221</v>
      </c>
      <c r="E39" s="35" t="n">
        <v>6440177174322</v>
      </c>
    </row>
    <row r="40" ht="15" customHeight="1" s="15">
      <c r="A40" s="34" t="inlineStr">
        <is>
          <t>Phân bổ lợi thế thương mại</t>
        </is>
      </c>
      <c r="B40" s="35" t="n">
        <v>0</v>
      </c>
      <c r="C40" s="35" t="n">
        <v>0</v>
      </c>
      <c r="D40" s="35" t="n">
        <v>0</v>
      </c>
      <c r="E40" s="35" t="n">
        <v>0</v>
      </c>
    </row>
    <row r="41" ht="15" customHeight="1" s="15">
      <c r="A41" s="34" t="inlineStr">
        <is>
          <t>Các khoản điều chỉnh khác</t>
        </is>
      </c>
      <c r="B41" s="35" t="n">
        <v>0</v>
      </c>
      <c r="C41" s="35" t="n">
        <v>0</v>
      </c>
      <c r="D41" s="35" t="n">
        <v>0</v>
      </c>
      <c r="E41" s="35" t="n">
        <v>0</v>
      </c>
    </row>
    <row r="42" ht="15" customHeight="1" s="15">
      <c r="A42" s="34" t="inlineStr">
        <is>
          <t>(Tăng)/giảm chứng khoán kinh doanh</t>
        </is>
      </c>
      <c r="B42" s="35" t="n">
        <v>0</v>
      </c>
      <c r="C42" s="35" t="n">
        <v>0</v>
      </c>
      <c r="D42" s="35" t="n">
        <v>0</v>
      </c>
      <c r="E42" s="35" t="n">
        <v>0</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outlinePr summaryBelow="1" summaryRight="1"/>
    <pageSetUpPr/>
  </sheetPr>
  <dimension ref="A1:E58"/>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42" customWidth="1" style="15" min="1" max="1"/>
    <col width="14" customWidth="1" style="15" min="2" max="2"/>
    <col width="14" customWidth="1" style="15" min="3" max="3"/>
    <col width="14" customWidth="1" style="15" min="4" max="4"/>
    <col width="14" customWidth="1" style="15" min="5" max="5"/>
    <col width="3" customWidth="1" style="15" min="6" max="6"/>
  </cols>
  <sheetData>
    <row r="1" ht="22" customHeight="1" s="15">
      <c r="A1" s="17" t="inlineStr">
        <is>
          <t>CHỈ SỐ TÀI CHÍNH — FPT</t>
        </is>
      </c>
    </row>
    <row r="2" ht="42" customHeight="1" s="15">
      <c r="A2" s="19" t="inlineStr">
        <is>
          <t>Khối "CHỈ SỐ TÀI CHÍNH" tính bằng công thức từ khối "DỮ LIỆU TRÍCH XUẤT" bên dưới, không phải số nhập tay. Khối "DỮ LIỆU TRÍCH XUẤT" được dò tự động theo TÊN khoản mục (đúng theo tên gốc trong báo cáo) và theo NĂM từ 3 sheet balance_sheet / income_statement — không tham chiếu ô cố định. Có thể sửa nhãn khoản mục ở cột A khối này nếu công ty đổi tên dòng; công thức sẽ tự dò lại. Các năm được xếp tăng dần từ trái sang phải.</t>
        </is>
      </c>
    </row>
    <row r="4">
      <c r="A4" s="20" t="inlineStr">
        <is>
          <t>I. CHỈ SỐ TÀI CHÍNH</t>
        </is>
      </c>
      <c r="B4" s="21" t="n"/>
      <c r="C4" s="21" t="n"/>
      <c r="D4" s="21" t="n"/>
      <c r="E4" s="21" t="n"/>
    </row>
    <row r="5">
      <c r="A5" s="22" t="inlineStr">
        <is>
          <t>Chỉ tiêu</t>
        </is>
      </c>
      <c r="B5" s="23">
        <f>'balance_sheet'!E1</f>
        <v/>
      </c>
      <c r="C5" s="23">
        <f>'balance_sheet'!D1</f>
        <v/>
      </c>
      <c r="D5" s="23">
        <f>'balance_sheet'!C1</f>
        <v/>
      </c>
      <c r="E5" s="23">
        <f>'balance_sheet'!B1</f>
        <v/>
      </c>
    </row>
    <row r="6">
      <c r="A6" s="24" t="inlineStr">
        <is>
          <t>1. Khả năng sinh lời</t>
        </is>
      </c>
    </row>
    <row r="7">
      <c r="A7" s="25" t="inlineStr">
        <is>
          <t>ROE (LNST CĐ Cty mẹ / VCSH bình quân)</t>
        </is>
      </c>
      <c r="B7" s="26" t="inlineStr">
        <is>
          <t>n/a</t>
        </is>
      </c>
      <c r="C7" s="27">
        <f>IFERROR(C$54/((C$39+B$39)/2),"n/a")</f>
        <v/>
      </c>
      <c r="D7" s="27">
        <f>IFERROR(D$54/((D$39+C$39)/2),"n/a")</f>
        <v/>
      </c>
      <c r="E7" s="27">
        <f>IFERROR(E$54/((E$39+D$39)/2),"n/a")</f>
        <v/>
      </c>
    </row>
    <row r="8">
      <c r="A8" s="25" t="inlineStr">
        <is>
          <t>ROA (LNST / Tổng tài sản bình quân)</t>
        </is>
      </c>
      <c r="B8" s="26" t="inlineStr">
        <is>
          <t>n/a</t>
        </is>
      </c>
      <c r="C8" s="27">
        <f>IFERROR(C$53/((C$40+B$40)/2),"n/a")</f>
        <v/>
      </c>
      <c r="D8" s="27">
        <f>IFERROR(D$53/((D$40+C$40)/2),"n/a")</f>
        <v/>
      </c>
      <c r="E8" s="27">
        <f>IFERROR(E$53/((E$40+D$40)/2),"n/a")</f>
        <v/>
      </c>
    </row>
    <row r="9">
      <c r="A9" s="25" t="inlineStr">
        <is>
          <t>Tăng trưởng LN Cổ đông Cty mẹ</t>
        </is>
      </c>
      <c r="B9" s="26" t="inlineStr">
        <is>
          <t>n/a</t>
        </is>
      </c>
      <c r="C9" s="27">
        <f>IFERROR((C$54-B$54)/ABS(B$54),"n/a")</f>
        <v/>
      </c>
      <c r="D9" s="27">
        <f>IFERROR((D$54-C$54)/ABS(C$54),"n/a")</f>
        <v/>
      </c>
      <c r="E9" s="27">
        <f>IFERROR((E$54-D$54)/ABS(D$54),"n/a")</f>
        <v/>
      </c>
    </row>
    <row r="10">
      <c r="A10" s="25" t="inlineStr">
        <is>
          <t>Tăng trưởng Doanh thu thuần</t>
        </is>
      </c>
      <c r="B10" s="26" t="inlineStr">
        <is>
          <t>n/a</t>
        </is>
      </c>
      <c r="C10" s="27">
        <f>IFERROR((C$46-B$46)/ABS(B$46),"n/a")</f>
        <v/>
      </c>
      <c r="D10" s="27">
        <f>IFERROR((D$46-C$46)/ABS(C$46),"n/a")</f>
        <v/>
      </c>
      <c r="E10" s="27">
        <f>IFERROR((E$46-D$46)/ABS(D$46),"n/a")</f>
        <v/>
      </c>
    </row>
    <row r="12">
      <c r="A12" s="24" t="inlineStr">
        <is>
          <t>2. Biên lợi nhuận</t>
        </is>
      </c>
    </row>
    <row r="13">
      <c r="A13" s="25" t="inlineStr">
        <is>
          <t>Biên lợi nhuận gộp</t>
        </is>
      </c>
      <c r="B13" s="27">
        <f>IFERROR(B$48/B$46,"n/a")</f>
        <v/>
      </c>
      <c r="C13" s="27">
        <f>IFERROR(C$48/C$46,"n/a")</f>
        <v/>
      </c>
      <c r="D13" s="27">
        <f>IFERROR(D$48/D$46,"n/a")</f>
        <v/>
      </c>
      <c r="E13" s="27">
        <f>IFERROR(E$48/E$46,"n/a")</f>
        <v/>
      </c>
    </row>
    <row r="14">
      <c r="A14" s="25" t="inlineStr">
        <is>
          <t>Biên lợi nhuận ròng</t>
        </is>
      </c>
      <c r="B14" s="27">
        <f>IFERROR(B$53/B$46,"n/a")</f>
        <v/>
      </c>
      <c r="C14" s="27">
        <f>IFERROR(C$53/C$46,"n/a")</f>
        <v/>
      </c>
      <c r="D14" s="27">
        <f>IFERROR(D$53/D$46,"n/a")</f>
        <v/>
      </c>
      <c r="E14" s="27">
        <f>IFERROR(E$53/E$46,"n/a")</f>
        <v/>
      </c>
    </row>
    <row r="16">
      <c r="A16" s="24" t="inlineStr">
        <is>
          <t>3. Đòn bẩy tài chính</t>
        </is>
      </c>
    </row>
    <row r="17">
      <c r="A17" s="25" t="inlineStr">
        <is>
          <t>D/E (Nợ vay / Vốn chủ sở hữu)</t>
        </is>
      </c>
      <c r="B17" s="28">
        <f>IFERROR((B$44+B$45)/B$39,"n/a")</f>
        <v/>
      </c>
      <c r="C17" s="28">
        <f>IFERROR((C$44+C$45)/C$39,"n/a")</f>
        <v/>
      </c>
      <c r="D17" s="28">
        <f>IFERROR((D$44+D$45)/D$39,"n/a")</f>
        <v/>
      </c>
      <c r="E17" s="28">
        <f>IFERROR((E$44+E$45)/E$39,"n/a")</f>
        <v/>
      </c>
    </row>
    <row r="18">
      <c r="A18" s="29" t="inlineStr">
        <is>
          <t xml:space="preserve">     - Nợ vay dài hạn/Vốn chủ sở hữu</t>
        </is>
      </c>
      <c r="B18" s="28">
        <f>IFERROR(B$45/B$39,"n/a")</f>
        <v/>
      </c>
      <c r="C18" s="28">
        <f>IFERROR(C$45/C$39,"n/a")</f>
        <v/>
      </c>
      <c r="D18" s="28">
        <f>IFERROR(D$45/D$39,"n/a")</f>
        <v/>
      </c>
      <c r="E18" s="28">
        <f>IFERROR(E$45/E$39,"n/a")</f>
        <v/>
      </c>
    </row>
    <row r="19">
      <c r="A19" s="29" t="inlineStr">
        <is>
          <t xml:space="preserve">     - Nợ vay ngắn hạn/Vốn chủ sở hữu</t>
        </is>
      </c>
      <c r="B19" s="28">
        <f>IFERROR(B$44/B$39,"n/a")</f>
        <v/>
      </c>
      <c r="C19" s="28">
        <f>IFERROR(C$44/C$39,"n/a")</f>
        <v/>
      </c>
      <c r="D19" s="28">
        <f>IFERROR(D$44/D$39,"n/a")</f>
        <v/>
      </c>
      <c r="E19" s="28">
        <f>IFERROR(E$44/E$39,"n/a")</f>
        <v/>
      </c>
    </row>
    <row r="20">
      <c r="A20" s="25" t="inlineStr">
        <is>
          <t>Nợ phải trả/Vốn chủ sở hữu</t>
        </is>
      </c>
      <c r="B20" s="28">
        <f>IFERROR(B$41/B$39,"n/a")</f>
        <v/>
      </c>
      <c r="C20" s="28">
        <f>IFERROR(C$41/C$39,"n/a")</f>
        <v/>
      </c>
      <c r="D20" s="28">
        <f>IFERROR(D$41/D$39,"n/a")</f>
        <v/>
      </c>
      <c r="E20" s="28">
        <f>IFERROR(E$41/E$39,"n/a")</f>
        <v/>
      </c>
    </row>
    <row r="21">
      <c r="A21" s="29" t="inlineStr">
        <is>
          <t xml:space="preserve">     - Nợ dài hạn/Vốn chủ sở hữu</t>
        </is>
      </c>
      <c r="B21" s="28">
        <f>IFERROR(B$43/B$39,"n/a")</f>
        <v/>
      </c>
      <c r="C21" s="28">
        <f>IFERROR(C$43/C$39,"n/a")</f>
        <v/>
      </c>
      <c r="D21" s="28">
        <f>IFERROR(D$43/D$39,"n/a")</f>
        <v/>
      </c>
      <c r="E21" s="28">
        <f>IFERROR(E$43/E$39,"n/a")</f>
        <v/>
      </c>
    </row>
    <row r="22">
      <c r="A22" s="29" t="inlineStr">
        <is>
          <t xml:space="preserve">     - Nợ ngắn hạn/Vốn chủ sở hữu</t>
        </is>
      </c>
      <c r="B22" s="28">
        <f>IFERROR(B$42/B$39,"n/a")</f>
        <v/>
      </c>
      <c r="C22" s="28">
        <f>IFERROR(C$42/C$39,"n/a")</f>
        <v/>
      </c>
      <c r="D22" s="28">
        <f>IFERROR(D$42/D$39,"n/a")</f>
        <v/>
      </c>
      <c r="E22" s="28">
        <f>IFERROR(E$42/E$39,"n/a")</f>
        <v/>
      </c>
    </row>
    <row r="24">
      <c r="A24" s="24" t="inlineStr">
        <is>
          <t>4. Chi phí &amp; khả năng trả lãi</t>
        </is>
      </c>
    </row>
    <row r="25">
      <c r="A25" s="25" t="inlineStr">
        <is>
          <t>Chi phí bán hàng, quản lý/LN gộp</t>
        </is>
      </c>
      <c r="B25" s="27">
        <f>IFERROR((ABS(B$49)+ABS(B$50))/B$48,"n/a")</f>
        <v/>
      </c>
      <c r="C25" s="27">
        <f>IFERROR((ABS(C$49)+ABS(C$50))/C$48,"n/a")</f>
        <v/>
      </c>
      <c r="D25" s="27">
        <f>IFERROR((ABS(D$49)+ABS(D$50))/D$48,"n/a")</f>
        <v/>
      </c>
      <c r="E25" s="27">
        <f>IFERROR((ABS(E$49)+ABS(E$50))/E$48,"n/a")</f>
        <v/>
      </c>
    </row>
    <row r="26">
      <c r="A26" s="25" t="inlineStr">
        <is>
          <t>Chi phí lãi vay/LN từ hoạt động kinh doanh</t>
        </is>
      </c>
      <c r="B26" s="27">
        <f>IFERROR(ABS(B$52)/B$51,"n/a")</f>
        <v/>
      </c>
      <c r="C26" s="27">
        <f>IFERROR(ABS(C$52)/C$51,"n/a")</f>
        <v/>
      </c>
      <c r="D26" s="27">
        <f>IFERROR(ABS(D$52)/D$51,"n/a")</f>
        <v/>
      </c>
      <c r="E26" s="27">
        <f>IFERROR(ABS(E$52)/E$51,"n/a")</f>
        <v/>
      </c>
    </row>
    <row r="28">
      <c r="A28" s="24" t="inlineStr">
        <is>
          <t>5. Chu kỳ hoạt động vốn lưu động</t>
        </is>
      </c>
    </row>
    <row r="29">
      <c r="A29" s="25" t="inlineStr">
        <is>
          <t>Số ngày phải trả (DPO)</t>
        </is>
      </c>
      <c r="B29" s="26" t="inlineStr">
        <is>
          <t>n/a</t>
        </is>
      </c>
      <c r="C29" s="30">
        <f>IFERROR(((C$56+B$56)/2)/ABS(C$47)*365,"n/a")</f>
        <v/>
      </c>
      <c r="D29" s="30">
        <f>IFERROR(((D$56+C$56)/2)/ABS(D$47)*365,"n/a")</f>
        <v/>
      </c>
      <c r="E29" s="30">
        <f>IFERROR(((E$56+D$56)/2)/ABS(E$47)*365,"n/a")</f>
        <v/>
      </c>
    </row>
    <row r="30">
      <c r="A30" s="25" t="inlineStr">
        <is>
          <t>Số ngày phải thu (DSO)</t>
        </is>
      </c>
      <c r="B30" s="26" t="inlineStr">
        <is>
          <t>n/a</t>
        </is>
      </c>
      <c r="C30" s="30">
        <f>IFERROR(((C$55+B$55)/2)/C$46*365,"n/a")</f>
        <v/>
      </c>
      <c r="D30" s="30">
        <f>IFERROR(((D$55+C$55)/2)/D$46*365,"n/a")</f>
        <v/>
      </c>
      <c r="E30" s="30">
        <f>IFERROR(((E$55+D$55)/2)/E$46*365,"n/a")</f>
        <v/>
      </c>
    </row>
    <row r="31">
      <c r="A31" s="25" t="inlineStr">
        <is>
          <t>Số ngày tồn kho (DIO)</t>
        </is>
      </c>
      <c r="B31" s="26" t="inlineStr">
        <is>
          <t>n/a</t>
        </is>
      </c>
      <c r="C31" s="30">
        <f>IFERROR(((C$57+B$57)/2)/ABS(C$47)*365,"n/a")</f>
        <v/>
      </c>
      <c r="D31" s="30">
        <f>IFERROR(((D$57+C$57)/2)/ABS(D$47)*365,"n/a")</f>
        <v/>
      </c>
      <c r="E31" s="30">
        <f>IFERROR(((E$57+D$57)/2)/ABS(E$47)*365,"n/a")</f>
        <v/>
      </c>
    </row>
    <row r="33">
      <c r="A33" s="24" t="inlineStr">
        <is>
          <t>6. Cơ cấu tài sản</t>
        </is>
      </c>
    </row>
    <row r="34">
      <c r="A34" s="25" t="inlineStr">
        <is>
          <t>Tiền và tương đương tiền/Tài sản</t>
        </is>
      </c>
      <c r="B34" s="27">
        <f>IFERROR(B$58/B$40,"n/a")</f>
        <v/>
      </c>
      <c r="C34" s="27">
        <f>IFERROR(C$58/C$40,"n/a")</f>
        <v/>
      </c>
      <c r="D34" s="27">
        <f>IFERROR(D$58/D$40,"n/a")</f>
        <v/>
      </c>
      <c r="E34" s="27">
        <f>IFERROR(E$58/E$40,"n/a")</f>
        <v/>
      </c>
    </row>
    <row r="35">
      <c r="A35" s="25" t="inlineStr">
        <is>
          <t>Hàng tồn kho/Tài sản</t>
        </is>
      </c>
      <c r="B35" s="27">
        <f>IFERROR(B$57/B$40,"n/a")</f>
        <v/>
      </c>
      <c r="C35" s="27">
        <f>IFERROR(C$57/C$40,"n/a")</f>
        <v/>
      </c>
      <c r="D35" s="27">
        <f>IFERROR(D$57/D$40,"n/a")</f>
        <v/>
      </c>
      <c r="E35" s="27">
        <f>IFERROR(E$57/E$40,"n/a")</f>
        <v/>
      </c>
    </row>
    <row r="37">
      <c r="A37" s="20" t="inlineStr">
        <is>
          <t>II. DỮ LIỆU TRÍCH XUẤT (tự động dò theo tên khoản mục)</t>
        </is>
      </c>
      <c r="B37" s="21" t="n"/>
      <c r="C37" s="21" t="n"/>
      <c r="D37" s="21" t="n"/>
      <c r="E37" s="21" t="n"/>
    </row>
    <row r="38">
      <c r="A38" s="22" t="inlineStr">
        <is>
          <t>Khoản mục</t>
        </is>
      </c>
      <c r="B38" s="23">
        <f>'balance_sheet'!E1</f>
        <v/>
      </c>
      <c r="C38" s="23">
        <f>'balance_sheet'!D1</f>
        <v/>
      </c>
      <c r="D38" s="23">
        <f>'balance_sheet'!C1</f>
        <v/>
      </c>
      <c r="E38" s="23">
        <f>'balance_sheet'!B1</f>
        <v/>
      </c>
    </row>
    <row r="39">
      <c r="A39" s="29" t="inlineStr">
        <is>
          <t>Vốn chủ sở hữu</t>
        </is>
      </c>
      <c r="B39" s="31">
        <f>IFERROR(INDEX(balance_sheet!$B:$E,MATCH("Vốn chủ sở hữu",balance_sheet!$A:$A,0),MATCH(B$38,balance_sheet!$B$1:$E$1,0)),"")</f>
        <v/>
      </c>
      <c r="C39" s="31">
        <f>IFERROR(INDEX(balance_sheet!$B:$E,MATCH("Vốn chủ sở hữu",balance_sheet!$A:$A,0),MATCH(C$38,balance_sheet!$B$1:$E$1,0)),"")</f>
        <v/>
      </c>
      <c r="D39" s="31">
        <f>IFERROR(INDEX(balance_sheet!$B:$E,MATCH("Vốn chủ sở hữu",balance_sheet!$A:$A,0),MATCH(D$38,balance_sheet!$B$1:$E$1,0)),"")</f>
        <v/>
      </c>
      <c r="E39" s="31">
        <f>IFERROR(INDEX(balance_sheet!$B:$E,MATCH("Vốn chủ sở hữu",balance_sheet!$A:$A,0),MATCH(E$38,balance_sheet!$B$1:$E$1,0)),"")</f>
        <v/>
      </c>
    </row>
    <row r="40">
      <c r="A40" s="29" t="inlineStr">
        <is>
          <t>TỔNG CỘNG TÀI SẢN</t>
        </is>
      </c>
      <c r="B40" s="31">
        <f>IFERROR(INDEX(balance_sheet!$B:$E,MATCH("TỔNG CỘNG TÀI SẢN",balance_sheet!$A:$A,0),MATCH(B$38,balance_sheet!$B$1:$E$1,0)),"")</f>
        <v/>
      </c>
      <c r="C40" s="31">
        <f>IFERROR(INDEX(balance_sheet!$B:$E,MATCH("TỔNG CỘNG TÀI SẢN",balance_sheet!$A:$A,0),MATCH(C$38,balance_sheet!$B$1:$E$1,0)),"")</f>
        <v/>
      </c>
      <c r="D40" s="31">
        <f>IFERROR(INDEX(balance_sheet!$B:$E,MATCH("TỔNG CỘNG TÀI SẢN",balance_sheet!$A:$A,0),MATCH(D$38,balance_sheet!$B$1:$E$1,0)),"")</f>
        <v/>
      </c>
      <c r="E40" s="31">
        <f>IFERROR(INDEX(balance_sheet!$B:$E,MATCH("TỔNG CỘNG TÀI SẢN",balance_sheet!$A:$A,0),MATCH(E$38,balance_sheet!$B$1:$E$1,0)),"")</f>
        <v/>
      </c>
    </row>
    <row r="41">
      <c r="A41" s="29" t="inlineStr">
        <is>
          <t>NỢ PHẢI TRẢ</t>
        </is>
      </c>
      <c r="B41" s="31">
        <f>IFERROR(INDEX(balance_sheet!$B:$E,MATCH("NỢ PHẢI TRẢ",balance_sheet!$A:$A,0),MATCH(B$38,balance_sheet!$B$1:$E$1,0)),"")</f>
        <v/>
      </c>
      <c r="C41" s="31">
        <f>IFERROR(INDEX(balance_sheet!$B:$E,MATCH("NỢ PHẢI TRẢ",balance_sheet!$A:$A,0),MATCH(C$38,balance_sheet!$B$1:$E$1,0)),"")</f>
        <v/>
      </c>
      <c r="D41" s="31">
        <f>IFERROR(INDEX(balance_sheet!$B:$E,MATCH("NỢ PHẢI TRẢ",balance_sheet!$A:$A,0),MATCH(D$38,balance_sheet!$B$1:$E$1,0)),"")</f>
        <v/>
      </c>
      <c r="E41" s="31">
        <f>IFERROR(INDEX(balance_sheet!$B:$E,MATCH("NỢ PHẢI TRẢ",balance_sheet!$A:$A,0),MATCH(E$38,balance_sheet!$B$1:$E$1,0)),"")</f>
        <v/>
      </c>
    </row>
    <row r="42">
      <c r="A42" s="29" t="inlineStr">
        <is>
          <t>Nợ ngắn hạn</t>
        </is>
      </c>
      <c r="B42" s="31">
        <f>IFERROR(INDEX(balance_sheet!$B:$E,MATCH("Nợ ngắn hạn",balance_sheet!$A:$A,0),MATCH(B$38,balance_sheet!$B$1:$E$1,0)),"")</f>
        <v/>
      </c>
      <c r="C42" s="31">
        <f>IFERROR(INDEX(balance_sheet!$B:$E,MATCH("Nợ ngắn hạn",balance_sheet!$A:$A,0),MATCH(C$38,balance_sheet!$B$1:$E$1,0)),"")</f>
        <v/>
      </c>
      <c r="D42" s="31">
        <f>IFERROR(INDEX(balance_sheet!$B:$E,MATCH("Nợ ngắn hạn",balance_sheet!$A:$A,0),MATCH(D$38,balance_sheet!$B$1:$E$1,0)),"")</f>
        <v/>
      </c>
      <c r="E42" s="31">
        <f>IFERROR(INDEX(balance_sheet!$B:$E,MATCH("Nợ ngắn hạn",balance_sheet!$A:$A,0),MATCH(E$38,balance_sheet!$B$1:$E$1,0)),"")</f>
        <v/>
      </c>
    </row>
    <row r="43">
      <c r="A43" s="29" t="inlineStr">
        <is>
          <t>Nợ dài hạn</t>
        </is>
      </c>
      <c r="B43" s="31">
        <f>IFERROR(INDEX(balance_sheet!$B:$E,MATCH("Nợ dài hạn",balance_sheet!$A:$A,0),MATCH(B$38,balance_sheet!$B$1:$E$1,0)),"")</f>
        <v/>
      </c>
      <c r="C43" s="31">
        <f>IFERROR(INDEX(balance_sheet!$B:$E,MATCH("Nợ dài hạn",balance_sheet!$A:$A,0),MATCH(C$38,balance_sheet!$B$1:$E$1,0)),"")</f>
        <v/>
      </c>
      <c r="D43" s="31">
        <f>IFERROR(INDEX(balance_sheet!$B:$E,MATCH("Nợ dài hạn",balance_sheet!$A:$A,0),MATCH(D$38,balance_sheet!$B$1:$E$1,0)),"")</f>
        <v/>
      </c>
      <c r="E43" s="31">
        <f>IFERROR(INDEX(balance_sheet!$B:$E,MATCH("Nợ dài hạn",balance_sheet!$A:$A,0),MATCH(E$38,balance_sheet!$B$1:$E$1,0)),"")</f>
        <v/>
      </c>
    </row>
    <row r="44">
      <c r="A44" s="29" t="inlineStr">
        <is>
          <t>Vay ngắn hạn</t>
        </is>
      </c>
      <c r="B44" s="31">
        <f>IFERROR(INDEX(balance_sheet!$B:$E,MATCH("Vay ngắn hạn",balance_sheet!$A:$A,0),MATCH(B$38,balance_sheet!$B$1:$E$1,0)),"")</f>
        <v/>
      </c>
      <c r="C44" s="31">
        <f>IFERROR(INDEX(balance_sheet!$B:$E,MATCH("Vay ngắn hạn",balance_sheet!$A:$A,0),MATCH(C$38,balance_sheet!$B$1:$E$1,0)),"")</f>
        <v/>
      </c>
      <c r="D44" s="31">
        <f>IFERROR(INDEX(balance_sheet!$B:$E,MATCH("Vay ngắn hạn",balance_sheet!$A:$A,0),MATCH(D$38,balance_sheet!$B$1:$E$1,0)),"")</f>
        <v/>
      </c>
      <c r="E44" s="31">
        <f>IFERROR(INDEX(balance_sheet!$B:$E,MATCH("Vay ngắn hạn",balance_sheet!$A:$A,0),MATCH(E$38,balance_sheet!$B$1:$E$1,0)),"")</f>
        <v/>
      </c>
    </row>
    <row r="45">
      <c r="A45" s="29" t="inlineStr">
        <is>
          <t>Vay dài hạn</t>
        </is>
      </c>
      <c r="B45" s="31">
        <f>IFERROR(INDEX(balance_sheet!$B:$E,MATCH("Vay dài hạn",balance_sheet!$A:$A,0),MATCH(B$38,balance_sheet!$B$1:$E$1,0)),"")</f>
        <v/>
      </c>
      <c r="C45" s="31">
        <f>IFERROR(INDEX(balance_sheet!$B:$E,MATCH("Vay dài hạn",balance_sheet!$A:$A,0),MATCH(C$38,balance_sheet!$B$1:$E$1,0)),"")</f>
        <v/>
      </c>
      <c r="D45" s="31">
        <f>IFERROR(INDEX(balance_sheet!$B:$E,MATCH("Vay dài hạn",balance_sheet!$A:$A,0),MATCH(D$38,balance_sheet!$B$1:$E$1,0)),"")</f>
        <v/>
      </c>
      <c r="E45" s="31">
        <f>IFERROR(INDEX(balance_sheet!$B:$E,MATCH("Vay dài hạn",balance_sheet!$A:$A,0),MATCH(E$38,balance_sheet!$B$1:$E$1,0)),"")</f>
        <v/>
      </c>
    </row>
    <row r="46">
      <c r="A46" s="29" t="inlineStr">
        <is>
          <t>Doanh thu thuần</t>
        </is>
      </c>
      <c r="B46" s="31">
        <f>IFERROR(INDEX(income_statement!$B:$E,MATCH("Doanh thu thuần",income_statement!$A:$A,0),MATCH(B$38,income_statement!$B$1:$E$1,0)),"")</f>
        <v/>
      </c>
      <c r="C46" s="31">
        <f>IFERROR(INDEX(income_statement!$B:$E,MATCH("Doanh thu thuần",income_statement!$A:$A,0),MATCH(C$38,income_statement!$B$1:$E$1,0)),"")</f>
        <v/>
      </c>
      <c r="D46" s="31">
        <f>IFERROR(INDEX(income_statement!$B:$E,MATCH("Doanh thu thuần",income_statement!$A:$A,0),MATCH(D$38,income_statement!$B$1:$E$1,0)),"")</f>
        <v/>
      </c>
      <c r="E46" s="31">
        <f>IFERROR(INDEX(income_statement!$B:$E,MATCH("Doanh thu thuần",income_statement!$A:$A,0),MATCH(E$38,income_statement!$B$1:$E$1,0)),"")</f>
        <v/>
      </c>
    </row>
    <row r="47">
      <c r="A47" s="29" t="inlineStr">
        <is>
          <t>Giá vốn hàng bán</t>
        </is>
      </c>
      <c r="B47" s="31">
        <f>IFERROR(INDEX(income_statement!$B:$E,MATCH("Giá vốn hàng bán",income_statement!$A:$A,0),MATCH(B$38,income_statement!$B$1:$E$1,0)),"")</f>
        <v/>
      </c>
      <c r="C47" s="31">
        <f>IFERROR(INDEX(income_statement!$B:$E,MATCH("Giá vốn hàng bán",income_statement!$A:$A,0),MATCH(C$38,income_statement!$B$1:$E$1,0)),"")</f>
        <v/>
      </c>
      <c r="D47" s="31">
        <f>IFERROR(INDEX(income_statement!$B:$E,MATCH("Giá vốn hàng bán",income_statement!$A:$A,0),MATCH(D$38,income_statement!$B$1:$E$1,0)),"")</f>
        <v/>
      </c>
      <c r="E47" s="31">
        <f>IFERROR(INDEX(income_statement!$B:$E,MATCH("Giá vốn hàng bán",income_statement!$A:$A,0),MATCH(E$38,income_statement!$B$1:$E$1,0)),"")</f>
        <v/>
      </c>
    </row>
    <row r="48">
      <c r="A48" s="29" t="inlineStr">
        <is>
          <t>Lợi nhuận gộp</t>
        </is>
      </c>
      <c r="B48" s="31">
        <f>IFERROR(INDEX(income_statement!$B:$E,MATCH("Lợi nhuận gộp",income_statement!$A:$A,0),MATCH(B$38,income_statement!$B$1:$E$1,0)),"")</f>
        <v/>
      </c>
      <c r="C48" s="31">
        <f>IFERROR(INDEX(income_statement!$B:$E,MATCH("Lợi nhuận gộp",income_statement!$A:$A,0),MATCH(C$38,income_statement!$B$1:$E$1,0)),"")</f>
        <v/>
      </c>
      <c r="D48" s="31">
        <f>IFERROR(INDEX(income_statement!$B:$E,MATCH("Lợi nhuận gộp",income_statement!$A:$A,0),MATCH(D$38,income_statement!$B$1:$E$1,0)),"")</f>
        <v/>
      </c>
      <c r="E48" s="31">
        <f>IFERROR(INDEX(income_statement!$B:$E,MATCH("Lợi nhuận gộp",income_statement!$A:$A,0),MATCH(E$38,income_statement!$B$1:$E$1,0)),"")</f>
        <v/>
      </c>
    </row>
    <row r="49">
      <c r="A49" s="29" t="inlineStr">
        <is>
          <t>Chi phí bán hàng</t>
        </is>
      </c>
      <c r="B49" s="31">
        <f>IFERROR(INDEX(income_statement!$B:$E,MATCH("Chi phí bán hàng",income_statement!$A:$A,0),MATCH(B$38,income_statement!$B$1:$E$1,0)),"")</f>
        <v/>
      </c>
      <c r="C49" s="31">
        <f>IFERROR(INDEX(income_statement!$B:$E,MATCH("Chi phí bán hàng",income_statement!$A:$A,0),MATCH(C$38,income_statement!$B$1:$E$1,0)),"")</f>
        <v/>
      </c>
      <c r="D49" s="31">
        <f>IFERROR(INDEX(income_statement!$B:$E,MATCH("Chi phí bán hàng",income_statement!$A:$A,0),MATCH(D$38,income_statement!$B$1:$E$1,0)),"")</f>
        <v/>
      </c>
      <c r="E49" s="31">
        <f>IFERROR(INDEX(income_statement!$B:$E,MATCH("Chi phí bán hàng",income_statement!$A:$A,0),MATCH(E$38,income_statement!$B$1:$E$1,0)),"")</f>
        <v/>
      </c>
    </row>
    <row r="50">
      <c r="A50" s="29" t="inlineStr">
        <is>
          <t>Chi phí quản lý doanh nghiệp</t>
        </is>
      </c>
      <c r="B50" s="31">
        <f>IFERROR(INDEX(income_statement!$B:$E,MATCH("Chi phí quản lý doanh nghiệp",income_statement!$A:$A,0),MATCH(B$38,income_statement!$B$1:$E$1,0)),"")</f>
        <v/>
      </c>
      <c r="C50" s="31">
        <f>IFERROR(INDEX(income_statement!$B:$E,MATCH("Chi phí quản lý doanh nghiệp",income_statement!$A:$A,0),MATCH(C$38,income_statement!$B$1:$E$1,0)),"")</f>
        <v/>
      </c>
      <c r="D50" s="31">
        <f>IFERROR(INDEX(income_statement!$B:$E,MATCH("Chi phí quản lý doanh nghiệp",income_statement!$A:$A,0),MATCH(D$38,income_statement!$B$1:$E$1,0)),"")</f>
        <v/>
      </c>
      <c r="E50" s="31">
        <f>IFERROR(INDEX(income_statement!$B:$E,MATCH("Chi phí quản lý doanh nghiệp",income_statement!$A:$A,0),MATCH(E$38,income_statement!$B$1:$E$1,0)),"")</f>
        <v/>
      </c>
    </row>
    <row r="51">
      <c r="A51" s="29" t="inlineStr">
        <is>
          <t>Lãi/(lỗ) từ hoạt động kinh doanh</t>
        </is>
      </c>
      <c r="B51" s="31">
        <f>IFERROR(INDEX(income_statement!$B:$E,MATCH("Lãi/(lỗ) từ hoạt động kinh doanh",income_statement!$A:$A,0),MATCH(B$38,income_statement!$B$1:$E$1,0)),"")</f>
        <v/>
      </c>
      <c r="C51" s="31">
        <f>IFERROR(INDEX(income_statement!$B:$E,MATCH("Lãi/(lỗ) từ hoạt động kinh doanh",income_statement!$A:$A,0),MATCH(C$38,income_statement!$B$1:$E$1,0)),"")</f>
        <v/>
      </c>
      <c r="D51" s="31">
        <f>IFERROR(INDEX(income_statement!$B:$E,MATCH("Lãi/(lỗ) từ hoạt động kinh doanh",income_statement!$A:$A,0),MATCH(D$38,income_statement!$B$1:$E$1,0)),"")</f>
        <v/>
      </c>
      <c r="E51" s="31">
        <f>IFERROR(INDEX(income_statement!$B:$E,MATCH("Lãi/(lỗ) từ hoạt động kinh doanh",income_statement!$A:$A,0),MATCH(E$38,income_statement!$B$1:$E$1,0)),"")</f>
        <v/>
      </c>
    </row>
    <row r="52">
      <c r="A52" s="29" t="inlineStr">
        <is>
          <t>Chi phí lãi vay</t>
        </is>
      </c>
      <c r="B52" s="31">
        <f>IFERROR(INDEX(income_statement!$B:$E,MATCH("Chi phí lãi vay",income_statement!$A:$A,0),MATCH(B$38,income_statement!$B$1:$E$1,0)),"")</f>
        <v/>
      </c>
      <c r="C52" s="31">
        <f>IFERROR(INDEX(income_statement!$B:$E,MATCH("Chi phí lãi vay",income_statement!$A:$A,0),MATCH(C$38,income_statement!$B$1:$E$1,0)),"")</f>
        <v/>
      </c>
      <c r="D52" s="31">
        <f>IFERROR(INDEX(income_statement!$B:$E,MATCH("Chi phí lãi vay",income_statement!$A:$A,0),MATCH(D$38,income_statement!$B$1:$E$1,0)),"")</f>
        <v/>
      </c>
      <c r="E52" s="31">
        <f>IFERROR(INDEX(income_statement!$B:$E,MATCH("Chi phí lãi vay",income_statement!$A:$A,0),MATCH(E$38,income_statement!$B$1:$E$1,0)),"")</f>
        <v/>
      </c>
    </row>
    <row r="53">
      <c r="A53" s="29" t="inlineStr">
        <is>
          <t>Lãi/(lỗ) thuần sau thuế</t>
        </is>
      </c>
      <c r="B53" s="31">
        <f>IFERROR(INDEX(income_statement!$B:$E,MATCH("Lãi/(lỗ) thuần sau thuế",income_statement!$A:$A,0),MATCH(B$38,income_statement!$B$1:$E$1,0)),"")</f>
        <v/>
      </c>
      <c r="C53" s="31">
        <f>IFERROR(INDEX(income_statement!$B:$E,MATCH("Lãi/(lỗ) thuần sau thuế",income_statement!$A:$A,0),MATCH(C$38,income_statement!$B$1:$E$1,0)),"")</f>
        <v/>
      </c>
      <c r="D53" s="31">
        <f>IFERROR(INDEX(income_statement!$B:$E,MATCH("Lãi/(lỗ) thuần sau thuế",income_statement!$A:$A,0),MATCH(D$38,income_statement!$B$1:$E$1,0)),"")</f>
        <v/>
      </c>
      <c r="E53" s="31">
        <f>IFERROR(INDEX(income_statement!$B:$E,MATCH("Lãi/(lỗ) thuần sau thuế",income_statement!$A:$A,0),MATCH(E$38,income_statement!$B$1:$E$1,0)),"")</f>
        <v/>
      </c>
    </row>
    <row r="54">
      <c r="A54" s="29" t="inlineStr">
        <is>
          <t>Lợi nhuận của Cổ đông của Công ty mẹ</t>
        </is>
      </c>
      <c r="B54" s="31">
        <f>IFERROR(INDEX(income_statement!$B:$E,MATCH("Lợi nhuận của Cổ đông của Công ty mẹ",income_statement!$A:$A,0),MATCH(B$38,income_statement!$B$1:$E$1,0)),"")</f>
        <v/>
      </c>
      <c r="C54" s="31">
        <f>IFERROR(INDEX(income_statement!$B:$E,MATCH("Lợi nhuận của Cổ đông của Công ty mẹ",income_statement!$A:$A,0),MATCH(C$38,income_statement!$B$1:$E$1,0)),"")</f>
        <v/>
      </c>
      <c r="D54" s="31">
        <f>IFERROR(INDEX(income_statement!$B:$E,MATCH("Lợi nhuận của Cổ đông của Công ty mẹ",income_statement!$A:$A,0),MATCH(D$38,income_statement!$B$1:$E$1,0)),"")</f>
        <v/>
      </c>
      <c r="E54" s="31">
        <f>IFERROR(INDEX(income_statement!$B:$E,MATCH("Lợi nhuận của Cổ đông của Công ty mẹ",income_statement!$A:$A,0),MATCH(E$38,income_statement!$B$1:$E$1,0)),"")</f>
        <v/>
      </c>
    </row>
    <row r="55">
      <c r="A55" s="29" t="inlineStr">
        <is>
          <t>Phải thu khách hàng</t>
        </is>
      </c>
      <c r="B55" s="31">
        <f>IFERROR(INDEX(balance_sheet!$B:$E,MATCH("Phải thu khách hàng",balance_sheet!$A:$A,0),MATCH(B$38,balance_sheet!$B$1:$E$1,0)),"")</f>
        <v/>
      </c>
      <c r="C55" s="31">
        <f>IFERROR(INDEX(balance_sheet!$B:$E,MATCH("Phải thu khách hàng",balance_sheet!$A:$A,0),MATCH(C$38,balance_sheet!$B$1:$E$1,0)),"")</f>
        <v/>
      </c>
      <c r="D55" s="31">
        <f>IFERROR(INDEX(balance_sheet!$B:$E,MATCH("Phải thu khách hàng",balance_sheet!$A:$A,0),MATCH(D$38,balance_sheet!$B$1:$E$1,0)),"")</f>
        <v/>
      </c>
      <c r="E55" s="31">
        <f>IFERROR(INDEX(balance_sheet!$B:$E,MATCH("Phải thu khách hàng",balance_sheet!$A:$A,0),MATCH(E$38,balance_sheet!$B$1:$E$1,0)),"")</f>
        <v/>
      </c>
    </row>
    <row r="56">
      <c r="A56" s="29" t="inlineStr">
        <is>
          <t>Phải trả người bán</t>
        </is>
      </c>
      <c r="B56" s="31">
        <f>IFERROR(INDEX(balance_sheet!$B:$E,MATCH("Phải trả người bán",balance_sheet!$A:$A,0),MATCH(B$38,balance_sheet!$B$1:$E$1,0)),"")</f>
        <v/>
      </c>
      <c r="C56" s="31">
        <f>IFERROR(INDEX(balance_sheet!$B:$E,MATCH("Phải trả người bán",balance_sheet!$A:$A,0),MATCH(C$38,balance_sheet!$B$1:$E$1,0)),"")</f>
        <v/>
      </c>
      <c r="D56" s="31">
        <f>IFERROR(INDEX(balance_sheet!$B:$E,MATCH("Phải trả người bán",balance_sheet!$A:$A,0),MATCH(D$38,balance_sheet!$B$1:$E$1,0)),"")</f>
        <v/>
      </c>
      <c r="E56" s="31">
        <f>IFERROR(INDEX(balance_sheet!$B:$E,MATCH("Phải trả người bán",balance_sheet!$A:$A,0),MATCH(E$38,balance_sheet!$B$1:$E$1,0)),"")</f>
        <v/>
      </c>
    </row>
    <row r="57">
      <c r="A57" s="29" t="inlineStr">
        <is>
          <t>Hàng tồn kho, ròng</t>
        </is>
      </c>
      <c r="B57" s="31">
        <f>IFERROR(INDEX(balance_sheet!$B:$E,MATCH("Hàng tồn kho, ròng",balance_sheet!$A:$A,0),MATCH(B$38,balance_sheet!$B$1:$E$1,0)),"")</f>
        <v/>
      </c>
      <c r="C57" s="31">
        <f>IFERROR(INDEX(balance_sheet!$B:$E,MATCH("Hàng tồn kho, ròng",balance_sheet!$A:$A,0),MATCH(C$38,balance_sheet!$B$1:$E$1,0)),"")</f>
        <v/>
      </c>
      <c r="D57" s="31">
        <f>IFERROR(INDEX(balance_sheet!$B:$E,MATCH("Hàng tồn kho, ròng",balance_sheet!$A:$A,0),MATCH(D$38,balance_sheet!$B$1:$E$1,0)),"")</f>
        <v/>
      </c>
      <c r="E57" s="31">
        <f>IFERROR(INDEX(balance_sheet!$B:$E,MATCH("Hàng tồn kho, ròng",balance_sheet!$A:$A,0),MATCH(E$38,balance_sheet!$B$1:$E$1,0)),"")</f>
        <v/>
      </c>
    </row>
    <row r="58">
      <c r="A58" s="29" t="inlineStr">
        <is>
          <t>Tiền và tương đương tiền</t>
        </is>
      </c>
      <c r="B58" s="31">
        <f>IFERROR(INDEX(balance_sheet!$B:$E,MATCH("Tiền và tương đương tiền",balance_sheet!$A:$A,0),MATCH(B$38,balance_sheet!$B$1:$E$1,0)),"")</f>
        <v/>
      </c>
      <c r="C58" s="31">
        <f>IFERROR(INDEX(balance_sheet!$B:$E,MATCH("Tiền và tương đương tiền",balance_sheet!$A:$A,0),MATCH(C$38,balance_sheet!$B$1:$E$1,0)),"")</f>
        <v/>
      </c>
      <c r="D58" s="31">
        <f>IFERROR(INDEX(balance_sheet!$B:$E,MATCH("Tiền và tương đương tiền",balance_sheet!$A:$A,0),MATCH(D$38,balance_sheet!$B$1:$E$1,0)),"")</f>
        <v/>
      </c>
      <c r="E58" s="31">
        <f>IFERROR(INDEX(balance_sheet!$B:$E,MATCH("Tiền và tương đương tiền",balance_sheet!$A:$A,0),MATCH(E$38,balance_sheet!$B$1:$E$1,0)),"")</f>
        <v/>
      </c>
    </row>
  </sheetData>
  <mergeCells count="2">
    <mergeCell ref="A2:E2"/>
    <mergeCell ref="A1:E1"/>
  </mergeCells>
  <conditionalFormatting sqref="B7:E7">
    <cfRule type="cellIs" priority="1" operator="greaterThan" dxfId="0">
      <formula>0</formula>
    </cfRule>
    <cfRule type="cellIs" priority="2" operator="lessThan" dxfId="1">
      <formula>0</formula>
    </cfRule>
  </conditionalFormatting>
  <conditionalFormatting sqref="B8:E8">
    <cfRule type="cellIs" priority="3" operator="greaterThan" dxfId="0">
      <formula>0</formula>
    </cfRule>
    <cfRule type="cellIs" priority="4" operator="lessThan" dxfId="1">
      <formula>0</formula>
    </cfRule>
  </conditionalFormatting>
  <conditionalFormatting sqref="B9:E9">
    <cfRule type="cellIs" priority="5" operator="greaterThan" dxfId="0">
      <formula>0</formula>
    </cfRule>
    <cfRule type="cellIs" priority="6" operator="lessThan" dxfId="1">
      <formula>0</formula>
    </cfRule>
  </conditionalFormatting>
  <conditionalFormatting sqref="B10:E10">
    <cfRule type="cellIs" priority="7" operator="greaterThan" dxfId="0">
      <formula>0</formula>
    </cfRule>
    <cfRule type="cellIs" priority="8" operator="lessThan" dxfId="1">
      <formula>0</formula>
    </cfRule>
  </conditionalFormatting>
  <conditionalFormatting sqref="B13:E13">
    <cfRule type="cellIs" priority="9" operator="greaterThan" dxfId="0">
      <formula>0</formula>
    </cfRule>
    <cfRule type="cellIs" priority="10" operator="lessThan" dxfId="1">
      <formula>0</formula>
    </cfRule>
  </conditionalFormatting>
  <conditionalFormatting sqref="B14:E14">
    <cfRule type="cellIs" priority="11" operator="greaterThan" dxfId="0">
      <formula>0</formula>
    </cfRule>
    <cfRule type="cellIs" priority="12" operator="lessThan" dxfId="1">
      <formula>0</formula>
    </cfRule>
  </conditionalFormatting>
  <conditionalFormatting sqref="B17:E17">
    <cfRule type="cellIs" priority="13" operator="greaterThan" dxfId="1">
      <formula>1</formula>
    </cfRule>
    <cfRule type="cellIs" priority="14" operator="lessThan" dxfId="0">
      <formula>0.3</formula>
    </cfRule>
  </conditionalFormatting>
  <conditionalFormatting sqref="B20:E20">
    <cfRule type="cellIs" priority="15" operator="greaterThan" dxfId="1">
      <formula>1</formula>
    </cfRule>
    <cfRule type="cellIs" priority="16" operator="lessThan" dxfId="0">
      <formula>0.3</formula>
    </cfRule>
  </conditionalFormatting>
  <conditionalFormatting sqref="B26:E26">
    <cfRule type="cellIs" priority="17" operator="greaterThan" dxfId="1">
      <formula>0.5</formula>
    </cfRule>
    <cfRule type="cellIs" priority="18" operator="lessThan" dxfId="0">
      <formula>0.15</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2026-08-17T09:26:11Z</dcterms:created>
  <dcterms:modified xmlns:dcterms="http://purl.org/dc/terms/" xmlns:xsi="http://www.w3.org/2001/XMLSchema-instance" xsi:type="dcterms:W3CDTF">2026-08-18T09:34:10Z</dcterms:modified>
  <cp:revision>0</cp:revision>
</cp:coreProperties>
</file>
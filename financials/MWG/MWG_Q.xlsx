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  <numFmt numFmtId="169" formatCode="_(* #,##0.00_);_(* \(#,##0.00\);_(* &quot;-&quot;_);_(@_)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7" fillId="0" borderId="3" pivotButton="0" quotePrefix="0" xfId="0"/>
    <xf numFmtId="166" fontId="9" fillId="0" borderId="3" pivotButton="0" quotePrefix="0" xfId="0"/>
    <xf numFmtId="166" fontId="10" fillId="0" borderId="3" pivotButton="0" quotePrefix="0" xfId="0"/>
    <xf numFmtId="166" fontId="10" fillId="0" borderId="4" pivotButton="0" quotePrefix="0" xfId="0"/>
    <xf numFmtId="0" fontId="11" fillId="0" borderId="3" pivotButton="0" quotePrefix="0" xfId="0"/>
    <xf numFmtId="166" fontId="11" fillId="0" borderId="3" pivotButton="0" quotePrefix="0" xfId="0"/>
    <xf numFmtId="9" fontId="11" fillId="0" borderId="3" pivotButton="0" quotePrefix="0" xfId="0"/>
    <xf numFmtId="166" fontId="11" fillId="0" borderId="0" pivotButton="0" quotePrefix="0" xfId="0"/>
    <xf numFmtId="0" fontId="8" fillId="0" borderId="3" pivotButton="0" quotePrefix="0" xfId="0"/>
    <xf numFmtId="0" fontId="12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41" fontId="8" fillId="0" borderId="3" pivotButton="0" quotePrefix="0" xfId="0"/>
    <xf numFmtId="168" fontId="8" fillId="0" borderId="3" pivotButton="0" quotePrefix="0" xfId="0"/>
    <xf numFmtId="43" fontId="8" fillId="0" borderId="0" pivotButton="0" quotePrefix="0" xfId="0"/>
    <xf numFmtId="9" fontId="8" fillId="0" borderId="0" pivotButton="0" quotePrefix="0" xfId="0"/>
    <xf numFmtId="0" fontId="13" fillId="0" borderId="3" pivotButton="0" quotePrefix="0" xfId="0"/>
    <xf numFmtId="41" fontId="13" fillId="0" borderId="3" pivotButton="0" quotePrefix="0" xfId="0"/>
    <xf numFmtId="169" fontId="13" fillId="0" borderId="3" pivotButton="0" quotePrefix="0" xfId="0"/>
    <xf numFmtId="0" fontId="13" fillId="0" borderId="0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  <c r="J2" s="4" t="n">
        <v>61074953380269</v>
      </c>
      <c r="K2" s="4" t="n">
        <v>65836422620040</v>
      </c>
      <c r="L2" s="4" t="n">
        <v>68350202307085</v>
      </c>
      <c r="M2" s="4" t="n">
        <v>75933600138863</v>
      </c>
      <c r="N2" s="4" t="n">
        <v>75125383121673</v>
      </c>
      <c r="O2" s="4" t="n">
        <v>77201650782966</v>
      </c>
      <c r="P2" s="4" t="n">
        <v>76834611871316</v>
      </c>
      <c r="Q2" s="4" t="n">
        <v>97732971951408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  <c r="J3" s="4" t="n">
        <v>9752339611719</v>
      </c>
      <c r="K3" s="4" t="n">
        <v>4897331540730</v>
      </c>
      <c r="L3" s="4" t="n">
        <v>2658218136149</v>
      </c>
      <c r="M3" s="4" t="n">
        <v>6030067748439</v>
      </c>
      <c r="N3" s="4" t="n">
        <v>5510816169528</v>
      </c>
      <c r="O3" s="4" t="n">
        <v>4999925717187</v>
      </c>
      <c r="P3" s="4" t="n">
        <v>4553652582201</v>
      </c>
      <c r="Q3" s="4" t="n">
        <v>4678600961443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  <c r="J4" s="4" t="n">
        <v>3283839611719</v>
      </c>
      <c r="K4" s="4" t="n">
        <v>4697331540730</v>
      </c>
      <c r="L4" s="4" t="n">
        <v>2658218136149</v>
      </c>
      <c r="M4" s="4" t="n">
        <v>5730067748439</v>
      </c>
      <c r="N4" s="4" t="n">
        <v>5510816169528</v>
      </c>
      <c r="O4" s="4" t="n">
        <v>4960375717187</v>
      </c>
      <c r="P4" s="4" t="n">
        <v>4553652582201</v>
      </c>
      <c r="Q4" s="4" t="n">
        <v>4678600961443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  <c r="J5" s="4" t="n">
        <v>6468500000000</v>
      </c>
      <c r="K5" s="4" t="n">
        <v>200000000000</v>
      </c>
      <c r="L5" s="4" t="n">
        <v>0</v>
      </c>
      <c r="M5" s="4" t="n">
        <v>300000000000</v>
      </c>
      <c r="N5" s="4" t="n">
        <v>0</v>
      </c>
      <c r="O5" s="4" t="n">
        <v>39550000000</v>
      </c>
      <c r="P5" s="4" t="n">
        <v>0</v>
      </c>
      <c r="Q5" s="4" t="n">
        <v>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  <c r="J9" s="4" t="n">
        <v>7355271408055</v>
      </c>
      <c r="K9" s="4" t="n">
        <v>8825896224771</v>
      </c>
      <c r="L9" s="4" t="n">
        <v>9862532179881</v>
      </c>
      <c r="M9" s="4" t="n">
        <v>11374184436260</v>
      </c>
      <c r="N9" s="4" t="n">
        <v>11515134739245</v>
      </c>
      <c r="O9" s="4" t="n">
        <v>10182835978469</v>
      </c>
      <c r="P9" s="4" t="n">
        <v>2121015956014</v>
      </c>
      <c r="Q9" s="4" t="n">
        <v>2434312355641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  <c r="J10" s="4" t="n">
        <v>232971309862</v>
      </c>
      <c r="K10" s="4" t="n">
        <v>241405396887</v>
      </c>
      <c r="L10" s="4" t="n">
        <v>238308586301</v>
      </c>
      <c r="M10" s="4" t="n">
        <v>307952455563</v>
      </c>
      <c r="N10" s="4" t="n">
        <v>203255755385</v>
      </c>
      <c r="O10" s="4" t="n">
        <v>253358838280</v>
      </c>
      <c r="P10" s="4" t="n">
        <v>255239898353</v>
      </c>
      <c r="Q10" s="4" t="n">
        <v>421858877183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  <c r="J11" s="4" t="n">
        <v>99504470546</v>
      </c>
      <c r="K11" s="4" t="n">
        <v>115888383111</v>
      </c>
      <c r="L11" s="4" t="n">
        <v>62660193813</v>
      </c>
      <c r="M11" s="4" t="n">
        <v>38235583466</v>
      </c>
      <c r="N11" s="4" t="n">
        <v>34907414898</v>
      </c>
      <c r="O11" s="4" t="n">
        <v>141627187798</v>
      </c>
      <c r="P11" s="4" t="n">
        <v>162975645383</v>
      </c>
      <c r="Q11" s="4" t="n">
        <v>80803683167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  <c r="J14" s="4" t="n">
        <v>2486351627647</v>
      </c>
      <c r="K14" s="4" t="n">
        <v>2430887848672</v>
      </c>
      <c r="L14" s="4" t="n">
        <v>2589563399767</v>
      </c>
      <c r="M14" s="4" t="n">
        <v>3098996397231</v>
      </c>
      <c r="N14" s="4" t="n">
        <v>3397471568962</v>
      </c>
      <c r="O14" s="4" t="n">
        <v>2877349952391</v>
      </c>
      <c r="P14" s="4" t="n">
        <v>1702800412278</v>
      </c>
      <c r="Q14" s="4" t="n">
        <v>1931649795291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  <c r="J16" s="4" t="n">
        <v>21853578009429</v>
      </c>
      <c r="K16" s="4" t="n">
        <v>22244676326705</v>
      </c>
      <c r="L16" s="4" t="n">
        <v>22808478321986</v>
      </c>
      <c r="M16" s="4" t="n">
        <v>23691724133318</v>
      </c>
      <c r="N16" s="4" t="n">
        <v>24101279307428</v>
      </c>
      <c r="O16" s="4" t="n">
        <v>27266851974258</v>
      </c>
      <c r="P16" s="4" t="n">
        <v>27600707843304</v>
      </c>
      <c r="Q16" s="4" t="n">
        <v>30874909197649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  <c r="J17" s="4" t="n">
        <v>22212929474722</v>
      </c>
      <c r="K17" s="4" t="n">
        <v>22667774012643</v>
      </c>
      <c r="L17" s="4" t="n">
        <v>23243566847543</v>
      </c>
      <c r="M17" s="4" t="n">
        <v>24132788913496</v>
      </c>
      <c r="N17" s="4" t="n">
        <v>24645125687618</v>
      </c>
      <c r="O17" s="4" t="n">
        <v>27876446129267</v>
      </c>
      <c r="P17" s="4" t="n">
        <v>28349740199616</v>
      </c>
      <c r="Q17" s="4" t="n">
        <v>31599182640982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  <c r="J18" s="4" t="n">
        <v>-359351465293</v>
      </c>
      <c r="K18" s="4" t="n">
        <v>-423097685938</v>
      </c>
      <c r="L18" s="4" t="n">
        <v>-435088525557</v>
      </c>
      <c r="M18" s="4" t="n">
        <v>-441064780178</v>
      </c>
      <c r="N18" s="4" t="n">
        <v>-543846380190</v>
      </c>
      <c r="O18" s="4" t="n">
        <v>-609594155009</v>
      </c>
      <c r="P18" s="4" t="n">
        <v>-749032356312</v>
      </c>
      <c r="Q18" s="4" t="n">
        <v>-724273443333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13315080000000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  <c r="J20" s="4" t="n">
        <v>387195161754</v>
      </c>
      <c r="K20" s="4" t="n">
        <v>390391360669</v>
      </c>
      <c r="L20" s="4" t="n">
        <v>415902715899</v>
      </c>
      <c r="M20" s="4" t="n">
        <v>423603576561</v>
      </c>
      <c r="N20" s="4" t="n">
        <v>424076848924</v>
      </c>
      <c r="O20" s="4" t="n">
        <v>518599409258</v>
      </c>
      <c r="P20" s="4" t="n">
        <v>508608415908</v>
      </c>
      <c r="Q20" s="4" t="n">
        <v>524238343073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  <c r="J21" s="4" t="n">
        <v>156277679659</v>
      </c>
      <c r="K21" s="4" t="n">
        <v>121055116270</v>
      </c>
      <c r="L21" s="4" t="n">
        <v>184457538049</v>
      </c>
      <c r="M21" s="4" t="n">
        <v>97059486732</v>
      </c>
      <c r="N21" s="4" t="n">
        <v>124012614096</v>
      </c>
      <c r="O21" s="4" t="n">
        <v>314874106182</v>
      </c>
      <c r="P21" s="4" t="n">
        <v>176055237597</v>
      </c>
      <c r="Q21" s="4" t="n">
        <v>184591013449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  <c r="J22" s="4" t="n">
        <v>21369067834</v>
      </c>
      <c r="K22" s="4" t="n">
        <v>32630294575</v>
      </c>
      <c r="L22" s="4" t="n">
        <v>30098399501</v>
      </c>
      <c r="M22" s="4" t="n">
        <v>13710817808</v>
      </c>
      <c r="N22" s="4" t="n">
        <v>13802454253</v>
      </c>
      <c r="O22" s="4" t="n">
        <v>44293494912</v>
      </c>
      <c r="P22" s="4" t="n">
        <v>43418120537</v>
      </c>
      <c r="Q22" s="4" t="n">
        <v>56140913335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  <c r="J24" s="4" t="n">
        <v>5825089761066</v>
      </c>
      <c r="K24" s="4" t="n">
        <v>4601353101564</v>
      </c>
      <c r="L24" s="4" t="n">
        <v>4329022407862</v>
      </c>
      <c r="M24" s="4" t="n">
        <v>5067799108905</v>
      </c>
      <c r="N24" s="4" t="n">
        <v>5163114770393</v>
      </c>
      <c r="O24" s="4" t="n">
        <v>6743968829068</v>
      </c>
      <c r="P24" s="4" t="n">
        <v>7159946601011</v>
      </c>
      <c r="Q24" s="4" t="n">
        <v>7181991691663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  <c r="J25" s="4" t="n">
        <v>397943974045</v>
      </c>
      <c r="K25" s="4" t="n">
        <v>389707802472</v>
      </c>
      <c r="L25" s="4" t="n">
        <v>398376958399</v>
      </c>
      <c r="M25" s="4" t="n">
        <v>392831179367</v>
      </c>
      <c r="N25" s="4" t="n">
        <v>394958296709</v>
      </c>
      <c r="O25" s="4" t="n">
        <v>403823784845</v>
      </c>
      <c r="P25" s="4" t="n">
        <v>420693031855</v>
      </c>
      <c r="Q25" s="4" t="n">
        <v>428065660316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  <c r="J28" s="4" t="n">
        <v>397943974045</v>
      </c>
      <c r="K28" s="4" t="n">
        <v>389707802472</v>
      </c>
      <c r="L28" s="4" t="n">
        <v>398376958399</v>
      </c>
      <c r="M28" s="4" t="n">
        <v>392831179367</v>
      </c>
      <c r="N28" s="4" t="n">
        <v>394958296709</v>
      </c>
      <c r="O28" s="4" t="n">
        <v>403823784845</v>
      </c>
      <c r="P28" s="4" t="n">
        <v>420693031855</v>
      </c>
      <c r="Q28" s="4" t="n">
        <v>428065660316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  <c r="J30" s="4" t="n">
        <v>4172053614940</v>
      </c>
      <c r="K30" s="4" t="n">
        <v>3586628664045</v>
      </c>
      <c r="L30" s="4" t="n">
        <v>3233901626643</v>
      </c>
      <c r="M30" s="4" t="n">
        <v>2977795755305</v>
      </c>
      <c r="N30" s="4" t="n">
        <v>2606757399459</v>
      </c>
      <c r="O30" s="4" t="n">
        <v>2598189217583</v>
      </c>
      <c r="P30" s="4" t="n">
        <v>2418447401463</v>
      </c>
      <c r="Q30" s="4" t="n">
        <v>2482116748592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  <c r="J31" s="4" t="n">
        <v>4107247881385</v>
      </c>
      <c r="K31" s="4" t="n">
        <v>3523161097906</v>
      </c>
      <c r="L31" s="4" t="n">
        <v>3171772227920</v>
      </c>
      <c r="M31" s="4" t="n">
        <v>2917004523997</v>
      </c>
      <c r="N31" s="4" t="n">
        <v>2547304335567</v>
      </c>
      <c r="O31" s="4" t="n">
        <v>2540074321107</v>
      </c>
      <c r="P31" s="4" t="n">
        <v>2361670672403</v>
      </c>
      <c r="Q31" s="4" t="n">
        <v>2426678186947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  <c r="J32" s="4" t="n">
        <v>19064454816619</v>
      </c>
      <c r="K32" s="4" t="n">
        <v>19174626383752</v>
      </c>
      <c r="L32" s="4" t="n">
        <v>19305596081131</v>
      </c>
      <c r="M32" s="4" t="n">
        <v>19477127305514</v>
      </c>
      <c r="N32" s="4" t="n">
        <v>19496422101808</v>
      </c>
      <c r="O32" s="4" t="n">
        <v>19478200234864</v>
      </c>
      <c r="P32" s="4" t="n">
        <v>19648285497537</v>
      </c>
      <c r="Q32" s="4" t="n">
        <v>20004114064471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  <c r="J33" s="4" t="n">
        <v>-14957206935234</v>
      </c>
      <c r="K33" s="4" t="n">
        <v>-15651465285846</v>
      </c>
      <c r="L33" s="4" t="n">
        <v>-16133823853211</v>
      </c>
      <c r="M33" s="4" t="n">
        <v>-16560122781517</v>
      </c>
      <c r="N33" s="4" t="n">
        <v>-16949117766241</v>
      </c>
      <c r="O33" s="4" t="n">
        <v>-16938125913757</v>
      </c>
      <c r="P33" s="4" t="n">
        <v>-17286614825134</v>
      </c>
      <c r="Q33" s="4" t="n">
        <v>-17577435877524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  <c r="J37" s="4" t="n">
        <v>64805733555</v>
      </c>
      <c r="K37" s="4" t="n">
        <v>63467566139</v>
      </c>
      <c r="L37" s="4" t="n">
        <v>62129398723</v>
      </c>
      <c r="M37" s="4" t="n">
        <v>60791231308</v>
      </c>
      <c r="N37" s="4" t="n">
        <v>59453063892</v>
      </c>
      <c r="O37" s="4" t="n">
        <v>58114896476</v>
      </c>
      <c r="P37" s="4" t="n">
        <v>56776729060</v>
      </c>
      <c r="Q37" s="4" t="n">
        <v>55438561645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  <c r="J38" s="4" t="n">
        <v>90297772827</v>
      </c>
      <c r="K38" s="4" t="n">
        <v>90297772827</v>
      </c>
      <c r="L38" s="4" t="n">
        <v>90297772827</v>
      </c>
      <c r="M38" s="4" t="n">
        <v>90297772827</v>
      </c>
      <c r="N38" s="4" t="n">
        <v>90297772827</v>
      </c>
      <c r="O38" s="4" t="n">
        <v>90297772827</v>
      </c>
      <c r="P38" s="4" t="n">
        <v>90297772827</v>
      </c>
      <c r="Q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  <c r="J39" s="4" t="n">
        <v>-25492039272</v>
      </c>
      <c r="K39" s="4" t="n">
        <v>-26830206688</v>
      </c>
      <c r="L39" s="4" t="n">
        <v>-28168374104</v>
      </c>
      <c r="M39" s="4" t="n">
        <v>-29506541519</v>
      </c>
      <c r="N39" s="4" t="n">
        <v>-30844708935</v>
      </c>
      <c r="O39" s="4" t="n">
        <v>-32182876351</v>
      </c>
      <c r="P39" s="4" t="n">
        <v>-33521043767</v>
      </c>
      <c r="Q39" s="4" t="n">
        <v>-34859211182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  <c r="J44" s="4" t="n">
        <v>954837182399</v>
      </c>
      <c r="K44" s="4" t="n">
        <v>242035797830</v>
      </c>
      <c r="L44" s="4" t="n">
        <v>245165572130</v>
      </c>
      <c r="M44" s="4" t="n">
        <v>1211059390404</v>
      </c>
      <c r="N44" s="4" t="n">
        <v>1632447385759</v>
      </c>
      <c r="O44" s="4" t="n">
        <v>3136315564517</v>
      </c>
      <c r="P44" s="4" t="n">
        <v>3466722463700</v>
      </c>
      <c r="Q44" s="4" t="n">
        <v>3485372162857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  <c r="J46" s="4" t="n">
        <v>239613277712</v>
      </c>
      <c r="K46" s="4" t="n">
        <v>242035797830</v>
      </c>
      <c r="L46" s="4" t="n">
        <v>245165572130</v>
      </c>
      <c r="M46" s="4" t="n">
        <v>361059390404</v>
      </c>
      <c r="N46" s="4" t="n">
        <v>365236091759</v>
      </c>
      <c r="O46" s="4" t="n">
        <v>371159064517</v>
      </c>
      <c r="P46" s="4" t="n">
        <v>502561163700</v>
      </c>
      <c r="Q46" s="4" t="n">
        <v>521210862857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  <c r="J50" s="4" t="n">
        <v>290295051827</v>
      </c>
      <c r="K50" s="4" t="n">
        <v>358454413877</v>
      </c>
      <c r="L50" s="4" t="n">
        <v>395223532870</v>
      </c>
      <c r="M50" s="4" t="n">
        <v>379627026598</v>
      </c>
      <c r="N50" s="4" t="n">
        <v>452807653320</v>
      </c>
      <c r="O50" s="4" t="n">
        <v>514740794251</v>
      </c>
      <c r="P50" s="4" t="n">
        <v>723164397369</v>
      </c>
      <c r="Q50" s="4" t="n">
        <v>774993890137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  <c r="J51" s="4" t="n">
        <v>65335388244</v>
      </c>
      <c r="K51" s="4" t="n">
        <v>68471833530</v>
      </c>
      <c r="L51" s="4" t="n">
        <v>94346155484</v>
      </c>
      <c r="M51" s="4" t="n">
        <v>79314425325</v>
      </c>
      <c r="N51" s="4" t="n">
        <v>63890927950</v>
      </c>
      <c r="O51" s="4" t="n">
        <v>63643388286</v>
      </c>
      <c r="P51" s="4" t="n">
        <v>45082066438</v>
      </c>
      <c r="Q51" s="4" t="n">
        <v>38356318455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  <c r="J52" s="4" t="n">
        <v>1168691414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  <c r="J54" s="4" t="n">
        <v>66900043141335</v>
      </c>
      <c r="K54" s="4" t="n">
        <v>70437775721604</v>
      </c>
      <c r="L54" s="4" t="n">
        <v>72679224714947</v>
      </c>
      <c r="M54" s="4" t="n">
        <v>81001399247768</v>
      </c>
      <c r="N54" s="4" t="n">
        <v>80288497892066</v>
      </c>
      <c r="O54" s="4" t="n">
        <v>83945619612034</v>
      </c>
      <c r="P54" s="4" t="n">
        <v>83994558472327</v>
      </c>
      <c r="Q54" s="4" t="n">
        <v>104914963643071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  <c r="J55" s="4" t="n">
        <v>39624478410590</v>
      </c>
      <c r="K55" s="4" t="n">
        <v>42316198897749</v>
      </c>
      <c r="L55" s="4" t="n">
        <v>43010091137156</v>
      </c>
      <c r="M55" s="4" t="n">
        <v>50985234350916</v>
      </c>
      <c r="N55" s="4" t="n">
        <v>48491298270189</v>
      </c>
      <c r="O55" s="4" t="n">
        <v>50769502237457</v>
      </c>
      <c r="P55" s="4" t="n">
        <v>48061216417223</v>
      </c>
      <c r="Q55" s="4" t="n">
        <v>68563637392629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  <c r="J56" s="4" t="n">
        <v>33471434719176</v>
      </c>
      <c r="K56" s="4" t="n">
        <v>42316198897749</v>
      </c>
      <c r="L56" s="4" t="n">
        <v>43010091137156</v>
      </c>
      <c r="M56" s="4" t="n">
        <v>50985234350916</v>
      </c>
      <c r="N56" s="4" t="n">
        <v>48491298270189</v>
      </c>
      <c r="O56" s="4" t="n">
        <v>50769502237457</v>
      </c>
      <c r="P56" s="4" t="n">
        <v>48061216417223</v>
      </c>
      <c r="Q56" s="4" t="n">
        <v>68069922937141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  <c r="J57" s="4" t="n">
        <v>17815809454540</v>
      </c>
      <c r="K57" s="4" t="n">
        <v>27300246721779</v>
      </c>
      <c r="L57" s="4" t="n">
        <v>26222186029667</v>
      </c>
      <c r="M57" s="4" t="n">
        <v>31537973205989</v>
      </c>
      <c r="N57" s="4" t="n">
        <v>28705630115739</v>
      </c>
      <c r="O57" s="4" t="n">
        <v>29930942961668</v>
      </c>
      <c r="P57" s="4" t="n">
        <v>28100653169211</v>
      </c>
      <c r="Q57" s="4" t="n">
        <v>29089559736146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  <c r="J58" s="4" t="n">
        <v>10181784455365</v>
      </c>
      <c r="K58" s="4" t="n">
        <v>9179636054558</v>
      </c>
      <c r="L58" s="4" t="n">
        <v>11308958826610</v>
      </c>
      <c r="M58" s="4" t="n">
        <v>11117854372886</v>
      </c>
      <c r="N58" s="4" t="n">
        <v>12679647730746</v>
      </c>
      <c r="O58" s="4" t="n">
        <v>13113899672272</v>
      </c>
      <c r="P58" s="4" t="n">
        <v>11892521624518</v>
      </c>
      <c r="Q58" s="4" t="n">
        <v>14019448109720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  <c r="J59" s="4" t="n">
        <v>105104143804</v>
      </c>
      <c r="K59" s="4" t="n">
        <v>90966314915</v>
      </c>
      <c r="L59" s="4" t="n">
        <v>74354490258</v>
      </c>
      <c r="M59" s="4" t="n">
        <v>91483894773</v>
      </c>
      <c r="N59" s="4" t="n">
        <v>178074374031</v>
      </c>
      <c r="O59" s="4" t="n">
        <v>210360719303</v>
      </c>
      <c r="P59" s="4" t="n">
        <v>192515467857</v>
      </c>
      <c r="Q59" s="4" t="n">
        <v>219431051396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  <c r="J60" s="4" t="n">
        <v>603768404492</v>
      </c>
      <c r="K60" s="4" t="n">
        <v>691059561096</v>
      </c>
      <c r="L60" s="4" t="n">
        <v>532077002204</v>
      </c>
      <c r="M60" s="4" t="n">
        <v>660306946755</v>
      </c>
      <c r="N60" s="4" t="n">
        <v>572138325062</v>
      </c>
      <c r="O60" s="4" t="n">
        <v>899553978698</v>
      </c>
      <c r="P60" s="4" t="n">
        <v>876794578013</v>
      </c>
      <c r="Q60" s="4" t="n">
        <v>1081678554549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  <c r="J61" s="4" t="n">
        <v>614384495155</v>
      </c>
      <c r="K61" s="4" t="n">
        <v>649999685139</v>
      </c>
      <c r="L61" s="4" t="n">
        <v>344955370721</v>
      </c>
      <c r="M61" s="4" t="n">
        <v>254498322631</v>
      </c>
      <c r="N61" s="4" t="n">
        <v>344304557520</v>
      </c>
      <c r="O61" s="4" t="n">
        <v>342221054994</v>
      </c>
      <c r="P61" s="4" t="n">
        <v>332179126006</v>
      </c>
      <c r="Q61" s="4" t="n">
        <v>430831377488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  <c r="J62" s="4" t="n">
        <v>2768805370668</v>
      </c>
      <c r="K62" s="4" t="n">
        <v>3357568974136</v>
      </c>
      <c r="L62" s="4" t="n">
        <v>3376994911635</v>
      </c>
      <c r="M62" s="4" t="n">
        <v>4373197556419</v>
      </c>
      <c r="N62" s="4" t="n">
        <v>4670788424370</v>
      </c>
      <c r="O62" s="4" t="n">
        <v>4474359546479</v>
      </c>
      <c r="P62" s="4" t="n">
        <v>4196323559243</v>
      </c>
      <c r="Q62" s="4" t="n">
        <v>5001484590748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  <c r="J65" s="4" t="n">
        <v>1300980066765</v>
      </c>
      <c r="K65" s="4" t="n">
        <v>924674307090</v>
      </c>
      <c r="L65" s="4" t="n">
        <v>1034531981330</v>
      </c>
      <c r="M65" s="4" t="n">
        <v>2838467612671</v>
      </c>
      <c r="N65" s="4" t="n">
        <v>1246432324264</v>
      </c>
      <c r="O65" s="4" t="n">
        <v>1171729524469</v>
      </c>
      <c r="P65" s="4" t="n">
        <v>1759131833585</v>
      </c>
      <c r="Q65" s="4" t="n">
        <v>14999707203585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  <c r="J66" s="4" t="n">
        <v>67066902183</v>
      </c>
      <c r="K66" s="4" t="n">
        <v>70239666911</v>
      </c>
      <c r="L66" s="4" t="n">
        <v>70239666911</v>
      </c>
      <c r="M66" s="4" t="n">
        <v>78125411095</v>
      </c>
      <c r="N66" s="4" t="n">
        <v>78125411095</v>
      </c>
      <c r="O66" s="4" t="n">
        <v>89498061130</v>
      </c>
      <c r="P66" s="4" t="n">
        <v>98381428460</v>
      </c>
      <c r="Q66" s="4" t="n">
        <v>106748556382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  <c r="J68" s="4" t="n">
        <v>6153043691414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0</v>
      </c>
      <c r="Q68" s="4" t="n">
        <v>493714455488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  <c r="Q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  <c r="J72" s="4" t="n">
        <v>6151875000000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493714455488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  <c r="J78" s="4" t="n">
        <v>27275564730745</v>
      </c>
      <c r="K78" s="4" t="n">
        <v>28121576823855</v>
      </c>
      <c r="L78" s="4" t="n">
        <v>29669133577791</v>
      </c>
      <c r="M78" s="4" t="n">
        <v>30016164896852</v>
      </c>
      <c r="N78" s="4" t="n">
        <v>31797199621877</v>
      </c>
      <c r="O78" s="4" t="n">
        <v>33176117374577</v>
      </c>
      <c r="P78" s="4" t="n">
        <v>35933342055104</v>
      </c>
      <c r="Q78" s="4" t="n">
        <v>36351326250442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  <c r="J79" s="4" t="n">
        <v>27275564730745</v>
      </c>
      <c r="K79" s="4" t="n">
        <v>28121576823855</v>
      </c>
      <c r="L79" s="4" t="n">
        <v>29669133577791</v>
      </c>
      <c r="M79" s="4" t="n">
        <v>30016164896852</v>
      </c>
      <c r="N79" s="4" t="n">
        <v>31797199621877</v>
      </c>
      <c r="O79" s="4" t="n">
        <v>33176117374577</v>
      </c>
      <c r="P79" s="4" t="n">
        <v>35933342055104</v>
      </c>
      <c r="Q79" s="4" t="n">
        <v>36351326250442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  <c r="J80" s="4" t="n">
        <v>14622441770000</v>
      </c>
      <c r="K80" s="4" t="n">
        <v>14622441770000</v>
      </c>
      <c r="L80" s="4" t="n">
        <v>14622441770000</v>
      </c>
      <c r="M80" s="4" t="n">
        <v>14796931770000</v>
      </c>
      <c r="N80" s="4" t="n">
        <v>14796931770000</v>
      </c>
      <c r="O80" s="4" t="n">
        <v>14696931770000</v>
      </c>
      <c r="P80" s="4" t="n">
        <v>14696931770000</v>
      </c>
      <c r="Q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  <c r="J81" s="4" t="n">
        <v>558110430986</v>
      </c>
      <c r="K81" s="4" t="n">
        <v>558110430986</v>
      </c>
      <c r="L81" s="4" t="n">
        <v>558110430986</v>
      </c>
      <c r="M81" s="4" t="n">
        <v>558110430986</v>
      </c>
      <c r="N81" s="4" t="n">
        <v>558110430986</v>
      </c>
      <c r="O81" s="4" t="n">
        <v>-152995820060</v>
      </c>
      <c r="P81" s="4" t="n">
        <v>-152995820060</v>
      </c>
      <c r="Q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  <c r="J83" s="4" t="n">
        <v>-3287890000</v>
      </c>
      <c r="K83" s="4" t="n">
        <v>-7599680000</v>
      </c>
      <c r="L83" s="4" t="n">
        <v>-7599680000</v>
      </c>
      <c r="M83" s="4" t="n">
        <v>-10841290000</v>
      </c>
      <c r="N83" s="4" t="n">
        <v>-12364140000</v>
      </c>
      <c r="O83" s="4" t="n">
        <v>-12364140000</v>
      </c>
      <c r="P83" s="4" t="n">
        <v>-12696480000</v>
      </c>
      <c r="Q83" s="4" t="n">
        <v>-12696480000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  <c r="J85" s="4" t="n">
        <v>3447583591</v>
      </c>
      <c r="K85" s="4" t="n">
        <v>2458384629</v>
      </c>
      <c r="L85" s="4" t="n">
        <v>2458384629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  <c r="J89" s="4" t="n">
        <v>11735140884637</v>
      </c>
      <c r="K89" s="4" t="n">
        <v>12582145266842</v>
      </c>
      <c r="L89" s="4" t="n">
        <v>14128082357783</v>
      </c>
      <c r="M89" s="4" t="n">
        <v>14297771841487</v>
      </c>
      <c r="N89" s="4" t="n">
        <v>16068670758791</v>
      </c>
      <c r="O89" s="4" t="n">
        <v>18068194576159</v>
      </c>
      <c r="P89" s="4" t="n">
        <v>20782625319265</v>
      </c>
      <c r="Q89" s="4" t="n">
        <v>21148258876277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  <c r="J95" s="4" t="n">
        <v>66900043141335</v>
      </c>
      <c r="K95" s="4" t="n">
        <v>70437775721604</v>
      </c>
      <c r="L95" s="4" t="n">
        <v>72679224714947</v>
      </c>
      <c r="M95" s="4" t="n">
        <v>81001399247768</v>
      </c>
      <c r="N95" s="4" t="n">
        <v>80288497892066</v>
      </c>
      <c r="O95" s="4" t="n">
        <v>83945619612034</v>
      </c>
      <c r="P95" s="4" t="n">
        <v>83994558472327</v>
      </c>
      <c r="Q95" s="4" t="n">
        <v>104914963643071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  <c r="J97" s="4" t="n">
        <v>715223904687</v>
      </c>
      <c r="K97" s="4" t="n">
        <v>0</v>
      </c>
      <c r="L97" s="4" t="n">
        <v>0</v>
      </c>
      <c r="M97" s="4" t="n">
        <v>850000000000</v>
      </c>
      <c r="N97" s="4" t="n">
        <v>1267211294000</v>
      </c>
      <c r="O97" s="4" t="n">
        <v>2765156500000</v>
      </c>
      <c r="P97" s="4" t="n">
        <v>2964161300000</v>
      </c>
      <c r="Q97" s="4" t="n">
        <v>2964161300000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  <c r="J100" s="4" t="n">
        <v>4536444000000</v>
      </c>
      <c r="K100" s="4" t="n">
        <v>6037714596101</v>
      </c>
      <c r="L100" s="4" t="n">
        <v>6972000000000</v>
      </c>
      <c r="M100" s="4" t="n">
        <v>7929000000000</v>
      </c>
      <c r="N100" s="4" t="n">
        <v>7879500000000</v>
      </c>
      <c r="O100" s="4" t="n">
        <v>6910500000000</v>
      </c>
      <c r="P100" s="4" t="n">
        <v>0</v>
      </c>
      <c r="Q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  <c r="J104" s="4" t="n">
        <v>9959937855</v>
      </c>
      <c r="K104" s="4" t="n">
        <v>24526423340</v>
      </c>
      <c r="L104" s="4" t="n">
        <v>56354717820</v>
      </c>
      <c r="M104" s="4" t="n">
        <v>106485757231</v>
      </c>
      <c r="N104" s="4" t="n">
        <v>76144035146</v>
      </c>
      <c r="O104" s="4" t="n">
        <v>90899467872</v>
      </c>
      <c r="P104" s="4" t="n">
        <v>130919306624</v>
      </c>
      <c r="Q104" s="4" t="n">
        <v>11443229761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  <c r="J108" s="4" t="n">
        <v>13731426204</v>
      </c>
      <c r="K108" s="4" t="n">
        <v>51807612125</v>
      </c>
      <c r="L108" s="4" t="n">
        <v>45792857820</v>
      </c>
      <c r="M108" s="4" t="n">
        <v>33327027697</v>
      </c>
      <c r="N108" s="4" t="n">
        <v>16157007362</v>
      </c>
      <c r="O108" s="4" t="n">
        <v>536936718444</v>
      </c>
      <c r="P108" s="4" t="n">
        <v>612715630330</v>
      </c>
      <c r="Q108" s="4" t="n">
        <v>184120231127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  <c r="J116" s="4" t="n">
        <v>14622441770000</v>
      </c>
      <c r="K116" s="4" t="n">
        <v>14622441770000</v>
      </c>
      <c r="L116" s="4" t="n">
        <v>14622441770000</v>
      </c>
      <c r="M116" s="4" t="n">
        <v>14796931770000</v>
      </c>
      <c r="N116" s="4" t="n">
        <v>14796931770000</v>
      </c>
      <c r="O116" s="4" t="n">
        <v>14696931770000</v>
      </c>
      <c r="P116" s="4" t="n">
        <v>14696931770000</v>
      </c>
      <c r="Q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  <c r="J118" s="4" t="n">
        <v>8860276825181</v>
      </c>
      <c r="K118" s="4" t="n">
        <v>8860276825181</v>
      </c>
      <c r="L118" s="4" t="n">
        <v>12582145266842</v>
      </c>
      <c r="M118" s="4" t="n">
        <v>11103688503842</v>
      </c>
      <c r="N118" s="4" t="n">
        <v>11103688503842</v>
      </c>
      <c r="O118" s="4" t="n">
        <v>11034463805990</v>
      </c>
      <c r="P118" s="4" t="n">
        <v>18068194576180</v>
      </c>
      <c r="Q118" s="4" t="n">
        <v>15131281050159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  <c r="J119" s="4" t="n">
        <v>2874864059456</v>
      </c>
      <c r="K119" s="4" t="n">
        <v>3721868441661</v>
      </c>
      <c r="L119" s="4" t="n">
        <v>1545937090941</v>
      </c>
      <c r="M119" s="4" t="n">
        <v>3194083337645</v>
      </c>
      <c r="N119" s="4" t="n">
        <v>4964982254949</v>
      </c>
      <c r="O119" s="4" t="n">
        <v>7033730770169</v>
      </c>
      <c r="P119" s="4" t="n">
        <v>2714430743085</v>
      </c>
      <c r="Q119" s="4" t="n">
        <v>6016977826118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  <c r="J120" s="4" t="n">
        <v>9959937855</v>
      </c>
      <c r="K120" s="4" t="n">
        <v>24526423340</v>
      </c>
      <c r="L120" s="4" t="n">
        <v>56354717820</v>
      </c>
      <c r="M120" s="4" t="n">
        <v>106485757231</v>
      </c>
      <c r="N120" s="4" t="n">
        <v>76144035146</v>
      </c>
      <c r="O120" s="4" t="n">
        <v>90899467872</v>
      </c>
      <c r="P120" s="4" t="n">
        <v>130919306624</v>
      </c>
      <c r="Q120" s="4" t="n">
        <v>11443229761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  <c r="J121" s="4" t="n">
        <v>107435776206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  <c r="J122" s="4" t="n">
        <v>359711951531</v>
      </c>
      <c r="K122" s="4" t="n">
        <v>364020651398</v>
      </c>
      <c r="L122" s="4" t="n">
        <v>365640314393</v>
      </c>
      <c r="M122" s="4" t="n">
        <v>374192144379</v>
      </c>
      <c r="N122" s="4" t="n">
        <v>385850802100</v>
      </c>
      <c r="O122" s="4" t="n">
        <v>576350988478</v>
      </c>
      <c r="P122" s="4" t="n">
        <v>619477265899</v>
      </c>
      <c r="Q122" s="4" t="n">
        <v>671827904225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  <c r="J2" s="4" t="n">
        <v>34361569620937</v>
      </c>
      <c r="K2" s="4" t="n">
        <v>34793923302149</v>
      </c>
      <c r="L2" s="4" t="n">
        <v>36332913479242</v>
      </c>
      <c r="M2" s="4" t="n">
        <v>37844160678840</v>
      </c>
      <c r="N2" s="4" t="n">
        <v>40091343632319</v>
      </c>
      <c r="O2" s="4" t="n">
        <v>42567697264574</v>
      </c>
      <c r="P2" s="4" t="n">
        <v>46709163270992</v>
      </c>
      <c r="Q2" s="4" t="n">
        <v>49034501493892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  <c r="J3" s="4" t="n">
        <v>-214900932986</v>
      </c>
      <c r="K3" s="4" t="n">
        <v>-220002524817</v>
      </c>
      <c r="L3" s="4" t="n">
        <v>-197955061033</v>
      </c>
      <c r="M3" s="4" t="n">
        <v>-224192018870</v>
      </c>
      <c r="N3" s="4" t="n">
        <v>-238836479673</v>
      </c>
      <c r="O3" s="4" t="n">
        <v>-246985876032</v>
      </c>
      <c r="P3" s="4" t="n">
        <v>-247211244219</v>
      </c>
      <c r="Q3" s="4" t="n">
        <v>-283217941935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  <c r="J4" s="4" t="n">
        <v>34146668687951</v>
      </c>
      <c r="K4" s="4" t="n">
        <v>34573920777332</v>
      </c>
      <c r="L4" s="4" t="n">
        <v>36134958418209</v>
      </c>
      <c r="M4" s="4" t="n">
        <v>37619968659970</v>
      </c>
      <c r="N4" s="4" t="n">
        <v>39852507152646</v>
      </c>
      <c r="O4" s="4" t="n">
        <v>42320711388542</v>
      </c>
      <c r="P4" s="4" t="n">
        <v>46461952026773</v>
      </c>
      <c r="Q4" s="4" t="n">
        <v>48751283551957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  <c r="J5" s="4" t="n">
        <v>-27254757625648</v>
      </c>
      <c r="K5" s="4" t="n">
        <v>-27986951875213</v>
      </c>
      <c r="L5" s="4" t="n">
        <v>-28934547803004</v>
      </c>
      <c r="M5" s="4" t="n">
        <v>-30051267999814</v>
      </c>
      <c r="N5" s="4" t="n">
        <v>-32374320274746</v>
      </c>
      <c r="O5" s="4" t="n">
        <v>-33566132141982</v>
      </c>
      <c r="P5" s="4" t="n">
        <v>-36751850587457</v>
      </c>
      <c r="Q5" s="4" t="n">
        <v>-37942073479846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  <c r="J6" s="4" t="n">
        <v>6891911062303</v>
      </c>
      <c r="K6" s="4" t="n">
        <v>6586968902119</v>
      </c>
      <c r="L6" s="4" t="n">
        <v>7200410615205</v>
      </c>
      <c r="M6" s="4" t="n">
        <v>7568700660156</v>
      </c>
      <c r="N6" s="4" t="n">
        <v>7478186877900</v>
      </c>
      <c r="O6" s="4" t="n">
        <v>8754579246560</v>
      </c>
      <c r="P6" s="4" t="n">
        <v>9710101439316</v>
      </c>
      <c r="Q6" s="4" t="n">
        <v>10809210072111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  <c r="J7" s="4" t="n">
        <v>575388786548</v>
      </c>
      <c r="K7" s="4" t="n">
        <v>635695584388</v>
      </c>
      <c r="L7" s="4" t="n">
        <v>693293667931</v>
      </c>
      <c r="M7" s="4" t="n">
        <v>768832246965</v>
      </c>
      <c r="N7" s="4" t="n">
        <v>809068897431</v>
      </c>
      <c r="O7" s="4" t="n">
        <v>836153921612</v>
      </c>
      <c r="P7" s="4" t="n">
        <v>857866587527</v>
      </c>
      <c r="Q7" s="4" t="n">
        <v>957393431151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  <c r="J8" s="4" t="n">
        <v>-330440626256</v>
      </c>
      <c r="K8" s="4" t="n">
        <v>-189071963171</v>
      </c>
      <c r="L8" s="4" t="n">
        <v>-339023162705</v>
      </c>
      <c r="M8" s="4" t="n">
        <v>-402454468644</v>
      </c>
      <c r="N8" s="4" t="n">
        <v>-410743275636</v>
      </c>
      <c r="O8" s="4" t="n">
        <v>-390297766478</v>
      </c>
      <c r="P8" s="4" t="n">
        <v>-421767358286</v>
      </c>
      <c r="Q8" s="4" t="n">
        <v>-453084595743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  <c r="J9" s="4" t="n">
        <v>-303696061820</v>
      </c>
      <c r="K9" s="4" t="n">
        <v>-323470486929</v>
      </c>
      <c r="L9" s="4" t="n">
        <v>-322792850500</v>
      </c>
      <c r="M9" s="4" t="n">
        <v>-375178482038</v>
      </c>
      <c r="N9" s="4" t="n">
        <v>-388038374707</v>
      </c>
      <c r="O9" s="4" t="n">
        <v>-384665886359</v>
      </c>
      <c r="P9" s="4" t="n">
        <v>-415448904085</v>
      </c>
      <c r="Q9" s="4" t="n">
        <v>-436321054832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  <c r="J10" s="4" t="n">
        <v>-4848950073481</v>
      </c>
      <c r="K10" s="4" t="n">
        <v>-5123108197082</v>
      </c>
      <c r="L10" s="4" t="n">
        <v>-4403006343750</v>
      </c>
      <c r="M10" s="4" t="n">
        <v>-4703283205201</v>
      </c>
      <c r="N10" s="4" t="n">
        <v>-4570833491508</v>
      </c>
      <c r="O10" s="4" t="n">
        <v>-5653780496399</v>
      </c>
      <c r="P10" s="4" t="n">
        <v>-5284908877085</v>
      </c>
      <c r="Q10" s="4" t="n">
        <v>-5980272600628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  <c r="J11" s="4" t="n">
        <v>-967618855194</v>
      </c>
      <c r="K11" s="4" t="n">
        <v>-916356723640</v>
      </c>
      <c r="L11" s="4" t="n">
        <v>-1214599786616</v>
      </c>
      <c r="M11" s="4" t="n">
        <v>-1201666094080</v>
      </c>
      <c r="N11" s="4" t="n">
        <v>-1119414262509</v>
      </c>
      <c r="O11" s="4" t="n">
        <v>-1060394369967</v>
      </c>
      <c r="P11" s="4" t="n">
        <v>-1523180115533</v>
      </c>
      <c r="Q11" s="4" t="n">
        <v>-1317458502119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  <c r="J12" s="4" t="n">
        <v>1320438170928</v>
      </c>
      <c r="K12" s="4" t="n">
        <v>996550122732</v>
      </c>
      <c r="L12" s="4" t="n">
        <v>1940204764365</v>
      </c>
      <c r="M12" s="4" t="n">
        <v>2041250769970</v>
      </c>
      <c r="N12" s="4" t="n">
        <v>2190441447033</v>
      </c>
      <c r="O12" s="4" t="n">
        <v>2492183508086</v>
      </c>
      <c r="P12" s="4" t="n">
        <v>3347123417867</v>
      </c>
      <c r="Q12" s="4" t="n">
        <v>4034437503929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  <c r="J13" s="4" t="n">
        <v>6069253262</v>
      </c>
      <c r="K13" s="4" t="n">
        <v>8777694085</v>
      </c>
      <c r="L13" s="4" t="n">
        <v>12087549570</v>
      </c>
      <c r="M13" s="4" t="n">
        <v>1186376818</v>
      </c>
      <c r="N13" s="4" t="n">
        <v>6915715579</v>
      </c>
      <c r="O13" s="4" t="n">
        <v>32588128920</v>
      </c>
      <c r="P13" s="4" t="n">
        <v>12428594028</v>
      </c>
      <c r="Q13" s="4" t="n">
        <v>6297681218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  <c r="J14" s="4" t="n">
        <v>-258462023583</v>
      </c>
      <c r="K14" s="4" t="n">
        <v>30143437181</v>
      </c>
      <c r="L14" s="4" t="n">
        <v>-17630926715</v>
      </c>
      <c r="M14" s="4" t="n">
        <v>-14232391412</v>
      </c>
      <c r="N14" s="4" t="n">
        <v>-25005996533</v>
      </c>
      <c r="O14" s="4" t="n">
        <v>-26921362255</v>
      </c>
      <c r="P14" s="4" t="n">
        <v>-31967712004</v>
      </c>
      <c r="Q14" s="4" t="n">
        <v>-7738687114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  <c r="J15" s="4" t="n">
        <v>-252392770321</v>
      </c>
      <c r="K15" s="4" t="n">
        <v>38921131266</v>
      </c>
      <c r="L15" s="4" t="n">
        <v>-5543377145</v>
      </c>
      <c r="M15" s="4" t="n">
        <v>-13046014594</v>
      </c>
      <c r="N15" s="4" t="n">
        <v>-18090280954</v>
      </c>
      <c r="O15" s="4" t="n">
        <v>5666766665</v>
      </c>
      <c r="P15" s="4" t="n">
        <v>-19539117976</v>
      </c>
      <c r="Q15" s="4" t="n">
        <v>-1441005896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  <c r="J17" s="4" t="n">
        <v>1068045400607</v>
      </c>
      <c r="K17" s="4" t="n">
        <v>1035471253998</v>
      </c>
      <c r="L17" s="4" t="n">
        <v>1934661387220</v>
      </c>
      <c r="M17" s="4" t="n">
        <v>2028204755376</v>
      </c>
      <c r="N17" s="4" t="n">
        <v>2172351166079</v>
      </c>
      <c r="O17" s="4" t="n">
        <v>2497850274751</v>
      </c>
      <c r="P17" s="4" t="n">
        <v>3327584299891</v>
      </c>
      <c r="Q17" s="4" t="n">
        <v>4032996498033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  <c r="J18" s="4" t="n">
        <v>-273572425416</v>
      </c>
      <c r="K18" s="4" t="n">
        <v>-356954512092</v>
      </c>
      <c r="L18" s="4" t="n">
        <v>-397722415583</v>
      </c>
      <c r="M18" s="4" t="n">
        <v>-370110858352</v>
      </c>
      <c r="N18" s="4" t="n">
        <v>-477289656191</v>
      </c>
      <c r="O18" s="4" t="n">
        <v>-476436593042</v>
      </c>
      <c r="P18" s="4" t="n">
        <v>-797012204332</v>
      </c>
      <c r="Q18" s="4" t="n">
        <v>-736654017444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  <c r="J19" s="4" t="n">
        <v>11313526349</v>
      </c>
      <c r="K19" s="4" t="n">
        <v>173627384384</v>
      </c>
      <c r="L19" s="4" t="n">
        <v>10894797039</v>
      </c>
      <c r="M19" s="4" t="n">
        <v>-564776114</v>
      </c>
      <c r="N19" s="4" t="n">
        <v>88604124097</v>
      </c>
      <c r="O19" s="4" t="n">
        <v>62180680595</v>
      </c>
      <c r="P19" s="4" t="n">
        <v>226984924968</v>
      </c>
      <c r="Q19" s="4" t="n">
        <v>58555240749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  <c r="J20" s="4" t="n">
        <v>-262258899067</v>
      </c>
      <c r="K20" s="4" t="n">
        <v>-183327127708</v>
      </c>
      <c r="L20" s="4" t="n">
        <v>-386827618544</v>
      </c>
      <c r="M20" s="4" t="n">
        <v>-370675634466</v>
      </c>
      <c r="N20" s="4" t="n">
        <v>-388685532094</v>
      </c>
      <c r="O20" s="4" t="n">
        <v>-414255912447</v>
      </c>
      <c r="P20" s="4" t="n">
        <v>-570027279364</v>
      </c>
      <c r="Q20" s="4" t="n">
        <v>-678098776695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  <c r="J21" s="4" t="n">
        <v>805786501540</v>
      </c>
      <c r="K21" s="4" t="n">
        <v>852144126290</v>
      </c>
      <c r="L21" s="4" t="n">
        <v>1547833768676</v>
      </c>
      <c r="M21" s="4" t="n">
        <v>1657529120910</v>
      </c>
      <c r="N21" s="4" t="n">
        <v>1783665633985</v>
      </c>
      <c r="O21" s="4" t="n">
        <v>2083594362304</v>
      </c>
      <c r="P21" s="4" t="n">
        <v>2757557020527</v>
      </c>
      <c r="Q21" s="4" t="n">
        <v>3354897721338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  <c r="J22" s="4" t="n">
        <v>5636522106</v>
      </c>
      <c r="K22" s="4" t="n">
        <v>5139744085</v>
      </c>
      <c r="L22" s="4" t="n">
        <v>1896677735</v>
      </c>
      <c r="M22" s="4" t="n">
        <v>9382874206</v>
      </c>
      <c r="N22" s="4" t="n">
        <v>12766716681</v>
      </c>
      <c r="O22" s="4" t="n">
        <v>14845847084</v>
      </c>
      <c r="P22" s="4" t="n">
        <v>43126168421</v>
      </c>
      <c r="Q22" s="4" t="n">
        <v>52350747326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  <c r="J23" s="4" t="n">
        <v>800149979434</v>
      </c>
      <c r="K23" s="4" t="n">
        <v>847004382205</v>
      </c>
      <c r="L23" s="4" t="n">
        <v>1545937090941</v>
      </c>
      <c r="M23" s="4" t="n">
        <v>1648146246704</v>
      </c>
      <c r="N23" s="4" t="n">
        <v>1770898917304</v>
      </c>
      <c r="O23" s="4" t="n">
        <v>2068748515220</v>
      </c>
      <c r="P23" s="4" t="n">
        <v>2714430852106</v>
      </c>
      <c r="Q23" s="4" t="n">
        <v>3302546974012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  <c r="J24" s="4" t="n">
        <v>547</v>
      </c>
      <c r="K24" s="4" t="n">
        <v>580</v>
      </c>
      <c r="L24" s="4" t="n">
        <v>1058</v>
      </c>
      <c r="M24" s="4" t="n">
        <v>1117</v>
      </c>
      <c r="N24" s="4" t="n">
        <v>1198</v>
      </c>
      <c r="O24" s="4" t="n">
        <v>1400</v>
      </c>
      <c r="P24" s="4" t="n">
        <v>1849</v>
      </c>
      <c r="Q24" s="4" t="n">
        <v>2249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  <c r="J25" s="4" t="n">
        <v>547</v>
      </c>
      <c r="K25" s="4" t="n">
        <v>580</v>
      </c>
      <c r="L25" s="4" t="n">
        <v>1058</v>
      </c>
      <c r="M25" s="4" t="n">
        <v>1117</v>
      </c>
      <c r="N25" s="4" t="n">
        <v>1198</v>
      </c>
      <c r="O25" s="4" t="n">
        <v>1400</v>
      </c>
      <c r="P25" s="4" t="n">
        <v>1849</v>
      </c>
      <c r="Q25" s="4" t="n">
        <v>2249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  <c r="J26" s="4" t="n">
        <v>147877008</v>
      </c>
      <c r="K26" s="4" t="n">
        <v>2422520118</v>
      </c>
      <c r="L26" s="4" t="n">
        <v>3129774300</v>
      </c>
      <c r="M26" s="4" t="n">
        <v>11121630774</v>
      </c>
      <c r="N26" s="4" t="n">
        <v>4176701355</v>
      </c>
      <c r="O26" s="4" t="n">
        <v>5922972758</v>
      </c>
      <c r="P26" s="4" t="n">
        <v>9011741928</v>
      </c>
      <c r="Q26" s="4" t="n">
        <v>18649699157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  <c r="J2" s="4" t="n">
        <v>1068045400607</v>
      </c>
      <c r="K2" s="4" t="n">
        <v>1035471253998</v>
      </c>
      <c r="L2" s="4" t="n">
        <v>1934661387220</v>
      </c>
      <c r="M2" s="4" t="n">
        <v>2028204755376</v>
      </c>
      <c r="N2" s="4" t="n">
        <v>2172351166079</v>
      </c>
      <c r="O2" s="4" t="n">
        <v>2497850274751</v>
      </c>
      <c r="P2" s="4" t="n">
        <v>3327584299891</v>
      </c>
      <c r="Q2" s="4" t="n">
        <v>4032996498033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  <c r="J3" s="4" t="n">
        <v>709538513762</v>
      </c>
      <c r="K3" s="4" t="n">
        <v>806163942588</v>
      </c>
      <c r="L3" s="4" t="n">
        <v>508919466750</v>
      </c>
      <c r="M3" s="4" t="n">
        <v>489299387395</v>
      </c>
      <c r="N3" s="4" t="n">
        <v>459321401160</v>
      </c>
      <c r="O3" s="4" t="n">
        <v>433341853327</v>
      </c>
      <c r="P3" s="4" t="n">
        <v>393929975265</v>
      </c>
      <c r="Q3" s="4" t="n">
        <v>360693855102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  <c r="J4" s="4" t="n">
        <v>80430663127</v>
      </c>
      <c r="K4" s="4" t="n">
        <v>66918985373</v>
      </c>
      <c r="L4" s="4" t="n">
        <v>11990839619</v>
      </c>
      <c r="M4" s="4" t="n">
        <v>13861998805</v>
      </c>
      <c r="N4" s="4" t="n">
        <v>102781600012</v>
      </c>
      <c r="O4" s="4" t="n">
        <v>77120424854</v>
      </c>
      <c r="P4" s="4" t="n">
        <v>148321568633</v>
      </c>
      <c r="Q4" s="4" t="n">
        <v>-16391785057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  <c r="J5" s="4" t="n">
        <v>20090137067</v>
      </c>
      <c r="K5" s="4" t="n">
        <v>-141025314729</v>
      </c>
      <c r="L5" s="4" t="n">
        <v>10006964390</v>
      </c>
      <c r="M5" s="4" t="n">
        <v>20285050148</v>
      </c>
      <c r="N5" s="4" t="n">
        <v>17804103606</v>
      </c>
      <c r="O5" s="4" t="n">
        <v>185292496</v>
      </c>
      <c r="P5" s="4" t="n">
        <v>-1038495565</v>
      </c>
      <c r="Q5" s="4" t="n">
        <v>839017483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  <c r="J7" s="4" t="n">
        <v>-283114817875</v>
      </c>
      <c r="K7" s="4" t="n">
        <v>-627238602343</v>
      </c>
      <c r="L7" s="4" t="n">
        <v>-637707361482</v>
      </c>
      <c r="M7" s="4" t="n">
        <v>-721876708932</v>
      </c>
      <c r="N7" s="4" t="n">
        <v>-763715309306</v>
      </c>
      <c r="O7" s="4" t="n">
        <v>-785467111988</v>
      </c>
      <c r="P7" s="4" t="n">
        <v>-803187924707</v>
      </c>
      <c r="Q7" s="4" t="n">
        <v>-902130463700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  <c r="J8" s="4" t="n">
        <v>303696061820</v>
      </c>
      <c r="K8" s="4" t="n">
        <v>323470486929</v>
      </c>
      <c r="L8" s="4" t="n">
        <v>322792850500</v>
      </c>
      <c r="M8" s="4" t="n">
        <v>375178482038</v>
      </c>
      <c r="N8" s="4" t="n">
        <v>388038374707</v>
      </c>
      <c r="O8" s="4" t="n">
        <v>384665886359</v>
      </c>
      <c r="P8" s="4" t="n">
        <v>415448904085</v>
      </c>
      <c r="Q8" s="4" t="n">
        <v>436321054832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  <c r="J10" s="4" t="n">
        <v>1898685958508</v>
      </c>
      <c r="K10" s="4" t="n">
        <v>1463760751816</v>
      </c>
      <c r="L10" s="4" t="n">
        <v>2150664146997</v>
      </c>
      <c r="M10" s="4" t="n">
        <v>2204952964830</v>
      </c>
      <c r="N10" s="4" t="n">
        <v>2376581336258</v>
      </c>
      <c r="O10" s="4" t="n">
        <v>2607696619799</v>
      </c>
      <c r="P10" s="4" t="n">
        <v>3481058327602</v>
      </c>
      <c r="Q10" s="4" t="n">
        <v>3912328176693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  <c r="J11" s="4" t="n">
        <v>325328320498</v>
      </c>
      <c r="K11" s="4" t="n">
        <v>38470643956</v>
      </c>
      <c r="L11" s="4" t="n">
        <v>-20551258</v>
      </c>
      <c r="M11" s="4" t="n">
        <v>-251635229938</v>
      </c>
      <c r="N11" s="4" t="n">
        <v>-83919351041</v>
      </c>
      <c r="O11" s="4" t="n">
        <v>26956422283</v>
      </c>
      <c r="P11" s="4" t="n">
        <v>168304248946</v>
      </c>
      <c r="Q11" s="4" t="n">
        <v>-13650520988769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  <c r="J12" s="4" t="n">
        <v>-892284242431</v>
      </c>
      <c r="K12" s="4" t="n">
        <v>-454321055722</v>
      </c>
      <c r="L12" s="4" t="n">
        <v>-575792834900</v>
      </c>
      <c r="M12" s="4" t="n">
        <v>-888492280751</v>
      </c>
      <c r="N12" s="4" t="n">
        <v>-512336774122</v>
      </c>
      <c r="O12" s="4" t="n">
        <v>-3231320441649</v>
      </c>
      <c r="P12" s="4" t="n">
        <v>-473294070349</v>
      </c>
      <c r="Q12" s="4" t="n">
        <v>-3249442441366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  <c r="J13" s="4" t="n">
        <v>193484688240</v>
      </c>
      <c r="K13" s="4" t="n">
        <v>-325910980822</v>
      </c>
      <c r="L13" s="4" t="n">
        <v>1748346307159</v>
      </c>
      <c r="M13" s="4" t="n">
        <v>994923531151</v>
      </c>
      <c r="N13" s="4" t="n">
        <v>1930842466387</v>
      </c>
      <c r="O13" s="4" t="n">
        <v>664993764580</v>
      </c>
      <c r="P13" s="4" t="n">
        <v>-776569297738</v>
      </c>
      <c r="Q13" s="4" t="n">
        <v>16306823873210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  <c r="J14" s="4" t="n">
        <v>33370603157</v>
      </c>
      <c r="K14" s="4" t="n">
        <v>-6332644201</v>
      </c>
      <c r="L14" s="4" t="n">
        <v>-51385677184</v>
      </c>
      <c r="M14" s="4" t="n">
        <v>7330869497</v>
      </c>
      <c r="N14" s="4" t="n">
        <v>14950225012</v>
      </c>
      <c r="O14" s="4" t="n">
        <v>-94275020670</v>
      </c>
      <c r="P14" s="4" t="n">
        <v>28552315198</v>
      </c>
      <c r="Q14" s="4" t="n">
        <v>-8904179182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  <c r="J15" s="4" t="n">
        <v>-320504510983</v>
      </c>
      <c r="K15" s="4" t="n">
        <v>-307080568328</v>
      </c>
      <c r="L15" s="4" t="n">
        <v>-325485637820</v>
      </c>
      <c r="M15" s="4" t="n">
        <v>-311664671169</v>
      </c>
      <c r="N15" s="4" t="n">
        <v>-379197708077</v>
      </c>
      <c r="O15" s="4" t="n">
        <v>-380112310890</v>
      </c>
      <c r="P15" s="4" t="n">
        <v>-438524493957</v>
      </c>
      <c r="Q15" s="4" t="n">
        <v>-407675925749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  <c r="J16" s="4" t="n">
        <v>-316590960701</v>
      </c>
      <c r="K16" s="4" t="n">
        <v>-280150639769</v>
      </c>
      <c r="L16" s="4" t="n">
        <v>-456800409565</v>
      </c>
      <c r="M16" s="4" t="n">
        <v>-312745003158</v>
      </c>
      <c r="N16" s="4" t="n">
        <v>-571103348185</v>
      </c>
      <c r="O16" s="4" t="n">
        <v>-205810713361</v>
      </c>
      <c r="P16" s="4" t="n">
        <v>-796272456005</v>
      </c>
      <c r="Q16" s="4" t="n">
        <v>-521014311749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  <c r="J19" s="4" t="n">
        <v>921489856288</v>
      </c>
      <c r="K19" s="4" t="n">
        <v>128435506930</v>
      </c>
      <c r="L19" s="4" t="n">
        <v>2489525343429</v>
      </c>
      <c r="M19" s="4" t="n">
        <v>1442670180462</v>
      </c>
      <c r="N19" s="4" t="n">
        <v>2775816846232</v>
      </c>
      <c r="O19" s="4" t="n">
        <v>-611871679908</v>
      </c>
      <c r="P19" s="4" t="n">
        <v>1193254573697</v>
      </c>
      <c r="Q19" s="4" t="n">
        <v>2381594203088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  <c r="J20" s="4" t="n">
        <v>-192924283078</v>
      </c>
      <c r="K20" s="4" t="n">
        <v>-62842918607</v>
      </c>
      <c r="L20" s="4" t="n">
        <v>-163054946249</v>
      </c>
      <c r="M20" s="4" t="n">
        <v>-255979320848</v>
      </c>
      <c r="N20" s="4" t="n">
        <v>-119682197534</v>
      </c>
      <c r="O20" s="4" t="n">
        <v>-349745425558</v>
      </c>
      <c r="P20" s="4" t="n">
        <v>-350142572252</v>
      </c>
      <c r="Q20" s="4" t="n">
        <v>-296533582218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  <c r="J21" s="4" t="n">
        <v>13744481224</v>
      </c>
      <c r="K21" s="4" t="n">
        <v>7320550676</v>
      </c>
      <c r="L21" s="4" t="n">
        <v>755077318</v>
      </c>
      <c r="M21" s="4" t="n">
        <v>1755696465</v>
      </c>
      <c r="N21" s="4" t="n">
        <v>4753636569</v>
      </c>
      <c r="O21" s="4" t="n">
        <v>2901002380</v>
      </c>
      <c r="P21" s="4" t="n">
        <v>1297577244</v>
      </c>
      <c r="Q21" s="4" t="n">
        <v>1196907560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  <c r="J22" s="4" t="n">
        <v>-7206863787201</v>
      </c>
      <c r="K22" s="4" t="n">
        <v>-19208764699749</v>
      </c>
      <c r="L22" s="4" t="n">
        <v>-12842790158451</v>
      </c>
      <c r="M22" s="4" t="n">
        <v>-13442045712675</v>
      </c>
      <c r="N22" s="4" t="n">
        <v>-13513380882621</v>
      </c>
      <c r="O22" s="4" t="n">
        <v>-17049996012338</v>
      </c>
      <c r="P22" s="4" t="n">
        <v>-10333984026816</v>
      </c>
      <c r="Q22" s="4" t="n">
        <v>-15331967227177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  <c r="J23" s="4" t="n">
        <v>9836218769118</v>
      </c>
      <c r="K23" s="4" t="n">
        <v>10647198693834</v>
      </c>
      <c r="L23" s="4" t="n">
        <v>8842431495252</v>
      </c>
      <c r="M23" s="4" t="n">
        <v>9722310788550</v>
      </c>
      <c r="N23" s="4" t="n">
        <v>14012658540167</v>
      </c>
      <c r="O23" s="4" t="n">
        <v>16083041691837</v>
      </c>
      <c r="P23" s="4" t="n">
        <v>10310414167550</v>
      </c>
      <c r="Q23" s="4" t="n">
        <v>11375323082103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  <c r="J24" s="4" t="n">
        <v>0</v>
      </c>
      <c r="K24" s="4" t="n">
        <v>0</v>
      </c>
      <c r="L24" s="4" t="n">
        <v>0</v>
      </c>
      <c r="M24" s="4" t="n">
        <v>-104772187500</v>
      </c>
      <c r="N24" s="4" t="n">
        <v>0</v>
      </c>
      <c r="O24" s="4" t="n">
        <v>0</v>
      </c>
      <c r="P24" s="4" t="n">
        <v>-122390357255</v>
      </c>
      <c r="Q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1777389076956</v>
      </c>
      <c r="K25" s="4" t="n">
        <v>-1777389076956</v>
      </c>
      <c r="L25" s="4" t="n">
        <v>0</v>
      </c>
      <c r="M25" s="4" t="n">
        <v>0</v>
      </c>
      <c r="N25" s="4" t="n">
        <v>1620547815145</v>
      </c>
      <c r="O25" s="4" t="n">
        <v>-1620547815145</v>
      </c>
      <c r="P25" s="4" t="n">
        <v>0</v>
      </c>
      <c r="Q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  <c r="J26" s="4" t="n">
        <v>-1354529919662</v>
      </c>
      <c r="K26" s="4" t="n">
        <v>2376478611267</v>
      </c>
      <c r="L26" s="4" t="n">
        <v>464757235329</v>
      </c>
      <c r="M26" s="4" t="n">
        <v>520808780312</v>
      </c>
      <c r="N26" s="4" t="n">
        <v>-987782133561</v>
      </c>
      <c r="O26" s="4" t="n">
        <v>2512279641583</v>
      </c>
      <c r="P26" s="4" t="n">
        <v>684861139738</v>
      </c>
      <c r="Q26" s="4" t="n">
        <v>1007033144722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  <c r="J27" s="4" t="n">
        <v>2873034337357</v>
      </c>
      <c r="K27" s="4" t="n">
        <v>-8017998839535</v>
      </c>
      <c r="L27" s="4" t="n">
        <v>-3697901296801</v>
      </c>
      <c r="M27" s="4" t="n">
        <v>-3557921955696</v>
      </c>
      <c r="N27" s="4" t="n">
        <v>1017114778165</v>
      </c>
      <c r="O27" s="4" t="n">
        <v>-422066917241</v>
      </c>
      <c r="P27" s="4" t="n">
        <v>190055928209</v>
      </c>
      <c r="Q27" s="4" t="n">
        <v>-3244947675010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  <c r="J28" s="4" t="n">
        <v>-6870914127</v>
      </c>
      <c r="K28" s="4" t="n">
        <v>0</v>
      </c>
      <c r="L28" s="4" t="n">
        <v>0</v>
      </c>
      <c r="M28" s="4" t="n">
        <v>174490000000</v>
      </c>
      <c r="N28" s="4" t="n">
        <v>0</v>
      </c>
      <c r="O28" s="4" t="n">
        <v>109037980000</v>
      </c>
      <c r="P28" s="4" t="n">
        <v>0</v>
      </c>
      <c r="Q28" s="4" t="n">
        <v>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  <c r="J29" s="4" t="n">
        <v>0</v>
      </c>
      <c r="K29" s="4" t="n">
        <v>-4311790000</v>
      </c>
      <c r="L29" s="4" t="n">
        <v>0</v>
      </c>
      <c r="M29" s="4" t="n">
        <v>-3241610000</v>
      </c>
      <c r="N29" s="4" t="n">
        <v>-1522850000</v>
      </c>
      <c r="O29" s="4" t="n">
        <v>-811106251046</v>
      </c>
      <c r="P29" s="4" t="n">
        <v>-332340000</v>
      </c>
      <c r="Q29" s="4" t="n">
        <v>0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  <c r="J30" s="4" t="n">
        <v>18966926966123</v>
      </c>
      <c r="K30" s="4" t="n">
        <v>20459240811095</v>
      </c>
      <c r="L30" s="4" t="n">
        <v>19644968702325</v>
      </c>
      <c r="M30" s="4" t="n">
        <v>22571231063140</v>
      </c>
      <c r="N30" s="4" t="n">
        <v>26389717989161</v>
      </c>
      <c r="O30" s="4" t="n">
        <v>29944191430063</v>
      </c>
      <c r="P30" s="4" t="n">
        <v>27840348205836</v>
      </c>
      <c r="Q30" s="4" t="n">
        <v>33003674697165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  <c r="J31" s="4" t="n">
        <v>-18047655601891</v>
      </c>
      <c r="K31" s="4" t="n">
        <v>-17420567788704</v>
      </c>
      <c r="L31" s="4" t="n">
        <v>-20675754394437</v>
      </c>
      <c r="M31" s="4" t="n">
        <v>-17255443886818</v>
      </c>
      <c r="N31" s="4" t="n">
        <v>-29222061079411</v>
      </c>
      <c r="O31" s="4" t="n">
        <v>-28718878584134</v>
      </c>
      <c r="P31" s="4" t="n">
        <v>-29670637998293</v>
      </c>
      <c r="Q31" s="4" t="n">
        <v>-32014768130230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  <c r="J33" s="4" t="n">
        <v>-730957694000</v>
      </c>
      <c r="K33" s="4" t="n">
        <v>0</v>
      </c>
      <c r="L33" s="4" t="n">
        <v>0</v>
      </c>
      <c r="M33" s="4" t="n">
        <v>0</v>
      </c>
      <c r="N33" s="4" t="n">
        <v>-1478456763000</v>
      </c>
      <c r="O33" s="4" t="n">
        <v>0</v>
      </c>
      <c r="P33" s="4" t="n">
        <v>0</v>
      </c>
      <c r="Q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  <c r="J35" s="4" t="n">
        <v>181442756105</v>
      </c>
      <c r="K35" s="4" t="n">
        <v>3034361232391</v>
      </c>
      <c r="L35" s="4" t="n">
        <v>-1030785692112</v>
      </c>
      <c r="M35" s="4" t="n">
        <v>5487035566322</v>
      </c>
      <c r="N35" s="4" t="n">
        <v>-4312322703250</v>
      </c>
      <c r="O35" s="4" t="n">
        <v>523244574883</v>
      </c>
      <c r="P35" s="4" t="n">
        <v>-1830622132457</v>
      </c>
      <c r="Q35" s="4" t="n">
        <v>988906566935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  <c r="J36" s="4" t="n">
        <v>3975966949750</v>
      </c>
      <c r="K36" s="4" t="n">
        <v>-4855202100214</v>
      </c>
      <c r="L36" s="4" t="n">
        <v>-2239161645484</v>
      </c>
      <c r="M36" s="4" t="n">
        <v>3371783791088</v>
      </c>
      <c r="N36" s="4" t="n">
        <v>-519391078853</v>
      </c>
      <c r="O36" s="4" t="n">
        <v>-510694022266</v>
      </c>
      <c r="P36" s="4" t="n">
        <v>-447311630551</v>
      </c>
      <c r="Q36" s="4" t="n">
        <v>125553095013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  <c r="J37" s="4" t="n">
        <v>5776462799036</v>
      </c>
      <c r="K37" s="4" t="n">
        <v>9752339611719</v>
      </c>
      <c r="L37" s="4" t="n">
        <v>4897331540730</v>
      </c>
      <c r="M37" s="4" t="n">
        <v>2658218136149</v>
      </c>
      <c r="N37" s="4" t="n">
        <v>6030067748439</v>
      </c>
      <c r="O37" s="4" t="n">
        <v>5510816169528</v>
      </c>
      <c r="P37" s="4" t="n">
        <v>4999925717187</v>
      </c>
      <c r="Q37" s="4" t="n">
        <v>4553652582201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  <c r="J38" s="4" t="n">
        <v>-90137067</v>
      </c>
      <c r="K38" s="4" t="n">
        <v>194029225</v>
      </c>
      <c r="L38" s="4" t="n">
        <v>48240903</v>
      </c>
      <c r="M38" s="4" t="n">
        <v>65821202</v>
      </c>
      <c r="N38" s="4" t="n">
        <v>139499942</v>
      </c>
      <c r="O38" s="4" t="n">
        <v>-196430075</v>
      </c>
      <c r="P38" s="4" t="n">
        <v>1038495565</v>
      </c>
      <c r="Q38" s="4" t="n">
        <v>-839017483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  <c r="J39" s="4" t="n">
        <v>9752339611719</v>
      </c>
      <c r="K39" s="4" t="n">
        <v>4897331540730</v>
      </c>
      <c r="L39" s="4" t="n">
        <v>2658218136149</v>
      </c>
      <c r="M39" s="4" t="n">
        <v>6030067748439</v>
      </c>
      <c r="N39" s="4" t="n">
        <v>5510816169528</v>
      </c>
      <c r="O39" s="4" t="n">
        <v>4999925717187</v>
      </c>
      <c r="P39" s="4" t="n">
        <v>4553652582201</v>
      </c>
      <c r="Q39" s="4" t="n">
        <v>4678600961443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40.6640625" customWidth="1" min="1" max="1"/>
    <col width="18.88671875" customWidth="1" min="2" max="2"/>
    <col width="21.88671875" customWidth="1" min="9" max="9"/>
    <col width="20.5546875" customWidth="1" min="10" max="10"/>
    <col width="9" customWidth="1" min="11" max="11"/>
    <col width="8.88671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20">
        <f>I39+0.8*J51</f>
        <v/>
      </c>
    </row>
    <row r="40">
      <c r="A40" s="21" t="inlineStr">
        <is>
          <t>Tăng VCSH/LN cổ đông cty mẹ</t>
        </is>
      </c>
      <c r="B40" s="22" t="n"/>
      <c r="C40" s="23">
        <f>(C39-B39)/C51</f>
        <v/>
      </c>
      <c r="D40" s="23">
        <f>(D39-C39)/D51</f>
        <v/>
      </c>
      <c r="E40" s="23">
        <f>(E39-D39)/E51</f>
        <v/>
      </c>
      <c r="F40" s="23">
        <f>(F39-E39)/F51</f>
        <v/>
      </c>
      <c r="G40" s="23">
        <f>(G39-F39)/G51</f>
        <v/>
      </c>
      <c r="H40" s="23">
        <f>(H39-G39)/H51</f>
        <v/>
      </c>
      <c r="I40" s="23">
        <f>(I39-H39)/I51</f>
        <v/>
      </c>
      <c r="J40" s="24" t="n"/>
    </row>
    <row r="4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</row>
    <row r="43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185000000000000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  <c r="J50" s="19" t="n">
        <v>9200000000000</v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9200000000000</v>
      </c>
    </row>
    <row r="52">
      <c r="A52" s="15" t="inlineStr">
        <is>
          <t>Lưu chuyển tiền tệ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/>
    <row r="58"/>
    <row r="59">
      <c r="A59" s="26" t="inlineStr">
        <is>
          <t>CHỈ SỐ THÊM</t>
        </is>
      </c>
      <c r="B59" s="16" t="n">
        <v>2018</v>
      </c>
      <c r="C59" s="16" t="n">
        <v>2019</v>
      </c>
      <c r="D59" s="16" t="n">
        <v>2020</v>
      </c>
      <c r="E59" s="16" t="n">
        <v>2021</v>
      </c>
      <c r="F59" s="16" t="n">
        <v>2022</v>
      </c>
      <c r="G59" s="16" t="n">
        <v>2023</v>
      </c>
      <c r="H59" s="16" t="n">
        <v>2024</v>
      </c>
      <c r="I59" s="16" t="n">
        <v>2025</v>
      </c>
    </row>
    <row r="60">
      <c r="A60" s="26" t="inlineStr">
        <is>
          <t>Khả năng sinh lời &amp; hiệu quả sử dụng vốn</t>
        </is>
      </c>
      <c r="B60" s="25" t="n"/>
      <c r="C60" s="25" t="n"/>
      <c r="D60" s="25" t="n"/>
      <c r="E60" s="25" t="n"/>
      <c r="F60" s="25" t="n"/>
      <c r="G60" s="25" t="n"/>
      <c r="H60" s="25" t="n"/>
      <c r="I60" s="25" t="n"/>
    </row>
    <row r="61">
      <c r="A61" s="25" t="inlineStr">
        <is>
          <t>ROCE</t>
        </is>
      </c>
      <c r="B61" s="27">
        <f>IFERROR(B$63/(B$31-B$35),"n/a")</f>
        <v/>
      </c>
      <c r="C61" s="27">
        <f>IFERROR(C$63/(C$31-C$35),"n/a")</f>
        <v/>
      </c>
      <c r="D61" s="27">
        <f>IFERROR(D$63/(D$31-D$35),"n/a")</f>
        <v/>
      </c>
      <c r="E61" s="27">
        <f>IFERROR(E$63/(E$31-E$35),"n/a")</f>
        <v/>
      </c>
      <c r="F61" s="27">
        <f>IFERROR(F$63/(F$31-F$35),"n/a")</f>
        <v/>
      </c>
      <c r="G61" s="27">
        <f>IFERROR(G$63/(G$31-G$35),"n/a")</f>
        <v/>
      </c>
      <c r="H61" s="27">
        <f>IFERROR(H$63/(H$31-H$35),"n/a")</f>
        <v/>
      </c>
      <c r="I61" s="27">
        <f>IFERROR(I$63/(I$31-I$35),"n/a")</f>
        <v/>
      </c>
    </row>
    <row r="62">
      <c r="A62" s="25" t="inlineStr">
        <is>
          <t>CROIC</t>
        </is>
      </c>
      <c r="B62" s="27">
        <f>IFERROR(B$67/(B$31-B$35),"n/a")</f>
        <v/>
      </c>
      <c r="C62" s="27">
        <f>IFERROR(C$67/(C$31-C$35),"n/a")</f>
        <v/>
      </c>
      <c r="D62" s="27">
        <f>IFERROR(D$67/(D$31-D$35),"n/a")</f>
        <v/>
      </c>
      <c r="E62" s="27">
        <f>IFERROR(E$67/(E$31-E$35),"n/a")</f>
        <v/>
      </c>
      <c r="F62" s="27">
        <f>IFERROR(F$67/(F$31-F$35),"n/a")</f>
        <v/>
      </c>
      <c r="G62" s="27">
        <f>IFERROR(G$67/(G$31-G$35),"n/a")</f>
        <v/>
      </c>
      <c r="H62" s="27">
        <f>IFERROR(H$67/(H$31-H$35),"n/a")</f>
        <v/>
      </c>
      <c r="I62" s="27">
        <f>IFERROR(I$67/(I$31-I$35),"n/a")</f>
        <v/>
      </c>
    </row>
    <row r="63">
      <c r="A63" s="25" t="inlineStr">
        <is>
          <t>EBIT</t>
        </is>
      </c>
      <c r="B63" s="28">
        <f>IFERROR(B$48+ABS(B$49),"n/a")</f>
        <v/>
      </c>
      <c r="C63" s="28">
        <f>IFERROR(C$48+ABS(C$49),"n/a")</f>
        <v/>
      </c>
      <c r="D63" s="28">
        <f>IFERROR(D$48+ABS(D$49),"n/a")</f>
        <v/>
      </c>
      <c r="E63" s="28">
        <f>IFERROR(E$48+ABS(E$49),"n/a")</f>
        <v/>
      </c>
      <c r="F63" s="28">
        <f>IFERROR(F$48+ABS(F$49),"n/a")</f>
        <v/>
      </c>
      <c r="G63" s="28">
        <f>IFERROR(G$48+ABS(G$49),"n/a")</f>
        <v/>
      </c>
      <c r="H63" s="28">
        <f>IFERROR(H$48+ABS(H$49),"n/a")</f>
        <v/>
      </c>
      <c r="I63" s="28">
        <f>IFERROR(I$48+ABS(I$49),"n/a")</f>
        <v/>
      </c>
    </row>
    <row r="64">
      <c r="A64" s="25" t="inlineStr">
        <is>
          <t>EBIT/DT</t>
        </is>
      </c>
      <c r="B64" s="27">
        <f>IFERROR(B$63/B$43,"n/a")</f>
        <v/>
      </c>
      <c r="C64" s="27">
        <f>IFERROR(C$63/C$43,"n/a")</f>
        <v/>
      </c>
      <c r="D64" s="27">
        <f>IFERROR(D$63/D$43,"n/a")</f>
        <v/>
      </c>
      <c r="E64" s="27">
        <f>IFERROR(E$63/E$43,"n/a")</f>
        <v/>
      </c>
      <c r="F64" s="27">
        <f>IFERROR(F$63/F$43,"n/a")</f>
        <v/>
      </c>
      <c r="G64" s="27">
        <f>IFERROR(G$63/G$43,"n/a")</f>
        <v/>
      </c>
      <c r="H64" s="27">
        <f>IFERROR(H$63/H$43,"n/a")</f>
        <v/>
      </c>
      <c r="I64" s="27">
        <f>IFERROR(I$63/I$43,"n/a")</f>
        <v/>
      </c>
    </row>
    <row r="65">
      <c r="A65" s="25" t="inlineStr">
        <is>
          <t>DT/TS</t>
        </is>
      </c>
      <c r="B65" s="27">
        <f>IFERROR(B$43/B$31,"n/a")</f>
        <v/>
      </c>
      <c r="C65" s="27">
        <f>IFERROR(C$43/C$31,"n/a")</f>
        <v/>
      </c>
      <c r="D65" s="27">
        <f>IFERROR(D$43/D$31,"n/a")</f>
        <v/>
      </c>
      <c r="E65" s="27">
        <f>IFERROR(E$43/E$31,"n/a")</f>
        <v/>
      </c>
      <c r="F65" s="27">
        <f>IFERROR(F$43/F$31,"n/a")</f>
        <v/>
      </c>
      <c r="G65" s="27">
        <f>IFERROR(G$43/G$31,"n/a")</f>
        <v/>
      </c>
      <c r="H65" s="27">
        <f>IFERROR(H$43/H$31,"n/a")</f>
        <v/>
      </c>
      <c r="I65" s="27">
        <f>IFERROR(I$43/I$31,"n/a")</f>
        <v/>
      </c>
    </row>
    <row r="66">
      <c r="A66" s="26" t="inlineStr">
        <is>
          <t>Dòng tiền &amp; tái đầu tư</t>
        </is>
      </c>
      <c r="B66" s="25" t="n"/>
      <c r="C66" s="25" t="n"/>
      <c r="D66" s="25" t="n"/>
      <c r="E66" s="25" t="n"/>
      <c r="F66" s="25" t="n"/>
      <c r="G66" s="25" t="n"/>
      <c r="H66" s="25" t="n"/>
      <c r="I66" s="25" t="n"/>
    </row>
    <row r="67">
      <c r="A67" s="25" t="inlineStr">
        <is>
          <t>FCF</t>
        </is>
      </c>
      <c r="B67" s="28">
        <f>IFERROR(B$55-ABS(B$54),"n/a")</f>
        <v/>
      </c>
      <c r="C67" s="28">
        <f>IFERROR(C$55-ABS(C$54),"n/a")</f>
        <v/>
      </c>
      <c r="D67" s="28">
        <f>IFERROR(D$55-ABS(D$54),"n/a")</f>
        <v/>
      </c>
      <c r="E67" s="28">
        <f>IFERROR(E$55-ABS(E$54),"n/a")</f>
        <v/>
      </c>
      <c r="F67" s="28">
        <f>IFERROR(F$55-ABS(F$54),"n/a")</f>
        <v/>
      </c>
      <c r="G67" s="28">
        <f>IFERROR(G$55-ABS(G$54),"n/a")</f>
        <v/>
      </c>
      <c r="H67" s="28">
        <f>IFERROR(H$55-ABS(H$54),"n/a")</f>
        <v/>
      </c>
      <c r="I67" s="28">
        <f>IFERROR(I$55-ABS(I$54),"n/a")</f>
        <v/>
      </c>
    </row>
    <row r="68">
      <c r="A68" s="25" t="inlineStr">
        <is>
          <t>FCF/DT</t>
        </is>
      </c>
      <c r="B68" s="27">
        <f>IFERROR(B$67/B$43,"n/a")</f>
        <v/>
      </c>
      <c r="C68" s="27">
        <f>IFERROR(C$67/C$43,"n/a")</f>
        <v/>
      </c>
      <c r="D68" s="27">
        <f>IFERROR(D$67/D$43,"n/a")</f>
        <v/>
      </c>
      <c r="E68" s="27">
        <f>IFERROR(E$67/E$43,"n/a")</f>
        <v/>
      </c>
      <c r="F68" s="27">
        <f>IFERROR(F$67/F$43,"n/a")</f>
        <v/>
      </c>
      <c r="G68" s="27">
        <f>IFERROR(G$67/G$43,"n/a")</f>
        <v/>
      </c>
      <c r="H68" s="27">
        <f>IFERROR(H$67/H$43,"n/a")</f>
        <v/>
      </c>
      <c r="I68" s="27">
        <f>IFERROR(I$67/I$43,"n/a")</f>
        <v/>
      </c>
    </row>
    <row r="69">
      <c r="A69" s="25" t="inlineStr">
        <is>
          <t>FCF/Nợ ngắn hạn</t>
        </is>
      </c>
      <c r="B69" s="27">
        <f>IFERROR(B$67/B$35,"n/a")</f>
        <v/>
      </c>
      <c r="C69" s="27">
        <f>IFERROR(C$67/C$35,"n/a")</f>
        <v/>
      </c>
      <c r="D69" s="27">
        <f>IFERROR(D$67/D$35,"n/a")</f>
        <v/>
      </c>
      <c r="E69" s="27">
        <f>IFERROR(E$67/E$35,"n/a")</f>
        <v/>
      </c>
      <c r="F69" s="27">
        <f>IFERROR(F$67/F$35,"n/a")</f>
        <v/>
      </c>
      <c r="G69" s="27">
        <f>IFERROR(G$67/G$35,"n/a")</f>
        <v/>
      </c>
      <c r="H69" s="27">
        <f>IFERROR(H$67/H$35,"n/a")</f>
        <v/>
      </c>
      <c r="I69" s="27">
        <f>IFERROR(I$67/I$35,"n/a")</f>
        <v/>
      </c>
    </row>
    <row r="70">
      <c r="A70" s="25" t="inlineStr">
        <is>
          <t>Capex</t>
        </is>
      </c>
      <c r="B70" s="28">
        <f>IFERROR(ABS(B$54),"n/a")</f>
        <v/>
      </c>
      <c r="C70" s="28">
        <f>IFERROR(ABS(C$54),"n/a")</f>
        <v/>
      </c>
      <c r="D70" s="28">
        <f>IFERROR(ABS(D$54),"n/a")</f>
        <v/>
      </c>
      <c r="E70" s="28">
        <f>IFERROR(ABS(E$54),"n/a")</f>
        <v/>
      </c>
      <c r="F70" s="28">
        <f>IFERROR(ABS(F$54),"n/a")</f>
        <v/>
      </c>
      <c r="G70" s="28">
        <f>IFERROR(ABS(G$54),"n/a")</f>
        <v/>
      </c>
      <c r="H70" s="28">
        <f>IFERROR(ABS(H$54),"n/a")</f>
        <v/>
      </c>
      <c r="I70" s="28">
        <f>IFERROR(ABS(I$54),"n/a")</f>
        <v/>
      </c>
    </row>
    <row r="71">
      <c r="A71" s="25" t="inlineStr">
        <is>
          <t>Capex/TS</t>
        </is>
      </c>
      <c r="B71" s="27">
        <f>IFERROR(B$70/B$31,"n/a")</f>
        <v/>
      </c>
      <c r="C71" s="27">
        <f>IFERROR(C$70/C$31,"n/a")</f>
        <v/>
      </c>
      <c r="D71" s="27">
        <f>IFERROR(D$70/D$31,"n/a")</f>
        <v/>
      </c>
      <c r="E71" s="27">
        <f>IFERROR(E$70/E$31,"n/a")</f>
        <v/>
      </c>
      <c r="F71" s="27">
        <f>IFERROR(F$70/F$31,"n/a")</f>
        <v/>
      </c>
      <c r="G71" s="27">
        <f>IFERROR(G$70/G$31,"n/a")</f>
        <v/>
      </c>
      <c r="H71" s="27">
        <f>IFERROR(H$70/H$31,"n/a")</f>
        <v/>
      </c>
      <c r="I71" s="27">
        <f>IFERROR(I$70/I$31,"n/a")</f>
        <v/>
      </c>
    </row>
    <row r="72">
      <c r="A72" s="25" t="inlineStr">
        <is>
          <t>Capex/LNST</t>
        </is>
      </c>
      <c r="B72" s="27">
        <f>IFERROR(B$70/ABS(B$50),"n/a")</f>
        <v/>
      </c>
      <c r="C72" s="27">
        <f>IFERROR(C$70/ABS(C$50),"n/a")</f>
        <v/>
      </c>
      <c r="D72" s="27">
        <f>IFERROR(D$70/ABS(D$50),"n/a")</f>
        <v/>
      </c>
      <c r="E72" s="27">
        <f>IFERROR(E$70/ABS(E$50),"n/a")</f>
        <v/>
      </c>
      <c r="F72" s="27">
        <f>IFERROR(F$70/ABS(F$50),"n/a")</f>
        <v/>
      </c>
      <c r="G72" s="27">
        <f>IFERROR(G$70/ABS(G$50),"n/a")</f>
        <v/>
      </c>
      <c r="H72" s="27">
        <f>IFERROR(H$70/ABS(H$50),"n/a")</f>
        <v/>
      </c>
      <c r="I72" s="27">
        <f>IFERROR(I$70/ABS(I$50),"n/a")</f>
        <v/>
      </c>
    </row>
    <row r="73">
      <c r="A73" s="25" t="inlineStr">
        <is>
          <t>Chi phí khấu hao/Lợi nhuận gộp</t>
        </is>
      </c>
      <c r="B73" s="27">
        <f>IFERROR(ABS(B$53)/B$45,"n/a")</f>
        <v/>
      </c>
      <c r="C73" s="27">
        <f>IFERROR(ABS(C$53)/C$45,"n/a")</f>
        <v/>
      </c>
      <c r="D73" s="27">
        <f>IFERROR(ABS(D$53)/D$45,"n/a")</f>
        <v/>
      </c>
      <c r="E73" s="27">
        <f>IFERROR(ABS(E$53)/E$45,"n/a")</f>
        <v/>
      </c>
      <c r="F73" s="27">
        <f>IFERROR(ABS(F$53)/F$45,"n/a")</f>
        <v/>
      </c>
      <c r="G73" s="27">
        <f>IFERROR(ABS(G$53)/G$45,"n/a")</f>
        <v/>
      </c>
      <c r="H73" s="27">
        <f>IFERROR(ABS(H$53)/H$45,"n/a")</f>
        <v/>
      </c>
      <c r="I73" s="27">
        <f>IFERROR(ABS(I$53)/I$45,"n/a")</f>
        <v/>
      </c>
    </row>
    <row r="74">
      <c r="A74" s="25" t="inlineStr">
        <is>
          <t>EBIT/Chi phí lãi vay</t>
        </is>
      </c>
      <c r="B74" s="29">
        <f>IFERROR(B$63/ABS(B$49),"n/a")</f>
        <v/>
      </c>
      <c r="C74" s="29">
        <f>IFERROR(C$63/ABS(C$49),"n/a")</f>
        <v/>
      </c>
      <c r="D74" s="29">
        <f>IFERROR(D$63/ABS(D$49),"n/a")</f>
        <v/>
      </c>
      <c r="E74" s="29">
        <f>IFERROR(E$63/ABS(E$49),"n/a")</f>
        <v/>
      </c>
      <c r="F74" s="29">
        <f>IFERROR(F$63/ABS(F$49),"n/a")</f>
        <v/>
      </c>
      <c r="G74" s="29">
        <f>IFERROR(G$63/ABS(G$49),"n/a")</f>
        <v/>
      </c>
      <c r="H74" s="29">
        <f>IFERROR(H$63/ABS(H$49),"n/a")</f>
        <v/>
      </c>
      <c r="I74" s="29">
        <f>IFERROR(I$63/ABS(I$49),"n/a")</f>
        <v/>
      </c>
    </row>
    <row r="75">
      <c r="A75" s="26" t="inlineStr">
        <is>
          <t>Vốn lưu động &amp; hiệu quả hoạt động</t>
        </is>
      </c>
      <c r="B75" s="25" t="n"/>
      <c r="C75" s="25" t="n"/>
      <c r="D75" s="25" t="n"/>
      <c r="E75" s="25" t="n"/>
      <c r="F75" s="25" t="n"/>
      <c r="G75" s="25" t="n"/>
      <c r="H75" s="25" t="n"/>
      <c r="I75" s="25" t="n"/>
    </row>
    <row r="76">
      <c r="A76" s="25" t="inlineStr">
        <is>
          <t>Vòng quay tiền mặt</t>
        </is>
      </c>
      <c r="B76" s="30">
        <f>IFERROR(B$17+B$18-B$16,"n/a")</f>
        <v/>
      </c>
      <c r="C76" s="30">
        <f>IFERROR(C$17+C$18-C$16,"n/a")</f>
        <v/>
      </c>
      <c r="D76" s="30">
        <f>IFERROR(D$17+D$18-D$16,"n/a")</f>
        <v/>
      </c>
      <c r="E76" s="30">
        <f>IFERROR(E$17+E$18-E$16,"n/a")</f>
        <v/>
      </c>
      <c r="F76" s="30">
        <f>IFERROR(F$17+F$18-F$16,"n/a")</f>
        <v/>
      </c>
      <c r="G76" s="30">
        <f>IFERROR(G$17+G$18-G$16,"n/a")</f>
        <v/>
      </c>
      <c r="H76" s="30">
        <f>IFERROR(H$17+H$18-H$16,"n/a")</f>
        <v/>
      </c>
      <c r="I76" s="30">
        <f>IFERROR(I$17+I$18-I$16,"n/a")</f>
        <v/>
      </c>
    </row>
    <row r="77">
      <c r="A77" s="25" t="inlineStr">
        <is>
          <t>HTK/DT</t>
        </is>
      </c>
      <c r="B77" s="27">
        <f>IFERROR(B$28/B$43,"n/a")</f>
        <v/>
      </c>
      <c r="C77" s="27">
        <f>IFERROR(C$28/C$43,"n/a")</f>
        <v/>
      </c>
      <c r="D77" s="27">
        <f>IFERROR(D$28/D$43,"n/a")</f>
        <v/>
      </c>
      <c r="E77" s="27">
        <f>IFERROR(E$28/E$43,"n/a")</f>
        <v/>
      </c>
      <c r="F77" s="27">
        <f>IFERROR(F$28/F$43,"n/a")</f>
        <v/>
      </c>
      <c r="G77" s="27">
        <f>IFERROR(G$28/G$43,"n/a")</f>
        <v/>
      </c>
      <c r="H77" s="27">
        <f>IFERROR(H$28/H$43,"n/a")</f>
        <v/>
      </c>
      <c r="I77" s="27">
        <f>IFERROR(I$28/I$43,"n/a")</f>
        <v/>
      </c>
    </row>
    <row r="78">
      <c r="A78" s="25" t="inlineStr">
        <is>
          <t>HTK/TS</t>
        </is>
      </c>
      <c r="B78" s="27">
        <f>IFERROR(B$28/B$31,"n/a")</f>
        <v/>
      </c>
      <c r="C78" s="27">
        <f>IFERROR(C$28/C$31,"n/a")</f>
        <v/>
      </c>
      <c r="D78" s="27">
        <f>IFERROR(D$28/D$31,"n/a")</f>
        <v/>
      </c>
      <c r="E78" s="27">
        <f>IFERROR(E$28/E$31,"n/a")</f>
        <v/>
      </c>
      <c r="F78" s="27">
        <f>IFERROR(F$28/F$31,"n/a")</f>
        <v/>
      </c>
      <c r="G78" s="27">
        <f>IFERROR(G$28/G$31,"n/a")</f>
        <v/>
      </c>
      <c r="H78" s="27">
        <f>IFERROR(H$28/H$31,"n/a")</f>
        <v/>
      </c>
      <c r="I78" s="27">
        <f>IFERROR(I$28/I$31,"n/a")</f>
        <v/>
      </c>
    </row>
    <row r="79">
      <c r="A79" s="25" t="inlineStr">
        <is>
          <t>DT/TS</t>
        </is>
      </c>
      <c r="B79" s="27">
        <f>IFERROR(B$43/B$31,"n/a")</f>
        <v/>
      </c>
      <c r="C79" s="27">
        <f>IFERROR(C$43/C$31,"n/a")</f>
        <v/>
      </c>
      <c r="D79" s="27">
        <f>IFERROR(D$43/D$31,"n/a")</f>
        <v/>
      </c>
      <c r="E79" s="27">
        <f>IFERROR(E$43/E$31,"n/a")</f>
        <v/>
      </c>
      <c r="F79" s="27">
        <f>IFERROR(F$43/F$31,"n/a")</f>
        <v/>
      </c>
      <c r="G79" s="27">
        <f>IFERROR(G$43/G$31,"n/a")</f>
        <v/>
      </c>
      <c r="H79" s="27">
        <f>IFERROR(H$43/H$31,"n/a")</f>
        <v/>
      </c>
      <c r="I79" s="27">
        <f>IFERROR(I$43/I$31,"n/a")</f>
        <v/>
      </c>
    </row>
    <row r="80">
      <c r="A80" s="26" t="inlineStr">
        <is>
          <t>Khả năng thanh toán</t>
        </is>
      </c>
      <c r="B80" s="25" t="n"/>
      <c r="C80" s="25" t="n"/>
      <c r="D80" s="25" t="n"/>
      <c r="E80" s="25" t="n"/>
      <c r="F80" s="25" t="n"/>
      <c r="G80" s="25" t="n"/>
      <c r="H80" s="25" t="n"/>
      <c r="I80" s="25" t="n"/>
    </row>
    <row r="81">
      <c r="A81" s="25" t="inlineStr">
        <is>
          <t>(TS ngắn hạn − HTK)/Nợ ngắn hạn</t>
        </is>
      </c>
      <c r="B81" s="29">
        <f>IFERROR((B$29-B$28)/B$35,"n/a")</f>
        <v/>
      </c>
      <c r="C81" s="29">
        <f>IFERROR((C$29-C$28)/C$35,"n/a")</f>
        <v/>
      </c>
      <c r="D81" s="29">
        <f>IFERROR((D$29-D$28)/D$35,"n/a")</f>
        <v/>
      </c>
      <c r="E81" s="29">
        <f>IFERROR((E$29-E$28)/E$35,"n/a")</f>
        <v/>
      </c>
      <c r="F81" s="29">
        <f>IFERROR((F$29-F$28)/F$35,"n/a")</f>
        <v/>
      </c>
      <c r="G81" s="29">
        <f>IFERROR((G$29-G$28)/G$35,"n/a")</f>
        <v/>
      </c>
      <c r="H81" s="29">
        <f>IFERROR((H$29-H$28)/H$35,"n/a")</f>
        <v/>
      </c>
      <c r="I81" s="29">
        <f>IFERROR((I$29-I$28)/I$35,"n/a")</f>
        <v/>
      </c>
    </row>
    <row r="82">
      <c r="A82" s="25" t="inlineStr">
        <is>
          <t>TS ngắn hạn/Nợ ngắn hạn</t>
        </is>
      </c>
      <c r="B82" s="29">
        <f>IFERROR(B$29/B$35,"n/a")</f>
        <v/>
      </c>
      <c r="C82" s="29">
        <f>IFERROR(C$29/C$35,"n/a")</f>
        <v/>
      </c>
      <c r="D82" s="29">
        <f>IFERROR(D$29/D$35,"n/a")</f>
        <v/>
      </c>
      <c r="E82" s="29">
        <f>IFERROR(E$29/E$35,"n/a")</f>
        <v/>
      </c>
      <c r="F82" s="29">
        <f>IFERROR(F$29/F$35,"n/a")</f>
        <v/>
      </c>
      <c r="G82" s="29">
        <f>IFERROR(G$29/G$35,"n/a")</f>
        <v/>
      </c>
      <c r="H82" s="29">
        <f>IFERROR(H$29/H$35,"n/a")</f>
        <v/>
      </c>
      <c r="I82" s="29">
        <f>IFERROR(I$29/I$35,"n/a")</f>
        <v/>
      </c>
    </row>
    <row r="83">
      <c r="A83" s="26" t="inlineStr">
        <is>
          <t>Tài sản &amp; cơ cấu tài sản</t>
        </is>
      </c>
      <c r="B83" s="25" t="n"/>
      <c r="C83" s="25" t="n"/>
      <c r="D83" s="25" t="n"/>
      <c r="E83" s="25" t="n"/>
      <c r="F83" s="25" t="n"/>
      <c r="G83" s="25" t="n"/>
      <c r="H83" s="25" t="n"/>
      <c r="I83" s="25" t="n"/>
    </row>
    <row r="84">
      <c r="A84" s="25" t="inlineStr">
        <is>
          <t>TSCĐ vô hình</t>
        </is>
      </c>
      <c r="B84" s="28">
        <f>IFERROR(B$30,"n/a")</f>
        <v/>
      </c>
      <c r="C84" s="28">
        <f>IFERROR(C$30,"n/a")</f>
        <v/>
      </c>
      <c r="D84" s="28">
        <f>IFERROR(D$30,"n/a")</f>
        <v/>
      </c>
      <c r="E84" s="28">
        <f>IFERROR(E$30,"n/a")</f>
        <v/>
      </c>
      <c r="F84" s="28">
        <f>IFERROR(F$30,"n/a")</f>
        <v/>
      </c>
      <c r="G84" s="28">
        <f>IFERROR(G$30,"n/a")</f>
        <v/>
      </c>
      <c r="H84" s="28">
        <f>IFERROR(H$30,"n/a")</f>
        <v/>
      </c>
      <c r="I84" s="28">
        <f>IFERROR(I$30,"n/a")</f>
        <v/>
      </c>
    </row>
    <row r="85">
      <c r="A85" s="25" t="inlineStr">
        <is>
          <t>Tài sản vô hình/Giá trị sổ sách</t>
        </is>
      </c>
      <c r="B85" s="27">
        <f>IFERROR(B$30/B$39,"n/a")</f>
        <v/>
      </c>
      <c r="C85" s="27">
        <f>IFERROR(C$30/C$39,"n/a")</f>
        <v/>
      </c>
      <c r="D85" s="27">
        <f>IFERROR(D$30/D$39,"n/a")</f>
        <v/>
      </c>
      <c r="E85" s="27">
        <f>IFERROR(E$30/E$39,"n/a")</f>
        <v/>
      </c>
      <c r="F85" s="27">
        <f>IFERROR(F$30/F$39,"n/a")</f>
        <v/>
      </c>
      <c r="G85" s="27">
        <f>IFERROR(G$30/G$39,"n/a")</f>
        <v/>
      </c>
      <c r="H85" s="27">
        <f>IFERROR(H$30/H$39,"n/a")</f>
        <v/>
      </c>
      <c r="I85" s="27">
        <f>IFERROR(I$30/I$39,"n/a")</f>
        <v/>
      </c>
    </row>
  </sheetData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7.6640625" customWidth="1" min="1" max="1"/>
    <col width="20" customWidth="1" min="2" max="2"/>
    <col width="17.44140625" customWidth="1" min="6" max="6"/>
    <col width="7.6640625" customWidth="1" min="8" max="8"/>
    <col width="12.6640625" customWidth="1" min="19" max="19"/>
  </cols>
  <sheetData>
    <row r="1" ht="15" customHeight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 ht="14.25" customHeight="1">
      <c r="A2" s="25" t="inlineStr">
        <is>
          <t>Số CP</t>
        </is>
      </c>
      <c r="B2" s="31" t="n">
        <v>1475765646</v>
      </c>
      <c r="C2" s="31" t="n">
        <v>1475765646</v>
      </c>
      <c r="D2" s="31" t="n">
        <v>1475765646</v>
      </c>
      <c r="E2" s="31" t="n">
        <v>1475765646</v>
      </c>
    </row>
    <row r="3" ht="14.25" customHeight="1">
      <c r="A3" s="25" t="inlineStr">
        <is>
          <t>Thị giá</t>
        </is>
      </c>
      <c r="B3" s="31">
        <f>[1]Sheet1!$G$2</f>
        <v/>
      </c>
      <c r="C3" s="31">
        <f>[1]Sheet1!$G$2</f>
        <v/>
      </c>
      <c r="D3" s="31">
        <f>[1]Sheet1!$G$2</f>
        <v/>
      </c>
      <c r="E3" s="31">
        <f>[1]Sheet1!$G$2</f>
        <v/>
      </c>
    </row>
    <row r="4" ht="14.25" customHeight="1">
      <c r="A4" s="25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</row>
    <row r="5" ht="14.25" customHeight="1"/>
    <row r="6" ht="14.25" customHeight="1">
      <c r="A6" s="25" t="inlineStr">
        <is>
          <t>VCSH</t>
        </is>
      </c>
      <c r="B6" s="32" t="n">
        <v>35933000000000</v>
      </c>
      <c r="C6" s="32" t="n">
        <v>36351000000000</v>
      </c>
      <c r="D6" s="32">
        <f>B6*(($E$6/B6)^(2/3))</f>
        <v/>
      </c>
      <c r="E6" s="31">
        <f>chi_so_tai_chinh!J39</f>
        <v/>
      </c>
      <c r="F6" s="33" t="n"/>
      <c r="G6" s="33" t="n"/>
    </row>
    <row r="7" ht="14.25" customHeight="1">
      <c r="A7" s="25" t="inlineStr">
        <is>
          <t>LICĐTS</t>
        </is>
      </c>
      <c r="B7" s="31" t="n">
        <v>619000000000</v>
      </c>
      <c r="C7" s="31" t="n">
        <v>672000000000</v>
      </c>
      <c r="D7" s="31">
        <f>D6*0.02</f>
        <v/>
      </c>
      <c r="E7" s="31">
        <f>E6*0.02</f>
        <v/>
      </c>
      <c r="F7" s="34" t="n"/>
      <c r="G7" s="34" t="n"/>
    </row>
    <row r="8" ht="14.25" customHeight="1">
      <c r="A8" s="25" t="inlineStr">
        <is>
          <t>BV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H10" s="38" t="n"/>
      <c r="I10" s="38" t="n"/>
      <c r="J10" s="38" t="n"/>
    </row>
    <row r="11" ht="14.25" customHeight="1">
      <c r="H11" s="38" t="n"/>
      <c r="I11" s="38" t="n"/>
      <c r="J11" s="38" t="n"/>
      <c r="K11" s="38" t="n"/>
      <c r="L11" s="38" t="n"/>
    </row>
    <row r="12" ht="14.25" customHeight="1"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</row>
    <row r="13" ht="14.25" customHeight="1"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</row>
    <row r="14" ht="14.25" customHeight="1"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2026-09-23T03:42:31Z</dcterms:created>
  <dcterms:modified xsi:type="dcterms:W3CDTF">2026-09-23T03:42:32Z</dcterms:modified>
</cp:coreProperties>
</file>
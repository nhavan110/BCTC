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1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\(#,##0\);\-"/>
    <numFmt numFmtId="166" formatCode="0.00\x"/>
    <numFmt numFmtId="167" formatCode="#,##0;\(#,##0\);&quot;-&quot;"/>
    <numFmt numFmtId="168" formatCode="#,##0;(#,##0);&quot;-&quot;"/>
  </numFmts>
  <fonts count="14">
    <font>
      <name val="Calibri"/>
      <family val="2"/>
      <color theme="1"/>
      <sz val="11"/>
      <scheme val="minor"/>
    </font>
    <font>
      <name val="Tahoma"/>
      <family val="2"/>
      <sz val="10"/>
    </font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Tahoma"/>
      <family val="2"/>
      <b val="1"/>
      <sz val="10"/>
    </font>
    <font>
      <name val="Tahoma"/>
      <family val="2"/>
      <color rgb="FF000000"/>
      <sz val="10"/>
    </font>
    <font>
      <name val="Tahoma"/>
      <family val="2"/>
      <color rgb="FF008000"/>
      <sz val="10"/>
    </font>
    <font>
      <name val="Tahoma"/>
      <family val="2"/>
      <b val="1"/>
      <color rgb="FF008000"/>
      <sz val="10"/>
    </font>
    <font>
      <name val="Tahoma"/>
      <family val="2"/>
      <b val="1"/>
      <color theme="1"/>
      <sz val="10"/>
    </font>
    <font>
      <name val="Tahoma"/>
      <family val="2"/>
      <b val="1"/>
      <color rgb="FF7030A0"/>
      <sz val="10"/>
    </font>
    <font>
      <name val="Tahoma"/>
      <family val="2"/>
      <b val="1"/>
      <color rgb="FFFFFFFF"/>
      <sz val="11"/>
    </font>
    <font>
      <name val="Tahoma"/>
      <family val="2"/>
      <sz val="10"/>
    </font>
    <font>
      <name val="Tahoma"/>
      <b val="1"/>
      <color rgb="00FFFFFF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3" fillId="0" borderId="0"/>
    <xf numFmtId="9" fontId="3" fillId="0" borderId="0"/>
  </cellStyleXfs>
  <cellXfs count="40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1" fontId="4" fillId="3" borderId="1" applyAlignment="1" pivotButton="0" quotePrefix="0" xfId="0">
      <alignment horizontal="center"/>
    </xf>
    <xf numFmtId="164" fontId="5" fillId="3" borderId="1" pivotButton="0" quotePrefix="0" xfId="0"/>
    <xf numFmtId="9" fontId="5" fillId="3" borderId="1" pivotButton="0" quotePrefix="0" xfId="0"/>
    <xf numFmtId="0" fontId="1" fillId="3" borderId="1" pivotButton="0" quotePrefix="0" xfId="0"/>
    <xf numFmtId="1" fontId="5" fillId="3" borderId="1" pivotButton="0" quotePrefix="0" xfId="0"/>
    <xf numFmtId="0" fontId="4" fillId="2" borderId="1" pivotButton="0" quotePrefix="0" xfId="0"/>
    <xf numFmtId="0" fontId="2" fillId="2" borderId="1" pivotButton="0" quotePrefix="0" xfId="0"/>
    <xf numFmtId="1" fontId="4" fillId="0" borderId="1" applyAlignment="1" pivotButton="0" quotePrefix="0" xfId="0">
      <alignment horizontal="center"/>
    </xf>
    <xf numFmtId="0" fontId="1" fillId="0" borderId="1" pivotButton="0" quotePrefix="0" xfId="0"/>
    <xf numFmtId="165" fontId="6" fillId="0" borderId="1" pivotButton="0" quotePrefix="0" xfId="0"/>
    <xf numFmtId="165" fontId="7" fillId="0" borderId="1" pivotButton="0" quotePrefix="0" xfId="0"/>
    <xf numFmtId="0" fontId="8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" fontId="2" fillId="0" borderId="1" pivotButton="0" quotePrefix="0" xfId="0"/>
    <xf numFmtId="0" fontId="8" fillId="0" borderId="0" pivotButton="0" quotePrefix="0" xfId="0"/>
    <xf numFmtId="0" fontId="9" fillId="0" borderId="1" pivotButton="0" quotePrefix="0" xfId="0"/>
    <xf numFmtId="9" fontId="9" fillId="0" borderId="1" pivotButton="0" quotePrefix="0" xfId="1"/>
    <xf numFmtId="0" fontId="9" fillId="0" borderId="0" pivotButton="0" quotePrefix="0" xfId="0"/>
    <xf numFmtId="0" fontId="10" fillId="4" borderId="2" applyAlignment="1" pivotButton="0" quotePrefix="0" xfId="0">
      <alignment horizontal="left"/>
    </xf>
    <xf numFmtId="0" fontId="10" fillId="4" borderId="2" applyAlignment="1" pivotButton="0" quotePrefix="0" xfId="0">
      <alignment horizontal="center"/>
    </xf>
    <xf numFmtId="0" fontId="11" fillId="0" borderId="2" pivotButton="0" quotePrefix="0" xfId="0"/>
    <xf numFmtId="167" fontId="11" fillId="0" borderId="2" pivotButton="0" quotePrefix="0" xfId="0"/>
    <xf numFmtId="9" fontId="2" fillId="5" borderId="1" pivotButton="0" quotePrefix="0" xfId="0"/>
    <xf numFmtId="0" fontId="12" fillId="6" borderId="3" applyAlignment="1" pivotButton="0" quotePrefix="0" xfId="0">
      <alignment horizontal="left"/>
    </xf>
    <xf numFmtId="0" fontId="12" fillId="6" borderId="3" applyAlignment="1" pivotButton="0" quotePrefix="0" xfId="0">
      <alignment horizontal="center"/>
    </xf>
    <xf numFmtId="0" fontId="13" fillId="0" borderId="3" pivotButton="0" quotePrefix="0" xfId="0"/>
    <xf numFmtId="168" fontId="13" fillId="0" borderId="3" pivotButton="0" quotePrefix="0" xfId="0"/>
    <xf numFmtId="164" fontId="5" fillId="3" borderId="1" pivotButton="0" quotePrefix="0" xfId="0"/>
    <xf numFmtId="165" fontId="6" fillId="0" borderId="1" pivotButton="0" quotePrefix="0" xfId="0"/>
    <xf numFmtId="165" fontId="7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2">
    <cellStyle name="Normal" xfId="0" builtinId="0"/>
    <cellStyle name="Percent" xfId="1" builtinId="5"/>
  </cellStyles>
  <dxfs count="32"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</cols>
  <sheetData>
    <row r="1">
      <c r="A1" s="30" t="inlineStr">
        <is>
          <t>item</t>
        </is>
      </c>
      <c r="B1" s="31" t="inlineStr">
        <is>
          <t>2018</t>
        </is>
      </c>
      <c r="C1" s="31" t="inlineStr">
        <is>
          <t>2019</t>
        </is>
      </c>
      <c r="D1" s="31" t="inlineStr">
        <is>
          <t>2020</t>
        </is>
      </c>
      <c r="E1" s="31" t="inlineStr">
        <is>
          <t>2021</t>
        </is>
      </c>
      <c r="F1" s="31" t="inlineStr">
        <is>
          <t>2022</t>
        </is>
      </c>
      <c r="G1" s="31" t="inlineStr">
        <is>
          <t>2023</t>
        </is>
      </c>
      <c r="H1" s="31" t="inlineStr">
        <is>
          <t>2024</t>
        </is>
      </c>
      <c r="I1" s="31" t="inlineStr">
        <is>
          <t>2025</t>
        </is>
      </c>
      <c r="J1" s="31" t="inlineStr">
        <is>
          <t>2018-Q1</t>
        </is>
      </c>
      <c r="K1" s="31" t="inlineStr">
        <is>
          <t>2018-Q2</t>
        </is>
      </c>
      <c r="L1" s="31" t="inlineStr">
        <is>
          <t>2018-Q3</t>
        </is>
      </c>
      <c r="M1" s="31" t="inlineStr">
        <is>
          <t>2018-Q4</t>
        </is>
      </c>
      <c r="N1" s="31" t="inlineStr">
        <is>
          <t>2024-Q3</t>
        </is>
      </c>
      <c r="O1" s="31" t="inlineStr">
        <is>
          <t>2024-Q4</t>
        </is>
      </c>
      <c r="P1" s="31" t="inlineStr">
        <is>
          <t>2025-Q1</t>
        </is>
      </c>
      <c r="Q1" s="31" t="inlineStr">
        <is>
          <t>2025-Q2</t>
        </is>
      </c>
      <c r="R1" s="31" t="inlineStr">
        <is>
          <t>2025-Q3</t>
        </is>
      </c>
      <c r="S1" s="31" t="inlineStr">
        <is>
          <t>2025-Q4</t>
        </is>
      </c>
      <c r="T1" s="31" t="inlineStr">
        <is>
          <t>2026-Q1</t>
        </is>
      </c>
      <c r="U1" s="31" t="inlineStr">
        <is>
          <t>2026-Q2</t>
        </is>
      </c>
    </row>
    <row r="2">
      <c r="A2" s="32" t="inlineStr">
        <is>
          <t>TÀI SẢN NGẮN HẠN</t>
        </is>
      </c>
      <c r="B2" s="33" t="n">
        <v>23371994756394</v>
      </c>
      <c r="C2" s="33" t="n">
        <v>35011896908246</v>
      </c>
      <c r="D2" s="33" t="n">
        <v>37317233970267</v>
      </c>
      <c r="E2" s="33" t="n">
        <v>51955257770657</v>
      </c>
      <c r="F2" s="33" t="n">
        <v>44577607228189</v>
      </c>
      <c r="G2" s="33" t="n">
        <v>51950337976047</v>
      </c>
      <c r="H2" s="33" t="n">
        <v>65836422620040</v>
      </c>
      <c r="I2" s="33" t="n">
        <v>77201650782966</v>
      </c>
      <c r="J2" s="33" t="n">
        <v>18987675255015</v>
      </c>
      <c r="K2" s="33" t="n">
        <v>19674745908177</v>
      </c>
      <c r="L2" s="33" t="n">
        <v>20874017598029</v>
      </c>
      <c r="M2" s="33" t="n">
        <v>23389569670395</v>
      </c>
      <c r="N2" s="33" t="n">
        <v>61074953380269</v>
      </c>
      <c r="O2" s="33" t="n">
        <v>65836422620040</v>
      </c>
      <c r="P2" s="33" t="n">
        <v>68350202307085</v>
      </c>
      <c r="Q2" s="33" t="n">
        <v>75933600138863</v>
      </c>
      <c r="R2" s="33" t="n">
        <v>75125383121673</v>
      </c>
      <c r="S2" s="33" t="n">
        <v>77201650782966</v>
      </c>
      <c r="T2" s="33" t="n">
        <v>76834611871316</v>
      </c>
      <c r="U2" s="33" t="n">
        <v>97732971951408</v>
      </c>
    </row>
    <row r="3">
      <c r="A3" s="32" t="inlineStr">
        <is>
          <t>Tiền và tương đương tiền</t>
        </is>
      </c>
      <c r="B3" s="33" t="n">
        <v>3749550258212</v>
      </c>
      <c r="C3" s="33" t="n">
        <v>3115236816468</v>
      </c>
      <c r="D3" s="33" t="n">
        <v>7347857397925</v>
      </c>
      <c r="E3" s="33" t="n">
        <v>4142015762555</v>
      </c>
      <c r="F3" s="33" t="n">
        <v>5061020547422</v>
      </c>
      <c r="G3" s="33" t="n">
        <v>5365704857172</v>
      </c>
      <c r="H3" s="33" t="n">
        <v>4897331540730</v>
      </c>
      <c r="I3" s="33" t="n">
        <v>4999925717187</v>
      </c>
      <c r="J3" s="33" t="n">
        <v>2344357965889</v>
      </c>
      <c r="K3" s="33" t="n">
        <v>2904599435150</v>
      </c>
      <c r="L3" s="33" t="n">
        <v>5069778230756</v>
      </c>
      <c r="M3" s="33" t="n">
        <v>3749550258212</v>
      </c>
      <c r="N3" s="33" t="n">
        <v>9752339611719</v>
      </c>
      <c r="O3" s="33" t="n">
        <v>4897331540730</v>
      </c>
      <c r="P3" s="33" t="n">
        <v>2658218136149</v>
      </c>
      <c r="Q3" s="33" t="n">
        <v>6030067748439</v>
      </c>
      <c r="R3" s="33" t="n">
        <v>5510816169528</v>
      </c>
      <c r="S3" s="33" t="n">
        <v>4999925717187</v>
      </c>
      <c r="T3" s="33" t="n">
        <v>4553652582201</v>
      </c>
      <c r="U3" s="33" t="n">
        <v>4678600961443</v>
      </c>
    </row>
    <row r="4">
      <c r="A4" s="32" t="inlineStr">
        <is>
          <t>Tiền</t>
        </is>
      </c>
      <c r="B4" s="33" t="n">
        <v>3363717276954</v>
      </c>
      <c r="C4" s="33" t="n">
        <v>2024347938868</v>
      </c>
      <c r="D4" s="33" t="n">
        <v>2243274466174</v>
      </c>
      <c r="E4" s="33" t="n">
        <v>2606672264502</v>
      </c>
      <c r="F4" s="33" t="n">
        <v>3846020547422</v>
      </c>
      <c r="G4" s="33" t="n">
        <v>4795636583222</v>
      </c>
      <c r="H4" s="33" t="n">
        <v>4697331540730</v>
      </c>
      <c r="I4" s="33" t="n">
        <v>4960375717187</v>
      </c>
      <c r="J4" s="33" t="n">
        <v>1393331705506</v>
      </c>
      <c r="K4" s="33" t="n">
        <v>2059221030725</v>
      </c>
      <c r="L4" s="33" t="n">
        <v>2584448230756</v>
      </c>
      <c r="M4" s="33" t="n">
        <v>3363717276954</v>
      </c>
      <c r="N4" s="33" t="n">
        <v>3283839611719</v>
      </c>
      <c r="O4" s="33" t="n">
        <v>4697331540730</v>
      </c>
      <c r="P4" s="33" t="n">
        <v>2658218136149</v>
      </c>
      <c r="Q4" s="33" t="n">
        <v>5730067748439</v>
      </c>
      <c r="R4" s="33" t="n">
        <v>5510816169528</v>
      </c>
      <c r="S4" s="33" t="n">
        <v>4960375717187</v>
      </c>
      <c r="T4" s="33" t="n">
        <v>4553652582201</v>
      </c>
      <c r="U4" s="33" t="n">
        <v>4678600961443</v>
      </c>
    </row>
    <row r="5">
      <c r="A5" s="32" t="inlineStr">
        <is>
          <t>Các khoản tương đương tiền</t>
        </is>
      </c>
      <c r="B5" s="33" t="n">
        <v>385832981258</v>
      </c>
      <c r="C5" s="33" t="n">
        <v>1090888877600</v>
      </c>
      <c r="D5" s="33" t="n">
        <v>5104582931751</v>
      </c>
      <c r="E5" s="33" t="n">
        <v>1535343498053</v>
      </c>
      <c r="F5" s="33" t="n">
        <v>1215000000000</v>
      </c>
      <c r="G5" s="33" t="n">
        <v>570068273950</v>
      </c>
      <c r="H5" s="33" t="n">
        <v>200000000000</v>
      </c>
      <c r="I5" s="33" t="n">
        <v>39550000000</v>
      </c>
      <c r="J5" s="33" t="n">
        <v>951026260383</v>
      </c>
      <c r="K5" s="33" t="n">
        <v>845378404425</v>
      </c>
      <c r="L5" s="33" t="n">
        <v>2485330000000</v>
      </c>
      <c r="M5" s="33" t="n">
        <v>385832981258</v>
      </c>
      <c r="N5" s="33" t="n">
        <v>6468500000000</v>
      </c>
      <c r="O5" s="33" t="n">
        <v>200000000000</v>
      </c>
      <c r="P5" s="33" t="n">
        <v>0</v>
      </c>
      <c r="Q5" s="33" t="n">
        <v>300000000000</v>
      </c>
      <c r="R5" s="33" t="n">
        <v>0</v>
      </c>
      <c r="S5" s="33" t="n">
        <v>39550000000</v>
      </c>
      <c r="T5" s="33" t="n">
        <v>0</v>
      </c>
      <c r="U5" s="33" t="n">
        <v>0</v>
      </c>
    </row>
    <row r="6">
      <c r="A6" s="32" t="inlineStr">
        <is>
          <t>Đầu tư ngắn hạn</t>
        </is>
      </c>
      <c r="B6" s="33" t="n">
        <v>0</v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</row>
    <row r="7">
      <c r="A7" s="32" t="inlineStr">
        <is>
          <t>Đầu tư ngắn hạn</t>
        </is>
      </c>
      <c r="B7" s="33" t="n"/>
      <c r="C7" s="33" t="n"/>
      <c r="D7" s="33" t="n"/>
      <c r="E7" s="33" t="n"/>
      <c r="F7" s="33" t="n">
        <v>0</v>
      </c>
      <c r="G7" s="33" t="n">
        <v>0</v>
      </c>
      <c r="H7" s="33" t="n">
        <v>0</v>
      </c>
      <c r="I7" s="33" t="n">
        <v>0</v>
      </c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2" t="inlineStr">
        <is>
          <t>Dự phòng giảm giá</t>
        </is>
      </c>
      <c r="B8" s="33" t="n">
        <v>0</v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0</v>
      </c>
      <c r="P8" s="33" t="n">
        <v>0</v>
      </c>
      <c r="Q8" s="33" t="n">
        <v>0</v>
      </c>
      <c r="R8" s="33" t="n">
        <v>0</v>
      </c>
      <c r="S8" s="33" t="n">
        <v>0</v>
      </c>
      <c r="T8" s="33" t="n">
        <v>0</v>
      </c>
      <c r="U8" s="33" t="n">
        <v>0</v>
      </c>
    </row>
    <row r="9">
      <c r="A9" s="32" t="inlineStr">
        <is>
          <t>Các khoản phải thu</t>
        </is>
      </c>
      <c r="B9" s="33" t="n">
        <v>1542529736073</v>
      </c>
      <c r="C9" s="33" t="n">
        <v>1815085561979</v>
      </c>
      <c r="D9" s="33" t="n">
        <v>1595251018496</v>
      </c>
      <c r="E9" s="33" t="n">
        <v>3162121971586</v>
      </c>
      <c r="F9" s="33" t="n">
        <v>3000817466182</v>
      </c>
      <c r="G9" s="33" t="n">
        <v>5158853337785</v>
      </c>
      <c r="H9" s="33" t="n">
        <v>8825896224771</v>
      </c>
      <c r="I9" s="33" t="n">
        <v>10182835978469</v>
      </c>
      <c r="J9" s="33" t="n">
        <v>1730824187579</v>
      </c>
      <c r="K9" s="33" t="n">
        <v>1433869348388</v>
      </c>
      <c r="L9" s="33" t="n">
        <v>1505154445936</v>
      </c>
      <c r="M9" s="33" t="n">
        <v>1560104650074</v>
      </c>
      <c r="N9" s="33" t="n">
        <v>7355271408055</v>
      </c>
      <c r="O9" s="33" t="n">
        <v>8825896224771</v>
      </c>
      <c r="P9" s="33" t="n">
        <v>9862532179881</v>
      </c>
      <c r="Q9" s="33" t="n">
        <v>11374184436260</v>
      </c>
      <c r="R9" s="33" t="n">
        <v>11515134739245</v>
      </c>
      <c r="S9" s="33" t="n">
        <v>10182835978469</v>
      </c>
      <c r="T9" s="33" t="n">
        <v>2121015956014</v>
      </c>
      <c r="U9" s="33" t="n">
        <v>2434312355641</v>
      </c>
    </row>
    <row r="10">
      <c r="A10" s="32" t="inlineStr">
        <is>
          <t>Phải thu khách hàng</t>
        </is>
      </c>
      <c r="B10" s="33" t="n">
        <v>369573657457</v>
      </c>
      <c r="C10" s="33" t="n">
        <v>262268362817</v>
      </c>
      <c r="D10" s="33" t="n">
        <v>196394545434</v>
      </c>
      <c r="E10" s="33" t="n">
        <v>384236578232</v>
      </c>
      <c r="F10" s="33" t="n">
        <v>178061365251</v>
      </c>
      <c r="G10" s="33" t="n">
        <v>308474343927</v>
      </c>
      <c r="H10" s="33" t="n">
        <v>241405396887</v>
      </c>
      <c r="I10" s="33" t="n">
        <v>253358838280</v>
      </c>
      <c r="J10" s="33" t="n">
        <v>337929921139</v>
      </c>
      <c r="K10" s="33" t="n">
        <v>389783195002</v>
      </c>
      <c r="L10" s="33" t="n">
        <v>417878278560</v>
      </c>
      <c r="M10" s="33" t="n">
        <v>380144545257</v>
      </c>
      <c r="N10" s="33" t="n">
        <v>232971309862</v>
      </c>
      <c r="O10" s="33" t="n">
        <v>241405396887</v>
      </c>
      <c r="P10" s="33" t="n">
        <v>238308586301</v>
      </c>
      <c r="Q10" s="33" t="n">
        <v>307952455563</v>
      </c>
      <c r="R10" s="33" t="n">
        <v>203255755385</v>
      </c>
      <c r="S10" s="33" t="n">
        <v>253358838280</v>
      </c>
      <c r="T10" s="33" t="n">
        <v>255239898353</v>
      </c>
      <c r="U10" s="33" t="n">
        <v>421858877183</v>
      </c>
    </row>
    <row r="11">
      <c r="A11" s="32" t="inlineStr">
        <is>
          <t>Trả trước người bán</t>
        </is>
      </c>
      <c r="B11" s="33" t="n">
        <v>21007291749</v>
      </c>
      <c r="C11" s="33" t="n">
        <v>195016846986</v>
      </c>
      <c r="D11" s="33" t="n">
        <v>287913331552</v>
      </c>
      <c r="E11" s="33" t="n">
        <v>390738782756</v>
      </c>
      <c r="F11" s="33" t="n">
        <v>403669438496</v>
      </c>
      <c r="G11" s="33" t="n">
        <v>95981093251</v>
      </c>
      <c r="H11" s="33" t="n">
        <v>115888383111</v>
      </c>
      <c r="I11" s="33" t="n">
        <v>141627187798</v>
      </c>
      <c r="J11" s="33" t="n">
        <v>40635659294</v>
      </c>
      <c r="K11" s="33" t="n">
        <v>83457888055</v>
      </c>
      <c r="L11" s="33" t="n">
        <v>85909526091</v>
      </c>
      <c r="M11" s="33" t="n">
        <v>21007291749</v>
      </c>
      <c r="N11" s="33" t="n">
        <v>99504470546</v>
      </c>
      <c r="O11" s="33" t="n">
        <v>115888383111</v>
      </c>
      <c r="P11" s="33" t="n">
        <v>62660193813</v>
      </c>
      <c r="Q11" s="33" t="n">
        <v>38235583466</v>
      </c>
      <c r="R11" s="33" t="n">
        <v>34907414898</v>
      </c>
      <c r="S11" s="33" t="n">
        <v>141627187798</v>
      </c>
      <c r="T11" s="33" t="n">
        <v>162975645383</v>
      </c>
      <c r="U11" s="33" t="n">
        <v>80803683167</v>
      </c>
    </row>
    <row r="12">
      <c r="A12" s="32" t="inlineStr">
        <is>
          <t>Phải thu nội bộ</t>
        </is>
      </c>
      <c r="B12" s="33" t="n">
        <v>0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  <c r="I12" s="33" t="n">
        <v>0</v>
      </c>
      <c r="J12" s="33" t="n">
        <v>0</v>
      </c>
      <c r="K12" s="33" t="n">
        <v>0</v>
      </c>
      <c r="L12" s="33" t="n">
        <v>0</v>
      </c>
      <c r="M12" s="33" t="n">
        <v>0</v>
      </c>
      <c r="N12" s="33" t="n">
        <v>0</v>
      </c>
      <c r="O12" s="33" t="n">
        <v>0</v>
      </c>
      <c r="P12" s="33" t="n">
        <v>0</v>
      </c>
      <c r="Q12" s="33" t="n">
        <v>0</v>
      </c>
      <c r="R12" s="33" t="n">
        <v>0</v>
      </c>
      <c r="S12" s="33" t="n">
        <v>0</v>
      </c>
      <c r="T12" s="33" t="n">
        <v>0</v>
      </c>
      <c r="U12" s="33" t="n">
        <v>0</v>
      </c>
    </row>
    <row r="13">
      <c r="A13" s="32" t="inlineStr">
        <is>
          <t>Phải thu hợp đồng xây dựng đang thực hiện</t>
        </is>
      </c>
      <c r="B13" s="33" t="n">
        <v>0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3" t="n">
        <v>0</v>
      </c>
      <c r="P13" s="33" t="n">
        <v>0</v>
      </c>
      <c r="Q13" s="33" t="n">
        <v>0</v>
      </c>
      <c r="R13" s="33" t="n">
        <v>0</v>
      </c>
      <c r="S13" s="33" t="n">
        <v>0</v>
      </c>
      <c r="T13" s="33" t="n">
        <v>0</v>
      </c>
      <c r="U13" s="33" t="n">
        <v>0</v>
      </c>
    </row>
    <row r="14">
      <c r="A14" s="32" t="inlineStr">
        <is>
          <t>Phải thu khác</t>
        </is>
      </c>
      <c r="B14" s="33" t="n">
        <v>1151948786867</v>
      </c>
      <c r="C14" s="33" t="n">
        <v>1357800352176</v>
      </c>
      <c r="D14" s="33" t="n">
        <v>1030943141510</v>
      </c>
      <c r="E14" s="33" t="n">
        <v>1425228912960</v>
      </c>
      <c r="F14" s="33" t="n">
        <v>2402168964797</v>
      </c>
      <c r="G14" s="33" t="n">
        <v>2668480202969</v>
      </c>
      <c r="H14" s="33" t="n">
        <v>2430887848672</v>
      </c>
      <c r="I14" s="33" t="n">
        <v>2877349952391</v>
      </c>
      <c r="J14" s="33" t="n">
        <v>1352258607146</v>
      </c>
      <c r="K14" s="33" t="n">
        <v>960628265331</v>
      </c>
      <c r="L14" s="33" t="n">
        <v>1001366641285</v>
      </c>
      <c r="M14" s="33" t="n">
        <v>1158952813068</v>
      </c>
      <c r="N14" s="33" t="n">
        <v>2486351627647</v>
      </c>
      <c r="O14" s="33" t="n">
        <v>2430887848672</v>
      </c>
      <c r="P14" s="33" t="n">
        <v>2589563399767</v>
      </c>
      <c r="Q14" s="33" t="n">
        <v>3098996397231</v>
      </c>
      <c r="R14" s="33" t="n">
        <v>3397471568962</v>
      </c>
      <c r="S14" s="33" t="n">
        <v>2877349952391</v>
      </c>
      <c r="T14" s="33" t="n">
        <v>1702800412278</v>
      </c>
      <c r="U14" s="33" t="n">
        <v>1931649795291</v>
      </c>
    </row>
    <row r="15">
      <c r="A15" s="32" t="inlineStr">
        <is>
          <t>Dự phòng nợ khó đòi</t>
        </is>
      </c>
      <c r="B15" s="33" t="n">
        <v>0</v>
      </c>
      <c r="C15" s="33" t="n">
        <v>0</v>
      </c>
      <c r="D15" s="33" t="n">
        <v>0</v>
      </c>
      <c r="E15" s="33" t="n">
        <v>0</v>
      </c>
      <c r="F15" s="33" t="n">
        <v>0</v>
      </c>
      <c r="G15" s="33" t="n">
        <v>0</v>
      </c>
      <c r="H15" s="33" t="n">
        <v>0</v>
      </c>
      <c r="I15" s="33" t="n">
        <v>0</v>
      </c>
      <c r="J15" s="33" t="n">
        <v>0</v>
      </c>
      <c r="K15" s="33" t="n">
        <v>0</v>
      </c>
      <c r="L15" s="33" t="n">
        <v>0</v>
      </c>
      <c r="M15" s="33" t="n">
        <v>0</v>
      </c>
      <c r="N15" s="33" t="n">
        <v>0</v>
      </c>
      <c r="O15" s="33" t="n">
        <v>0</v>
      </c>
      <c r="P15" s="33" t="n">
        <v>0</v>
      </c>
      <c r="Q15" s="33" t="n">
        <v>0</v>
      </c>
      <c r="R15" s="33" t="n">
        <v>0</v>
      </c>
      <c r="S15" s="33" t="n">
        <v>0</v>
      </c>
      <c r="T15" s="33" t="n">
        <v>0</v>
      </c>
      <c r="U15" s="33" t="n">
        <v>0</v>
      </c>
    </row>
    <row r="16">
      <c r="A16" s="32" t="inlineStr">
        <is>
          <t>Hàng tồn kho, ròng</t>
        </is>
      </c>
      <c r="B16" s="33" t="n">
        <v>17446005298981</v>
      </c>
      <c r="C16" s="33" t="n">
        <v>25745428436580</v>
      </c>
      <c r="D16" s="33" t="n">
        <v>19422177452674</v>
      </c>
      <c r="E16" s="33" t="n">
        <v>29167232293922</v>
      </c>
      <c r="F16" s="33" t="n">
        <v>25696077735282</v>
      </c>
      <c r="G16" s="33" t="n">
        <v>21824235626176</v>
      </c>
      <c r="H16" s="33" t="n">
        <v>22244676326705</v>
      </c>
      <c r="I16" s="33" t="n">
        <v>27266851974258</v>
      </c>
      <c r="J16" s="33" t="n">
        <v>14417399343964</v>
      </c>
      <c r="K16" s="33" t="n">
        <v>14275184170658</v>
      </c>
      <c r="L16" s="33" t="n">
        <v>13304860681973</v>
      </c>
      <c r="M16" s="33" t="n">
        <v>17446005298981</v>
      </c>
      <c r="N16" s="33" t="n">
        <v>21853578009429</v>
      </c>
      <c r="O16" s="33" t="n">
        <v>22244676326705</v>
      </c>
      <c r="P16" s="33" t="n">
        <v>22808478321986</v>
      </c>
      <c r="Q16" s="33" t="n">
        <v>23691724133318</v>
      </c>
      <c r="R16" s="33" t="n">
        <v>24101279307428</v>
      </c>
      <c r="S16" s="33" t="n">
        <v>27266851974258</v>
      </c>
      <c r="T16" s="33" t="n">
        <v>27600707843304</v>
      </c>
      <c r="U16" s="33" t="n">
        <v>30874909197649</v>
      </c>
    </row>
    <row r="17">
      <c r="A17" s="32" t="inlineStr">
        <is>
          <t>Hàng tồn kho</t>
        </is>
      </c>
      <c r="B17" s="33" t="n">
        <v>17821137643753</v>
      </c>
      <c r="C17" s="33" t="n">
        <v>26195934673884</v>
      </c>
      <c r="D17" s="33" t="n">
        <v>19926363502365</v>
      </c>
      <c r="E17" s="33" t="n">
        <v>29850068817719</v>
      </c>
      <c r="F17" s="33" t="n">
        <v>26058131396686</v>
      </c>
      <c r="G17" s="33" t="n">
        <v>22028684523096</v>
      </c>
      <c r="H17" s="33" t="n">
        <v>22667774012643</v>
      </c>
      <c r="I17" s="33" t="n">
        <v>27876446129267</v>
      </c>
      <c r="J17" s="33" t="n">
        <v>14735000448428</v>
      </c>
      <c r="K17" s="33" t="n">
        <v>14635272065949</v>
      </c>
      <c r="L17" s="33" t="n">
        <v>13667536889135</v>
      </c>
      <c r="M17" s="33" t="n">
        <v>17821137643753</v>
      </c>
      <c r="N17" s="33" t="n">
        <v>22212929474722</v>
      </c>
      <c r="O17" s="33" t="n">
        <v>22667774012643</v>
      </c>
      <c r="P17" s="33" t="n">
        <v>23243566847543</v>
      </c>
      <c r="Q17" s="33" t="n">
        <v>24132788913496</v>
      </c>
      <c r="R17" s="33" t="n">
        <v>24645125687618</v>
      </c>
      <c r="S17" s="33" t="n">
        <v>27876446129267</v>
      </c>
      <c r="T17" s="33" t="n">
        <v>28349740199616</v>
      </c>
      <c r="U17" s="33" t="n">
        <v>31599182640982</v>
      </c>
    </row>
    <row r="18">
      <c r="A18" s="32" t="inlineStr">
        <is>
          <t>Dự phòng giảm giá hàng tồn kho</t>
        </is>
      </c>
      <c r="B18" s="33" t="n">
        <v>-375132344772</v>
      </c>
      <c r="C18" s="33" t="n">
        <v>-450506237304</v>
      </c>
      <c r="D18" s="33" t="n">
        <v>-504186049691</v>
      </c>
      <c r="E18" s="33" t="n">
        <v>-682836523797</v>
      </c>
      <c r="F18" s="33" t="n">
        <v>-362053661404</v>
      </c>
      <c r="G18" s="33" t="n">
        <v>-204448896920</v>
      </c>
      <c r="H18" s="33" t="n">
        <v>-423097685938</v>
      </c>
      <c r="I18" s="33" t="n">
        <v>-609594155009</v>
      </c>
      <c r="J18" s="33" t="n">
        <v>-317601104464</v>
      </c>
      <c r="K18" s="33" t="n">
        <v>-360087895291</v>
      </c>
      <c r="L18" s="33" t="n">
        <v>-362676207162</v>
      </c>
      <c r="M18" s="33" t="n">
        <v>-375132344772</v>
      </c>
      <c r="N18" s="33" t="n">
        <v>-359351465293</v>
      </c>
      <c r="O18" s="33" t="n">
        <v>-423097685938</v>
      </c>
      <c r="P18" s="33" t="n">
        <v>-435088525557</v>
      </c>
      <c r="Q18" s="33" t="n">
        <v>-441064780178</v>
      </c>
      <c r="R18" s="33" t="n">
        <v>-543846380190</v>
      </c>
      <c r="S18" s="33" t="n">
        <v>-609594155009</v>
      </c>
      <c r="T18" s="33" t="n">
        <v>-749032356312</v>
      </c>
      <c r="U18" s="33" t="n">
        <v>-724273443333</v>
      </c>
    </row>
    <row r="19">
      <c r="A19" s="32" t="inlineStr">
        <is>
          <t>Tài sản lưu động khác</t>
        </is>
      </c>
      <c r="B19" s="33" t="n">
        <v>0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n">
        <v>0</v>
      </c>
      <c r="I19" s="33" t="n">
        <v>0</v>
      </c>
      <c r="J19" s="33" t="n">
        <v>0</v>
      </c>
      <c r="K19" s="33" t="n">
        <v>0</v>
      </c>
      <c r="L19" s="33" t="n">
        <v>0</v>
      </c>
      <c r="M19" s="33" t="n">
        <v>0</v>
      </c>
      <c r="N19" s="33" t="n">
        <v>0</v>
      </c>
      <c r="O19" s="33" t="n">
        <v>0</v>
      </c>
      <c r="P19" s="33" t="n">
        <v>0</v>
      </c>
      <c r="Q19" s="33" t="n">
        <v>0</v>
      </c>
      <c r="R19" s="33" t="n">
        <v>0</v>
      </c>
      <c r="S19" s="33" t="n">
        <v>0</v>
      </c>
      <c r="T19" s="33" t="n">
        <v>0</v>
      </c>
      <c r="U19" s="33" t="n">
        <v>13315080000000</v>
      </c>
    </row>
    <row r="20">
      <c r="A20" s="32" t="inlineStr">
        <is>
          <t>Chi phí trả trước ngắn hạn</t>
        </is>
      </c>
      <c r="B20" s="33" t="n">
        <v>283034716902</v>
      </c>
      <c r="C20" s="33" t="n">
        <v>487030591956</v>
      </c>
      <c r="D20" s="33" t="n">
        <v>563786316141</v>
      </c>
      <c r="E20" s="33" t="n">
        <v>569195556788</v>
      </c>
      <c r="F20" s="33" t="n">
        <v>565060213333</v>
      </c>
      <c r="G20" s="33" t="n">
        <v>481240961302</v>
      </c>
      <c r="H20" s="33" t="n">
        <v>390391360669</v>
      </c>
      <c r="I20" s="33" t="n">
        <v>518599409258</v>
      </c>
      <c r="J20" s="33" t="n">
        <v>293149147667</v>
      </c>
      <c r="K20" s="33" t="n">
        <v>285183734449</v>
      </c>
      <c r="L20" s="33" t="n">
        <v>253776864617</v>
      </c>
      <c r="M20" s="33" t="n">
        <v>283034716902</v>
      </c>
      <c r="N20" s="33" t="n">
        <v>387195161754</v>
      </c>
      <c r="O20" s="33" t="n">
        <v>390391360669</v>
      </c>
      <c r="P20" s="33" t="n">
        <v>415902715899</v>
      </c>
      <c r="Q20" s="33" t="n">
        <v>423603576561</v>
      </c>
      <c r="R20" s="33" t="n">
        <v>424076848924</v>
      </c>
      <c r="S20" s="33" t="n">
        <v>518599409258</v>
      </c>
      <c r="T20" s="33" t="n">
        <v>508608415908</v>
      </c>
      <c r="U20" s="33" t="n">
        <v>524238343073</v>
      </c>
    </row>
    <row r="21">
      <c r="A21" s="32" t="inlineStr">
        <is>
          <t>Thuế GTGT được khấu trừ</t>
        </is>
      </c>
      <c r="B21" s="33" t="n">
        <v>298109345560</v>
      </c>
      <c r="C21" s="33" t="n">
        <v>709225135972</v>
      </c>
      <c r="D21" s="33" t="n">
        <v>326091275646</v>
      </c>
      <c r="E21" s="33" t="n">
        <v>636081440070</v>
      </c>
      <c r="F21" s="33" t="n">
        <v>156743753740</v>
      </c>
      <c r="G21" s="33" t="n">
        <v>159821188825</v>
      </c>
      <c r="H21" s="33" t="n">
        <v>121055116270</v>
      </c>
      <c r="I21" s="33" t="n">
        <v>314874106182</v>
      </c>
      <c r="J21" s="33" t="n">
        <v>198412090781</v>
      </c>
      <c r="K21" s="33" t="n">
        <v>102830791807</v>
      </c>
      <c r="L21" s="33" t="n">
        <v>79374938926</v>
      </c>
      <c r="M21" s="33" t="n">
        <v>298109345560</v>
      </c>
      <c r="N21" s="33" t="n">
        <v>156277679659</v>
      </c>
      <c r="O21" s="33" t="n">
        <v>121055116270</v>
      </c>
      <c r="P21" s="33" t="n">
        <v>184457538049</v>
      </c>
      <c r="Q21" s="33" t="n">
        <v>97059486732</v>
      </c>
      <c r="R21" s="33" t="n">
        <v>124012614096</v>
      </c>
      <c r="S21" s="33" t="n">
        <v>314874106182</v>
      </c>
      <c r="T21" s="33" t="n">
        <v>176055237597</v>
      </c>
      <c r="U21" s="33" t="n">
        <v>184591013449</v>
      </c>
    </row>
    <row r="22">
      <c r="A22" s="32" t="inlineStr">
        <is>
          <t>Phải thu thuế khác</t>
        </is>
      </c>
      <c r="B22" s="33" t="n">
        <v>1842948927</v>
      </c>
      <c r="C22" s="33" t="n">
        <v>2890365291</v>
      </c>
      <c r="D22" s="33" t="n">
        <v>4751687467</v>
      </c>
      <c r="E22" s="33" t="n">
        <v>41984411029</v>
      </c>
      <c r="F22" s="33" t="n">
        <v>28637906590</v>
      </c>
      <c r="G22" s="33" t="n">
        <v>23473930964</v>
      </c>
      <c r="H22" s="33" t="n">
        <v>32630294575</v>
      </c>
      <c r="I22" s="33" t="n">
        <v>44293494912</v>
      </c>
      <c r="J22" s="33" t="n">
        <v>965019135</v>
      </c>
      <c r="K22" s="33" t="n">
        <v>10076273881</v>
      </c>
      <c r="L22" s="33" t="n">
        <v>1221330389</v>
      </c>
      <c r="M22" s="33" t="n">
        <v>1842948927</v>
      </c>
      <c r="N22" s="33" t="n">
        <v>21369067834</v>
      </c>
      <c r="O22" s="33" t="n">
        <v>32630294575</v>
      </c>
      <c r="P22" s="33" t="n">
        <v>30098399501</v>
      </c>
      <c r="Q22" s="33" t="n">
        <v>13710817808</v>
      </c>
      <c r="R22" s="33" t="n">
        <v>13802454253</v>
      </c>
      <c r="S22" s="33" t="n">
        <v>44293494912</v>
      </c>
      <c r="T22" s="33" t="n">
        <v>43418120537</v>
      </c>
      <c r="U22" s="33" t="n">
        <v>56140913335</v>
      </c>
    </row>
    <row r="23">
      <c r="A23" s="32" t="inlineStr">
        <is>
          <t>Tài sản lưu động khác</t>
        </is>
      </c>
      <c r="B23" s="33" t="n"/>
      <c r="C23" s="33" t="n"/>
      <c r="D23" s="33" t="n"/>
      <c r="E23" s="33" t="n"/>
      <c r="F23" s="33" t="n">
        <v>0</v>
      </c>
      <c r="G23" s="33" t="n">
        <v>0</v>
      </c>
      <c r="H23" s="33" t="n">
        <v>0</v>
      </c>
      <c r="I23" s="33" t="n">
        <v>0</v>
      </c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2" t="inlineStr">
        <is>
          <t>TÀI SẢN DÀI HẠN</t>
        </is>
      </c>
      <c r="B24" s="33" t="n">
        <v>4750536730462</v>
      </c>
      <c r="C24" s="33" t="n">
        <v>6696198636637</v>
      </c>
      <c r="D24" s="33" t="n">
        <v>8713645982187</v>
      </c>
      <c r="E24" s="33" t="n">
        <v>11016147044285</v>
      </c>
      <c r="F24" s="33" t="n">
        <v>11256488385860</v>
      </c>
      <c r="G24" s="33" t="n">
        <v>8160899236677</v>
      </c>
      <c r="H24" s="33" t="n">
        <v>4601353101564</v>
      </c>
      <c r="I24" s="33" t="n">
        <v>6743968829068</v>
      </c>
      <c r="J24" s="33" t="n">
        <v>4671211025166</v>
      </c>
      <c r="K24" s="33" t="n">
        <v>4667942946620</v>
      </c>
      <c r="L24" s="33" t="n">
        <v>4672413937653</v>
      </c>
      <c r="M24" s="33" t="n">
        <v>4750536730462</v>
      </c>
      <c r="N24" s="33" t="n">
        <v>5825089761066</v>
      </c>
      <c r="O24" s="33" t="n">
        <v>4601353101564</v>
      </c>
      <c r="P24" s="33" t="n">
        <v>4329022407862</v>
      </c>
      <c r="Q24" s="33" t="n">
        <v>5067799108905</v>
      </c>
      <c r="R24" s="33" t="n">
        <v>5163114770393</v>
      </c>
      <c r="S24" s="33" t="n">
        <v>6743968829068</v>
      </c>
      <c r="T24" s="33" t="n">
        <v>7159946601011</v>
      </c>
      <c r="U24" s="33" t="n">
        <v>7181991691663</v>
      </c>
    </row>
    <row r="25">
      <c r="A25" s="32" t="inlineStr">
        <is>
          <t>Phải thu dài hạn</t>
        </is>
      </c>
      <c r="B25" s="33" t="n">
        <v>313775645332</v>
      </c>
      <c r="C25" s="33" t="n">
        <v>374563598474</v>
      </c>
      <c r="D25" s="33" t="n">
        <v>439493257757</v>
      </c>
      <c r="E25" s="33" t="n">
        <v>482389179464</v>
      </c>
      <c r="F25" s="33" t="n">
        <v>503486573563</v>
      </c>
      <c r="G25" s="33" t="n">
        <v>457569986630</v>
      </c>
      <c r="H25" s="33" t="n">
        <v>389707802472</v>
      </c>
      <c r="I25" s="33" t="n">
        <v>403823784845</v>
      </c>
      <c r="J25" s="33" t="n">
        <v>302365145533</v>
      </c>
      <c r="K25" s="33" t="n">
        <v>303035864435</v>
      </c>
      <c r="L25" s="33" t="n">
        <v>310311155448</v>
      </c>
      <c r="M25" s="33" t="n">
        <v>313775645332</v>
      </c>
      <c r="N25" s="33" t="n">
        <v>397943974045</v>
      </c>
      <c r="O25" s="33" t="n">
        <v>389707802472</v>
      </c>
      <c r="P25" s="33" t="n">
        <v>398376958399</v>
      </c>
      <c r="Q25" s="33" t="n">
        <v>392831179367</v>
      </c>
      <c r="R25" s="33" t="n">
        <v>394958296709</v>
      </c>
      <c r="S25" s="33" t="n">
        <v>403823784845</v>
      </c>
      <c r="T25" s="33" t="n">
        <v>420693031855</v>
      </c>
      <c r="U25" s="33" t="n">
        <v>428065660316</v>
      </c>
    </row>
    <row r="26">
      <c r="A26" s="32" t="inlineStr">
        <is>
          <t>Phải thu khách hàng dài hạn</t>
        </is>
      </c>
      <c r="B26" s="33" t="n">
        <v>0</v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3" t="n">
        <v>0</v>
      </c>
      <c r="Q26" s="33" t="n">
        <v>0</v>
      </c>
      <c r="R26" s="33" t="n">
        <v>0</v>
      </c>
      <c r="S26" s="33" t="n">
        <v>0</v>
      </c>
      <c r="T26" s="33" t="n">
        <v>0</v>
      </c>
      <c r="U26" s="33" t="n">
        <v>0</v>
      </c>
    </row>
    <row r="27">
      <c r="A27" s="32" t="inlineStr">
        <is>
          <t>Phải thu nội bộ dài hạn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3" t="n">
        <v>0</v>
      </c>
      <c r="Q27" s="33" t="n">
        <v>0</v>
      </c>
      <c r="R27" s="33" t="n">
        <v>0</v>
      </c>
      <c r="S27" s="33" t="n">
        <v>0</v>
      </c>
      <c r="T27" s="33" t="n">
        <v>0</v>
      </c>
      <c r="U27" s="33" t="n">
        <v>0</v>
      </c>
    </row>
    <row r="28">
      <c r="A28" s="32" t="inlineStr">
        <is>
          <t>Phải thu dài hạn khác</t>
        </is>
      </c>
      <c r="B28" s="33" t="n">
        <v>313775645332</v>
      </c>
      <c r="C28" s="33" t="n">
        <v>374563598474</v>
      </c>
      <c r="D28" s="33" t="n">
        <v>439493257757</v>
      </c>
      <c r="E28" s="33" t="n">
        <v>482389179464</v>
      </c>
      <c r="F28" s="33" t="n">
        <v>493741850234</v>
      </c>
      <c r="G28" s="33" t="n">
        <v>448325013301</v>
      </c>
      <c r="H28" s="33" t="n">
        <v>389707802472</v>
      </c>
      <c r="I28" s="33" t="n">
        <v>403823784845</v>
      </c>
      <c r="J28" s="33" t="n">
        <v>302365145533</v>
      </c>
      <c r="K28" s="33" t="n">
        <v>303035864435</v>
      </c>
      <c r="L28" s="33" t="n">
        <v>310311155448</v>
      </c>
      <c r="M28" s="33" t="n">
        <v>313775645332</v>
      </c>
      <c r="N28" s="33" t="n">
        <v>397943974045</v>
      </c>
      <c r="O28" s="33" t="n">
        <v>389707802472</v>
      </c>
      <c r="P28" s="33" t="n">
        <v>398376958399</v>
      </c>
      <c r="Q28" s="33" t="n">
        <v>392831179367</v>
      </c>
      <c r="R28" s="33" t="n">
        <v>394958296709</v>
      </c>
      <c r="S28" s="33" t="n">
        <v>403823784845</v>
      </c>
      <c r="T28" s="33" t="n">
        <v>420693031855</v>
      </c>
      <c r="U28" s="33" t="n">
        <v>428065660316</v>
      </c>
    </row>
    <row r="29">
      <c r="A29" s="32" t="inlineStr">
        <is>
          <t>Dự phòng phải thu dài hạn</t>
        </is>
      </c>
      <c r="B29" s="33" t="n">
        <v>0</v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  <c r="M29" s="33" t="n">
        <v>0</v>
      </c>
      <c r="N29" s="33" t="n">
        <v>0</v>
      </c>
      <c r="O29" s="33" t="n">
        <v>0</v>
      </c>
      <c r="P29" s="33" t="n">
        <v>0</v>
      </c>
      <c r="Q29" s="33" t="n">
        <v>0</v>
      </c>
      <c r="R29" s="33" t="n">
        <v>0</v>
      </c>
      <c r="S29" s="33" t="n">
        <v>0</v>
      </c>
      <c r="T29" s="33" t="n">
        <v>0</v>
      </c>
      <c r="U29" s="33" t="n">
        <v>0</v>
      </c>
    </row>
    <row r="30">
      <c r="A30" s="32" t="inlineStr">
        <is>
          <t>Tài sản cố định</t>
        </is>
      </c>
      <c r="B30" s="33" t="n">
        <v>3333147659602</v>
      </c>
      <c r="C30" s="33" t="n">
        <v>5403776988921</v>
      </c>
      <c r="D30" s="33" t="n">
        <v>7294961666136</v>
      </c>
      <c r="E30" s="33" t="n">
        <v>9647168873232</v>
      </c>
      <c r="F30" s="33" t="n">
        <v>9727502911440</v>
      </c>
      <c r="G30" s="33" t="n">
        <v>6500135608914</v>
      </c>
      <c r="H30" s="33" t="n">
        <v>3586628664045</v>
      </c>
      <c r="I30" s="33" t="n">
        <v>2598189217583</v>
      </c>
      <c r="J30" s="33" t="n">
        <v>3500311717421</v>
      </c>
      <c r="K30" s="33" t="n">
        <v>3418127368371</v>
      </c>
      <c r="L30" s="33" t="n">
        <v>3330857563330</v>
      </c>
      <c r="M30" s="33" t="n">
        <v>3333147659602</v>
      </c>
      <c r="N30" s="33" t="n">
        <v>4172053614940</v>
      </c>
      <c r="O30" s="33" t="n">
        <v>3586628664045</v>
      </c>
      <c r="P30" s="33" t="n">
        <v>3233901626643</v>
      </c>
      <c r="Q30" s="33" t="n">
        <v>2977795755305</v>
      </c>
      <c r="R30" s="33" t="n">
        <v>2606757399459</v>
      </c>
      <c r="S30" s="33" t="n">
        <v>2598189217583</v>
      </c>
      <c r="T30" s="33" t="n">
        <v>2418447401463</v>
      </c>
      <c r="U30" s="33" t="n">
        <v>2482116748592</v>
      </c>
    </row>
    <row r="31">
      <c r="A31" s="32" t="inlineStr">
        <is>
          <t>GTCL TSCĐ hữu hình</t>
        </is>
      </c>
      <c r="B31" s="33" t="n">
        <v>3304923529470</v>
      </c>
      <c r="C31" s="33" t="n">
        <v>5375279172974</v>
      </c>
      <c r="D31" s="33" t="n">
        <v>7267319287908</v>
      </c>
      <c r="E31" s="33" t="n">
        <v>9566954933220</v>
      </c>
      <c r="F31" s="33" t="n">
        <v>9653330005976</v>
      </c>
      <c r="G31" s="33" t="n">
        <v>6431315373113</v>
      </c>
      <c r="H31" s="33" t="n">
        <v>3523161097906</v>
      </c>
      <c r="I31" s="33" t="n">
        <v>2540074321107</v>
      </c>
      <c r="J31" s="33" t="n">
        <v>3469295441563</v>
      </c>
      <c r="K31" s="33" t="n">
        <v>3386769615191</v>
      </c>
      <c r="L31" s="33" t="n">
        <v>3300153689070</v>
      </c>
      <c r="M31" s="33" t="n">
        <v>3304923529470</v>
      </c>
      <c r="N31" s="33" t="n">
        <v>4107247881385</v>
      </c>
      <c r="O31" s="33" t="n">
        <v>3523161097906</v>
      </c>
      <c r="P31" s="33" t="n">
        <v>3171772227920</v>
      </c>
      <c r="Q31" s="33" t="n">
        <v>2917004523997</v>
      </c>
      <c r="R31" s="33" t="n">
        <v>2547304335567</v>
      </c>
      <c r="S31" s="33" t="n">
        <v>2540074321107</v>
      </c>
      <c r="T31" s="33" t="n">
        <v>2361670672403</v>
      </c>
      <c r="U31" s="33" t="n">
        <v>2426678186947</v>
      </c>
    </row>
    <row r="32">
      <c r="A32" s="32" t="inlineStr">
        <is>
          <t>Nguyên giá TSCĐ hữu hình</t>
        </is>
      </c>
      <c r="B32" s="33" t="n">
        <v>5788326331676</v>
      </c>
      <c r="C32" s="33" t="n">
        <v>9148455989525</v>
      </c>
      <c r="D32" s="33" t="n">
        <v>12963311412901</v>
      </c>
      <c r="E32" s="33" t="n">
        <v>17987087849355</v>
      </c>
      <c r="F32" s="33" t="n">
        <v>20841513609195</v>
      </c>
      <c r="G32" s="33" t="n">
        <v>20139282722977</v>
      </c>
      <c r="H32" s="33" t="n">
        <v>19174626383752</v>
      </c>
      <c r="I32" s="33" t="n">
        <v>19478200234864</v>
      </c>
      <c r="J32" s="33" t="n">
        <v>5189241896878</v>
      </c>
      <c r="K32" s="33" t="n">
        <v>5360563477467</v>
      </c>
      <c r="L32" s="33" t="n">
        <v>5542951542435</v>
      </c>
      <c r="M32" s="33" t="n">
        <v>5788326331676</v>
      </c>
      <c r="N32" s="33" t="n">
        <v>19064454816619</v>
      </c>
      <c r="O32" s="33" t="n">
        <v>19174626383752</v>
      </c>
      <c r="P32" s="33" t="n">
        <v>19305596081131</v>
      </c>
      <c r="Q32" s="33" t="n">
        <v>19477127305514</v>
      </c>
      <c r="R32" s="33" t="n">
        <v>19496422101808</v>
      </c>
      <c r="S32" s="33" t="n">
        <v>19478200234864</v>
      </c>
      <c r="T32" s="33" t="n">
        <v>19648285497537</v>
      </c>
      <c r="U32" s="33" t="n">
        <v>20004114064471</v>
      </c>
    </row>
    <row r="33">
      <c r="A33" s="32" t="inlineStr">
        <is>
          <t>Khấu hao lũy kế TSCĐ hữu hình</t>
        </is>
      </c>
      <c r="B33" s="33" t="n">
        <v>-2483402802206</v>
      </c>
      <c r="C33" s="33" t="n">
        <v>-3773176816551</v>
      </c>
      <c r="D33" s="33" t="n">
        <v>-5695992124993</v>
      </c>
      <c r="E33" s="33" t="n">
        <v>-8420132916135</v>
      </c>
      <c r="F33" s="33" t="n">
        <v>-11188183603219</v>
      </c>
      <c r="G33" s="33" t="n">
        <v>-13707967349864</v>
      </c>
      <c r="H33" s="33" t="n">
        <v>-15651465285846</v>
      </c>
      <c r="I33" s="33" t="n">
        <v>-16938125913757</v>
      </c>
      <c r="J33" s="33" t="n">
        <v>-1719946455315</v>
      </c>
      <c r="K33" s="33" t="n">
        <v>-1973793862276</v>
      </c>
      <c r="L33" s="33" t="n">
        <v>-2242797853365</v>
      </c>
      <c r="M33" s="33" t="n">
        <v>-2483402802206</v>
      </c>
      <c r="N33" s="33" t="n">
        <v>-14957206935234</v>
      </c>
      <c r="O33" s="33" t="n">
        <v>-15651465285846</v>
      </c>
      <c r="P33" s="33" t="n">
        <v>-16133823853211</v>
      </c>
      <c r="Q33" s="33" t="n">
        <v>-16560122781517</v>
      </c>
      <c r="R33" s="33" t="n">
        <v>-16949117766241</v>
      </c>
      <c r="S33" s="33" t="n">
        <v>-16938125913757</v>
      </c>
      <c r="T33" s="33" t="n">
        <v>-17286614825134</v>
      </c>
      <c r="U33" s="33" t="n">
        <v>-17577435877524</v>
      </c>
    </row>
    <row r="34">
      <c r="A34" s="32" t="inlineStr">
        <is>
          <t>GTCL tài sản thuê tài chính</t>
        </is>
      </c>
      <c r="B34" s="33" t="n">
        <v>0</v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</v>
      </c>
      <c r="O34" s="33" t="n">
        <v>0</v>
      </c>
      <c r="P34" s="33" t="n">
        <v>0</v>
      </c>
      <c r="Q34" s="33" t="n">
        <v>0</v>
      </c>
      <c r="R34" s="33" t="n">
        <v>0</v>
      </c>
      <c r="S34" s="33" t="n">
        <v>0</v>
      </c>
      <c r="T34" s="33" t="n">
        <v>0</v>
      </c>
      <c r="U34" s="33" t="n">
        <v>0</v>
      </c>
    </row>
    <row r="35">
      <c r="A35" s="32" t="inlineStr">
        <is>
          <t>Nguyên giá tài sản thuê tài chính</t>
        </is>
      </c>
      <c r="B35" s="33" t="n">
        <v>0</v>
      </c>
      <c r="C35" s="33" t="n">
        <v>0</v>
      </c>
      <c r="D35" s="33" t="n">
        <v>0</v>
      </c>
      <c r="E35" s="33" t="n">
        <v>0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0</v>
      </c>
      <c r="P35" s="33" t="n">
        <v>0</v>
      </c>
      <c r="Q35" s="33" t="n">
        <v>0</v>
      </c>
      <c r="R35" s="33" t="n">
        <v>0</v>
      </c>
      <c r="S35" s="33" t="n">
        <v>0</v>
      </c>
      <c r="T35" s="33" t="n">
        <v>0</v>
      </c>
      <c r="U35" s="33" t="n">
        <v>0</v>
      </c>
    </row>
    <row r="36">
      <c r="A36" s="32" t="inlineStr">
        <is>
          <t>Khấu hao lũy kế tài sản thuê tài chính</t>
        </is>
      </c>
      <c r="B36" s="33" t="n">
        <v>0</v>
      </c>
      <c r="C36" s="33" t="n">
        <v>0</v>
      </c>
      <c r="D36" s="33" t="n">
        <v>0</v>
      </c>
      <c r="E36" s="33" t="n">
        <v>0</v>
      </c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0</v>
      </c>
      <c r="P36" s="33" t="n">
        <v>0</v>
      </c>
      <c r="Q36" s="33" t="n">
        <v>0</v>
      </c>
      <c r="R36" s="33" t="n">
        <v>0</v>
      </c>
      <c r="S36" s="33" t="n">
        <v>0</v>
      </c>
      <c r="T36" s="33" t="n">
        <v>0</v>
      </c>
      <c r="U36" s="33" t="n">
        <v>0</v>
      </c>
    </row>
    <row r="37">
      <c r="A37" s="32" t="inlineStr">
        <is>
          <t>GTCL tài sản cố định vô hình</t>
        </is>
      </c>
      <c r="B37" s="33" t="n">
        <v>28224130132</v>
      </c>
      <c r="C37" s="33" t="n">
        <v>28497815947</v>
      </c>
      <c r="D37" s="33" t="n">
        <v>27642378228</v>
      </c>
      <c r="E37" s="33" t="n">
        <v>80213940012</v>
      </c>
      <c r="F37" s="33" t="n">
        <v>74172905464</v>
      </c>
      <c r="G37" s="33" t="n">
        <v>68820235801</v>
      </c>
      <c r="H37" s="33" t="n">
        <v>63467566139</v>
      </c>
      <c r="I37" s="33" t="n">
        <v>58114896476</v>
      </c>
      <c r="J37" s="33" t="n">
        <v>31016275858</v>
      </c>
      <c r="K37" s="33" t="n">
        <v>31357753180</v>
      </c>
      <c r="L37" s="33" t="n">
        <v>30703874260</v>
      </c>
      <c r="M37" s="33" t="n">
        <v>28224130132</v>
      </c>
      <c r="N37" s="33" t="n">
        <v>64805733555</v>
      </c>
      <c r="O37" s="33" t="n">
        <v>63467566139</v>
      </c>
      <c r="P37" s="33" t="n">
        <v>62129398723</v>
      </c>
      <c r="Q37" s="33" t="n">
        <v>60791231308</v>
      </c>
      <c r="R37" s="33" t="n">
        <v>59453063892</v>
      </c>
      <c r="S37" s="33" t="n">
        <v>58114896476</v>
      </c>
      <c r="T37" s="33" t="n">
        <v>56776729060</v>
      </c>
      <c r="U37" s="33" t="n">
        <v>55438561645</v>
      </c>
    </row>
    <row r="38">
      <c r="A38" s="32" t="inlineStr">
        <is>
          <t>Nguyên giá TSCĐ vô hình</t>
        </is>
      </c>
      <c r="B38" s="33" t="n">
        <v>33838423144</v>
      </c>
      <c r="C38" s="33" t="n">
        <v>34852200200</v>
      </c>
      <c r="D38" s="33" t="n">
        <v>35811638200</v>
      </c>
      <c r="E38" s="33" t="n">
        <v>90297772827</v>
      </c>
      <c r="F38" s="33" t="n">
        <v>90297772827</v>
      </c>
      <c r="G38" s="33" t="n">
        <v>90297772827</v>
      </c>
      <c r="H38" s="33" t="n">
        <v>90297772827</v>
      </c>
      <c r="I38" s="33" t="n">
        <v>90297772827</v>
      </c>
      <c r="J38" s="33" t="n">
        <v>42833498125</v>
      </c>
      <c r="K38" s="33" t="n">
        <v>43892454125</v>
      </c>
      <c r="L38" s="33" t="n">
        <v>43885640125</v>
      </c>
      <c r="M38" s="33" t="n">
        <v>33838423144</v>
      </c>
      <c r="N38" s="33" t="n">
        <v>90297772827</v>
      </c>
      <c r="O38" s="33" t="n">
        <v>90297772827</v>
      </c>
      <c r="P38" s="33" t="n">
        <v>90297772827</v>
      </c>
      <c r="Q38" s="33" t="n">
        <v>90297772827</v>
      </c>
      <c r="R38" s="33" t="n">
        <v>90297772827</v>
      </c>
      <c r="S38" s="33" t="n">
        <v>90297772827</v>
      </c>
      <c r="T38" s="33" t="n">
        <v>90297772827</v>
      </c>
      <c r="U38" s="33" t="n">
        <v>90297772827</v>
      </c>
    </row>
    <row r="39">
      <c r="A39" s="32" t="inlineStr">
        <is>
          <t>Khấu hao lũy kế TSCĐ vô hình</t>
        </is>
      </c>
      <c r="B39" s="33" t="n">
        <v>-5614293012</v>
      </c>
      <c r="C39" s="33" t="n">
        <v>-6354384253</v>
      </c>
      <c r="D39" s="33" t="n">
        <v>-8169259972</v>
      </c>
      <c r="E39" s="33" t="n">
        <v>-10083832815</v>
      </c>
      <c r="F39" s="33" t="n">
        <v>-16124867363</v>
      </c>
      <c r="G39" s="33" t="n">
        <v>-21477537026</v>
      </c>
      <c r="H39" s="33" t="n">
        <v>-26830206688</v>
      </c>
      <c r="I39" s="33" t="n">
        <v>-32182876351</v>
      </c>
      <c r="J39" s="33" t="n">
        <v>-11817222267</v>
      </c>
      <c r="K39" s="33" t="n">
        <v>-12534700945</v>
      </c>
      <c r="L39" s="33" t="n">
        <v>-13181765865</v>
      </c>
      <c r="M39" s="33" t="n">
        <v>-5614293012</v>
      </c>
      <c r="N39" s="33" t="n">
        <v>-25492039272</v>
      </c>
      <c r="O39" s="33" t="n">
        <v>-26830206688</v>
      </c>
      <c r="P39" s="33" t="n">
        <v>-28168374104</v>
      </c>
      <c r="Q39" s="33" t="n">
        <v>-29506541519</v>
      </c>
      <c r="R39" s="33" t="n">
        <v>-30844708935</v>
      </c>
      <c r="S39" s="33" t="n">
        <v>-32182876351</v>
      </c>
      <c r="T39" s="33" t="n">
        <v>-33521043767</v>
      </c>
      <c r="U39" s="33" t="n">
        <v>-34859211182</v>
      </c>
    </row>
    <row r="40">
      <c r="A40" s="32" t="inlineStr">
        <is>
          <t>Xây dựng cơ bản đang dang dở (trước 2015)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</row>
    <row r="41">
      <c r="A41" s="32" t="inlineStr">
        <is>
          <t>Giá trị ròng tài sản đầu tư</t>
        </is>
      </c>
      <c r="B41" s="33" t="n">
        <v>0</v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  <c r="N41" s="33" t="n">
        <v>0</v>
      </c>
      <c r="O41" s="33" t="n">
        <v>0</v>
      </c>
      <c r="P41" s="33" t="n">
        <v>0</v>
      </c>
      <c r="Q41" s="33" t="n">
        <v>0</v>
      </c>
      <c r="R41" s="33" t="n">
        <v>0</v>
      </c>
      <c r="S41" s="33" t="n">
        <v>0</v>
      </c>
      <c r="T41" s="33" t="n">
        <v>0</v>
      </c>
      <c r="U41" s="33" t="n">
        <v>0</v>
      </c>
    </row>
    <row r="42">
      <c r="A42" s="32" t="inlineStr">
        <is>
          <t>Nguyên giá tài sản đầu tư</t>
        </is>
      </c>
      <c r="B42" s="33" t="n">
        <v>0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0</v>
      </c>
      <c r="O42" s="33" t="n">
        <v>0</v>
      </c>
      <c r="P42" s="33" t="n">
        <v>0</v>
      </c>
      <c r="Q42" s="33" t="n">
        <v>0</v>
      </c>
      <c r="R42" s="33" t="n">
        <v>0</v>
      </c>
      <c r="S42" s="33" t="n">
        <v>0</v>
      </c>
      <c r="T42" s="33" t="n">
        <v>0</v>
      </c>
      <c r="U42" s="33" t="n">
        <v>0</v>
      </c>
    </row>
    <row r="43">
      <c r="A43" s="32" t="inlineStr">
        <is>
          <t>Khấu hao lũy kế tài sản đầu tư</t>
        </is>
      </c>
      <c r="B43" s="33" t="n">
        <v>0</v>
      </c>
      <c r="C43" s="33" t="n">
        <v>0</v>
      </c>
      <c r="D43" s="33" t="n">
        <v>0</v>
      </c>
      <c r="E43" s="33" t="n">
        <v>0</v>
      </c>
      <c r="F43" s="33" t="n">
        <v>0</v>
      </c>
      <c r="G43" s="33" t="n">
        <v>0</v>
      </c>
      <c r="H43" s="33" t="n">
        <v>0</v>
      </c>
      <c r="I43" s="33" t="n">
        <v>0</v>
      </c>
      <c r="J43" s="33" t="n">
        <v>0</v>
      </c>
      <c r="K43" s="33" t="n">
        <v>0</v>
      </c>
      <c r="L43" s="33" t="n">
        <v>0</v>
      </c>
      <c r="M43" s="33" t="n">
        <v>0</v>
      </c>
      <c r="N43" s="33" t="n">
        <v>0</v>
      </c>
      <c r="O43" s="33" t="n">
        <v>0</v>
      </c>
      <c r="P43" s="33" t="n">
        <v>0</v>
      </c>
      <c r="Q43" s="33" t="n">
        <v>0</v>
      </c>
      <c r="R43" s="33" t="n">
        <v>0</v>
      </c>
      <c r="S43" s="33" t="n">
        <v>0</v>
      </c>
      <c r="T43" s="33" t="n">
        <v>0</v>
      </c>
      <c r="U43" s="33" t="n">
        <v>0</v>
      </c>
    </row>
    <row r="44">
      <c r="A44" s="32" t="inlineStr">
        <is>
          <t>Đầu tư dài hạn</t>
        </is>
      </c>
      <c r="B44" s="33" t="n">
        <v>59937763115</v>
      </c>
      <c r="C44" s="33" t="n">
        <v>56464479744</v>
      </c>
      <c r="D44" s="33" t="n">
        <v>52757540273</v>
      </c>
      <c r="E44" s="33" t="n">
        <v>0</v>
      </c>
      <c r="F44" s="33" t="n">
        <v>231034840000</v>
      </c>
      <c r="G44" s="33" t="n">
        <v>746632252729</v>
      </c>
      <c r="H44" s="33" t="n">
        <v>242035797830</v>
      </c>
      <c r="I44" s="33" t="n">
        <v>3136315564517</v>
      </c>
      <c r="J44" s="33" t="n">
        <v>0</v>
      </c>
      <c r="K44" s="33" t="n">
        <v>61304248723</v>
      </c>
      <c r="L44" s="33" t="n">
        <v>58760018371</v>
      </c>
      <c r="M44" s="33" t="n">
        <v>59937763115</v>
      </c>
      <c r="N44" s="33" t="n">
        <v>954837182399</v>
      </c>
      <c r="O44" s="33" t="n">
        <v>242035797830</v>
      </c>
      <c r="P44" s="33" t="n">
        <v>245165572130</v>
      </c>
      <c r="Q44" s="33" t="n">
        <v>1211059390404</v>
      </c>
      <c r="R44" s="33" t="n">
        <v>1632447385759</v>
      </c>
      <c r="S44" s="33" t="n">
        <v>3136315564517</v>
      </c>
      <c r="T44" s="33" t="n">
        <v>3466722463700</v>
      </c>
      <c r="U44" s="33" t="n">
        <v>3485372162857</v>
      </c>
    </row>
    <row r="45">
      <c r="A45" s="32" t="inlineStr">
        <is>
          <t>Đầu tư vào các công ty con</t>
        </is>
      </c>
      <c r="B45" s="33" t="n">
        <v>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0</v>
      </c>
      <c r="P45" s="33" t="n">
        <v>0</v>
      </c>
      <c r="Q45" s="33" t="n">
        <v>0</v>
      </c>
      <c r="R45" s="33" t="n">
        <v>0</v>
      </c>
      <c r="S45" s="33" t="n">
        <v>0</v>
      </c>
      <c r="T45" s="33" t="n">
        <v>0</v>
      </c>
      <c r="U45" s="33" t="n">
        <v>0</v>
      </c>
    </row>
    <row r="46">
      <c r="A46" s="32" t="inlineStr">
        <is>
          <t>Đầu tư vào các công ty liên kết</t>
        </is>
      </c>
      <c r="B46" s="33" t="n">
        <v>59937763115</v>
      </c>
      <c r="C46" s="33" t="n">
        <v>56464479744</v>
      </c>
      <c r="D46" s="33" t="n">
        <v>52757540273</v>
      </c>
      <c r="E46" s="33" t="n">
        <v>0</v>
      </c>
      <c r="F46" s="33" t="n">
        <v>181034840000</v>
      </c>
      <c r="G46" s="33" t="n">
        <v>286632252729</v>
      </c>
      <c r="H46" s="33" t="n">
        <v>242035797830</v>
      </c>
      <c r="I46" s="33" t="n">
        <v>371159064517</v>
      </c>
      <c r="J46" s="33" t="n">
        <v>0</v>
      </c>
      <c r="K46" s="33" t="n">
        <v>61304248723</v>
      </c>
      <c r="L46" s="33" t="n">
        <v>58760018371</v>
      </c>
      <c r="M46" s="33" t="n">
        <v>59937763115</v>
      </c>
      <c r="N46" s="33" t="n">
        <v>239613277712</v>
      </c>
      <c r="O46" s="33" t="n">
        <v>242035797830</v>
      </c>
      <c r="P46" s="33" t="n">
        <v>245165572130</v>
      </c>
      <c r="Q46" s="33" t="n">
        <v>361059390404</v>
      </c>
      <c r="R46" s="33" t="n">
        <v>365236091759</v>
      </c>
      <c r="S46" s="33" t="n">
        <v>371159064517</v>
      </c>
      <c r="T46" s="33" t="n">
        <v>502561163700</v>
      </c>
      <c r="U46" s="33" t="n">
        <v>521210862857</v>
      </c>
    </row>
    <row r="47">
      <c r="A47" s="32" t="inlineStr">
        <is>
          <t>Đầu tư dài hạn khác</t>
        </is>
      </c>
      <c r="B47" s="33" t="n">
        <v>0</v>
      </c>
      <c r="C47" s="33" t="n">
        <v>0</v>
      </c>
      <c r="D47" s="33" t="n">
        <v>0</v>
      </c>
      <c r="E47" s="33" t="n">
        <v>0</v>
      </c>
      <c r="F47" s="33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n">
        <v>0</v>
      </c>
      <c r="L47" s="33" t="n">
        <v>0</v>
      </c>
      <c r="M47" s="33" t="n">
        <v>0</v>
      </c>
      <c r="N47" s="33" t="n">
        <v>0</v>
      </c>
      <c r="O47" s="33" t="n">
        <v>0</v>
      </c>
      <c r="P47" s="33" t="n">
        <v>0</v>
      </c>
      <c r="Q47" s="33" t="n">
        <v>0</v>
      </c>
      <c r="R47" s="33" t="n">
        <v>0</v>
      </c>
      <c r="S47" s="33" t="n">
        <v>0</v>
      </c>
      <c r="T47" s="33" t="n">
        <v>0</v>
      </c>
      <c r="U47" s="33" t="n">
        <v>0</v>
      </c>
    </row>
    <row r="48">
      <c r="A48" s="32" t="inlineStr">
        <is>
          <t>Dự phòng giảm giá đầu tư dài hạn</t>
        </is>
      </c>
      <c r="B48" s="33" t="n">
        <v>0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  <c r="Q48" s="33" t="n">
        <v>0</v>
      </c>
      <c r="R48" s="33" t="n">
        <v>0</v>
      </c>
      <c r="S48" s="33" t="n">
        <v>0</v>
      </c>
      <c r="T48" s="33" t="n">
        <v>0</v>
      </c>
      <c r="U48" s="33" t="n">
        <v>0</v>
      </c>
    </row>
    <row r="49">
      <c r="A49" s="32" t="inlineStr">
        <is>
          <t>Lợi thế thương mại (trước 2015)</t>
        </is>
      </c>
      <c r="B49" s="33" t="n">
        <v>0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0</v>
      </c>
      <c r="U49" s="33" t="n">
        <v>0</v>
      </c>
    </row>
    <row r="50">
      <c r="A50" s="32" t="inlineStr">
        <is>
          <t>Tài sản dài hạn khác</t>
        </is>
      </c>
      <c r="B50" s="33" t="n">
        <v>786843665206</v>
      </c>
      <c r="C50" s="33" t="n">
        <v>773963131188</v>
      </c>
      <c r="D50" s="33" t="n">
        <v>793813155551</v>
      </c>
      <c r="E50" s="33" t="n">
        <v>806891052417</v>
      </c>
      <c r="F50" s="33" t="n">
        <v>670590081979</v>
      </c>
      <c r="G50" s="33" t="n">
        <v>452067531470</v>
      </c>
      <c r="H50" s="33" t="n">
        <v>358454413877</v>
      </c>
      <c r="I50" s="33" t="n">
        <v>514740794251</v>
      </c>
      <c r="J50" s="33" t="n">
        <v>836268659173</v>
      </c>
      <c r="K50" s="33" t="n">
        <v>813769230448</v>
      </c>
      <c r="L50" s="33" t="n">
        <v>817716473285</v>
      </c>
      <c r="M50" s="33" t="n">
        <v>799106535305</v>
      </c>
      <c r="N50" s="33" t="n">
        <v>290295051827</v>
      </c>
      <c r="O50" s="33" t="n">
        <v>358454413877</v>
      </c>
      <c r="P50" s="33" t="n">
        <v>395223532870</v>
      </c>
      <c r="Q50" s="33" t="n">
        <v>379627026598</v>
      </c>
      <c r="R50" s="33" t="n">
        <v>452807653320</v>
      </c>
      <c r="S50" s="33" t="n">
        <v>514740794251</v>
      </c>
      <c r="T50" s="33" t="n">
        <v>723164397369</v>
      </c>
      <c r="U50" s="33" t="n">
        <v>774993890137</v>
      </c>
    </row>
    <row r="51">
      <c r="A51" s="32" t="inlineStr">
        <is>
          <t>Trả trước dài hạn</t>
        </is>
      </c>
      <c r="B51" s="33" t="n">
        <v>84768088475</v>
      </c>
      <c r="C51" s="33" t="n">
        <v>104029473910</v>
      </c>
      <c r="D51" s="33" t="n">
        <v>76720247019</v>
      </c>
      <c r="E51" s="33" t="n">
        <v>88371396963</v>
      </c>
      <c r="F51" s="33" t="n">
        <v>175104437161</v>
      </c>
      <c r="G51" s="33" t="n">
        <v>105411103799</v>
      </c>
      <c r="H51" s="33" t="n">
        <v>68471833530</v>
      </c>
      <c r="I51" s="33" t="n">
        <v>63643388286</v>
      </c>
      <c r="J51" s="33" t="n">
        <v>107166953965</v>
      </c>
      <c r="K51" s="33" t="n">
        <v>89722320028</v>
      </c>
      <c r="L51" s="33" t="n">
        <v>103328149669</v>
      </c>
      <c r="M51" s="33" t="n">
        <v>97030958574</v>
      </c>
      <c r="N51" s="33" t="n">
        <v>65335388244</v>
      </c>
      <c r="O51" s="33" t="n">
        <v>68471833530</v>
      </c>
      <c r="P51" s="33" t="n">
        <v>94346155484</v>
      </c>
      <c r="Q51" s="33" t="n">
        <v>79314425325</v>
      </c>
      <c r="R51" s="33" t="n">
        <v>63890927950</v>
      </c>
      <c r="S51" s="33" t="n">
        <v>63643388286</v>
      </c>
      <c r="T51" s="33" t="n">
        <v>45082066438</v>
      </c>
      <c r="U51" s="33" t="n">
        <v>38356318455</v>
      </c>
    </row>
    <row r="52">
      <c r="A52" s="32" t="inlineStr">
        <is>
          <t>Thuế thu nhập hoãn lại</t>
        </is>
      </c>
      <c r="B52" s="33" t="n">
        <v>1896011499</v>
      </c>
      <c r="C52" s="33" t="n">
        <v>0</v>
      </c>
      <c r="D52" s="33" t="n">
        <v>0</v>
      </c>
      <c r="E52" s="33" t="n">
        <v>0</v>
      </c>
      <c r="F52" s="33" t="n">
        <v>0</v>
      </c>
      <c r="G52" s="33" t="n">
        <v>1168691414</v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0</v>
      </c>
      <c r="M52" s="33" t="n">
        <v>1896011499</v>
      </c>
      <c r="N52" s="33" t="n">
        <v>1168691414</v>
      </c>
      <c r="O52" s="33" t="n">
        <v>0</v>
      </c>
      <c r="P52" s="33" t="n">
        <v>0</v>
      </c>
      <c r="Q52" s="33" t="n">
        <v>0</v>
      </c>
      <c r="R52" s="33" t="n">
        <v>0</v>
      </c>
      <c r="S52" s="33" t="n">
        <v>0</v>
      </c>
      <c r="T52" s="33" t="n">
        <v>0</v>
      </c>
      <c r="U52" s="33" t="n">
        <v>0</v>
      </c>
    </row>
    <row r="53">
      <c r="A53" s="32" t="inlineStr">
        <is>
          <t>Các tài sản dài hạn khác</t>
        </is>
      </c>
      <c r="B53" s="33" t="n">
        <v>0</v>
      </c>
      <c r="C53" s="33" t="n">
        <v>0</v>
      </c>
      <c r="D53" s="33" t="n">
        <v>0</v>
      </c>
      <c r="E53" s="33" t="n">
        <v>0</v>
      </c>
      <c r="F53" s="33" t="n">
        <v>0</v>
      </c>
      <c r="G53" s="33" t="n">
        <v>0</v>
      </c>
      <c r="H53" s="33" t="n">
        <v>0</v>
      </c>
      <c r="I53" s="33" t="n">
        <v>0</v>
      </c>
      <c r="J53" s="33" t="n">
        <v>0</v>
      </c>
      <c r="K53" s="33" t="n">
        <v>0</v>
      </c>
      <c r="L53" s="33" t="n">
        <v>0</v>
      </c>
      <c r="M53" s="33" t="n">
        <v>0</v>
      </c>
      <c r="N53" s="33" t="n">
        <v>0</v>
      </c>
      <c r="O53" s="33" t="n">
        <v>0</v>
      </c>
      <c r="P53" s="33" t="n">
        <v>0</v>
      </c>
      <c r="Q53" s="33" t="n">
        <v>0</v>
      </c>
      <c r="R53" s="33" t="n">
        <v>0</v>
      </c>
      <c r="S53" s="33" t="n">
        <v>0</v>
      </c>
      <c r="T53" s="33" t="n">
        <v>0</v>
      </c>
      <c r="U53" s="33" t="n">
        <v>0</v>
      </c>
    </row>
    <row r="54">
      <c r="A54" s="32" t="inlineStr">
        <is>
          <t>TỔNG CỘNG TÀI SẢN</t>
        </is>
      </c>
      <c r="B54" s="33" t="n">
        <v>28122531486856</v>
      </c>
      <c r="C54" s="33" t="n">
        <v>41708095544883</v>
      </c>
      <c r="D54" s="33" t="n">
        <v>46030879952454</v>
      </c>
      <c r="E54" s="33" t="n">
        <v>62971404814942</v>
      </c>
      <c r="F54" s="33" t="n">
        <v>55834095614049</v>
      </c>
      <c r="G54" s="33" t="n">
        <v>60111237212724</v>
      </c>
      <c r="H54" s="33" t="n">
        <v>70437775721604</v>
      </c>
      <c r="I54" s="33" t="n">
        <v>83945619612034</v>
      </c>
      <c r="J54" s="33" t="n">
        <v>23658886280181</v>
      </c>
      <c r="K54" s="33" t="n">
        <v>24342688854797</v>
      </c>
      <c r="L54" s="33" t="n">
        <v>25546431535682</v>
      </c>
      <c r="M54" s="33" t="n">
        <v>28140106400857</v>
      </c>
      <c r="N54" s="33" t="n">
        <v>66900043141335</v>
      </c>
      <c r="O54" s="33" t="n">
        <v>70437775721604</v>
      </c>
      <c r="P54" s="33" t="n">
        <v>72679224714947</v>
      </c>
      <c r="Q54" s="33" t="n">
        <v>81001399247768</v>
      </c>
      <c r="R54" s="33" t="n">
        <v>80288497892066</v>
      </c>
      <c r="S54" s="33" t="n">
        <v>83945619612034</v>
      </c>
      <c r="T54" s="33" t="n">
        <v>83994558472327</v>
      </c>
      <c r="U54" s="33" t="n">
        <v>104914963643071</v>
      </c>
    </row>
    <row r="55">
      <c r="A55" s="32" t="inlineStr">
        <is>
          <t>NỢ PHẢI TRẢ</t>
        </is>
      </c>
      <c r="B55" s="33" t="n">
        <v>19139496155514</v>
      </c>
      <c r="C55" s="33" t="n">
        <v>29564503350530</v>
      </c>
      <c r="D55" s="33" t="n">
        <v>30549190106022</v>
      </c>
      <c r="E55" s="33" t="n">
        <v>42593158815096</v>
      </c>
      <c r="F55" s="33" t="n">
        <v>31901514096473</v>
      </c>
      <c r="G55" s="33" t="n">
        <v>36751679245386</v>
      </c>
      <c r="H55" s="33" t="n">
        <v>42316198897749</v>
      </c>
      <c r="I55" s="33" t="n">
        <v>50769502237457</v>
      </c>
      <c r="J55" s="33" t="n">
        <v>16390889686056</v>
      </c>
      <c r="K55" s="33" t="n">
        <v>16827321443923</v>
      </c>
      <c r="L55" s="33" t="n">
        <v>17383663873866</v>
      </c>
      <c r="M55" s="33" t="n">
        <v>19157071069515</v>
      </c>
      <c r="N55" s="33" t="n">
        <v>39624478410590</v>
      </c>
      <c r="O55" s="33" t="n">
        <v>42316198897749</v>
      </c>
      <c r="P55" s="33" t="n">
        <v>43010091137156</v>
      </c>
      <c r="Q55" s="33" t="n">
        <v>50985234350916</v>
      </c>
      <c r="R55" s="33" t="n">
        <v>48491298270189</v>
      </c>
      <c r="S55" s="33" t="n">
        <v>50769502237457</v>
      </c>
      <c r="T55" s="33" t="n">
        <v>48061216417223</v>
      </c>
      <c r="U55" s="33" t="n">
        <v>68563637392629</v>
      </c>
    </row>
    <row r="56">
      <c r="A56" s="32" t="inlineStr">
        <is>
          <t>Nợ ngắn hạn</t>
        </is>
      </c>
      <c r="B56" s="33" t="n">
        <v>17929433003626</v>
      </c>
      <c r="C56" s="33" t="n">
        <v>28442366683873</v>
      </c>
      <c r="D56" s="33" t="n">
        <v>29422513439369</v>
      </c>
      <c r="E56" s="33" t="n">
        <v>42593158815096</v>
      </c>
      <c r="F56" s="33" t="n">
        <v>26000264096473</v>
      </c>
      <c r="G56" s="33" t="n">
        <v>30765260553972</v>
      </c>
      <c r="H56" s="33" t="n">
        <v>42316198897749</v>
      </c>
      <c r="I56" s="33" t="n">
        <v>50769502237457</v>
      </c>
      <c r="J56" s="33" t="n">
        <v>15028843299392</v>
      </c>
      <c r="K56" s="33" t="n">
        <v>15487730196729</v>
      </c>
      <c r="L56" s="33" t="n">
        <v>16087062723615</v>
      </c>
      <c r="M56" s="33" t="n">
        <v>17906980221526</v>
      </c>
      <c r="N56" s="33" t="n">
        <v>33471434719176</v>
      </c>
      <c r="O56" s="33" t="n">
        <v>42316198897749</v>
      </c>
      <c r="P56" s="33" t="n">
        <v>43010091137156</v>
      </c>
      <c r="Q56" s="33" t="n">
        <v>50985234350916</v>
      </c>
      <c r="R56" s="33" t="n">
        <v>48491298270189</v>
      </c>
      <c r="S56" s="33" t="n">
        <v>50769502237457</v>
      </c>
      <c r="T56" s="33" t="n">
        <v>48061216417223</v>
      </c>
      <c r="U56" s="33" t="n">
        <v>68069922937141</v>
      </c>
    </row>
    <row r="57">
      <c r="A57" s="32" t="inlineStr">
        <is>
          <t>Vay ngắn hạn</t>
        </is>
      </c>
      <c r="B57" s="33" t="n">
        <v>5836454637089</v>
      </c>
      <c r="C57" s="33" t="n">
        <v>13031015620192</v>
      </c>
      <c r="D57" s="33" t="n">
        <v>15625180321924</v>
      </c>
      <c r="E57" s="33" t="n">
        <v>24647474278786</v>
      </c>
      <c r="F57" s="33" t="n">
        <v>10688138631456</v>
      </c>
      <c r="G57" s="33" t="n">
        <v>19128541817781</v>
      </c>
      <c r="H57" s="33" t="n">
        <v>27300246721779</v>
      </c>
      <c r="I57" s="33" t="n">
        <v>29930942961668</v>
      </c>
      <c r="J57" s="33" t="n">
        <v>6893543999852</v>
      </c>
      <c r="K57" s="33" t="n">
        <v>6743526989752</v>
      </c>
      <c r="L57" s="33" t="n">
        <v>7380390607474</v>
      </c>
      <c r="M57" s="33" t="n">
        <v>5796625780221</v>
      </c>
      <c r="N57" s="33" t="n">
        <v>17815809454540</v>
      </c>
      <c r="O57" s="33" t="n">
        <v>27300246721779</v>
      </c>
      <c r="P57" s="33" t="n">
        <v>26222186029667</v>
      </c>
      <c r="Q57" s="33" t="n">
        <v>31537973205989</v>
      </c>
      <c r="R57" s="33" t="n">
        <v>28705630115739</v>
      </c>
      <c r="S57" s="33" t="n">
        <v>29930942961668</v>
      </c>
      <c r="T57" s="33" t="n">
        <v>28100653169211</v>
      </c>
      <c r="U57" s="33" t="n">
        <v>29089559736146</v>
      </c>
    </row>
    <row r="58">
      <c r="A58" s="32" t="inlineStr">
        <is>
          <t>Phải trả người bán</t>
        </is>
      </c>
      <c r="B58" s="33" t="n">
        <v>8244614243810</v>
      </c>
      <c r="C58" s="33" t="n">
        <v>12055385483995</v>
      </c>
      <c r="D58" s="33" t="n">
        <v>8728168862341</v>
      </c>
      <c r="E58" s="33" t="n">
        <v>12179774771734</v>
      </c>
      <c r="F58" s="33" t="n">
        <v>8745827331813</v>
      </c>
      <c r="G58" s="33" t="n">
        <v>7927069727935</v>
      </c>
      <c r="H58" s="33" t="n">
        <v>9179636054558</v>
      </c>
      <c r="I58" s="33" t="n">
        <v>13113899672272</v>
      </c>
      <c r="J58" s="33" t="n">
        <v>5612366630468</v>
      </c>
      <c r="K58" s="33" t="n">
        <v>5814796323978</v>
      </c>
      <c r="L58" s="33" t="n">
        <v>5197721913437</v>
      </c>
      <c r="M58" s="33" t="n">
        <v>8252672273249</v>
      </c>
      <c r="N58" s="33" t="n">
        <v>10181784455365</v>
      </c>
      <c r="O58" s="33" t="n">
        <v>9179636054558</v>
      </c>
      <c r="P58" s="33" t="n">
        <v>11308958826610</v>
      </c>
      <c r="Q58" s="33" t="n">
        <v>11117854372886</v>
      </c>
      <c r="R58" s="33" t="n">
        <v>12679647730746</v>
      </c>
      <c r="S58" s="33" t="n">
        <v>13113899672272</v>
      </c>
      <c r="T58" s="33" t="n">
        <v>11892521624518</v>
      </c>
      <c r="U58" s="33" t="n">
        <v>14019448109720</v>
      </c>
    </row>
    <row r="59">
      <c r="A59" s="32" t="inlineStr">
        <is>
          <t>Người mua trả tiền trước</t>
        </is>
      </c>
      <c r="B59" s="33" t="n">
        <v>38061594053</v>
      </c>
      <c r="C59" s="33" t="n">
        <v>81194129529</v>
      </c>
      <c r="D59" s="33" t="n">
        <v>86907353149</v>
      </c>
      <c r="E59" s="33" t="n">
        <v>98379250626</v>
      </c>
      <c r="F59" s="33" t="n">
        <v>97659957856</v>
      </c>
      <c r="G59" s="33" t="n">
        <v>88995836420</v>
      </c>
      <c r="H59" s="33" t="n">
        <v>90966314915</v>
      </c>
      <c r="I59" s="33" t="n">
        <v>210360719303</v>
      </c>
      <c r="J59" s="33" t="n">
        <v>19996284651</v>
      </c>
      <c r="K59" s="33" t="n">
        <v>30568199410</v>
      </c>
      <c r="L59" s="33" t="n">
        <v>26522024098</v>
      </c>
      <c r="M59" s="33" t="n">
        <v>38061594053</v>
      </c>
      <c r="N59" s="33" t="n">
        <v>105104143804</v>
      </c>
      <c r="O59" s="33" t="n">
        <v>90966314915</v>
      </c>
      <c r="P59" s="33" t="n">
        <v>74354490258</v>
      </c>
      <c r="Q59" s="33" t="n">
        <v>91483894773</v>
      </c>
      <c r="R59" s="33" t="n">
        <v>178074374031</v>
      </c>
      <c r="S59" s="33" t="n">
        <v>210360719303</v>
      </c>
      <c r="T59" s="33" t="n">
        <v>192515467857</v>
      </c>
      <c r="U59" s="33" t="n">
        <v>219431051396</v>
      </c>
    </row>
    <row r="60">
      <c r="A60" s="32" t="inlineStr">
        <is>
          <t>Thuế và các khoản phải trả Nhà nước</t>
        </is>
      </c>
      <c r="B60" s="33" t="n">
        <v>217699643883</v>
      </c>
      <c r="C60" s="33" t="n">
        <v>374623269110</v>
      </c>
      <c r="D60" s="33" t="n">
        <v>634917868176</v>
      </c>
      <c r="E60" s="33" t="n">
        <v>696559033545</v>
      </c>
      <c r="F60" s="33" t="n">
        <v>764244077963</v>
      </c>
      <c r="G60" s="33" t="n">
        <v>421532018021</v>
      </c>
      <c r="H60" s="33" t="n">
        <v>691059561096</v>
      </c>
      <c r="I60" s="33" t="n">
        <v>899553978698</v>
      </c>
      <c r="J60" s="33" t="n">
        <v>291265310681</v>
      </c>
      <c r="K60" s="33" t="n">
        <v>341011070406</v>
      </c>
      <c r="L60" s="33" t="n">
        <v>385295691323</v>
      </c>
      <c r="M60" s="33" t="n">
        <v>217699643883</v>
      </c>
      <c r="N60" s="33" t="n">
        <v>603768404492</v>
      </c>
      <c r="O60" s="33" t="n">
        <v>691059561096</v>
      </c>
      <c r="P60" s="33" t="n">
        <v>532077002204</v>
      </c>
      <c r="Q60" s="33" t="n">
        <v>660306946755</v>
      </c>
      <c r="R60" s="33" t="n">
        <v>572138325062</v>
      </c>
      <c r="S60" s="33" t="n">
        <v>899553978698</v>
      </c>
      <c r="T60" s="33" t="n">
        <v>876794578013</v>
      </c>
      <c r="U60" s="33" t="n">
        <v>1081678554549</v>
      </c>
    </row>
    <row r="61">
      <c r="A61" s="32" t="inlineStr">
        <is>
          <t>Phải trả người lao động</t>
        </is>
      </c>
      <c r="B61" s="33" t="n">
        <v>149774991802</v>
      </c>
      <c r="C61" s="33" t="n">
        <v>258242266298</v>
      </c>
      <c r="D61" s="33" t="n">
        <v>533572319767</v>
      </c>
      <c r="E61" s="33" t="n">
        <v>531987432339</v>
      </c>
      <c r="F61" s="33" t="n">
        <v>475431939590</v>
      </c>
      <c r="G61" s="33" t="n">
        <v>438404323414</v>
      </c>
      <c r="H61" s="33" t="n">
        <v>649999685139</v>
      </c>
      <c r="I61" s="33" t="n">
        <v>342221054994</v>
      </c>
      <c r="J61" s="33" t="n">
        <v>115633323041</v>
      </c>
      <c r="K61" s="33" t="n">
        <v>132771548436</v>
      </c>
      <c r="L61" s="33" t="n">
        <v>154506454132</v>
      </c>
      <c r="M61" s="33" t="n">
        <v>149774991802</v>
      </c>
      <c r="N61" s="33" t="n">
        <v>614384495155</v>
      </c>
      <c r="O61" s="33" t="n">
        <v>649999685139</v>
      </c>
      <c r="P61" s="33" t="n">
        <v>344955370721</v>
      </c>
      <c r="Q61" s="33" t="n">
        <v>254498322631</v>
      </c>
      <c r="R61" s="33" t="n">
        <v>344304557520</v>
      </c>
      <c r="S61" s="33" t="n">
        <v>342221054994</v>
      </c>
      <c r="T61" s="33" t="n">
        <v>332179126006</v>
      </c>
      <c r="U61" s="33" t="n">
        <v>430831377488</v>
      </c>
    </row>
    <row r="62">
      <c r="A62" s="32" t="inlineStr">
        <is>
          <t>Chi phí phải trả</t>
        </is>
      </c>
      <c r="B62" s="33" t="n">
        <v>2173064879414</v>
      </c>
      <c r="C62" s="33" t="n">
        <v>1851966958655</v>
      </c>
      <c r="D62" s="33" t="n">
        <v>3191005394514</v>
      </c>
      <c r="E62" s="33" t="n">
        <v>3885356381233</v>
      </c>
      <c r="F62" s="33" t="n">
        <v>2180365916409</v>
      </c>
      <c r="G62" s="33" t="n">
        <v>1372808265814</v>
      </c>
      <c r="H62" s="33" t="n">
        <v>3357568974136</v>
      </c>
      <c r="I62" s="33" t="n">
        <v>4474359546479</v>
      </c>
      <c r="J62" s="33" t="n">
        <v>1349068700894</v>
      </c>
      <c r="K62" s="33" t="n">
        <v>1668148482963</v>
      </c>
      <c r="L62" s="33" t="n">
        <v>1903227959926</v>
      </c>
      <c r="M62" s="33" t="n">
        <v>2173064879414</v>
      </c>
      <c r="N62" s="33" t="n">
        <v>2768805370668</v>
      </c>
      <c r="O62" s="33" t="n">
        <v>3357568974136</v>
      </c>
      <c r="P62" s="33" t="n">
        <v>3376994911635</v>
      </c>
      <c r="Q62" s="33" t="n">
        <v>4373197556419</v>
      </c>
      <c r="R62" s="33" t="n">
        <v>4670788424370</v>
      </c>
      <c r="S62" s="33" t="n">
        <v>4474359546479</v>
      </c>
      <c r="T62" s="33" t="n">
        <v>4196323559243</v>
      </c>
      <c r="U62" s="33" t="n">
        <v>5001484590748</v>
      </c>
    </row>
    <row r="63">
      <c r="A63" s="32" t="inlineStr">
        <is>
          <t>Phải trả nội bộ</t>
        </is>
      </c>
      <c r="B63" s="33" t="n">
        <v>0</v>
      </c>
      <c r="C63" s="33" t="n">
        <v>0</v>
      </c>
      <c r="D63" s="33" t="n">
        <v>0</v>
      </c>
      <c r="E63" s="33" t="n">
        <v>0</v>
      </c>
      <c r="F63" s="33" t="n">
        <v>0</v>
      </c>
      <c r="G63" s="33" t="n">
        <v>0</v>
      </c>
      <c r="H63" s="33" t="n">
        <v>0</v>
      </c>
      <c r="I63" s="33" t="n">
        <v>0</v>
      </c>
      <c r="J63" s="33" t="n">
        <v>0</v>
      </c>
      <c r="K63" s="33" t="n">
        <v>0</v>
      </c>
      <c r="L63" s="33" t="n">
        <v>0</v>
      </c>
      <c r="M63" s="33" t="n">
        <v>0</v>
      </c>
      <c r="N63" s="33" t="n">
        <v>0</v>
      </c>
      <c r="O63" s="33" t="n">
        <v>0</v>
      </c>
      <c r="P63" s="33" t="n">
        <v>0</v>
      </c>
      <c r="Q63" s="33" t="n">
        <v>0</v>
      </c>
      <c r="R63" s="33" t="n">
        <v>0</v>
      </c>
      <c r="S63" s="33" t="n">
        <v>0</v>
      </c>
      <c r="T63" s="33" t="n">
        <v>0</v>
      </c>
      <c r="U63" s="33" t="n">
        <v>0</v>
      </c>
    </row>
    <row r="64">
      <c r="A64" s="32" t="inlineStr">
        <is>
          <t>Phải trả về xây dựng cơ bản</t>
        </is>
      </c>
      <c r="B64" s="33" t="n">
        <v>0</v>
      </c>
      <c r="C64" s="33" t="n">
        <v>0</v>
      </c>
      <c r="D64" s="33" t="n">
        <v>0</v>
      </c>
      <c r="E64" s="33" t="n">
        <v>0</v>
      </c>
      <c r="F64" s="33" t="n">
        <v>0</v>
      </c>
      <c r="G64" s="33" t="n">
        <v>0</v>
      </c>
      <c r="H64" s="33" t="n">
        <v>0</v>
      </c>
      <c r="I64" s="33" t="n">
        <v>0</v>
      </c>
      <c r="J64" s="33" t="n">
        <v>0</v>
      </c>
      <c r="K64" s="33" t="n">
        <v>0</v>
      </c>
      <c r="L64" s="33" t="n">
        <v>0</v>
      </c>
      <c r="M64" s="33" t="n">
        <v>0</v>
      </c>
      <c r="N64" s="33" t="n">
        <v>0</v>
      </c>
      <c r="O64" s="33" t="n">
        <v>0</v>
      </c>
      <c r="P64" s="33" t="n">
        <v>0</v>
      </c>
      <c r="Q64" s="33" t="n">
        <v>0</v>
      </c>
      <c r="R64" s="33" t="n">
        <v>0</v>
      </c>
      <c r="S64" s="33" t="n">
        <v>0</v>
      </c>
      <c r="T64" s="33" t="n">
        <v>0</v>
      </c>
      <c r="U64" s="33" t="n">
        <v>0</v>
      </c>
    </row>
    <row r="65">
      <c r="A65" s="32" t="inlineStr">
        <is>
          <t>Phải trả khác</t>
        </is>
      </c>
      <c r="B65" s="33" t="n">
        <v>1208214263090</v>
      </c>
      <c r="C65" s="33" t="n">
        <v>717884730756</v>
      </c>
      <c r="D65" s="33" t="n">
        <v>546045423865</v>
      </c>
      <c r="E65" s="33" t="n">
        <v>476319936603</v>
      </c>
      <c r="F65" s="33" t="n">
        <v>2971948189708</v>
      </c>
      <c r="G65" s="33" t="n">
        <v>1316566967018</v>
      </c>
      <c r="H65" s="33" t="n">
        <v>924674307090</v>
      </c>
      <c r="I65" s="33" t="n">
        <v>1171729524469</v>
      </c>
      <c r="J65" s="33" t="n">
        <v>692488587616</v>
      </c>
      <c r="K65" s="33" t="n">
        <v>696701028604</v>
      </c>
      <c r="L65" s="33" t="n">
        <v>981551969602</v>
      </c>
      <c r="M65" s="33" t="n">
        <v>1217532308419</v>
      </c>
      <c r="N65" s="33" t="n">
        <v>1300980066765</v>
      </c>
      <c r="O65" s="33" t="n">
        <v>924674307090</v>
      </c>
      <c r="P65" s="33" t="n">
        <v>1034531981330</v>
      </c>
      <c r="Q65" s="33" t="n">
        <v>2838467612671</v>
      </c>
      <c r="R65" s="33" t="n">
        <v>1246432324264</v>
      </c>
      <c r="S65" s="33" t="n">
        <v>1171729524469</v>
      </c>
      <c r="T65" s="33" t="n">
        <v>1759131833585</v>
      </c>
      <c r="U65" s="33" t="n">
        <v>14999707203585</v>
      </c>
    </row>
    <row r="66">
      <c r="A66" s="32" t="inlineStr">
        <is>
          <t>Dự phòng các khoản phải trả ngắn hạn</t>
        </is>
      </c>
      <c r="B66" s="33" t="n">
        <v>56568632732</v>
      </c>
      <c r="C66" s="33" t="n">
        <v>71690522406</v>
      </c>
      <c r="D66" s="33" t="n">
        <v>76377369405</v>
      </c>
      <c r="E66" s="33" t="n">
        <v>77277612477</v>
      </c>
      <c r="F66" s="33" t="n">
        <v>76261107986</v>
      </c>
      <c r="G66" s="33" t="n">
        <v>67935804338</v>
      </c>
      <c r="H66" s="33" t="n">
        <v>70239666911</v>
      </c>
      <c r="I66" s="33" t="n">
        <v>89498061130</v>
      </c>
      <c r="J66" s="33" t="n">
        <v>49500344436</v>
      </c>
      <c r="K66" s="33" t="n">
        <v>55226435427</v>
      </c>
      <c r="L66" s="33" t="n">
        <v>52865985870</v>
      </c>
      <c r="M66" s="33" t="n">
        <v>56568632732</v>
      </c>
      <c r="N66" s="33" t="n">
        <v>67066902183</v>
      </c>
      <c r="O66" s="33" t="n">
        <v>70239666911</v>
      </c>
      <c r="P66" s="33" t="n">
        <v>70239666911</v>
      </c>
      <c r="Q66" s="33" t="n">
        <v>78125411095</v>
      </c>
      <c r="R66" s="33" t="n">
        <v>78125411095</v>
      </c>
      <c r="S66" s="33" t="n">
        <v>89498061130</v>
      </c>
      <c r="T66" s="33" t="n">
        <v>98381428460</v>
      </c>
      <c r="U66" s="33" t="n">
        <v>106748556382</v>
      </c>
    </row>
    <row r="67">
      <c r="A67" s="32" t="inlineStr">
        <is>
          <t>Quỹ khen thưởng, phúc lợi</t>
        </is>
      </c>
      <c r="B67" s="33" t="n">
        <v>4980117753</v>
      </c>
      <c r="C67" s="33" t="n">
        <v>30117753</v>
      </c>
      <c r="D67" s="33" t="n">
        <v>30117753</v>
      </c>
      <c r="E67" s="33" t="n">
        <v>30117753</v>
      </c>
      <c r="F67" s="33" t="n">
        <v>0</v>
      </c>
      <c r="G67" s="33" t="n">
        <v>0</v>
      </c>
      <c r="H67" s="33" t="n">
        <v>0</v>
      </c>
      <c r="I67" s="33" t="n">
        <v>0</v>
      </c>
      <c r="J67" s="33" t="n">
        <v>4980117753</v>
      </c>
      <c r="K67" s="33" t="n">
        <v>4980117753</v>
      </c>
      <c r="L67" s="33" t="n">
        <v>4980117753</v>
      </c>
      <c r="M67" s="33" t="n">
        <v>4980117753</v>
      </c>
      <c r="N67" s="33" t="n">
        <v>0</v>
      </c>
      <c r="O67" s="33" t="n">
        <v>0</v>
      </c>
      <c r="P67" s="33" t="n">
        <v>0</v>
      </c>
      <c r="Q67" s="33" t="n">
        <v>0</v>
      </c>
      <c r="R67" s="33" t="n">
        <v>0</v>
      </c>
      <c r="S67" s="33" t="n">
        <v>0</v>
      </c>
      <c r="T67" s="33" t="n">
        <v>0</v>
      </c>
      <c r="U67" s="33" t="n">
        <v>0</v>
      </c>
    </row>
    <row r="68">
      <c r="A68" s="32" t="inlineStr">
        <is>
          <t>Nợ dài hạn</t>
        </is>
      </c>
      <c r="B68" s="33" t="n">
        <v>1210063151888</v>
      </c>
      <c r="C68" s="33" t="n">
        <v>1122136666657</v>
      </c>
      <c r="D68" s="33" t="n">
        <v>1126676666653</v>
      </c>
      <c r="E68" s="33" t="n">
        <v>0</v>
      </c>
      <c r="F68" s="33" t="n">
        <v>5901250000000</v>
      </c>
      <c r="G68" s="33" t="n">
        <v>5986418691414</v>
      </c>
      <c r="H68" s="33" t="n">
        <v>0</v>
      </c>
      <c r="I68" s="33" t="n">
        <v>0</v>
      </c>
      <c r="J68" s="33" t="n">
        <v>1362046386664</v>
      </c>
      <c r="K68" s="33" t="n">
        <v>1339591247194</v>
      </c>
      <c r="L68" s="33" t="n">
        <v>1296601150251</v>
      </c>
      <c r="M68" s="33" t="n">
        <v>1250090847989</v>
      </c>
      <c r="N68" s="33" t="n">
        <v>6153043691414</v>
      </c>
      <c r="O68" s="33" t="n">
        <v>0</v>
      </c>
      <c r="P68" s="33" t="n">
        <v>0</v>
      </c>
      <c r="Q68" s="33" t="n">
        <v>0</v>
      </c>
      <c r="R68" s="33" t="n">
        <v>0</v>
      </c>
      <c r="S68" s="33" t="n">
        <v>0</v>
      </c>
      <c r="T68" s="33" t="n">
        <v>0</v>
      </c>
      <c r="U68" s="33" t="n">
        <v>493714455488</v>
      </c>
    </row>
    <row r="69">
      <c r="A69" s="32" t="inlineStr">
        <is>
          <t>Phải trả nhà cung cấp dài hạn</t>
        </is>
      </c>
      <c r="B69" s="33" t="n">
        <v>0</v>
      </c>
      <c r="C69" s="33" t="n">
        <v>0</v>
      </c>
      <c r="D69" s="33" t="n">
        <v>0</v>
      </c>
      <c r="E69" s="33" t="n">
        <v>0</v>
      </c>
      <c r="F69" s="33" t="n">
        <v>0</v>
      </c>
      <c r="G69" s="33" t="n">
        <v>0</v>
      </c>
      <c r="H69" s="33" t="n">
        <v>0</v>
      </c>
      <c r="I69" s="33" t="n">
        <v>0</v>
      </c>
      <c r="J69" s="33" t="n">
        <v>0</v>
      </c>
      <c r="K69" s="33" t="n">
        <v>0</v>
      </c>
      <c r="L69" s="33" t="n">
        <v>0</v>
      </c>
      <c r="M69" s="33" t="n">
        <v>0</v>
      </c>
      <c r="N69" s="33" t="n">
        <v>0</v>
      </c>
      <c r="O69" s="33" t="n">
        <v>0</v>
      </c>
      <c r="P69" s="33" t="n">
        <v>0</v>
      </c>
      <c r="Q69" s="33" t="n">
        <v>0</v>
      </c>
      <c r="R69" s="33" t="n">
        <v>0</v>
      </c>
      <c r="S69" s="33" t="n">
        <v>0</v>
      </c>
      <c r="T69" s="33" t="n">
        <v>0</v>
      </c>
      <c r="U69" s="33" t="n">
        <v>0</v>
      </c>
    </row>
    <row r="70">
      <c r="A70" s="32" t="inlineStr">
        <is>
          <t>Phải trả nội bộ dài hạn</t>
        </is>
      </c>
      <c r="B70" s="33" t="n">
        <v>0</v>
      </c>
      <c r="C70" s="33" t="n">
        <v>0</v>
      </c>
      <c r="D70" s="33" t="n">
        <v>0</v>
      </c>
      <c r="E70" s="33" t="n">
        <v>0</v>
      </c>
      <c r="F70" s="33" t="n">
        <v>0</v>
      </c>
      <c r="G70" s="33" t="n">
        <v>0</v>
      </c>
      <c r="H70" s="33" t="n">
        <v>0</v>
      </c>
      <c r="I70" s="33" t="n">
        <v>0</v>
      </c>
      <c r="J70" s="33" t="n">
        <v>0</v>
      </c>
      <c r="K70" s="33" t="n">
        <v>0</v>
      </c>
      <c r="L70" s="33" t="n">
        <v>0</v>
      </c>
      <c r="M70" s="33" t="n">
        <v>0</v>
      </c>
      <c r="N70" s="33" t="n">
        <v>0</v>
      </c>
      <c r="O70" s="33" t="n">
        <v>0</v>
      </c>
      <c r="P70" s="33" t="n">
        <v>0</v>
      </c>
      <c r="Q70" s="33" t="n">
        <v>0</v>
      </c>
      <c r="R70" s="33" t="n">
        <v>0</v>
      </c>
      <c r="S70" s="33" t="n">
        <v>0</v>
      </c>
      <c r="T70" s="33" t="n">
        <v>0</v>
      </c>
      <c r="U70" s="33" t="n">
        <v>0</v>
      </c>
    </row>
    <row r="71">
      <c r="A71" s="32" t="inlineStr">
        <is>
          <t>Phải trả dài hạn khác</t>
        </is>
      </c>
      <c r="B71" s="33" t="n">
        <v>0</v>
      </c>
      <c r="C71" s="33" t="n">
        <v>0</v>
      </c>
      <c r="D71" s="33" t="n">
        <v>0</v>
      </c>
      <c r="E71" s="33" t="n">
        <v>0</v>
      </c>
      <c r="F71" s="33" t="n">
        <v>0</v>
      </c>
      <c r="G71" s="33" t="n">
        <v>0</v>
      </c>
      <c r="H71" s="33" t="n">
        <v>0</v>
      </c>
      <c r="I71" s="33" t="n">
        <v>0</v>
      </c>
      <c r="J71" s="33" t="n">
        <v>0</v>
      </c>
      <c r="K71" s="33" t="n">
        <v>120000000</v>
      </c>
      <c r="L71" s="33" t="n">
        <v>235000000</v>
      </c>
      <c r="M71" s="33" t="n">
        <v>198839233</v>
      </c>
      <c r="N71" s="33" t="n">
        <v>0</v>
      </c>
      <c r="O71" s="33" t="n">
        <v>0</v>
      </c>
      <c r="P71" s="33" t="n">
        <v>0</v>
      </c>
      <c r="Q71" s="33" t="n">
        <v>0</v>
      </c>
      <c r="R71" s="33" t="n">
        <v>0</v>
      </c>
      <c r="S71" s="33" t="n">
        <v>0</v>
      </c>
      <c r="T71" s="33" t="n">
        <v>0</v>
      </c>
      <c r="U71" s="33" t="n">
        <v>0</v>
      </c>
    </row>
    <row r="72">
      <c r="A72" s="32" t="inlineStr">
        <is>
          <t>Vay dài hạn</t>
        </is>
      </c>
      <c r="B72" s="33" t="n">
        <v>1208167140389</v>
      </c>
      <c r="C72" s="33" t="n">
        <v>1122136666657</v>
      </c>
      <c r="D72" s="33" t="n">
        <v>1126676666653</v>
      </c>
      <c r="E72" s="33" t="n">
        <v>0</v>
      </c>
      <c r="F72" s="33" t="n">
        <v>5901250000000</v>
      </c>
      <c r="G72" s="33" t="n">
        <v>5985250000000</v>
      </c>
      <c r="H72" s="33" t="n">
        <v>0</v>
      </c>
      <c r="I72" s="33" t="n">
        <v>0</v>
      </c>
      <c r="J72" s="33" t="n">
        <v>1362046386664</v>
      </c>
      <c r="K72" s="33" t="n">
        <v>1339471247194</v>
      </c>
      <c r="L72" s="33" t="n">
        <v>1296366150251</v>
      </c>
      <c r="M72" s="33" t="n">
        <v>1247995997257</v>
      </c>
      <c r="N72" s="33" t="n">
        <v>6151875000000</v>
      </c>
      <c r="O72" s="33" t="n">
        <v>0</v>
      </c>
      <c r="P72" s="33" t="n">
        <v>0</v>
      </c>
      <c r="Q72" s="33" t="n">
        <v>0</v>
      </c>
      <c r="R72" s="33" t="n">
        <v>0</v>
      </c>
      <c r="S72" s="33" t="n">
        <v>0</v>
      </c>
      <c r="T72" s="33" t="n">
        <v>0</v>
      </c>
      <c r="U72" s="33" t="n">
        <v>0</v>
      </c>
    </row>
    <row r="73">
      <c r="A73" s="32" t="inlineStr">
        <is>
          <t>Thuế thu nhập hoãn lại</t>
        </is>
      </c>
      <c r="B73" s="33" t="n"/>
      <c r="C73" s="33" t="n"/>
      <c r="D73" s="33" t="n"/>
      <c r="E73" s="33" t="n"/>
      <c r="F73" s="33" t="n">
        <v>0</v>
      </c>
      <c r="G73" s="33" t="n">
        <v>1168691414</v>
      </c>
      <c r="H73" s="33" t="n">
        <v>0</v>
      </c>
      <c r="I73" s="33" t="n">
        <v>0</v>
      </c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</row>
    <row r="74">
      <c r="A74" s="32" t="inlineStr">
        <is>
          <t>Dự phòng trợ cấp thôi việc</t>
        </is>
      </c>
      <c r="B74" s="33" t="n">
        <v>0</v>
      </c>
      <c r="C74" s="33" t="n">
        <v>0</v>
      </c>
      <c r="D74" s="33" t="n">
        <v>0</v>
      </c>
      <c r="E74" s="33" t="n">
        <v>0</v>
      </c>
      <c r="F74" s="33" t="n">
        <v>0</v>
      </c>
      <c r="G74" s="33" t="n">
        <v>0</v>
      </c>
      <c r="H74" s="33" t="n">
        <v>0</v>
      </c>
      <c r="I74" s="33" t="n">
        <v>0</v>
      </c>
      <c r="J74" s="33" t="n">
        <v>0</v>
      </c>
      <c r="K74" s="33" t="n">
        <v>0</v>
      </c>
      <c r="L74" s="33" t="n">
        <v>0</v>
      </c>
      <c r="M74" s="33" t="n">
        <v>0</v>
      </c>
      <c r="N74" s="33" t="n">
        <v>0</v>
      </c>
      <c r="O74" s="33" t="n">
        <v>0</v>
      </c>
      <c r="P74" s="33" t="n">
        <v>0</v>
      </c>
      <c r="Q74" s="33" t="n">
        <v>0</v>
      </c>
      <c r="R74" s="33" t="n">
        <v>0</v>
      </c>
      <c r="S74" s="33" t="n">
        <v>0</v>
      </c>
      <c r="T74" s="33" t="n">
        <v>0</v>
      </c>
      <c r="U74" s="33" t="n">
        <v>0</v>
      </c>
    </row>
    <row r="75">
      <c r="A75" s="32" t="inlineStr">
        <is>
          <t>Dự phòng các khoản nợ dài hạn</t>
        </is>
      </c>
      <c r="B75" s="33" t="n">
        <v>0</v>
      </c>
      <c r="C75" s="33" t="n">
        <v>0</v>
      </c>
      <c r="D75" s="33" t="n">
        <v>0</v>
      </c>
      <c r="E75" s="33" t="n">
        <v>0</v>
      </c>
      <c r="F75" s="33" t="n">
        <v>0</v>
      </c>
      <c r="G75" s="33" t="n">
        <v>0</v>
      </c>
      <c r="H75" s="33" t="n">
        <v>0</v>
      </c>
      <c r="I75" s="33" t="n">
        <v>0</v>
      </c>
      <c r="J75" s="33" t="n">
        <v>0</v>
      </c>
      <c r="K75" s="33" t="n">
        <v>0</v>
      </c>
      <c r="L75" s="33" t="n">
        <v>0</v>
      </c>
      <c r="M75" s="33" t="n">
        <v>0</v>
      </c>
      <c r="N75" s="33" t="n">
        <v>0</v>
      </c>
      <c r="O75" s="33" t="n">
        <v>0</v>
      </c>
      <c r="P75" s="33" t="n">
        <v>0</v>
      </c>
      <c r="Q75" s="33" t="n">
        <v>0</v>
      </c>
      <c r="R75" s="33" t="n">
        <v>0</v>
      </c>
      <c r="S75" s="33" t="n">
        <v>0</v>
      </c>
      <c r="T75" s="33" t="n">
        <v>0</v>
      </c>
      <c r="U75" s="33" t="n">
        <v>0</v>
      </c>
    </row>
    <row r="76">
      <c r="A76" s="32" t="inlineStr">
        <is>
          <t>Doanh thu chưa thực hiện</t>
        </is>
      </c>
      <c r="B76" s="33" t="n">
        <v>0</v>
      </c>
      <c r="C76" s="33" t="n">
        <v>0</v>
      </c>
      <c r="D76" s="33" t="n">
        <v>0</v>
      </c>
      <c r="E76" s="33" t="n">
        <v>0</v>
      </c>
      <c r="F76" s="33" t="n">
        <v>0</v>
      </c>
      <c r="G76" s="33" t="n">
        <v>0</v>
      </c>
      <c r="H76" s="33" t="n">
        <v>0</v>
      </c>
      <c r="I76" s="33" t="n">
        <v>0</v>
      </c>
      <c r="J76" s="33" t="n">
        <v>0</v>
      </c>
      <c r="K76" s="33" t="n">
        <v>0</v>
      </c>
      <c r="L76" s="33" t="n">
        <v>0</v>
      </c>
      <c r="M76" s="33" t="n">
        <v>0</v>
      </c>
      <c r="N76" s="33" t="n">
        <v>0</v>
      </c>
      <c r="O76" s="33" t="n">
        <v>0</v>
      </c>
      <c r="P76" s="33" t="n">
        <v>0</v>
      </c>
      <c r="Q76" s="33" t="n">
        <v>0</v>
      </c>
      <c r="R76" s="33" t="n">
        <v>0</v>
      </c>
      <c r="S76" s="33" t="n">
        <v>0</v>
      </c>
      <c r="T76" s="33" t="n">
        <v>0</v>
      </c>
      <c r="U76" s="33" t="n">
        <v>493714455488</v>
      </c>
    </row>
    <row r="77">
      <c r="A77" s="32" t="inlineStr">
        <is>
          <t>Quỹ phát triển khoa học công nghệ</t>
        </is>
      </c>
      <c r="B77" s="33" t="n">
        <v>0</v>
      </c>
      <c r="C77" s="33" t="n">
        <v>0</v>
      </c>
      <c r="D77" s="33" t="n">
        <v>0</v>
      </c>
      <c r="E77" s="33" t="n">
        <v>0</v>
      </c>
      <c r="F77" s="33" t="n">
        <v>0</v>
      </c>
      <c r="G77" s="33" t="n">
        <v>0</v>
      </c>
      <c r="H77" s="33" t="n">
        <v>0</v>
      </c>
      <c r="I77" s="33" t="n">
        <v>0</v>
      </c>
      <c r="J77" s="33" t="n">
        <v>0</v>
      </c>
      <c r="K77" s="33" t="n">
        <v>0</v>
      </c>
      <c r="L77" s="33" t="n">
        <v>0</v>
      </c>
      <c r="M77" s="33" t="n">
        <v>0</v>
      </c>
      <c r="N77" s="33" t="n">
        <v>0</v>
      </c>
      <c r="O77" s="33" t="n">
        <v>0</v>
      </c>
      <c r="P77" s="33" t="n">
        <v>0</v>
      </c>
      <c r="Q77" s="33" t="n">
        <v>0</v>
      </c>
      <c r="R77" s="33" t="n">
        <v>0</v>
      </c>
      <c r="S77" s="33" t="n">
        <v>0</v>
      </c>
      <c r="T77" s="33" t="n">
        <v>0</v>
      </c>
      <c r="U77" s="33" t="n">
        <v>0</v>
      </c>
    </row>
    <row r="78">
      <c r="A78" s="32" t="inlineStr">
        <is>
          <t>Vốn chủ sở hữu</t>
        </is>
      </c>
      <c r="B78" s="33" t="n">
        <v>8983035331342</v>
      </c>
      <c r="C78" s="33" t="n">
        <v>12143592194353</v>
      </c>
      <c r="D78" s="33" t="n">
        <v>15481689846432</v>
      </c>
      <c r="E78" s="33" t="n">
        <v>20378245999846</v>
      </c>
      <c r="F78" s="33" t="n">
        <v>23932581517576</v>
      </c>
      <c r="G78" s="33" t="n">
        <v>23359557967338</v>
      </c>
      <c r="H78" s="33" t="n">
        <v>28121576823855</v>
      </c>
      <c r="I78" s="33" t="n">
        <v>33176117374577</v>
      </c>
      <c r="J78" s="33" t="n">
        <v>7267996594125</v>
      </c>
      <c r="K78" s="33" t="n">
        <v>7515367410874</v>
      </c>
      <c r="L78" s="33" t="n">
        <v>8162767661816</v>
      </c>
      <c r="M78" s="33" t="n">
        <v>8983035331342</v>
      </c>
      <c r="N78" s="33" t="n">
        <v>27275564730745</v>
      </c>
      <c r="O78" s="33" t="n">
        <v>28121576823855</v>
      </c>
      <c r="P78" s="33" t="n">
        <v>29669133577791</v>
      </c>
      <c r="Q78" s="33" t="n">
        <v>30016164896852</v>
      </c>
      <c r="R78" s="33" t="n">
        <v>31797199621877</v>
      </c>
      <c r="S78" s="33" t="n">
        <v>33176117374577</v>
      </c>
      <c r="T78" s="33" t="n">
        <v>35933342055104</v>
      </c>
      <c r="U78" s="33" t="n">
        <v>36351326250442</v>
      </c>
    </row>
    <row r="79">
      <c r="A79" s="32" t="inlineStr">
        <is>
          <t>Vốn và các quỹ</t>
        </is>
      </c>
      <c r="B79" s="33" t="n">
        <v>8983035331342</v>
      </c>
      <c r="C79" s="33" t="n">
        <v>12143592194353</v>
      </c>
      <c r="D79" s="33" t="n">
        <v>15481689846432</v>
      </c>
      <c r="E79" s="33" t="n">
        <v>20378245999846</v>
      </c>
      <c r="F79" s="33" t="n">
        <v>23932581517576</v>
      </c>
      <c r="G79" s="33" t="n">
        <v>23359557967338</v>
      </c>
      <c r="H79" s="33" t="n">
        <v>28121576823855</v>
      </c>
      <c r="I79" s="33" t="n">
        <v>33176117374577</v>
      </c>
      <c r="J79" s="33" t="n">
        <v>7267996594125</v>
      </c>
      <c r="K79" s="33" t="n">
        <v>7515367410874</v>
      </c>
      <c r="L79" s="33" t="n">
        <v>8162767661816</v>
      </c>
      <c r="M79" s="33" t="n">
        <v>8983035331342</v>
      </c>
      <c r="N79" s="33" t="n">
        <v>27275564730745</v>
      </c>
      <c r="O79" s="33" t="n">
        <v>28121576823855</v>
      </c>
      <c r="P79" s="33" t="n">
        <v>29669133577791</v>
      </c>
      <c r="Q79" s="33" t="n">
        <v>30016164896852</v>
      </c>
      <c r="R79" s="33" t="n">
        <v>31797199621877</v>
      </c>
      <c r="S79" s="33" t="n">
        <v>33176117374577</v>
      </c>
      <c r="T79" s="33" t="n">
        <v>35933342055104</v>
      </c>
      <c r="U79" s="33" t="n">
        <v>36351326250442</v>
      </c>
    </row>
    <row r="80">
      <c r="A80" s="32" t="inlineStr">
        <is>
          <t>Vốn góp</t>
        </is>
      </c>
      <c r="B80" s="33" t="n">
        <v>4434961780000</v>
      </c>
      <c r="C80" s="33" t="n">
        <v>4435461780000</v>
      </c>
      <c r="D80" s="33" t="n">
        <v>4532099870000</v>
      </c>
      <c r="E80" s="33" t="n">
        <v>7130654950000</v>
      </c>
      <c r="F80" s="33" t="n">
        <v>14638792800000</v>
      </c>
      <c r="G80" s="33" t="n">
        <v>14633767160000</v>
      </c>
      <c r="H80" s="33" t="n">
        <v>14622441770000</v>
      </c>
      <c r="I80" s="33" t="n">
        <v>14696931770000</v>
      </c>
      <c r="J80" s="33" t="n">
        <v>3231695210000</v>
      </c>
      <c r="K80" s="33" t="n">
        <v>3231695210000</v>
      </c>
      <c r="L80" s="33" t="n">
        <v>3231695210000</v>
      </c>
      <c r="M80" s="33" t="n">
        <v>4434961780000</v>
      </c>
      <c r="N80" s="33" t="n">
        <v>14622441770000</v>
      </c>
      <c r="O80" s="33" t="n">
        <v>14622441770000</v>
      </c>
      <c r="P80" s="33" t="n">
        <v>14622441770000</v>
      </c>
      <c r="Q80" s="33" t="n">
        <v>14796931770000</v>
      </c>
      <c r="R80" s="33" t="n">
        <v>14796931770000</v>
      </c>
      <c r="S80" s="33" t="n">
        <v>14696931770000</v>
      </c>
      <c r="T80" s="33" t="n">
        <v>14696931770000</v>
      </c>
      <c r="U80" s="33" t="n">
        <v>14696931770000</v>
      </c>
    </row>
    <row r="81">
      <c r="A81" s="32" t="inlineStr">
        <is>
          <t>Thặng dư vốn cổ phần</t>
        </is>
      </c>
      <c r="B81" s="33" t="n">
        <v>551451995486</v>
      </c>
      <c r="C81" s="33" t="n">
        <v>555206995486</v>
      </c>
      <c r="D81" s="33" t="n">
        <v>558110430986</v>
      </c>
      <c r="E81" s="33" t="n">
        <v>558110430986</v>
      </c>
      <c r="F81" s="33" t="n">
        <v>558110430986</v>
      </c>
      <c r="G81" s="33" t="n">
        <v>558110430986</v>
      </c>
      <c r="H81" s="33" t="n">
        <v>558110430986</v>
      </c>
      <c r="I81" s="33" t="n">
        <v>-152995820060</v>
      </c>
      <c r="J81" s="33" t="n">
        <v>551451995486</v>
      </c>
      <c r="K81" s="33" t="n">
        <v>551451995486</v>
      </c>
      <c r="L81" s="33" t="n">
        <v>551451995486</v>
      </c>
      <c r="M81" s="33" t="n">
        <v>551451995486</v>
      </c>
      <c r="N81" s="33" t="n">
        <v>558110430986</v>
      </c>
      <c r="O81" s="33" t="n">
        <v>558110430986</v>
      </c>
      <c r="P81" s="33" t="n">
        <v>558110430986</v>
      </c>
      <c r="Q81" s="33" t="n">
        <v>558110430986</v>
      </c>
      <c r="R81" s="33" t="n">
        <v>558110430986</v>
      </c>
      <c r="S81" s="33" t="n">
        <v>-152995820060</v>
      </c>
      <c r="T81" s="33" t="n">
        <v>-152995820060</v>
      </c>
      <c r="U81" s="33" t="n">
        <v>-152995820060</v>
      </c>
    </row>
    <row r="82">
      <c r="A82" s="32" t="inlineStr">
        <is>
          <t>Vốn khác</t>
        </is>
      </c>
      <c r="B82" s="33" t="n">
        <v>1130494084</v>
      </c>
      <c r="C82" s="33" t="n">
        <v>1130494084</v>
      </c>
      <c r="D82" s="33" t="n">
        <v>0</v>
      </c>
      <c r="E82" s="33" t="n">
        <v>0</v>
      </c>
      <c r="F82" s="33" t="n">
        <v>0</v>
      </c>
      <c r="G82" s="33" t="n">
        <v>0</v>
      </c>
      <c r="H82" s="33" t="n">
        <v>0</v>
      </c>
      <c r="I82" s="33" t="n">
        <v>0</v>
      </c>
      <c r="J82" s="33" t="n">
        <v>1130494084</v>
      </c>
      <c r="K82" s="33" t="n">
        <v>1130494084</v>
      </c>
      <c r="L82" s="33" t="n">
        <v>1130494084</v>
      </c>
      <c r="M82" s="33" t="n">
        <v>1130494084</v>
      </c>
      <c r="N82" s="33" t="n">
        <v>0</v>
      </c>
      <c r="O82" s="33" t="n">
        <v>0</v>
      </c>
      <c r="P82" s="33" t="n">
        <v>0</v>
      </c>
      <c r="Q82" s="33" t="n">
        <v>0</v>
      </c>
      <c r="R82" s="33" t="n">
        <v>0</v>
      </c>
      <c r="S82" s="33" t="n">
        <v>0</v>
      </c>
      <c r="T82" s="33" t="n">
        <v>0</v>
      </c>
      <c r="U82" s="33" t="n">
        <v>0</v>
      </c>
    </row>
    <row r="83">
      <c r="A83" s="32" t="inlineStr">
        <is>
          <t>Cổ phiếu quỹ</t>
        </is>
      </c>
      <c r="B83" s="33" t="n">
        <v>-808864500</v>
      </c>
      <c r="C83" s="33" t="n">
        <v>-5658924500</v>
      </c>
      <c r="D83" s="33" t="n">
        <v>-6040930000</v>
      </c>
      <c r="E83" s="33" t="n">
        <v>-2320000000</v>
      </c>
      <c r="F83" s="33" t="n">
        <v>-5025640000</v>
      </c>
      <c r="G83" s="33" t="n">
        <v>-9783280000</v>
      </c>
      <c r="H83" s="33" t="n">
        <v>-7599680000</v>
      </c>
      <c r="I83" s="33" t="n">
        <v>-12364140000</v>
      </c>
      <c r="J83" s="33" t="n">
        <v>-343564500</v>
      </c>
      <c r="K83" s="33" t="n">
        <v>-427764500</v>
      </c>
      <c r="L83" s="33" t="n">
        <v>-506264500</v>
      </c>
      <c r="M83" s="33" t="n">
        <v>-808864500</v>
      </c>
      <c r="N83" s="33" t="n">
        <v>-3287890000</v>
      </c>
      <c r="O83" s="33" t="n">
        <v>-7599680000</v>
      </c>
      <c r="P83" s="33" t="n">
        <v>-7599680000</v>
      </c>
      <c r="Q83" s="33" t="n">
        <v>-10841290000</v>
      </c>
      <c r="R83" s="33" t="n">
        <v>-12364140000</v>
      </c>
      <c r="S83" s="33" t="n">
        <v>-12364140000</v>
      </c>
      <c r="T83" s="33" t="n">
        <v>-12696480000</v>
      </c>
      <c r="U83" s="33" t="n">
        <v>-12696480000</v>
      </c>
    </row>
    <row r="84">
      <c r="A84" s="32" t="inlineStr">
        <is>
          <t>Chênh lệch đánh giá lại tài sản</t>
        </is>
      </c>
      <c r="B84" s="33" t="n">
        <v>0</v>
      </c>
      <c r="C84" s="33" t="n">
        <v>0</v>
      </c>
      <c r="D84" s="33" t="n">
        <v>0</v>
      </c>
      <c r="E84" s="33" t="n">
        <v>0</v>
      </c>
      <c r="F84" s="33" t="n">
        <v>0</v>
      </c>
      <c r="G84" s="33" t="n">
        <v>0</v>
      </c>
      <c r="H84" s="33" t="n">
        <v>0</v>
      </c>
      <c r="I84" s="33" t="n">
        <v>0</v>
      </c>
      <c r="J84" s="33" t="n">
        <v>0</v>
      </c>
      <c r="K84" s="33" t="n">
        <v>0</v>
      </c>
      <c r="L84" s="33" t="n">
        <v>0</v>
      </c>
      <c r="M84" s="33" t="n">
        <v>0</v>
      </c>
      <c r="N84" s="33" t="n">
        <v>0</v>
      </c>
      <c r="O84" s="33" t="n">
        <v>0</v>
      </c>
      <c r="P84" s="33" t="n">
        <v>0</v>
      </c>
      <c r="Q84" s="33" t="n">
        <v>0</v>
      </c>
      <c r="R84" s="33" t="n">
        <v>0</v>
      </c>
      <c r="S84" s="33" t="n">
        <v>0</v>
      </c>
      <c r="T84" s="33" t="n">
        <v>0</v>
      </c>
      <c r="U84" s="33" t="n">
        <v>0</v>
      </c>
    </row>
    <row r="85">
      <c r="A85" s="32" t="inlineStr">
        <is>
          <t>Chênh lệch tỷ giá</t>
        </is>
      </c>
      <c r="B85" s="33" t="n">
        <v>446572898</v>
      </c>
      <c r="C85" s="33" t="n">
        <v>-28377933</v>
      </c>
      <c r="D85" s="33" t="n">
        <v>-1443756225</v>
      </c>
      <c r="E85" s="33" t="n">
        <v>5388425299</v>
      </c>
      <c r="F85" s="33" t="n">
        <v>2261603090</v>
      </c>
      <c r="G85" s="33" t="n">
        <v>3739030306</v>
      </c>
      <c r="H85" s="33" t="n">
        <v>2458384629</v>
      </c>
      <c r="I85" s="33" t="n">
        <v>0</v>
      </c>
      <c r="J85" s="33" t="n">
        <v>-200577213</v>
      </c>
      <c r="K85" s="33" t="n">
        <v>-12787979</v>
      </c>
      <c r="L85" s="33" t="n">
        <v>330082134</v>
      </c>
      <c r="M85" s="33" t="n">
        <v>446572898</v>
      </c>
      <c r="N85" s="33" t="n">
        <v>3447583591</v>
      </c>
      <c r="O85" s="33" t="n">
        <v>2458384629</v>
      </c>
      <c r="P85" s="33" t="n">
        <v>2458384629</v>
      </c>
      <c r="Q85" s="33" t="n">
        <v>0</v>
      </c>
      <c r="R85" s="33" t="n">
        <v>0</v>
      </c>
      <c r="S85" s="33" t="n">
        <v>0</v>
      </c>
      <c r="T85" s="33" t="n">
        <v>0</v>
      </c>
      <c r="U85" s="33" t="n">
        <v>0</v>
      </c>
    </row>
    <row r="86">
      <c r="A86" s="32" t="inlineStr">
        <is>
          <t>Quỹ đầu tư và phát triển</t>
        </is>
      </c>
      <c r="B86" s="33" t="n">
        <v>0</v>
      </c>
      <c r="C86" s="33" t="n">
        <v>0</v>
      </c>
      <c r="D86" s="33" t="n">
        <v>0</v>
      </c>
      <c r="E86" s="33" t="n">
        <v>0</v>
      </c>
      <c r="F86" s="33" t="n">
        <v>0</v>
      </c>
      <c r="G86" s="33" t="n">
        <v>0</v>
      </c>
      <c r="H86" s="33" t="n">
        <v>0</v>
      </c>
      <c r="I86" s="33" t="n">
        <v>0</v>
      </c>
      <c r="J86" s="33" t="n">
        <v>0</v>
      </c>
      <c r="K86" s="33" t="n">
        <v>0</v>
      </c>
      <c r="L86" s="33" t="n">
        <v>0</v>
      </c>
      <c r="M86" s="33" t="n">
        <v>0</v>
      </c>
      <c r="N86" s="33" t="n">
        <v>0</v>
      </c>
      <c r="O86" s="33" t="n">
        <v>0</v>
      </c>
      <c r="P86" s="33" t="n">
        <v>0</v>
      </c>
      <c r="Q86" s="33" t="n">
        <v>0</v>
      </c>
      <c r="R86" s="33" t="n">
        <v>0</v>
      </c>
      <c r="S86" s="33" t="n">
        <v>0</v>
      </c>
      <c r="T86" s="33" t="n">
        <v>0</v>
      </c>
      <c r="U86" s="33" t="n">
        <v>0</v>
      </c>
    </row>
    <row r="87">
      <c r="A87" s="32" t="inlineStr">
        <is>
          <t>Quỹ dự phòng tài chính</t>
        </is>
      </c>
      <c r="B87" s="33" t="n">
        <v>0</v>
      </c>
      <c r="C87" s="33" t="n">
        <v>0</v>
      </c>
      <c r="D87" s="33" t="n">
        <v>0</v>
      </c>
      <c r="E87" s="33" t="n">
        <v>0</v>
      </c>
      <c r="F87" s="33" t="n">
        <v>0</v>
      </c>
      <c r="G87" s="33" t="n">
        <v>0</v>
      </c>
      <c r="H87" s="33" t="n">
        <v>0</v>
      </c>
      <c r="I87" s="33" t="n">
        <v>0</v>
      </c>
      <c r="J87" s="33" t="n">
        <v>0</v>
      </c>
      <c r="K87" s="33" t="n">
        <v>0</v>
      </c>
      <c r="L87" s="33" t="n">
        <v>0</v>
      </c>
      <c r="M87" s="33" t="n">
        <v>0</v>
      </c>
      <c r="N87" s="33" t="n">
        <v>0</v>
      </c>
      <c r="O87" s="33" t="n">
        <v>0</v>
      </c>
      <c r="P87" s="33" t="n">
        <v>0</v>
      </c>
      <c r="Q87" s="33" t="n">
        <v>0</v>
      </c>
      <c r="R87" s="33" t="n">
        <v>0</v>
      </c>
      <c r="S87" s="33" t="n">
        <v>0</v>
      </c>
      <c r="T87" s="33" t="n">
        <v>0</v>
      </c>
      <c r="U87" s="33" t="n">
        <v>0</v>
      </c>
    </row>
    <row r="88">
      <c r="A88" s="32" t="inlineStr">
        <is>
          <t>Quỹ khác</t>
        </is>
      </c>
      <c r="B88" s="33" t="n">
        <v>0</v>
      </c>
      <c r="C88" s="33" t="n">
        <v>0</v>
      </c>
      <c r="D88" s="33" t="n">
        <v>0</v>
      </c>
      <c r="E88" s="33" t="n">
        <v>0</v>
      </c>
      <c r="F88" s="33" t="n">
        <v>0</v>
      </c>
      <c r="G88" s="33" t="n">
        <v>0</v>
      </c>
      <c r="H88" s="33" t="n">
        <v>0</v>
      </c>
      <c r="I88" s="33" t="n">
        <v>0</v>
      </c>
      <c r="J88" s="33" t="n">
        <v>0</v>
      </c>
      <c r="K88" s="33" t="n">
        <v>0</v>
      </c>
      <c r="L88" s="33" t="n">
        <v>0</v>
      </c>
      <c r="M88" s="33" t="n">
        <v>0</v>
      </c>
      <c r="N88" s="33" t="n">
        <v>0</v>
      </c>
      <c r="O88" s="33" t="n">
        <v>0</v>
      </c>
      <c r="P88" s="33" t="n">
        <v>0</v>
      </c>
      <c r="Q88" s="33" t="n">
        <v>0</v>
      </c>
      <c r="R88" s="33" t="n">
        <v>0</v>
      </c>
      <c r="S88" s="33" t="n">
        <v>0</v>
      </c>
      <c r="T88" s="33" t="n">
        <v>0</v>
      </c>
      <c r="U88" s="33" t="n">
        <v>0</v>
      </c>
    </row>
    <row r="89">
      <c r="A89" s="32" t="inlineStr">
        <is>
          <t>Lãi chưa phân phối</t>
        </is>
      </c>
      <c r="B89" s="33" t="n">
        <v>3989603910055</v>
      </c>
      <c r="C89" s="33" t="n">
        <v>7149694161602</v>
      </c>
      <c r="D89" s="33" t="n">
        <v>10389683597845</v>
      </c>
      <c r="E89" s="33" t="n">
        <v>12674574164065</v>
      </c>
      <c r="F89" s="33" t="n">
        <v>8723934226370</v>
      </c>
      <c r="G89" s="33" t="n">
        <v>8160323595574</v>
      </c>
      <c r="H89" s="33" t="n">
        <v>12582145266842</v>
      </c>
      <c r="I89" s="33" t="n">
        <v>18068194576159</v>
      </c>
      <c r="J89" s="33" t="n">
        <v>3479310244269</v>
      </c>
      <c r="K89" s="33" t="n">
        <v>3726504803100</v>
      </c>
      <c r="L89" s="33" t="n">
        <v>4373549241259</v>
      </c>
      <c r="M89" s="33" t="n">
        <v>3989607252090</v>
      </c>
      <c r="N89" s="33" t="n">
        <v>11735140884637</v>
      </c>
      <c r="O89" s="33" t="n">
        <v>12582145266842</v>
      </c>
      <c r="P89" s="33" t="n">
        <v>14128082357783</v>
      </c>
      <c r="Q89" s="33" t="n">
        <v>14297771841487</v>
      </c>
      <c r="R89" s="33" t="n">
        <v>16068670758791</v>
      </c>
      <c r="S89" s="33" t="n">
        <v>18068194576159</v>
      </c>
      <c r="T89" s="33" t="n">
        <v>20782625319265</v>
      </c>
      <c r="U89" s="33" t="n">
        <v>21148258876277</v>
      </c>
    </row>
    <row r="90">
      <c r="A90" s="32" t="inlineStr">
        <is>
          <t>Quỹ hỗ trợ sắp xếp doanh nghiệp</t>
        </is>
      </c>
      <c r="B90" s="33" t="n">
        <v>0</v>
      </c>
      <c r="C90" s="33" t="n">
        <v>0</v>
      </c>
      <c r="D90" s="33" t="n">
        <v>0</v>
      </c>
      <c r="E90" s="33" t="n">
        <v>0</v>
      </c>
      <c r="F90" s="33" t="n">
        <v>0</v>
      </c>
      <c r="G90" s="33" t="n">
        <v>0</v>
      </c>
      <c r="H90" s="33" t="n">
        <v>0</v>
      </c>
      <c r="I90" s="33" t="n">
        <v>0</v>
      </c>
      <c r="J90" s="33" t="n">
        <v>0</v>
      </c>
      <c r="K90" s="33" t="n">
        <v>0</v>
      </c>
      <c r="L90" s="33" t="n">
        <v>0</v>
      </c>
      <c r="M90" s="33" t="n">
        <v>0</v>
      </c>
      <c r="N90" s="33" t="n">
        <v>0</v>
      </c>
      <c r="O90" s="33" t="n">
        <v>0</v>
      </c>
      <c r="P90" s="33" t="n">
        <v>0</v>
      </c>
      <c r="Q90" s="33" t="n">
        <v>0</v>
      </c>
      <c r="R90" s="33" t="n">
        <v>0</v>
      </c>
      <c r="S90" s="33" t="n">
        <v>0</v>
      </c>
      <c r="T90" s="33" t="n">
        <v>0</v>
      </c>
      <c r="U90" s="33" t="n">
        <v>0</v>
      </c>
    </row>
    <row r="91">
      <c r="A91" s="32" t="inlineStr">
        <is>
          <t>Vốn Ngân sách nhà nước và quỹ khác</t>
        </is>
      </c>
      <c r="B91" s="33" t="n">
        <v>0</v>
      </c>
      <c r="C91" s="33" t="n">
        <v>0</v>
      </c>
      <c r="D91" s="33" t="n">
        <v>0</v>
      </c>
      <c r="E91" s="33" t="n">
        <v>0</v>
      </c>
      <c r="F91" s="33" t="n">
        <v>0</v>
      </c>
      <c r="G91" s="33" t="n">
        <v>0</v>
      </c>
      <c r="H91" s="33" t="n">
        <v>0</v>
      </c>
      <c r="I91" s="33" t="n">
        <v>0</v>
      </c>
      <c r="J91" s="33" t="n">
        <v>0</v>
      </c>
      <c r="K91" s="33" t="n">
        <v>0</v>
      </c>
      <c r="L91" s="33" t="n">
        <v>0</v>
      </c>
      <c r="M91" s="33" t="n">
        <v>0</v>
      </c>
      <c r="N91" s="33" t="n">
        <v>0</v>
      </c>
      <c r="O91" s="33" t="n">
        <v>0</v>
      </c>
      <c r="P91" s="33" t="n">
        <v>0</v>
      </c>
      <c r="Q91" s="33" t="n">
        <v>0</v>
      </c>
      <c r="R91" s="33" t="n">
        <v>0</v>
      </c>
      <c r="S91" s="33" t="n">
        <v>0</v>
      </c>
      <c r="T91" s="33" t="n">
        <v>0</v>
      </c>
      <c r="U91" s="33" t="n">
        <v>0</v>
      </c>
    </row>
    <row r="92">
      <c r="A92" s="32" t="inlineStr">
        <is>
          <t>Quỹ khen thưởng, phúc lợi (trước 2010)</t>
        </is>
      </c>
      <c r="B92" s="33" t="n">
        <v>0</v>
      </c>
      <c r="C92" s="33" t="n">
        <v>0</v>
      </c>
      <c r="D92" s="33" t="n">
        <v>0</v>
      </c>
      <c r="E92" s="33" t="n">
        <v>0</v>
      </c>
      <c r="F92" s="33" t="n">
        <v>0</v>
      </c>
      <c r="G92" s="33" t="n">
        <v>0</v>
      </c>
      <c r="H92" s="33" t="n">
        <v>0</v>
      </c>
      <c r="I92" s="33" t="n">
        <v>0</v>
      </c>
      <c r="J92" s="33" t="n">
        <v>0</v>
      </c>
      <c r="K92" s="33" t="n">
        <v>0</v>
      </c>
      <c r="L92" s="33" t="n">
        <v>0</v>
      </c>
      <c r="M92" s="33" t="n">
        <v>0</v>
      </c>
      <c r="N92" s="33" t="n">
        <v>0</v>
      </c>
      <c r="O92" s="33" t="n">
        <v>0</v>
      </c>
      <c r="P92" s="33" t="n">
        <v>0</v>
      </c>
      <c r="Q92" s="33" t="n">
        <v>0</v>
      </c>
      <c r="R92" s="33" t="n">
        <v>0</v>
      </c>
      <c r="S92" s="33" t="n">
        <v>0</v>
      </c>
      <c r="T92" s="33" t="n">
        <v>0</v>
      </c>
      <c r="U92" s="33" t="n">
        <v>0</v>
      </c>
    </row>
    <row r="93">
      <c r="A93" s="32" t="inlineStr">
        <is>
          <t>Vốn ngân sách nhà nước và quỹ khác</t>
        </is>
      </c>
      <c r="B93" s="33" t="n">
        <v>0</v>
      </c>
      <c r="C93" s="33" t="n">
        <v>0</v>
      </c>
      <c r="D93" s="33" t="n">
        <v>0</v>
      </c>
      <c r="E93" s="33" t="n">
        <v>0</v>
      </c>
      <c r="F93" s="33" t="n">
        <v>0</v>
      </c>
      <c r="G93" s="33" t="n">
        <v>0</v>
      </c>
      <c r="H93" s="33" t="n">
        <v>0</v>
      </c>
      <c r="I93" s="33" t="n">
        <v>0</v>
      </c>
      <c r="J93" s="33" t="n">
        <v>0</v>
      </c>
      <c r="K93" s="33" t="n">
        <v>0</v>
      </c>
      <c r="L93" s="33" t="n">
        <v>0</v>
      </c>
      <c r="M93" s="33" t="n">
        <v>0</v>
      </c>
      <c r="N93" s="33" t="n">
        <v>0</v>
      </c>
      <c r="O93" s="33" t="n">
        <v>0</v>
      </c>
      <c r="P93" s="33" t="n">
        <v>0</v>
      </c>
      <c r="Q93" s="33" t="n">
        <v>0</v>
      </c>
      <c r="R93" s="33" t="n">
        <v>0</v>
      </c>
      <c r="S93" s="33" t="n">
        <v>0</v>
      </c>
      <c r="T93" s="33" t="n">
        <v>0</v>
      </c>
      <c r="U93" s="33" t="n">
        <v>0</v>
      </c>
    </row>
    <row r="94">
      <c r="A94" s="32" t="inlineStr">
        <is>
          <t>Lợi ích của cổ đông thiểu số</t>
        </is>
      </c>
      <c r="B94" s="33" t="n">
        <v>0</v>
      </c>
      <c r="C94" s="33" t="n">
        <v>0</v>
      </c>
      <c r="D94" s="33" t="n">
        <v>0</v>
      </c>
      <c r="E94" s="33" t="n">
        <v>0</v>
      </c>
      <c r="F94" s="33" t="n">
        <v>0</v>
      </c>
      <c r="G94" s="33" t="n">
        <v>0</v>
      </c>
      <c r="H94" s="33" t="n">
        <v>0</v>
      </c>
      <c r="I94" s="33" t="n">
        <v>0</v>
      </c>
      <c r="J94" s="33" t="n">
        <v>0</v>
      </c>
      <c r="K94" s="33" t="n">
        <v>0</v>
      </c>
      <c r="L94" s="33" t="n">
        <v>0</v>
      </c>
      <c r="M94" s="33" t="n">
        <v>0</v>
      </c>
      <c r="N94" s="33" t="n">
        <v>0</v>
      </c>
      <c r="O94" s="33" t="n">
        <v>0</v>
      </c>
      <c r="P94" s="33" t="n">
        <v>0</v>
      </c>
      <c r="Q94" s="33" t="n">
        <v>0</v>
      </c>
      <c r="R94" s="33" t="n">
        <v>0</v>
      </c>
      <c r="S94" s="33" t="n">
        <v>0</v>
      </c>
      <c r="T94" s="33" t="n">
        <v>0</v>
      </c>
      <c r="U94" s="33" t="n">
        <v>0</v>
      </c>
    </row>
    <row r="95">
      <c r="A95" s="32" t="inlineStr">
        <is>
          <t>Tổng cộng nguồn vốn</t>
        </is>
      </c>
      <c r="B95" s="33" t="n">
        <v>28122531486856</v>
      </c>
      <c r="C95" s="33" t="n">
        <v>41708095544883</v>
      </c>
      <c r="D95" s="33" t="n">
        <v>46030879952454</v>
      </c>
      <c r="E95" s="33" t="n">
        <v>62971404814942</v>
      </c>
      <c r="F95" s="33" t="n">
        <v>55834095614049</v>
      </c>
      <c r="G95" s="33" t="n">
        <v>60111237212724</v>
      </c>
      <c r="H95" s="33" t="n">
        <v>70437775721604</v>
      </c>
      <c r="I95" s="33" t="n">
        <v>83945619612034</v>
      </c>
      <c r="J95" s="33" t="n">
        <v>23658886280181</v>
      </c>
      <c r="K95" s="33" t="n">
        <v>24342688854797</v>
      </c>
      <c r="L95" s="33" t="n">
        <v>25546431535682</v>
      </c>
      <c r="M95" s="33" t="n">
        <v>28140106400857</v>
      </c>
      <c r="N95" s="33" t="n">
        <v>66900043141335</v>
      </c>
      <c r="O95" s="33" t="n">
        <v>70437775721604</v>
      </c>
      <c r="P95" s="33" t="n">
        <v>72679224714947</v>
      </c>
      <c r="Q95" s="33" t="n">
        <v>81001399247768</v>
      </c>
      <c r="R95" s="33" t="n">
        <v>80288497892066</v>
      </c>
      <c r="S95" s="33" t="n">
        <v>83945619612034</v>
      </c>
      <c r="T95" s="33" t="n">
        <v>83994558472327</v>
      </c>
      <c r="U95" s="33" t="n">
        <v>104914963643071</v>
      </c>
    </row>
    <row r="96">
      <c r="A96" s="32" t="inlineStr">
        <is>
          <t>Cổ phiếu ưu đãi</t>
        </is>
      </c>
      <c r="B96" s="33" t="n">
        <v>0</v>
      </c>
      <c r="C96" s="33" t="n">
        <v>0</v>
      </c>
      <c r="D96" s="33" t="n">
        <v>0</v>
      </c>
      <c r="E96" s="33" t="n">
        <v>0</v>
      </c>
      <c r="F96" s="33" t="n">
        <v>0</v>
      </c>
      <c r="G96" s="33" t="n">
        <v>0</v>
      </c>
      <c r="H96" s="33" t="n">
        <v>0</v>
      </c>
      <c r="I96" s="33" t="n">
        <v>0</v>
      </c>
      <c r="J96" s="33" t="n">
        <v>0</v>
      </c>
      <c r="K96" s="33" t="n">
        <v>0</v>
      </c>
      <c r="L96" s="33" t="n">
        <v>0</v>
      </c>
      <c r="M96" s="33" t="n">
        <v>0</v>
      </c>
      <c r="N96" s="33" t="n">
        <v>0</v>
      </c>
      <c r="O96" s="33" t="n">
        <v>0</v>
      </c>
      <c r="P96" s="33" t="n">
        <v>0</v>
      </c>
      <c r="Q96" s="33" t="n">
        <v>0</v>
      </c>
      <c r="R96" s="33" t="n">
        <v>0</v>
      </c>
      <c r="S96" s="33" t="n">
        <v>0</v>
      </c>
      <c r="T96" s="33" t="n">
        <v>0</v>
      </c>
      <c r="U96" s="33" t="n">
        <v>0</v>
      </c>
    </row>
    <row r="97">
      <c r="A97" s="32" t="inlineStr">
        <is>
          <t>Đầu tư nắm giữ đến ngày đáo hạn</t>
        </is>
      </c>
      <c r="B97" s="33" t="n">
        <v>0</v>
      </c>
      <c r="C97" s="33" t="n">
        <v>0</v>
      </c>
      <c r="D97" s="33" t="n">
        <v>0</v>
      </c>
      <c r="E97" s="33" t="n">
        <v>0</v>
      </c>
      <c r="F97" s="33" t="n">
        <v>50000000000</v>
      </c>
      <c r="G97" s="33" t="n">
        <v>460000000000</v>
      </c>
      <c r="H97" s="33" t="n">
        <v>0</v>
      </c>
      <c r="I97" s="33" t="n">
        <v>2765156500000</v>
      </c>
      <c r="J97" s="33" t="n">
        <v>0</v>
      </c>
      <c r="K97" s="33" t="n">
        <v>0</v>
      </c>
      <c r="L97" s="33" t="n">
        <v>0</v>
      </c>
      <c r="M97" s="33" t="n">
        <v>0</v>
      </c>
      <c r="N97" s="33" t="n">
        <v>715223904687</v>
      </c>
      <c r="O97" s="33" t="n">
        <v>0</v>
      </c>
      <c r="P97" s="33" t="n">
        <v>0</v>
      </c>
      <c r="Q97" s="33" t="n">
        <v>850000000000</v>
      </c>
      <c r="R97" s="33" t="n">
        <v>1267211294000</v>
      </c>
      <c r="S97" s="33" t="n">
        <v>2765156500000</v>
      </c>
      <c r="T97" s="33" t="n">
        <v>2964161300000</v>
      </c>
      <c r="U97" s="33" t="n">
        <v>2964161300000</v>
      </c>
    </row>
    <row r="98">
      <c r="A98" s="32" t="inlineStr">
        <is>
          <t>Vốn kinh doanh ở các đơn vị trực thuộc</t>
        </is>
      </c>
      <c r="B98" s="33" t="n">
        <v>0</v>
      </c>
      <c r="C98" s="33" t="n">
        <v>0</v>
      </c>
      <c r="D98" s="33" t="n">
        <v>0</v>
      </c>
      <c r="E98" s="33" t="n">
        <v>0</v>
      </c>
      <c r="F98" s="33" t="n">
        <v>0</v>
      </c>
      <c r="G98" s="33" t="n">
        <v>0</v>
      </c>
      <c r="H98" s="33" t="n">
        <v>0</v>
      </c>
      <c r="I98" s="33" t="n">
        <v>0</v>
      </c>
      <c r="J98" s="33" t="n">
        <v>0</v>
      </c>
      <c r="K98" s="33" t="n">
        <v>0</v>
      </c>
      <c r="L98" s="33" t="n">
        <v>0</v>
      </c>
      <c r="M98" s="33" t="n">
        <v>0</v>
      </c>
      <c r="N98" s="33" t="n">
        <v>0</v>
      </c>
      <c r="O98" s="33" t="n">
        <v>0</v>
      </c>
      <c r="P98" s="33" t="n">
        <v>0</v>
      </c>
      <c r="Q98" s="33" t="n">
        <v>0</v>
      </c>
      <c r="R98" s="33" t="n">
        <v>0</v>
      </c>
      <c r="S98" s="33" t="n">
        <v>0</v>
      </c>
      <c r="T98" s="33" t="n">
        <v>0</v>
      </c>
      <c r="U98" s="33" t="n">
        <v>0</v>
      </c>
    </row>
    <row r="99">
      <c r="A99" s="32" t="inlineStr">
        <is>
          <t>Tài sản thiếu cần xử lý</t>
        </is>
      </c>
      <c r="B99" s="33" t="n">
        <v>0</v>
      </c>
      <c r="C99" s="33" t="n">
        <v>0</v>
      </c>
      <c r="D99" s="33" t="n">
        <v>0</v>
      </c>
      <c r="E99" s="33" t="n">
        <v>0</v>
      </c>
      <c r="F99" s="33" t="n">
        <v>0</v>
      </c>
      <c r="G99" s="33" t="n">
        <v>0</v>
      </c>
      <c r="H99" s="33" t="n">
        <v>0</v>
      </c>
      <c r="I99" s="33" t="n">
        <v>0</v>
      </c>
      <c r="J99" s="33" t="n">
        <v>0</v>
      </c>
      <c r="K99" s="33" t="n">
        <v>0</v>
      </c>
      <c r="L99" s="33" t="n">
        <v>0</v>
      </c>
      <c r="M99" s="33" t="n">
        <v>0</v>
      </c>
      <c r="N99" s="33" t="n">
        <v>0</v>
      </c>
      <c r="O99" s="33" t="n">
        <v>0</v>
      </c>
      <c r="P99" s="33" t="n">
        <v>0</v>
      </c>
      <c r="Q99" s="33" t="n">
        <v>0</v>
      </c>
      <c r="R99" s="33" t="n">
        <v>0</v>
      </c>
      <c r="S99" s="33" t="n">
        <v>0</v>
      </c>
      <c r="T99" s="33" t="n">
        <v>0</v>
      </c>
      <c r="U99" s="33" t="n">
        <v>0</v>
      </c>
    </row>
    <row r="100">
      <c r="A100" s="32" t="inlineStr">
        <is>
          <t>Phải thu cho vay ngắn hạn</t>
        </is>
      </c>
      <c r="B100" s="33" t="n">
        <v>0</v>
      </c>
      <c r="C100" s="33" t="n">
        <v>0</v>
      </c>
      <c r="D100" s="33" t="n">
        <v>80000000000</v>
      </c>
      <c r="E100" s="33" t="n">
        <v>961917697638</v>
      </c>
      <c r="F100" s="33" t="n">
        <v>16917697638</v>
      </c>
      <c r="G100" s="33" t="n">
        <v>2085917697638</v>
      </c>
      <c r="H100" s="33" t="n">
        <v>6037714596101</v>
      </c>
      <c r="I100" s="33" t="n">
        <v>6910500000000</v>
      </c>
      <c r="J100" s="33" t="n">
        <v>0</v>
      </c>
      <c r="K100" s="33" t="n">
        <v>0</v>
      </c>
      <c r="L100" s="33" t="n">
        <v>0</v>
      </c>
      <c r="M100" s="33" t="n">
        <v>0</v>
      </c>
      <c r="N100" s="33" t="n">
        <v>4536444000000</v>
      </c>
      <c r="O100" s="33" t="n">
        <v>6037714596101</v>
      </c>
      <c r="P100" s="33" t="n">
        <v>6972000000000</v>
      </c>
      <c r="Q100" s="33" t="n">
        <v>7929000000000</v>
      </c>
      <c r="R100" s="33" t="n">
        <v>7879500000000</v>
      </c>
      <c r="S100" s="33" t="n">
        <v>6910500000000</v>
      </c>
      <c r="T100" s="33" t="n">
        <v>0</v>
      </c>
      <c r="U100" s="33" t="n">
        <v>0</v>
      </c>
    </row>
    <row r="101">
      <c r="A101" s="32" t="inlineStr">
        <is>
          <t>Giao dịch mua bán lại trái phiếu Chính phủ</t>
        </is>
      </c>
      <c r="B101" s="33" t="n">
        <v>0</v>
      </c>
      <c r="C101" s="33" t="n">
        <v>0</v>
      </c>
      <c r="D101" s="33" t="n">
        <v>0</v>
      </c>
      <c r="E101" s="33" t="n">
        <v>0</v>
      </c>
      <c r="F101" s="33" t="n">
        <v>0</v>
      </c>
      <c r="G101" s="33" t="n">
        <v>0</v>
      </c>
      <c r="H101" s="33" t="n">
        <v>0</v>
      </c>
      <c r="I101" s="33" t="n">
        <v>0</v>
      </c>
      <c r="J101" s="33" t="n">
        <v>0</v>
      </c>
      <c r="K101" s="33" t="n">
        <v>0</v>
      </c>
      <c r="L101" s="33" t="n">
        <v>0</v>
      </c>
      <c r="M101" s="33" t="n">
        <v>0</v>
      </c>
      <c r="N101" s="33" t="n">
        <v>0</v>
      </c>
      <c r="O101" s="33" t="n">
        <v>0</v>
      </c>
      <c r="P101" s="33" t="n">
        <v>0</v>
      </c>
      <c r="Q101" s="33" t="n">
        <v>0</v>
      </c>
      <c r="R101" s="33" t="n">
        <v>0</v>
      </c>
      <c r="S101" s="33" t="n">
        <v>0</v>
      </c>
      <c r="T101" s="33" t="n">
        <v>0</v>
      </c>
      <c r="U101" s="33" t="n">
        <v>0</v>
      </c>
    </row>
    <row r="102">
      <c r="A102" s="32" t="inlineStr">
        <is>
          <t>Trả trước người bán dài hạn</t>
        </is>
      </c>
      <c r="B102" s="33" t="n">
        <v>0</v>
      </c>
      <c r="C102" s="33" t="n">
        <v>0</v>
      </c>
      <c r="D102" s="33" t="n">
        <v>0</v>
      </c>
      <c r="E102" s="33" t="n">
        <v>0</v>
      </c>
      <c r="F102" s="33" t="n">
        <v>0</v>
      </c>
      <c r="G102" s="33" t="n">
        <v>0</v>
      </c>
      <c r="H102" s="33" t="n">
        <v>0</v>
      </c>
      <c r="I102" s="33" t="n">
        <v>0</v>
      </c>
      <c r="J102" s="33" t="n">
        <v>0</v>
      </c>
      <c r="K102" s="33" t="n">
        <v>0</v>
      </c>
      <c r="L102" s="33" t="n">
        <v>0</v>
      </c>
      <c r="M102" s="33" t="n">
        <v>0</v>
      </c>
      <c r="N102" s="33" t="n">
        <v>0</v>
      </c>
      <c r="O102" s="33" t="n">
        <v>0</v>
      </c>
      <c r="P102" s="33" t="n">
        <v>0</v>
      </c>
      <c r="Q102" s="33" t="n">
        <v>0</v>
      </c>
      <c r="R102" s="33" t="n">
        <v>0</v>
      </c>
      <c r="S102" s="33" t="n">
        <v>0</v>
      </c>
      <c r="T102" s="33" t="n">
        <v>0</v>
      </c>
      <c r="U102" s="33" t="n">
        <v>0</v>
      </c>
    </row>
    <row r="103">
      <c r="A103" s="32" t="inlineStr">
        <is>
          <t>Phải thu cho vay dài hạn</t>
        </is>
      </c>
      <c r="B103" s="33" t="n">
        <v>0</v>
      </c>
      <c r="C103" s="33" t="n">
        <v>0</v>
      </c>
      <c r="D103" s="33" t="n">
        <v>0</v>
      </c>
      <c r="E103" s="33" t="n">
        <v>0</v>
      </c>
      <c r="F103" s="33" t="n">
        <v>9744723329</v>
      </c>
      <c r="G103" s="33" t="n">
        <v>9244973329</v>
      </c>
      <c r="H103" s="33" t="n">
        <v>0</v>
      </c>
      <c r="I103" s="33" t="n">
        <v>0</v>
      </c>
      <c r="J103" s="33" t="n">
        <v>0</v>
      </c>
      <c r="K103" s="33" t="n">
        <v>0</v>
      </c>
      <c r="L103" s="33" t="n">
        <v>0</v>
      </c>
      <c r="M103" s="33" t="n">
        <v>0</v>
      </c>
      <c r="N103" s="33" t="n">
        <v>0</v>
      </c>
      <c r="O103" s="33" t="n">
        <v>0</v>
      </c>
      <c r="P103" s="33" t="n">
        <v>0</v>
      </c>
      <c r="Q103" s="33" t="n">
        <v>0</v>
      </c>
      <c r="R103" s="33" t="n">
        <v>0</v>
      </c>
      <c r="S103" s="33" t="n">
        <v>0</v>
      </c>
      <c r="T103" s="33" t="n">
        <v>0</v>
      </c>
      <c r="U103" s="33" t="n">
        <v>0</v>
      </c>
    </row>
    <row r="104">
      <c r="A104" s="32" t="inlineStr">
        <is>
          <t>Tài sản dở dang dài hạn</t>
        </is>
      </c>
      <c r="B104" s="33" t="n">
        <v>256831997207</v>
      </c>
      <c r="C104" s="33" t="n">
        <v>87430438310</v>
      </c>
      <c r="D104" s="33" t="n">
        <v>132620362470</v>
      </c>
      <c r="E104" s="33" t="n">
        <v>79697939172</v>
      </c>
      <c r="F104" s="33" t="n">
        <v>123873978878</v>
      </c>
      <c r="G104" s="33" t="n">
        <v>4493856934</v>
      </c>
      <c r="H104" s="33" t="n">
        <v>24526423340</v>
      </c>
      <c r="I104" s="33" t="n">
        <v>90899467872</v>
      </c>
      <c r="J104" s="33" t="n">
        <v>32265503039</v>
      </c>
      <c r="K104" s="33" t="n">
        <v>71706234643</v>
      </c>
      <c r="L104" s="33" t="n">
        <v>154768727219</v>
      </c>
      <c r="M104" s="33" t="n">
        <v>244569127108</v>
      </c>
      <c r="N104" s="33" t="n">
        <v>9959937855</v>
      </c>
      <c r="O104" s="33" t="n">
        <v>24526423340</v>
      </c>
      <c r="P104" s="33" t="n">
        <v>56354717820</v>
      </c>
      <c r="Q104" s="33" t="n">
        <v>106485757231</v>
      </c>
      <c r="R104" s="33" t="n">
        <v>76144035146</v>
      </c>
      <c r="S104" s="33" t="n">
        <v>90899467872</v>
      </c>
      <c r="T104" s="33" t="n">
        <v>130919306624</v>
      </c>
      <c r="U104" s="33" t="n">
        <v>11443229761</v>
      </c>
    </row>
    <row r="105">
      <c r="A105" s="32" t="inlineStr">
        <is>
          <t>Chi phí sản xuất, kinh doanh dở dang dài hạn</t>
        </is>
      </c>
      <c r="B105" s="33" t="n">
        <v>0</v>
      </c>
      <c r="C105" s="33" t="n">
        <v>0</v>
      </c>
      <c r="D105" s="33" t="n">
        <v>0</v>
      </c>
      <c r="E105" s="33" t="n">
        <v>0</v>
      </c>
      <c r="F105" s="33" t="n">
        <v>0</v>
      </c>
      <c r="G105" s="33" t="n">
        <v>0</v>
      </c>
      <c r="H105" s="33" t="n">
        <v>0</v>
      </c>
      <c r="I105" s="33" t="n">
        <v>0</v>
      </c>
      <c r="J105" s="33" t="n">
        <v>0</v>
      </c>
      <c r="K105" s="33" t="n">
        <v>0</v>
      </c>
      <c r="L105" s="33" t="n">
        <v>0</v>
      </c>
      <c r="M105" s="33" t="n">
        <v>0</v>
      </c>
      <c r="N105" s="33" t="n">
        <v>0</v>
      </c>
      <c r="O105" s="33" t="n">
        <v>0</v>
      </c>
      <c r="P105" s="33" t="n">
        <v>0</v>
      </c>
      <c r="Q105" s="33" t="n">
        <v>0</v>
      </c>
      <c r="R105" s="33" t="n">
        <v>0</v>
      </c>
      <c r="S105" s="33" t="n">
        <v>0</v>
      </c>
      <c r="T105" s="33" t="n">
        <v>0</v>
      </c>
      <c r="U105" s="33" t="n">
        <v>0</v>
      </c>
    </row>
    <row r="106">
      <c r="A106" s="32" t="inlineStr">
        <is>
          <t>Đầu tư nắm giữ đến ngày đáo hạn</t>
        </is>
      </c>
      <c r="B106" s="33" t="n"/>
      <c r="C106" s="33" t="n"/>
      <c r="D106" s="33" t="n"/>
      <c r="E106" s="33" t="n"/>
      <c r="F106" s="33" t="n">
        <v>50000000000</v>
      </c>
      <c r="G106" s="33" t="n">
        <v>460000000000</v>
      </c>
      <c r="H106" s="33" t="n">
        <v>0</v>
      </c>
      <c r="I106" s="33" t="n">
        <v>2765156500000</v>
      </c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</row>
    <row r="107">
      <c r="A107" s="32" t="inlineStr">
        <is>
          <t>Thiết bị, vật tư, phụ tùng thay thế dài hạn</t>
        </is>
      </c>
      <c r="B107" s="33" t="n">
        <v>0</v>
      </c>
      <c r="C107" s="33" t="n">
        <v>0</v>
      </c>
      <c r="D107" s="33" t="n">
        <v>0</v>
      </c>
      <c r="E107" s="33" t="n">
        <v>0</v>
      </c>
      <c r="F107" s="33" t="n">
        <v>0</v>
      </c>
      <c r="G107" s="33" t="n">
        <v>0</v>
      </c>
      <c r="H107" s="33" t="n">
        <v>0</v>
      </c>
      <c r="I107" s="33" t="n">
        <v>0</v>
      </c>
      <c r="J107" s="33" t="n">
        <v>0</v>
      </c>
      <c r="K107" s="33" t="n">
        <v>0</v>
      </c>
      <c r="L107" s="33" t="n">
        <v>0</v>
      </c>
      <c r="M107" s="33" t="n">
        <v>0</v>
      </c>
      <c r="N107" s="33" t="n">
        <v>0</v>
      </c>
      <c r="O107" s="33" t="n">
        <v>0</v>
      </c>
      <c r="P107" s="33" t="n">
        <v>0</v>
      </c>
      <c r="Q107" s="33" t="n">
        <v>0</v>
      </c>
      <c r="R107" s="33" t="n">
        <v>0</v>
      </c>
      <c r="S107" s="33" t="n">
        <v>0</v>
      </c>
      <c r="T107" s="33" t="n">
        <v>0</v>
      </c>
      <c r="U107" s="33" t="n">
        <v>0</v>
      </c>
    </row>
    <row r="108">
      <c r="A108" s="32" t="inlineStr">
        <is>
          <t>Doanh thu chưa thực hiện ngắn hạn</t>
        </is>
      </c>
      <c r="B108" s="33" t="n">
        <v>0</v>
      </c>
      <c r="C108" s="33" t="n">
        <v>333585179</v>
      </c>
      <c r="D108" s="33" t="n">
        <v>308408475</v>
      </c>
      <c r="E108" s="33" t="n">
        <v>0</v>
      </c>
      <c r="F108" s="33" t="n">
        <v>386943692</v>
      </c>
      <c r="G108" s="33" t="n">
        <v>3405793231</v>
      </c>
      <c r="H108" s="33" t="n">
        <v>51807612125</v>
      </c>
      <c r="I108" s="33" t="n">
        <v>536936718444</v>
      </c>
      <c r="J108" s="33" t="n">
        <v>0</v>
      </c>
      <c r="K108" s="33" t="n">
        <v>0</v>
      </c>
      <c r="L108" s="33" t="n">
        <v>0</v>
      </c>
      <c r="M108" s="33" t="n">
        <v>0</v>
      </c>
      <c r="N108" s="33" t="n">
        <v>13731426204</v>
      </c>
      <c r="O108" s="33" t="n">
        <v>51807612125</v>
      </c>
      <c r="P108" s="33" t="n">
        <v>45792857820</v>
      </c>
      <c r="Q108" s="33" t="n">
        <v>33327027697</v>
      </c>
      <c r="R108" s="33" t="n">
        <v>16157007362</v>
      </c>
      <c r="S108" s="33" t="n">
        <v>536936718444</v>
      </c>
      <c r="T108" s="33" t="n">
        <v>612715630330</v>
      </c>
      <c r="U108" s="33" t="n">
        <v>184120231127</v>
      </c>
    </row>
    <row r="109">
      <c r="A109" s="32" t="inlineStr">
        <is>
          <t>Quỹ bình ổn giá</t>
        </is>
      </c>
      <c r="B109" s="33" t="n">
        <v>0</v>
      </c>
      <c r="C109" s="33" t="n">
        <v>0</v>
      </c>
      <c r="D109" s="33" t="n">
        <v>0</v>
      </c>
      <c r="E109" s="33" t="n">
        <v>0</v>
      </c>
      <c r="F109" s="33" t="n">
        <v>0</v>
      </c>
      <c r="G109" s="33" t="n">
        <v>0</v>
      </c>
      <c r="H109" s="33" t="n">
        <v>0</v>
      </c>
      <c r="I109" s="33" t="n">
        <v>0</v>
      </c>
      <c r="J109" s="33" t="n">
        <v>0</v>
      </c>
      <c r="K109" s="33" t="n">
        <v>0</v>
      </c>
      <c r="L109" s="33" t="n">
        <v>0</v>
      </c>
      <c r="M109" s="33" t="n">
        <v>0</v>
      </c>
      <c r="N109" s="33" t="n">
        <v>0</v>
      </c>
      <c r="O109" s="33" t="n">
        <v>0</v>
      </c>
      <c r="P109" s="33" t="n">
        <v>0</v>
      </c>
      <c r="Q109" s="33" t="n">
        <v>0</v>
      </c>
      <c r="R109" s="33" t="n">
        <v>0</v>
      </c>
      <c r="S109" s="33" t="n">
        <v>0</v>
      </c>
      <c r="T109" s="33" t="n">
        <v>0</v>
      </c>
      <c r="U109" s="33" t="n">
        <v>0</v>
      </c>
    </row>
    <row r="110">
      <c r="A110" s="32" t="inlineStr">
        <is>
          <t>Giao dịch mua bán lại trái phiếu chính phủ</t>
        </is>
      </c>
      <c r="B110" s="33" t="n">
        <v>0</v>
      </c>
      <c r="C110" s="33" t="n">
        <v>0</v>
      </c>
      <c r="D110" s="33" t="n">
        <v>0</v>
      </c>
      <c r="E110" s="33" t="n">
        <v>0</v>
      </c>
      <c r="F110" s="33" t="n">
        <v>0</v>
      </c>
      <c r="G110" s="33" t="n">
        <v>0</v>
      </c>
      <c r="H110" s="33" t="n">
        <v>0</v>
      </c>
      <c r="I110" s="33" t="n">
        <v>0</v>
      </c>
      <c r="J110" s="33" t="n">
        <v>0</v>
      </c>
      <c r="K110" s="33" t="n">
        <v>0</v>
      </c>
      <c r="L110" s="33" t="n">
        <v>0</v>
      </c>
      <c r="M110" s="33" t="n">
        <v>0</v>
      </c>
      <c r="N110" s="33" t="n">
        <v>0</v>
      </c>
      <c r="O110" s="33" t="n">
        <v>0</v>
      </c>
      <c r="P110" s="33" t="n">
        <v>0</v>
      </c>
      <c r="Q110" s="33" t="n">
        <v>0</v>
      </c>
      <c r="R110" s="33" t="n">
        <v>0</v>
      </c>
      <c r="S110" s="33" t="n">
        <v>0</v>
      </c>
      <c r="T110" s="33" t="n">
        <v>0</v>
      </c>
      <c r="U110" s="33" t="n">
        <v>0</v>
      </c>
    </row>
    <row r="111">
      <c r="A111" s="32" t="inlineStr">
        <is>
          <t>Người mua trả tiền trước dài hạn</t>
        </is>
      </c>
      <c r="B111" s="33" t="n">
        <v>0</v>
      </c>
      <c r="C111" s="33" t="n">
        <v>0</v>
      </c>
      <c r="D111" s="33" t="n">
        <v>0</v>
      </c>
      <c r="E111" s="33" t="n">
        <v>0</v>
      </c>
      <c r="F111" s="33" t="n">
        <v>0</v>
      </c>
      <c r="G111" s="33" t="n">
        <v>0</v>
      </c>
      <c r="H111" s="33" t="n">
        <v>0</v>
      </c>
      <c r="I111" s="33" t="n">
        <v>0</v>
      </c>
      <c r="J111" s="33" t="n">
        <v>0</v>
      </c>
      <c r="K111" s="33" t="n">
        <v>0</v>
      </c>
      <c r="L111" s="33" t="n">
        <v>0</v>
      </c>
      <c r="M111" s="33" t="n">
        <v>0</v>
      </c>
      <c r="N111" s="33" t="n">
        <v>0</v>
      </c>
      <c r="O111" s="33" t="n">
        <v>0</v>
      </c>
      <c r="P111" s="33" t="n">
        <v>0</v>
      </c>
      <c r="Q111" s="33" t="n">
        <v>0</v>
      </c>
      <c r="R111" s="33" t="n">
        <v>0</v>
      </c>
      <c r="S111" s="33" t="n">
        <v>0</v>
      </c>
      <c r="T111" s="33" t="n">
        <v>0</v>
      </c>
      <c r="U111" s="33" t="n">
        <v>0</v>
      </c>
    </row>
    <row r="112">
      <c r="A112" s="32" t="inlineStr">
        <is>
          <t>Chi phí phải trả dài hạn</t>
        </is>
      </c>
      <c r="B112" s="33" t="n">
        <v>0</v>
      </c>
      <c r="C112" s="33" t="n">
        <v>0</v>
      </c>
      <c r="D112" s="33" t="n">
        <v>0</v>
      </c>
      <c r="E112" s="33" t="n">
        <v>0</v>
      </c>
      <c r="F112" s="33" t="n">
        <v>0</v>
      </c>
      <c r="G112" s="33" t="n">
        <v>0</v>
      </c>
      <c r="H112" s="33" t="n">
        <v>0</v>
      </c>
      <c r="I112" s="33" t="n">
        <v>0</v>
      </c>
      <c r="J112" s="33" t="n">
        <v>0</v>
      </c>
      <c r="K112" s="33" t="n">
        <v>0</v>
      </c>
      <c r="L112" s="33" t="n">
        <v>0</v>
      </c>
      <c r="M112" s="33" t="n">
        <v>0</v>
      </c>
      <c r="N112" s="33" t="n">
        <v>0</v>
      </c>
      <c r="O112" s="33" t="n">
        <v>0</v>
      </c>
      <c r="P112" s="33" t="n">
        <v>0</v>
      </c>
      <c r="Q112" s="33" t="n">
        <v>0</v>
      </c>
      <c r="R112" s="33" t="n">
        <v>0</v>
      </c>
      <c r="S112" s="33" t="n">
        <v>0</v>
      </c>
      <c r="T112" s="33" t="n">
        <v>0</v>
      </c>
      <c r="U112" s="33" t="n">
        <v>0</v>
      </c>
    </row>
    <row r="113">
      <c r="A113" s="32" t="inlineStr">
        <is>
          <t>Phải trả nội bộ về vốn kinh doanh</t>
        </is>
      </c>
      <c r="B113" s="33" t="n">
        <v>0</v>
      </c>
      <c r="C113" s="33" t="n">
        <v>0</v>
      </c>
      <c r="D113" s="33" t="n">
        <v>0</v>
      </c>
      <c r="E113" s="33" t="n">
        <v>0</v>
      </c>
      <c r="F113" s="33" t="n">
        <v>0</v>
      </c>
      <c r="G113" s="33" t="n">
        <v>0</v>
      </c>
      <c r="H113" s="33" t="n">
        <v>0</v>
      </c>
      <c r="I113" s="33" t="n">
        <v>0</v>
      </c>
      <c r="J113" s="33" t="n">
        <v>0</v>
      </c>
      <c r="K113" s="33" t="n">
        <v>0</v>
      </c>
      <c r="L113" s="33" t="n">
        <v>0</v>
      </c>
      <c r="M113" s="33" t="n">
        <v>0</v>
      </c>
      <c r="N113" s="33" t="n">
        <v>0</v>
      </c>
      <c r="O113" s="33" t="n">
        <v>0</v>
      </c>
      <c r="P113" s="33" t="n">
        <v>0</v>
      </c>
      <c r="Q113" s="33" t="n">
        <v>0</v>
      </c>
      <c r="R113" s="33" t="n">
        <v>0</v>
      </c>
      <c r="S113" s="33" t="n">
        <v>0</v>
      </c>
      <c r="T113" s="33" t="n">
        <v>0</v>
      </c>
      <c r="U113" s="33" t="n">
        <v>0</v>
      </c>
    </row>
    <row r="114">
      <c r="A114" s="32" t="inlineStr">
        <is>
          <t>Trái phiếu chuyển đổi</t>
        </is>
      </c>
      <c r="B114" s="33" t="n">
        <v>0</v>
      </c>
      <c r="C114" s="33" t="n">
        <v>0</v>
      </c>
      <c r="D114" s="33" t="n">
        <v>0</v>
      </c>
      <c r="E114" s="33" t="n">
        <v>0</v>
      </c>
      <c r="F114" s="33" t="n">
        <v>0</v>
      </c>
      <c r="G114" s="33" t="n">
        <v>0</v>
      </c>
      <c r="H114" s="33" t="n">
        <v>0</v>
      </c>
      <c r="I114" s="33" t="n">
        <v>0</v>
      </c>
      <c r="J114" s="33" t="n">
        <v>0</v>
      </c>
      <c r="K114" s="33" t="n">
        <v>0</v>
      </c>
      <c r="L114" s="33" t="n">
        <v>0</v>
      </c>
      <c r="M114" s="33" t="n">
        <v>0</v>
      </c>
      <c r="N114" s="33" t="n">
        <v>0</v>
      </c>
      <c r="O114" s="33" t="n">
        <v>0</v>
      </c>
      <c r="P114" s="33" t="n">
        <v>0</v>
      </c>
      <c r="Q114" s="33" t="n">
        <v>0</v>
      </c>
      <c r="R114" s="33" t="n">
        <v>0</v>
      </c>
      <c r="S114" s="33" t="n">
        <v>0</v>
      </c>
      <c r="T114" s="33" t="n">
        <v>0</v>
      </c>
      <c r="U114" s="33" t="n">
        <v>0</v>
      </c>
    </row>
    <row r="115">
      <c r="A115" s="32" t="inlineStr">
        <is>
          <t>Cổ phiếu ưu đãi</t>
        </is>
      </c>
      <c r="B115" s="33" t="n"/>
      <c r="C115" s="33" t="n"/>
      <c r="D115" s="33" t="n"/>
      <c r="E115" s="33" t="n"/>
      <c r="F115" s="33" t="n">
        <v>0</v>
      </c>
      <c r="G115" s="33" t="n">
        <v>0</v>
      </c>
      <c r="H115" s="33" t="n">
        <v>0</v>
      </c>
      <c r="I115" s="33" t="n">
        <v>0</v>
      </c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</row>
    <row r="116">
      <c r="A116" s="32" t="inlineStr">
        <is>
          <t>Cổ phiếu phổ thông</t>
        </is>
      </c>
      <c r="B116" s="33" t="n">
        <v>4434961780000</v>
      </c>
      <c r="C116" s="33" t="n">
        <v>4435461780000</v>
      </c>
      <c r="D116" s="33" t="n">
        <v>4532099870000</v>
      </c>
      <c r="E116" s="33" t="n">
        <v>7130654950000</v>
      </c>
      <c r="F116" s="33" t="n">
        <v>14638792800000</v>
      </c>
      <c r="G116" s="33" t="n">
        <v>14633767160000</v>
      </c>
      <c r="H116" s="33" t="n">
        <v>14622441770000</v>
      </c>
      <c r="I116" s="33" t="n">
        <v>14696931770000</v>
      </c>
      <c r="J116" s="33" t="n">
        <v>3231695210000</v>
      </c>
      <c r="K116" s="33" t="n">
        <v>3231695210000</v>
      </c>
      <c r="L116" s="33" t="n">
        <v>3231695210000</v>
      </c>
      <c r="M116" s="33" t="n">
        <v>4434961780000</v>
      </c>
      <c r="N116" s="33" t="n">
        <v>14622441770000</v>
      </c>
      <c r="O116" s="33" t="n">
        <v>14622441770000</v>
      </c>
      <c r="P116" s="33" t="n">
        <v>14622441770000</v>
      </c>
      <c r="Q116" s="33" t="n">
        <v>14796931770000</v>
      </c>
      <c r="R116" s="33" t="n">
        <v>14796931770000</v>
      </c>
      <c r="S116" s="33" t="n">
        <v>14696931770000</v>
      </c>
      <c r="T116" s="33" t="n">
        <v>14696931770000</v>
      </c>
      <c r="U116" s="33" t="n">
        <v>14696931770000</v>
      </c>
    </row>
    <row r="117">
      <c r="A117" s="32" t="inlineStr">
        <is>
          <t>Quyền chọn chuyển đổi trái phiếu</t>
        </is>
      </c>
      <c r="B117" s="33" t="n">
        <v>0</v>
      </c>
      <c r="C117" s="33" t="n">
        <v>0</v>
      </c>
      <c r="D117" s="33" t="n">
        <v>0</v>
      </c>
      <c r="E117" s="33" t="n">
        <v>0</v>
      </c>
      <c r="F117" s="33" t="n">
        <v>0</v>
      </c>
      <c r="G117" s="33" t="n">
        <v>0</v>
      </c>
      <c r="H117" s="33" t="n">
        <v>0</v>
      </c>
      <c r="I117" s="33" t="n">
        <v>0</v>
      </c>
      <c r="J117" s="33" t="n">
        <v>0</v>
      </c>
      <c r="K117" s="33" t="n">
        <v>0</v>
      </c>
      <c r="L117" s="33" t="n">
        <v>0</v>
      </c>
      <c r="M117" s="33" t="n">
        <v>0</v>
      </c>
      <c r="N117" s="33" t="n">
        <v>0</v>
      </c>
      <c r="O117" s="33" t="n">
        <v>0</v>
      </c>
      <c r="P117" s="33" t="n">
        <v>0</v>
      </c>
      <c r="Q117" s="33" t="n">
        <v>0</v>
      </c>
      <c r="R117" s="33" t="n">
        <v>0</v>
      </c>
      <c r="S117" s="33" t="n">
        <v>0</v>
      </c>
      <c r="T117" s="33" t="n">
        <v>0</v>
      </c>
      <c r="U117" s="33" t="n">
        <v>0</v>
      </c>
    </row>
    <row r="118">
      <c r="A118" s="32" t="inlineStr">
        <is>
          <t>LNST chưa phân phối lũy kế đến cuối kỳ trước</t>
        </is>
      </c>
      <c r="B118" s="33" t="n">
        <v>1138290716709</v>
      </c>
      <c r="C118" s="33" t="n">
        <v>3315424614555</v>
      </c>
      <c r="D118" s="33" t="n">
        <v>6470785320602</v>
      </c>
      <c r="E118" s="33" t="n">
        <v>7775704885845</v>
      </c>
      <c r="F118" s="33" t="n">
        <v>4624171199065</v>
      </c>
      <c r="G118" s="33" t="n">
        <v>7992654202870</v>
      </c>
      <c r="H118" s="33" t="n">
        <v>8860276825181</v>
      </c>
      <c r="I118" s="33" t="n">
        <v>11034463805990</v>
      </c>
      <c r="J118" s="33" t="n">
        <v>2698572748459</v>
      </c>
      <c r="K118" s="33" t="n">
        <v>2214262176709</v>
      </c>
      <c r="L118" s="33" t="n">
        <v>2214262176709</v>
      </c>
      <c r="M118" s="33" t="n">
        <v>0</v>
      </c>
      <c r="N118" s="33" t="n">
        <v>8860276825181</v>
      </c>
      <c r="O118" s="33" t="n">
        <v>8860276825181</v>
      </c>
      <c r="P118" s="33" t="n">
        <v>12582145266842</v>
      </c>
      <c r="Q118" s="33" t="n">
        <v>11103688503842</v>
      </c>
      <c r="R118" s="33" t="n">
        <v>11103688503842</v>
      </c>
      <c r="S118" s="33" t="n">
        <v>11034463805990</v>
      </c>
      <c r="T118" s="33" t="n">
        <v>18068194576180</v>
      </c>
      <c r="U118" s="33" t="n">
        <v>15131281050159</v>
      </c>
    </row>
    <row r="119">
      <c r="A119" s="32" t="inlineStr">
        <is>
          <t>LNST chưa phân phối kỳ này</t>
        </is>
      </c>
      <c r="B119" s="33" t="n">
        <v>2851313193346</v>
      </c>
      <c r="C119" s="33" t="n">
        <v>3834269547047</v>
      </c>
      <c r="D119" s="33" t="n">
        <v>3918898277243</v>
      </c>
      <c r="E119" s="33" t="n">
        <v>4898869278220</v>
      </c>
      <c r="F119" s="33" t="n">
        <v>4099763027305</v>
      </c>
      <c r="G119" s="33" t="n">
        <v>167669392704</v>
      </c>
      <c r="H119" s="33" t="n">
        <v>3721868441661</v>
      </c>
      <c r="I119" s="33" t="n">
        <v>7033730770169</v>
      </c>
      <c r="J119" s="33" t="n">
        <v>780737495810</v>
      </c>
      <c r="K119" s="33" t="n">
        <v>1512242626391</v>
      </c>
      <c r="L119" s="33" t="n">
        <v>2159287064550</v>
      </c>
      <c r="M119" s="33" t="n">
        <v>3989607252090</v>
      </c>
      <c r="N119" s="33" t="n">
        <v>2874864059456</v>
      </c>
      <c r="O119" s="33" t="n">
        <v>3721868441661</v>
      </c>
      <c r="P119" s="33" t="n">
        <v>1545937090941</v>
      </c>
      <c r="Q119" s="33" t="n">
        <v>3194083337645</v>
      </c>
      <c r="R119" s="33" t="n">
        <v>4964982254949</v>
      </c>
      <c r="S119" s="33" t="n">
        <v>7033730770169</v>
      </c>
      <c r="T119" s="33" t="n">
        <v>2714430743085</v>
      </c>
      <c r="U119" s="33" t="n">
        <v>6016977826118</v>
      </c>
    </row>
    <row r="120">
      <c r="A120" s="32" t="inlineStr">
        <is>
          <t>Xây dựng cơ bản đang dở dang</t>
        </is>
      </c>
      <c r="B120" s="33" t="n">
        <v>256831997207</v>
      </c>
      <c r="C120" s="33" t="n">
        <v>87430438310</v>
      </c>
      <c r="D120" s="33" t="n">
        <v>132620362470</v>
      </c>
      <c r="E120" s="33" t="n">
        <v>79697939172</v>
      </c>
      <c r="F120" s="33" t="n">
        <v>123873978878</v>
      </c>
      <c r="G120" s="33" t="n">
        <v>4493856934</v>
      </c>
      <c r="H120" s="33" t="n">
        <v>24526423340</v>
      </c>
      <c r="I120" s="33" t="n">
        <v>90899467872</v>
      </c>
      <c r="J120" s="33" t="n">
        <v>32265503039</v>
      </c>
      <c r="K120" s="33" t="n">
        <v>71706234643</v>
      </c>
      <c r="L120" s="33" t="n">
        <v>154768727219</v>
      </c>
      <c r="M120" s="33" t="n">
        <v>244569127108</v>
      </c>
      <c r="N120" s="33" t="n">
        <v>9959937855</v>
      </c>
      <c r="O120" s="33" t="n">
        <v>24526423340</v>
      </c>
      <c r="P120" s="33" t="n">
        <v>56354717820</v>
      </c>
      <c r="Q120" s="33" t="n">
        <v>106485757231</v>
      </c>
      <c r="R120" s="33" t="n">
        <v>76144035146</v>
      </c>
      <c r="S120" s="33" t="n">
        <v>90899467872</v>
      </c>
      <c r="T120" s="33" t="n">
        <v>130919306624</v>
      </c>
      <c r="U120" s="33" t="n">
        <v>11443229761</v>
      </c>
    </row>
    <row r="121">
      <c r="A121" s="32" t="inlineStr">
        <is>
          <t>Lợi thế thương mại</t>
        </is>
      </c>
      <c r="B121" s="33" t="n">
        <v>552526849066</v>
      </c>
      <c r="C121" s="33" t="n">
        <v>491134976947</v>
      </c>
      <c r="D121" s="33" t="n">
        <v>429743104828</v>
      </c>
      <c r="E121" s="33" t="n">
        <v>368351232709</v>
      </c>
      <c r="F121" s="33" t="n">
        <v>306959360590</v>
      </c>
      <c r="G121" s="33" t="n">
        <v>245567488471</v>
      </c>
      <c r="H121" s="33" t="n">
        <v>0</v>
      </c>
      <c r="I121" s="33" t="n">
        <v>0</v>
      </c>
      <c r="J121" s="33" t="n">
        <v>602448499083</v>
      </c>
      <c r="K121" s="33" t="n">
        <v>587001101670</v>
      </c>
      <c r="L121" s="33" t="n">
        <v>571553704258</v>
      </c>
      <c r="M121" s="33" t="n">
        <v>552526849066</v>
      </c>
      <c r="N121" s="33" t="n">
        <v>107435776206</v>
      </c>
      <c r="O121" s="33" t="n">
        <v>0</v>
      </c>
      <c r="P121" s="33" t="n">
        <v>0</v>
      </c>
      <c r="Q121" s="33" t="n">
        <v>0</v>
      </c>
      <c r="R121" s="33" t="n">
        <v>0</v>
      </c>
      <c r="S121" s="33" t="n">
        <v>0</v>
      </c>
      <c r="T121" s="33" t="n">
        <v>0</v>
      </c>
      <c r="U121" s="33" t="n">
        <v>0</v>
      </c>
    </row>
    <row r="122">
      <c r="A122" s="32" t="inlineStr">
        <is>
          <t>Lợi ích cổ đông không kiểm soát</t>
        </is>
      </c>
      <c r="B122" s="33" t="n">
        <v>6249443319</v>
      </c>
      <c r="C122" s="33" t="n">
        <v>7786065614</v>
      </c>
      <c r="D122" s="33" t="n">
        <v>9280633826</v>
      </c>
      <c r="E122" s="33" t="n">
        <v>11838029496</v>
      </c>
      <c r="F122" s="33" t="n">
        <v>14508097130</v>
      </c>
      <c r="G122" s="33" t="n">
        <v>13401030472</v>
      </c>
      <c r="H122" s="33" t="n">
        <v>364020651398</v>
      </c>
      <c r="I122" s="33" t="n">
        <v>576350988478</v>
      </c>
      <c r="J122" s="33" t="n">
        <v>4952791999</v>
      </c>
      <c r="K122" s="33" t="n">
        <v>5025460683</v>
      </c>
      <c r="L122" s="33" t="n">
        <v>5116903353</v>
      </c>
      <c r="M122" s="33" t="n">
        <v>6246101284</v>
      </c>
      <c r="N122" s="33" t="n">
        <v>359711951531</v>
      </c>
      <c r="O122" s="33" t="n">
        <v>364020651398</v>
      </c>
      <c r="P122" s="33" t="n">
        <v>365640314393</v>
      </c>
      <c r="Q122" s="33" t="n">
        <v>374192144379</v>
      </c>
      <c r="R122" s="33" t="n">
        <v>385850802100</v>
      </c>
      <c r="S122" s="33" t="n">
        <v>576350988478</v>
      </c>
      <c r="T122" s="33" t="n">
        <v>619477265899</v>
      </c>
      <c r="U122" s="33" t="n">
        <v>671827904225</v>
      </c>
    </row>
    <row r="123">
      <c r="A123" s="32" t="inlineStr">
        <is>
          <t>Nguồn kinh phí đã hình thành TSCĐ</t>
        </is>
      </c>
      <c r="B123" s="33" t="n">
        <v>0</v>
      </c>
      <c r="C123" s="33" t="n">
        <v>0</v>
      </c>
      <c r="D123" s="33" t="n">
        <v>0</v>
      </c>
      <c r="E123" s="33" t="n">
        <v>0</v>
      </c>
      <c r="F123" s="33" t="n">
        <v>0</v>
      </c>
      <c r="G123" s="33" t="n">
        <v>0</v>
      </c>
      <c r="H123" s="33" t="n">
        <v>0</v>
      </c>
      <c r="I123" s="33" t="n">
        <v>0</v>
      </c>
      <c r="J123" s="33" t="n">
        <v>0</v>
      </c>
      <c r="K123" s="33" t="n">
        <v>0</v>
      </c>
      <c r="L123" s="33" t="n">
        <v>0</v>
      </c>
      <c r="M123" s="33" t="n">
        <v>0</v>
      </c>
      <c r="N123" s="33" t="n">
        <v>0</v>
      </c>
      <c r="O123" s="33" t="n">
        <v>0</v>
      </c>
      <c r="P123" s="33" t="n">
        <v>0</v>
      </c>
      <c r="Q123" s="33" t="n">
        <v>0</v>
      </c>
      <c r="R123" s="33" t="n">
        <v>0</v>
      </c>
      <c r="S123" s="33" t="n">
        <v>0</v>
      </c>
      <c r="T123" s="33" t="n">
        <v>0</v>
      </c>
      <c r="U123" s="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</cols>
  <sheetData>
    <row r="1">
      <c r="A1" s="30" t="inlineStr">
        <is>
          <t>item</t>
        </is>
      </c>
      <c r="B1" s="31" t="inlineStr">
        <is>
          <t>2018</t>
        </is>
      </c>
      <c r="C1" s="31" t="inlineStr">
        <is>
          <t>2019</t>
        </is>
      </c>
      <c r="D1" s="31" t="inlineStr">
        <is>
          <t>2020</t>
        </is>
      </c>
      <c r="E1" s="31" t="inlineStr">
        <is>
          <t>2021</t>
        </is>
      </c>
      <c r="F1" s="31" t="inlineStr">
        <is>
          <t>2022</t>
        </is>
      </c>
      <c r="G1" s="31" t="inlineStr">
        <is>
          <t>2023</t>
        </is>
      </c>
      <c r="H1" s="31" t="inlineStr">
        <is>
          <t>2024</t>
        </is>
      </c>
      <c r="I1" s="31" t="inlineStr">
        <is>
          <t>2025</t>
        </is>
      </c>
      <c r="J1" s="31" t="inlineStr">
        <is>
          <t>2018-Q1</t>
        </is>
      </c>
      <c r="K1" s="31" t="inlineStr">
        <is>
          <t>2018-Q2</t>
        </is>
      </c>
      <c r="L1" s="31" t="inlineStr">
        <is>
          <t>2018-Q3</t>
        </is>
      </c>
      <c r="M1" s="31" t="inlineStr">
        <is>
          <t>2018-Q4</t>
        </is>
      </c>
      <c r="N1" s="31" t="inlineStr">
        <is>
          <t>2024-Q3</t>
        </is>
      </c>
      <c r="O1" s="31" t="inlineStr">
        <is>
          <t>2024-Q4</t>
        </is>
      </c>
      <c r="P1" s="31" t="inlineStr">
        <is>
          <t>2025-Q1</t>
        </is>
      </c>
      <c r="Q1" s="31" t="inlineStr">
        <is>
          <t>2025-Q2</t>
        </is>
      </c>
      <c r="R1" s="31" t="inlineStr">
        <is>
          <t>2025-Q3</t>
        </is>
      </c>
      <c r="S1" s="31" t="inlineStr">
        <is>
          <t>2025-Q4</t>
        </is>
      </c>
      <c r="T1" s="31" t="inlineStr">
        <is>
          <t>2026-Q1</t>
        </is>
      </c>
      <c r="U1" s="31" t="inlineStr">
        <is>
          <t>2026-Q2</t>
        </is>
      </c>
    </row>
    <row r="2">
      <c r="A2" s="32" t="inlineStr">
        <is>
          <t>Doanh thu bán hàng và cung cấp dịch vụ</t>
        </is>
      </c>
      <c r="B2" s="33" t="n">
        <v>87738378978636</v>
      </c>
      <c r="C2" s="33" t="n">
        <v>103485046672447</v>
      </c>
      <c r="D2" s="33" t="n">
        <v>109801253690656</v>
      </c>
      <c r="E2" s="33" t="n">
        <v>124141525689948</v>
      </c>
      <c r="F2" s="33" t="n">
        <v>134722248887557</v>
      </c>
      <c r="G2" s="33" t="n">
        <v>119234184825086</v>
      </c>
      <c r="H2" s="33" t="n">
        <v>135225101298992</v>
      </c>
      <c r="I2" s="33" t="n">
        <v>156836115054975</v>
      </c>
      <c r="J2" s="33" t="n">
        <v>23073465470685</v>
      </c>
      <c r="K2" s="33" t="n">
        <v>22127707569982</v>
      </c>
      <c r="L2" s="33" t="n">
        <v>21211714779754</v>
      </c>
      <c r="M2" s="33" t="n">
        <v>21325491158215</v>
      </c>
      <c r="N2" s="33" t="n">
        <v>34361569620937</v>
      </c>
      <c r="O2" s="33" t="n">
        <v>34793923302149</v>
      </c>
      <c r="P2" s="33" t="n">
        <v>36332913479242</v>
      </c>
      <c r="Q2" s="33" t="n">
        <v>37844160678840</v>
      </c>
      <c r="R2" s="33" t="n">
        <v>40091343632319</v>
      </c>
      <c r="S2" s="33" t="n">
        <v>42567697264574</v>
      </c>
      <c r="T2" s="33" t="n">
        <v>46709163270992</v>
      </c>
      <c r="U2" s="33" t="n">
        <v>49034501493892</v>
      </c>
    </row>
    <row r="3">
      <c r="A3" s="32" t="inlineStr">
        <is>
          <t>Các khoản giảm trừ doanh thu</t>
        </is>
      </c>
      <c r="B3" s="33" t="n">
        <v>-1222091976137</v>
      </c>
      <c r="C3" s="33" t="n">
        <v>-1310802695724</v>
      </c>
      <c r="D3" s="33" t="n">
        <v>-1255234025244</v>
      </c>
      <c r="E3" s="33" t="n">
        <v>-1183419586774</v>
      </c>
      <c r="F3" s="33" t="n">
        <v>-1317471297033</v>
      </c>
      <c r="G3" s="33" t="n">
        <v>-954396369644</v>
      </c>
      <c r="H3" s="33" t="n">
        <v>-883948450190</v>
      </c>
      <c r="I3" s="33" t="n">
        <v>-907969435608</v>
      </c>
      <c r="J3" s="33" t="n">
        <v>-309945720115</v>
      </c>
      <c r="K3" s="33" t="n">
        <v>-320773748245</v>
      </c>
      <c r="L3" s="33" t="n">
        <v>-304132083712</v>
      </c>
      <c r="M3" s="33" t="n">
        <v>-287240424065</v>
      </c>
      <c r="N3" s="33" t="n">
        <v>-214900932986</v>
      </c>
      <c r="O3" s="33" t="n">
        <v>-220002524817</v>
      </c>
      <c r="P3" s="33" t="n">
        <v>-197955061033</v>
      </c>
      <c r="Q3" s="33" t="n">
        <v>-224192018870</v>
      </c>
      <c r="R3" s="33" t="n">
        <v>-238836479673</v>
      </c>
      <c r="S3" s="33" t="n">
        <v>-246985876032</v>
      </c>
      <c r="T3" s="33" t="n">
        <v>-247211244219</v>
      </c>
      <c r="U3" s="33" t="n">
        <v>-283217941935</v>
      </c>
    </row>
    <row r="4">
      <c r="A4" s="32" t="inlineStr">
        <is>
          <t>Doanh thu thuần</t>
        </is>
      </c>
      <c r="B4" s="33" t="n">
        <v>86516287002499</v>
      </c>
      <c r="C4" s="33" t="n">
        <v>102174243976723</v>
      </c>
      <c r="D4" s="33" t="n">
        <v>108546019665412</v>
      </c>
      <c r="E4" s="33" t="n">
        <v>122958106103174</v>
      </c>
      <c r="F4" s="33" t="n">
        <v>133404777590524</v>
      </c>
      <c r="G4" s="33" t="n">
        <v>118279788455442</v>
      </c>
      <c r="H4" s="33" t="n">
        <v>134341152848802</v>
      </c>
      <c r="I4" s="33" t="n">
        <v>155928145619367</v>
      </c>
      <c r="J4" s="33" t="n">
        <v>22763519750570</v>
      </c>
      <c r="K4" s="33" t="n">
        <v>21806933821737</v>
      </c>
      <c r="L4" s="33" t="n">
        <v>20907582696042</v>
      </c>
      <c r="M4" s="33" t="n">
        <v>21038250734150</v>
      </c>
      <c r="N4" s="33" t="n">
        <v>34146668687951</v>
      </c>
      <c r="O4" s="33" t="n">
        <v>34573920777332</v>
      </c>
      <c r="P4" s="33" t="n">
        <v>36134958418209</v>
      </c>
      <c r="Q4" s="33" t="n">
        <v>37619968659970</v>
      </c>
      <c r="R4" s="33" t="n">
        <v>39852507152646</v>
      </c>
      <c r="S4" s="33" t="n">
        <v>42320711388542</v>
      </c>
      <c r="T4" s="33" t="n">
        <v>46461952026773</v>
      </c>
      <c r="U4" s="33" t="n">
        <v>48751283551957</v>
      </c>
    </row>
    <row r="5">
      <c r="A5" s="32" t="inlineStr">
        <is>
          <t>Giá vốn hàng bán</t>
        </is>
      </c>
      <c r="B5" s="33" t="n">
        <v>-71224159239435</v>
      </c>
      <c r="C5" s="33" t="n">
        <v>-82686444673012</v>
      </c>
      <c r="D5" s="33" t="n">
        <v>-84591522392949</v>
      </c>
      <c r="E5" s="33" t="n">
        <v>-95325974107640</v>
      </c>
      <c r="F5" s="33" t="n">
        <v>-102542735094343</v>
      </c>
      <c r="G5" s="33" t="n">
        <v>-95759175291712</v>
      </c>
      <c r="H5" s="33" t="n">
        <v>-106841942771781</v>
      </c>
      <c r="I5" s="33" t="n">
        <v>-124926268219546</v>
      </c>
      <c r="J5" s="33" t="n">
        <v>-18788756341782</v>
      </c>
      <c r="K5" s="33" t="n">
        <v>-17945292260387</v>
      </c>
      <c r="L5" s="33" t="n">
        <v>-17205031495334</v>
      </c>
      <c r="M5" s="33" t="n">
        <v>-17285079141932</v>
      </c>
      <c r="N5" s="33" t="n">
        <v>-27254757625648</v>
      </c>
      <c r="O5" s="33" t="n">
        <v>-27986951875213</v>
      </c>
      <c r="P5" s="33" t="n">
        <v>-28934547803004</v>
      </c>
      <c r="Q5" s="33" t="n">
        <v>-30051267999814</v>
      </c>
      <c r="R5" s="33" t="n">
        <v>-32374320274746</v>
      </c>
      <c r="S5" s="33" t="n">
        <v>-33566132141982</v>
      </c>
      <c r="T5" s="33" t="n">
        <v>-36751850587457</v>
      </c>
      <c r="U5" s="33" t="n">
        <v>-37942073479846</v>
      </c>
    </row>
    <row r="6">
      <c r="A6" s="32" t="inlineStr">
        <is>
          <t>Lợi nhuận gộp</t>
        </is>
      </c>
      <c r="B6" s="33" t="n">
        <v>15292127763064</v>
      </c>
      <c r="C6" s="33" t="n">
        <v>19487799303711</v>
      </c>
      <c r="D6" s="33" t="n">
        <v>23954497272463</v>
      </c>
      <c r="E6" s="33" t="n">
        <v>27632131995534</v>
      </c>
      <c r="F6" s="33" t="n">
        <v>30862042496181</v>
      </c>
      <c r="G6" s="33" t="n">
        <v>22520613163730</v>
      </c>
      <c r="H6" s="33" t="n">
        <v>27499210077021</v>
      </c>
      <c r="I6" s="33" t="n">
        <v>31001877399821</v>
      </c>
      <c r="J6" s="33" t="n">
        <v>3974763408788</v>
      </c>
      <c r="K6" s="33" t="n">
        <v>3861641561350</v>
      </c>
      <c r="L6" s="33" t="n">
        <v>3702551200708</v>
      </c>
      <c r="M6" s="33" t="n">
        <v>3753171592218</v>
      </c>
      <c r="N6" s="33" t="n">
        <v>6891911062303</v>
      </c>
      <c r="O6" s="33" t="n">
        <v>6586968902119</v>
      </c>
      <c r="P6" s="33" t="n">
        <v>7200410615205</v>
      </c>
      <c r="Q6" s="33" t="n">
        <v>7568700660156</v>
      </c>
      <c r="R6" s="33" t="n">
        <v>7478186877900</v>
      </c>
      <c r="S6" s="33" t="n">
        <v>8754579246560</v>
      </c>
      <c r="T6" s="33" t="n">
        <v>9710101439316</v>
      </c>
      <c r="U6" s="33" t="n">
        <v>10809210072111</v>
      </c>
    </row>
    <row r="7">
      <c r="A7" s="32" t="inlineStr">
        <is>
          <t>Doanh thu hoạt động tài chính</t>
        </is>
      </c>
      <c r="B7" s="33" t="n">
        <v>342083875229</v>
      </c>
      <c r="C7" s="33" t="n">
        <v>631177854351</v>
      </c>
      <c r="D7" s="33" t="n">
        <v>794121782667</v>
      </c>
      <c r="E7" s="33" t="n">
        <v>1287956026163</v>
      </c>
      <c r="F7" s="33" t="n">
        <v>1313137304323</v>
      </c>
      <c r="G7" s="33" t="n">
        <v>2166963715091</v>
      </c>
      <c r="H7" s="33" t="n">
        <v>2376502605263</v>
      </c>
      <c r="I7" s="33" t="n">
        <v>3107348733939</v>
      </c>
      <c r="J7" s="33" t="n">
        <v>76259503803</v>
      </c>
      <c r="K7" s="33" t="n">
        <v>71909377837</v>
      </c>
      <c r="L7" s="33" t="n">
        <v>86456996199</v>
      </c>
      <c r="M7" s="33" t="n">
        <v>107457997390</v>
      </c>
      <c r="N7" s="33" t="n">
        <v>575388786548</v>
      </c>
      <c r="O7" s="33" t="n">
        <v>635695584388</v>
      </c>
      <c r="P7" s="33" t="n">
        <v>693293667931</v>
      </c>
      <c r="Q7" s="33" t="n">
        <v>768832246965</v>
      </c>
      <c r="R7" s="33" t="n">
        <v>809068897431</v>
      </c>
      <c r="S7" s="33" t="n">
        <v>836153921612</v>
      </c>
      <c r="T7" s="33" t="n">
        <v>857866587527</v>
      </c>
      <c r="U7" s="33" t="n">
        <v>957393431151</v>
      </c>
    </row>
    <row r="8">
      <c r="A8" s="32" t="inlineStr">
        <is>
          <t>Chi phí tài chính</t>
        </is>
      </c>
      <c r="B8" s="33" t="n">
        <v>-436573150236</v>
      </c>
      <c r="C8" s="33" t="n">
        <v>-569754844844</v>
      </c>
      <c r="D8" s="33" t="n">
        <v>-594151513751</v>
      </c>
      <c r="E8" s="33" t="n">
        <v>-714707225745</v>
      </c>
      <c r="F8" s="33" t="n">
        <v>-1382620454532</v>
      </c>
      <c r="G8" s="33" t="n">
        <v>-1556146106982</v>
      </c>
      <c r="H8" s="33" t="n">
        <v>-1188465609510</v>
      </c>
      <c r="I8" s="33" t="n">
        <v>-1542518673463</v>
      </c>
      <c r="J8" s="33" t="n">
        <v>-114960070907</v>
      </c>
      <c r="K8" s="33" t="n">
        <v>-105700047545</v>
      </c>
      <c r="L8" s="33" t="n">
        <v>-104974336364</v>
      </c>
      <c r="M8" s="33" t="n">
        <v>-110938695420</v>
      </c>
      <c r="N8" s="33" t="n">
        <v>-330440626256</v>
      </c>
      <c r="O8" s="33" t="n">
        <v>-189071963171</v>
      </c>
      <c r="P8" s="33" t="n">
        <v>-339023162705</v>
      </c>
      <c r="Q8" s="33" t="n">
        <v>-402454468644</v>
      </c>
      <c r="R8" s="33" t="n">
        <v>-410743275636</v>
      </c>
      <c r="S8" s="33" t="n">
        <v>-390297766478</v>
      </c>
      <c r="T8" s="33" t="n">
        <v>-421767358286</v>
      </c>
      <c r="U8" s="33" t="n">
        <v>-453084595743</v>
      </c>
    </row>
    <row r="9">
      <c r="A9" s="32" t="inlineStr">
        <is>
          <t>Chi phí lãi vay</t>
        </is>
      </c>
      <c r="B9" s="33" t="n">
        <v>-436416577674</v>
      </c>
      <c r="C9" s="33" t="n">
        <v>-568136717134</v>
      </c>
      <c r="D9" s="33" t="n">
        <v>-594003821021</v>
      </c>
      <c r="E9" s="33" t="n">
        <v>-674427746189</v>
      </c>
      <c r="F9" s="33" t="n">
        <v>-1362143909103</v>
      </c>
      <c r="G9" s="33" t="n">
        <v>-1447718354797</v>
      </c>
      <c r="H9" s="33" t="n">
        <v>-1137236129748</v>
      </c>
      <c r="I9" s="33" t="n">
        <v>-1470675593604</v>
      </c>
      <c r="J9" s="33" t="n">
        <v>-112795317948</v>
      </c>
      <c r="K9" s="33" t="n">
        <v>-105346054241</v>
      </c>
      <c r="L9" s="33" t="n">
        <v>-107492002949</v>
      </c>
      <c r="M9" s="33" t="n">
        <v>-110783202536</v>
      </c>
      <c r="N9" s="33" t="n">
        <v>-303696061820</v>
      </c>
      <c r="O9" s="33" t="n">
        <v>-323470486929</v>
      </c>
      <c r="P9" s="33" t="n">
        <v>-322792850500</v>
      </c>
      <c r="Q9" s="33" t="n">
        <v>-375178482038</v>
      </c>
      <c r="R9" s="33" t="n">
        <v>-388038374707</v>
      </c>
      <c r="S9" s="33" t="n">
        <v>-384665886359</v>
      </c>
      <c r="T9" s="33" t="n">
        <v>-415448904085</v>
      </c>
      <c r="U9" s="33" t="n">
        <v>-436321054832</v>
      </c>
    </row>
    <row r="10">
      <c r="A10" s="32" t="inlineStr">
        <is>
          <t>Chi phí bán hàng</t>
        </is>
      </c>
      <c r="B10" s="33" t="n">
        <v>-9659741188756</v>
      </c>
      <c r="C10" s="33" t="n">
        <v>-12437282718212</v>
      </c>
      <c r="D10" s="33" t="n">
        <v>-15333798830787</v>
      </c>
      <c r="E10" s="33" t="n">
        <v>-17914173302345</v>
      </c>
      <c r="F10" s="33" t="n">
        <v>-22336838067678</v>
      </c>
      <c r="G10" s="33" t="n">
        <v>-20916710755306</v>
      </c>
      <c r="H10" s="33" t="n">
        <v>-19849837609882</v>
      </c>
      <c r="I10" s="33" t="n">
        <v>-19330903536858</v>
      </c>
      <c r="J10" s="33" t="n">
        <v>-2308808752645</v>
      </c>
      <c r="K10" s="33" t="n">
        <v>-2464220418793</v>
      </c>
      <c r="L10" s="33" t="n">
        <v>-2436749840647</v>
      </c>
      <c r="M10" s="33" t="n">
        <v>-2449962176671</v>
      </c>
      <c r="N10" s="33" t="n">
        <v>-4848950073481</v>
      </c>
      <c r="O10" s="33" t="n">
        <v>-5123108197082</v>
      </c>
      <c r="P10" s="33" t="n">
        <v>-4403006343750</v>
      </c>
      <c r="Q10" s="33" t="n">
        <v>-4703283205201</v>
      </c>
      <c r="R10" s="33" t="n">
        <v>-4570833491508</v>
      </c>
      <c r="S10" s="33" t="n">
        <v>-5653780496399</v>
      </c>
      <c r="T10" s="33" t="n">
        <v>-5284908877085</v>
      </c>
      <c r="U10" s="33" t="n">
        <v>-5980272600628</v>
      </c>
    </row>
    <row r="11">
      <c r="A11" s="32" t="inlineStr">
        <is>
          <t>Chi phí quản lý doanh nghiệp</t>
        </is>
      </c>
      <c r="B11" s="33" t="n">
        <v>-1761613900080</v>
      </c>
      <c r="C11" s="33" t="n">
        <v>-2073782880058</v>
      </c>
      <c r="D11" s="33" t="n">
        <v>-3404431838167</v>
      </c>
      <c r="E11" s="33" t="n">
        <v>-3823390074765</v>
      </c>
      <c r="F11" s="33" t="n">
        <v>-1881027579714</v>
      </c>
      <c r="G11" s="33" t="n">
        <v>-1167651662536</v>
      </c>
      <c r="H11" s="33" t="n">
        <v>-3565767583102</v>
      </c>
      <c r="I11" s="33" t="n">
        <v>-4596074513172</v>
      </c>
      <c r="J11" s="33" t="n">
        <v>-588469226877</v>
      </c>
      <c r="K11" s="33" t="n">
        <v>-397865044350</v>
      </c>
      <c r="L11" s="33" t="n">
        <v>-390396333632</v>
      </c>
      <c r="M11" s="33" t="n">
        <v>-384883295221</v>
      </c>
      <c r="N11" s="33" t="n">
        <v>-967618855194</v>
      </c>
      <c r="O11" s="33" t="n">
        <v>-916356723640</v>
      </c>
      <c r="P11" s="33" t="n">
        <v>-1214599786616</v>
      </c>
      <c r="Q11" s="33" t="n">
        <v>-1201666094080</v>
      </c>
      <c r="R11" s="33" t="n">
        <v>-1119414262509</v>
      </c>
      <c r="S11" s="33" t="n">
        <v>-1060394369967</v>
      </c>
      <c r="T11" s="33" t="n">
        <v>-1523180115533</v>
      </c>
      <c r="U11" s="33" t="n">
        <v>-1317458502119</v>
      </c>
    </row>
    <row r="12">
      <c r="A12" s="32" t="inlineStr">
        <is>
          <t>Lãi/(lỗ) từ hoạt động kinh doanh</t>
        </is>
      </c>
      <c r="B12" s="33" t="n">
        <v>3774182412336</v>
      </c>
      <c r="C12" s="33" t="n">
        <v>5034683431577</v>
      </c>
      <c r="D12" s="33" t="n">
        <v>5412529932954</v>
      </c>
      <c r="E12" s="33" t="n">
        <v>6465606918356</v>
      </c>
      <c r="F12" s="33" t="n">
        <v>6574693698580</v>
      </c>
      <c r="G12" s="33" t="n">
        <v>1047068353997</v>
      </c>
      <c r="H12" s="33" t="n">
        <v>5227045424891</v>
      </c>
      <c r="I12" s="33" t="n">
        <v>8664080489454</v>
      </c>
      <c r="J12" s="33" t="n">
        <v>1038784862162</v>
      </c>
      <c r="K12" s="33" t="n">
        <v>965030927222</v>
      </c>
      <c r="L12" s="33" t="n">
        <v>854343455912</v>
      </c>
      <c r="M12" s="33" t="n">
        <v>916023167040</v>
      </c>
      <c r="N12" s="33" t="n">
        <v>1320438170928</v>
      </c>
      <c r="O12" s="33" t="n">
        <v>996550122732</v>
      </c>
      <c r="P12" s="33" t="n">
        <v>1940204764365</v>
      </c>
      <c r="Q12" s="33" t="n">
        <v>2041250769970</v>
      </c>
      <c r="R12" s="33" t="n">
        <v>2190441447033</v>
      </c>
      <c r="S12" s="33" t="n">
        <v>2492183508086</v>
      </c>
      <c r="T12" s="33" t="n">
        <v>3347123417867</v>
      </c>
      <c r="U12" s="33" t="n">
        <v>4034437503929</v>
      </c>
    </row>
    <row r="13">
      <c r="A13" s="32" t="inlineStr">
        <is>
          <t>Thu nhập khác</t>
        </is>
      </c>
      <c r="B13" s="33" t="n">
        <v>33233337382</v>
      </c>
      <c r="C13" s="33" t="n">
        <v>41557041541</v>
      </c>
      <c r="D13" s="33" t="n">
        <v>43512695471</v>
      </c>
      <c r="E13" s="33" t="n">
        <v>54872797433</v>
      </c>
      <c r="F13" s="33" t="n">
        <v>61606712681</v>
      </c>
      <c r="G13" s="33" t="n">
        <v>36883419051</v>
      </c>
      <c r="H13" s="33" t="n">
        <v>25743895664</v>
      </c>
      <c r="I13" s="33" t="n">
        <v>52777770887</v>
      </c>
      <c r="J13" s="33" t="n">
        <v>8064141763</v>
      </c>
      <c r="K13" s="33" t="n">
        <v>6487958421</v>
      </c>
      <c r="L13" s="33" t="n">
        <v>8770935444</v>
      </c>
      <c r="M13" s="33" t="n">
        <v>9910301754</v>
      </c>
      <c r="N13" s="33" t="n">
        <v>6069253262</v>
      </c>
      <c r="O13" s="33" t="n">
        <v>8777694085</v>
      </c>
      <c r="P13" s="33" t="n">
        <v>12087549570</v>
      </c>
      <c r="Q13" s="33" t="n">
        <v>1186376818</v>
      </c>
      <c r="R13" s="33" t="n">
        <v>6915715579</v>
      </c>
      <c r="S13" s="33" t="n">
        <v>32588128920</v>
      </c>
      <c r="T13" s="33" t="n">
        <v>12428594028</v>
      </c>
      <c r="U13" s="33" t="n">
        <v>6297681218</v>
      </c>
    </row>
    <row r="14">
      <c r="A14" s="32" t="inlineStr">
        <is>
          <t>Chi phí khác</t>
        </is>
      </c>
      <c r="B14" s="33" t="n">
        <v>-21097180799</v>
      </c>
      <c r="C14" s="33" t="n">
        <v>-22793268422</v>
      </c>
      <c r="D14" s="33" t="n">
        <v>-46307221072</v>
      </c>
      <c r="E14" s="33" t="n">
        <v>-48895965246</v>
      </c>
      <c r="F14" s="33" t="n">
        <v>-579945037703</v>
      </c>
      <c r="G14" s="33" t="n">
        <v>-394259405152</v>
      </c>
      <c r="H14" s="33" t="n">
        <v>-427026307477</v>
      </c>
      <c r="I14" s="33" t="n">
        <v>-83790676915</v>
      </c>
      <c r="J14" s="33" t="n">
        <v>-3863976297</v>
      </c>
      <c r="K14" s="33" t="n">
        <v>-3275913625</v>
      </c>
      <c r="L14" s="33" t="n">
        <v>-6961910098</v>
      </c>
      <c r="M14" s="33" t="n">
        <v>-6995380779</v>
      </c>
      <c r="N14" s="33" t="n">
        <v>-258462023583</v>
      </c>
      <c r="O14" s="33" t="n">
        <v>30143437181</v>
      </c>
      <c r="P14" s="33" t="n">
        <v>-17630926715</v>
      </c>
      <c r="Q14" s="33" t="n">
        <v>-14232391412</v>
      </c>
      <c r="R14" s="33" t="n">
        <v>-25005996533</v>
      </c>
      <c r="S14" s="33" t="n">
        <v>-26921362255</v>
      </c>
      <c r="T14" s="33" t="n">
        <v>-31967712004</v>
      </c>
      <c r="U14" s="33" t="n">
        <v>-7738687114</v>
      </c>
    </row>
    <row r="15">
      <c r="A15" s="32" t="inlineStr">
        <is>
          <t>Thu nhập khác, ròng</t>
        </is>
      </c>
      <c r="B15" s="33" t="n">
        <v>12136156583</v>
      </c>
      <c r="C15" s="33" t="n">
        <v>18763773119</v>
      </c>
      <c r="D15" s="33" t="n">
        <v>-2794525601</v>
      </c>
      <c r="E15" s="33" t="n">
        <v>5976832187</v>
      </c>
      <c r="F15" s="33" t="n">
        <v>-518338325022</v>
      </c>
      <c r="G15" s="33" t="n">
        <v>-357375986101</v>
      </c>
      <c r="H15" s="33" t="n">
        <v>-401282411813</v>
      </c>
      <c r="I15" s="33" t="n">
        <v>-31012906028</v>
      </c>
      <c r="J15" s="33" t="n">
        <v>4200165466</v>
      </c>
      <c r="K15" s="33" t="n">
        <v>3212044796</v>
      </c>
      <c r="L15" s="33" t="n">
        <v>1809025346</v>
      </c>
      <c r="M15" s="33" t="n">
        <v>2914920975</v>
      </c>
      <c r="N15" s="33" t="n">
        <v>-252392770321</v>
      </c>
      <c r="O15" s="33" t="n">
        <v>38921131266</v>
      </c>
      <c r="P15" s="33" t="n">
        <v>-5543377145</v>
      </c>
      <c r="Q15" s="33" t="n">
        <v>-13046014594</v>
      </c>
      <c r="R15" s="33" t="n">
        <v>-18090280954</v>
      </c>
      <c r="S15" s="33" t="n">
        <v>5666766665</v>
      </c>
      <c r="T15" s="33" t="n">
        <v>-19539117976</v>
      </c>
      <c r="U15" s="33" t="n">
        <v>-1441005896</v>
      </c>
    </row>
    <row r="16">
      <c r="A16" s="32" t="inlineStr">
        <is>
          <t>Lãi/(lỗ) từ công ty liên doanh</t>
        </is>
      </c>
      <c r="B16" s="33" t="n">
        <v>0</v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0</v>
      </c>
      <c r="O16" s="33" t="n">
        <v>0</v>
      </c>
      <c r="P16" s="33" t="n">
        <v>0</v>
      </c>
      <c r="Q16" s="33" t="n">
        <v>0</v>
      </c>
      <c r="R16" s="33" t="n">
        <v>0</v>
      </c>
      <c r="S16" s="33" t="n">
        <v>0</v>
      </c>
      <c r="T16" s="33" t="n">
        <v>0</v>
      </c>
      <c r="U16" s="33" t="n">
        <v>0</v>
      </c>
    </row>
    <row r="17">
      <c r="A17" s="32" t="inlineStr">
        <is>
          <t>Lãi/(lỗ) trước thuế</t>
        </is>
      </c>
      <c r="B17" s="33" t="n">
        <v>3786318568919</v>
      </c>
      <c r="C17" s="33" t="n">
        <v>5053447204696</v>
      </c>
      <c r="D17" s="33" t="n">
        <v>5409735407353</v>
      </c>
      <c r="E17" s="33" t="n">
        <v>6471583750543</v>
      </c>
      <c r="F17" s="33" t="n">
        <v>6056355373558</v>
      </c>
      <c r="G17" s="33" t="n">
        <v>689692367896</v>
      </c>
      <c r="H17" s="33" t="n">
        <v>4825763013078</v>
      </c>
      <c r="I17" s="33" t="n">
        <v>8633067583426</v>
      </c>
      <c r="J17" s="33" t="n">
        <v>1042985027628</v>
      </c>
      <c r="K17" s="33" t="n">
        <v>968242972018</v>
      </c>
      <c r="L17" s="33" t="n">
        <v>856152481258</v>
      </c>
      <c r="M17" s="33" t="n">
        <v>918938088015</v>
      </c>
      <c r="N17" s="33" t="n">
        <v>1068045400607</v>
      </c>
      <c r="O17" s="33" t="n">
        <v>1035471253998</v>
      </c>
      <c r="P17" s="33" t="n">
        <v>1934661387220</v>
      </c>
      <c r="Q17" s="33" t="n">
        <v>2028204755376</v>
      </c>
      <c r="R17" s="33" t="n">
        <v>2172351166079</v>
      </c>
      <c r="S17" s="33" t="n">
        <v>2497850274751</v>
      </c>
      <c r="T17" s="33" t="n">
        <v>3327584299891</v>
      </c>
      <c r="U17" s="33" t="n">
        <v>4032996498033</v>
      </c>
    </row>
    <row r="18">
      <c r="A18" s="32" t="inlineStr">
        <is>
          <t>Thuế thu nhập doanh nghiệp - hiện thời</t>
        </is>
      </c>
      <c r="B18" s="33" t="n">
        <v>-933836738446</v>
      </c>
      <c r="C18" s="33" t="n">
        <v>-1248353081834</v>
      </c>
      <c r="D18" s="33" t="n">
        <v>-1598413821219</v>
      </c>
      <c r="E18" s="33" t="n">
        <v>-1632975695694</v>
      </c>
      <c r="F18" s="33" t="n">
        <v>-1792998810102</v>
      </c>
      <c r="G18" s="33" t="n">
        <v>-433257176515</v>
      </c>
      <c r="H18" s="33" t="n">
        <v>-1282537116919</v>
      </c>
      <c r="I18" s="33" t="n">
        <v>-1721559523168</v>
      </c>
      <c r="J18" s="33" t="n">
        <v>-241304078749</v>
      </c>
      <c r="K18" s="33" t="n">
        <v>-246529243628</v>
      </c>
      <c r="L18" s="33" t="n">
        <v>-214306341037</v>
      </c>
      <c r="M18" s="33" t="n">
        <v>-231697075032</v>
      </c>
      <c r="N18" s="33" t="n">
        <v>-273572425416</v>
      </c>
      <c r="O18" s="33" t="n">
        <v>-356954512092</v>
      </c>
      <c r="P18" s="33" t="n">
        <v>-397722415583</v>
      </c>
      <c r="Q18" s="33" t="n">
        <v>-370110858352</v>
      </c>
      <c r="R18" s="33" t="n">
        <v>-477289656191</v>
      </c>
      <c r="S18" s="33" t="n">
        <v>-476436593042</v>
      </c>
      <c r="T18" s="33" t="n">
        <v>-797012204332</v>
      </c>
      <c r="U18" s="33" t="n">
        <v>-736654017444</v>
      </c>
    </row>
    <row r="19">
      <c r="A19" s="32" t="inlineStr">
        <is>
          <t>Thuế thu nhập doanh nghiệp - hoãn lại</t>
        </is>
      </c>
      <c r="B19" s="33" t="n">
        <v>27827229661</v>
      </c>
      <c r="C19" s="33" t="n">
        <v>31145964165</v>
      </c>
      <c r="D19" s="33" t="n">
        <v>108551123373</v>
      </c>
      <c r="E19" s="33" t="n">
        <v>62818619041</v>
      </c>
      <c r="F19" s="33" t="n">
        <v>-161642138517</v>
      </c>
      <c r="G19" s="33" t="n">
        <v>-88606036442</v>
      </c>
      <c r="H19" s="33" t="n">
        <v>190062332561</v>
      </c>
      <c r="I19" s="33" t="n">
        <v>161114825617</v>
      </c>
      <c r="J19" s="33" t="n">
        <v>5782732517</v>
      </c>
      <c r="K19" s="33" t="n">
        <v>10392602625</v>
      </c>
      <c r="L19" s="33" t="n">
        <v>5788810608</v>
      </c>
      <c r="M19" s="33" t="n">
        <v>5863083911</v>
      </c>
      <c r="N19" s="33" t="n">
        <v>11313526349</v>
      </c>
      <c r="O19" s="33" t="n">
        <v>173627384384</v>
      </c>
      <c r="P19" s="33" t="n">
        <v>10894797039</v>
      </c>
      <c r="Q19" s="33" t="n">
        <v>-564776114</v>
      </c>
      <c r="R19" s="33" t="n">
        <v>88604124097</v>
      </c>
      <c r="S19" s="33" t="n">
        <v>62180680595</v>
      </c>
      <c r="T19" s="33" t="n">
        <v>226984924968</v>
      </c>
      <c r="U19" s="33" t="n">
        <v>58555240749</v>
      </c>
    </row>
    <row r="20">
      <c r="A20" s="32" t="inlineStr">
        <is>
          <t>Chi phí thuế thu nhập doanh nghiệp</t>
        </is>
      </c>
      <c r="B20" s="33" t="n">
        <v>-906009508785</v>
      </c>
      <c r="C20" s="33" t="n">
        <v>-1217207117669</v>
      </c>
      <c r="D20" s="33" t="n">
        <v>-1489862697846</v>
      </c>
      <c r="E20" s="33" t="n">
        <v>-1570157076653</v>
      </c>
      <c r="F20" s="33" t="n">
        <v>-1954640948619</v>
      </c>
      <c r="G20" s="33" t="n">
        <v>-521863212957</v>
      </c>
      <c r="H20" s="33" t="n">
        <v>-1092474784358</v>
      </c>
      <c r="I20" s="33" t="n">
        <v>-1560444697551</v>
      </c>
      <c r="J20" s="33" t="n">
        <v>-235521346232</v>
      </c>
      <c r="K20" s="33" t="n">
        <v>-236136641003</v>
      </c>
      <c r="L20" s="33" t="n">
        <v>-208517530429</v>
      </c>
      <c r="M20" s="33" t="n">
        <v>-225833991121</v>
      </c>
      <c r="N20" s="33" t="n">
        <v>-262258899067</v>
      </c>
      <c r="O20" s="33" t="n">
        <v>-183327127708</v>
      </c>
      <c r="P20" s="33" t="n">
        <v>-386827618544</v>
      </c>
      <c r="Q20" s="33" t="n">
        <v>-370675634466</v>
      </c>
      <c r="R20" s="33" t="n">
        <v>-388685532094</v>
      </c>
      <c r="S20" s="33" t="n">
        <v>-414255912447</v>
      </c>
      <c r="T20" s="33" t="n">
        <v>-570027279364</v>
      </c>
      <c r="U20" s="33" t="n">
        <v>-678098776695</v>
      </c>
    </row>
    <row r="21">
      <c r="A21" s="32" t="inlineStr">
        <is>
          <t>Lãi/(lỗ) thuần sau thuế</t>
        </is>
      </c>
      <c r="B21" s="33" t="n">
        <v>2880309060134</v>
      </c>
      <c r="C21" s="33" t="n">
        <v>3836240087027</v>
      </c>
      <c r="D21" s="33" t="n">
        <v>3919872709507</v>
      </c>
      <c r="E21" s="33" t="n">
        <v>4901426673890</v>
      </c>
      <c r="F21" s="33" t="n">
        <v>4101714424939</v>
      </c>
      <c r="G21" s="33" t="n">
        <v>167829154939</v>
      </c>
      <c r="H21" s="33" t="n">
        <v>3733288228720</v>
      </c>
      <c r="I21" s="33" t="n">
        <v>7072622885875</v>
      </c>
      <c r="J21" s="33" t="n">
        <v>807463681396</v>
      </c>
      <c r="K21" s="33" t="n">
        <v>732106331015</v>
      </c>
      <c r="L21" s="33" t="n">
        <v>647634950829</v>
      </c>
      <c r="M21" s="33" t="n">
        <v>693104096894</v>
      </c>
      <c r="N21" s="33" t="n">
        <v>805786501540</v>
      </c>
      <c r="O21" s="33" t="n">
        <v>852144126290</v>
      </c>
      <c r="P21" s="33" t="n">
        <v>1547833768676</v>
      </c>
      <c r="Q21" s="33" t="n">
        <v>1657529120910</v>
      </c>
      <c r="R21" s="33" t="n">
        <v>1783665633985</v>
      </c>
      <c r="S21" s="33" t="n">
        <v>2083594362304</v>
      </c>
      <c r="T21" s="33" t="n">
        <v>2757557020527</v>
      </c>
      <c r="U21" s="33" t="n">
        <v>3354897721338</v>
      </c>
    </row>
    <row r="22">
      <c r="A22" s="32" t="inlineStr">
        <is>
          <t>Lợi ích của cổ đông thiểu số</t>
        </is>
      </c>
      <c r="B22" s="33" t="n">
        <v>1584929226</v>
      </c>
      <c r="C22" s="33" t="n">
        <v>1970539980</v>
      </c>
      <c r="D22" s="33" t="n">
        <v>2104926348</v>
      </c>
      <c r="E22" s="33" t="n">
        <v>2557395670</v>
      </c>
      <c r="F22" s="33" t="n">
        <v>1951397634</v>
      </c>
      <c r="G22" s="33" t="n">
        <v>159762235</v>
      </c>
      <c r="H22" s="33" t="n">
        <v>11419787059</v>
      </c>
      <c r="I22" s="33" t="n">
        <v>38892115706</v>
      </c>
      <c r="J22" s="33" t="n">
        <v>99409739</v>
      </c>
      <c r="K22" s="33" t="n">
        <v>137946248</v>
      </c>
      <c r="L22" s="33" t="n">
        <v>269605142</v>
      </c>
      <c r="M22" s="33" t="n">
        <v>1077968097</v>
      </c>
      <c r="N22" s="33" t="n">
        <v>5636522106</v>
      </c>
      <c r="O22" s="33" t="n">
        <v>5139744085</v>
      </c>
      <c r="P22" s="33" t="n">
        <v>1896677735</v>
      </c>
      <c r="Q22" s="33" t="n">
        <v>9382874206</v>
      </c>
      <c r="R22" s="33" t="n">
        <v>12766716681</v>
      </c>
      <c r="S22" s="33" t="n">
        <v>14845847084</v>
      </c>
      <c r="T22" s="33" t="n">
        <v>43126168421</v>
      </c>
      <c r="U22" s="33" t="n">
        <v>52350747326</v>
      </c>
    </row>
    <row r="23">
      <c r="A23" s="32" t="inlineStr">
        <is>
          <t>Lợi nhuận của Cổ đông của Công ty mẹ</t>
        </is>
      </c>
      <c r="B23" s="33" t="n">
        <v>2878724130908</v>
      </c>
      <c r="C23" s="33" t="n">
        <v>3834269547047</v>
      </c>
      <c r="D23" s="33" t="n">
        <v>3917767783159</v>
      </c>
      <c r="E23" s="33" t="n">
        <v>4898869278220</v>
      </c>
      <c r="F23" s="33" t="n">
        <v>4099763027305</v>
      </c>
      <c r="G23" s="33" t="n">
        <v>167669392704</v>
      </c>
      <c r="H23" s="33" t="n">
        <v>3721868441661</v>
      </c>
      <c r="I23" s="33" t="n">
        <v>7033730770169</v>
      </c>
      <c r="J23" s="33" t="n">
        <v>807364271657</v>
      </c>
      <c r="K23" s="33" t="n">
        <v>731968384767</v>
      </c>
      <c r="L23" s="33" t="n">
        <v>647365345687</v>
      </c>
      <c r="M23" s="33" t="n">
        <v>692026128797</v>
      </c>
      <c r="N23" s="33" t="n">
        <v>800149979434</v>
      </c>
      <c r="O23" s="33" t="n">
        <v>847004382205</v>
      </c>
      <c r="P23" s="33" t="n">
        <v>1545937090941</v>
      </c>
      <c r="Q23" s="33" t="n">
        <v>1648146246704</v>
      </c>
      <c r="R23" s="33" t="n">
        <v>1770898917304</v>
      </c>
      <c r="S23" s="33" t="n">
        <v>2068748515220</v>
      </c>
      <c r="T23" s="33" t="n">
        <v>2714430852106</v>
      </c>
      <c r="U23" s="33" t="n">
        <v>3302546974012</v>
      </c>
    </row>
    <row r="24">
      <c r="A24" s="32" t="inlineStr">
        <is>
          <t>Lãi cơ bản trên cổ phiếu (VND)</t>
        </is>
      </c>
      <c r="B24" s="33" t="n">
        <v>6689</v>
      </c>
      <c r="C24" s="33" t="n">
        <v>8665</v>
      </c>
      <c r="D24" s="33" t="n">
        <v>8654</v>
      </c>
      <c r="E24" s="33" t="n">
        <v>6897</v>
      </c>
      <c r="F24" s="33" t="n">
        <v>2810</v>
      </c>
      <c r="G24" s="33" t="n">
        <v>115</v>
      </c>
      <c r="H24" s="33" t="n">
        <v>2546</v>
      </c>
      <c r="I24" s="33" t="n">
        <v>4774</v>
      </c>
      <c r="J24" s="33" t="n">
        <v>2547</v>
      </c>
      <c r="K24" s="33" t="n">
        <v>2224</v>
      </c>
      <c r="L24" s="33" t="n">
        <v>2003</v>
      </c>
      <c r="M24" s="33" t="n">
        <v>6689</v>
      </c>
      <c r="N24" s="33" t="n">
        <v>547</v>
      </c>
      <c r="O24" s="33" t="n">
        <v>580</v>
      </c>
      <c r="P24" s="33" t="n">
        <v>1058</v>
      </c>
      <c r="Q24" s="33" t="n">
        <v>1117</v>
      </c>
      <c r="R24" s="33" t="n">
        <v>1198</v>
      </c>
      <c r="S24" s="33" t="n">
        <v>1400</v>
      </c>
      <c r="T24" s="33" t="n">
        <v>1849</v>
      </c>
      <c r="U24" s="33" t="n">
        <v>2249</v>
      </c>
    </row>
    <row r="25">
      <c r="A25" s="32" t="inlineStr">
        <is>
          <t>Lãi trên cổ phiếu pha loãng (VND)</t>
        </is>
      </c>
      <c r="B25" s="33" t="n">
        <v>6689</v>
      </c>
      <c r="C25" s="33" t="n">
        <v>8665</v>
      </c>
      <c r="D25" s="33" t="n">
        <v>8654</v>
      </c>
      <c r="E25" s="33" t="n">
        <v>6897</v>
      </c>
      <c r="F25" s="33" t="n">
        <v>2810</v>
      </c>
      <c r="G25" s="33" t="n">
        <v>115</v>
      </c>
      <c r="H25" s="33" t="n">
        <v>2546</v>
      </c>
      <c r="I25" s="33" t="n">
        <v>4774</v>
      </c>
      <c r="J25" s="33" t="n">
        <v>2547</v>
      </c>
      <c r="K25" s="33" t="n">
        <v>2224</v>
      </c>
      <c r="L25" s="33" t="n">
        <v>2003</v>
      </c>
      <c r="M25" s="33" t="n">
        <v>6689</v>
      </c>
      <c r="N25" s="33" t="n">
        <v>547</v>
      </c>
      <c r="O25" s="33" t="n">
        <v>580</v>
      </c>
      <c r="P25" s="33" t="n">
        <v>1058</v>
      </c>
      <c r="Q25" s="33" t="n">
        <v>1117</v>
      </c>
      <c r="R25" s="33" t="n">
        <v>1198</v>
      </c>
      <c r="S25" s="33" t="n">
        <v>1400</v>
      </c>
      <c r="T25" s="33" t="n">
        <v>1849</v>
      </c>
      <c r="U25" s="33" t="n">
        <v>2249</v>
      </c>
    </row>
    <row r="26">
      <c r="A26" s="32" t="inlineStr">
        <is>
          <t>Lãi/(lỗ) từ công ty liên doanh (từ năm 2015)</t>
        </is>
      </c>
      <c r="B26" s="33" t="n">
        <v>-2100986885</v>
      </c>
      <c r="C26" s="33" t="n">
        <v>-3473283371</v>
      </c>
      <c r="D26" s="33" t="n">
        <v>-3706939471</v>
      </c>
      <c r="E26" s="33" t="n">
        <v>-2210500486</v>
      </c>
      <c r="F26" s="33" t="n">
        <v>0</v>
      </c>
      <c r="G26" s="33" t="n">
        <v>0</v>
      </c>
      <c r="H26" s="33" t="n">
        <v>-44596454899</v>
      </c>
      <c r="I26" s="33" t="n">
        <v>24351079187</v>
      </c>
      <c r="J26" s="33" t="n">
        <v>0</v>
      </c>
      <c r="K26" s="33" t="n">
        <v>-734501277</v>
      </c>
      <c r="L26" s="33" t="n">
        <v>-2544230352</v>
      </c>
      <c r="M26" s="33" t="n">
        <v>1177744744</v>
      </c>
      <c r="N26" s="33" t="n">
        <v>147877008</v>
      </c>
      <c r="O26" s="33" t="n">
        <v>2422520118</v>
      </c>
      <c r="P26" s="33" t="n">
        <v>3129774300</v>
      </c>
      <c r="Q26" s="33" t="n">
        <v>11121630774</v>
      </c>
      <c r="R26" s="33" t="n">
        <v>4176701355</v>
      </c>
      <c r="S26" s="33" t="n">
        <v>5922972758</v>
      </c>
      <c r="T26" s="33" t="n">
        <v>9011741928</v>
      </c>
      <c r="U26" s="33" t="n">
        <v>18649699157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</cols>
  <sheetData>
    <row r="1">
      <c r="A1" s="30" t="inlineStr">
        <is>
          <t>item</t>
        </is>
      </c>
      <c r="B1" s="31" t="inlineStr">
        <is>
          <t>2018</t>
        </is>
      </c>
      <c r="C1" s="31" t="inlineStr">
        <is>
          <t>2019</t>
        </is>
      </c>
      <c r="D1" s="31" t="inlineStr">
        <is>
          <t>2020</t>
        </is>
      </c>
      <c r="E1" s="31" t="inlineStr">
        <is>
          <t>2021</t>
        </is>
      </c>
      <c r="F1" s="31" t="inlineStr">
        <is>
          <t>2022</t>
        </is>
      </c>
      <c r="G1" s="31" t="inlineStr">
        <is>
          <t>2023</t>
        </is>
      </c>
      <c r="H1" s="31" t="inlineStr">
        <is>
          <t>2024</t>
        </is>
      </c>
      <c r="I1" s="31" t="inlineStr">
        <is>
          <t>2025</t>
        </is>
      </c>
      <c r="J1" s="31" t="inlineStr">
        <is>
          <t>2018-Q1</t>
        </is>
      </c>
      <c r="K1" s="31" t="inlineStr">
        <is>
          <t>2018-Q2</t>
        </is>
      </c>
      <c r="L1" s="31" t="inlineStr">
        <is>
          <t>2018-Q3</t>
        </is>
      </c>
      <c r="M1" s="31" t="inlineStr">
        <is>
          <t>2018-Q4</t>
        </is>
      </c>
      <c r="N1" s="31" t="inlineStr">
        <is>
          <t>2024-Q3</t>
        </is>
      </c>
      <c r="O1" s="31" t="inlineStr">
        <is>
          <t>2024-Q4</t>
        </is>
      </c>
      <c r="P1" s="31" t="inlineStr">
        <is>
          <t>2025-Q1</t>
        </is>
      </c>
      <c r="Q1" s="31" t="inlineStr">
        <is>
          <t>2025-Q2</t>
        </is>
      </c>
      <c r="R1" s="31" t="inlineStr">
        <is>
          <t>2025-Q3</t>
        </is>
      </c>
      <c r="S1" s="31" t="inlineStr">
        <is>
          <t>2025-Q4</t>
        </is>
      </c>
      <c r="T1" s="31" t="inlineStr">
        <is>
          <t>2026-Q1</t>
        </is>
      </c>
      <c r="U1" s="31" t="inlineStr">
        <is>
          <t>2026-Q2</t>
        </is>
      </c>
    </row>
    <row r="2">
      <c r="A2" s="32" t="inlineStr">
        <is>
          <t>Lợi nhuận/(lỗ) trước thuế</t>
        </is>
      </c>
      <c r="B2" s="33" t="n">
        <v>3786318568918</v>
      </c>
      <c r="C2" s="33" t="n">
        <v>5053447204696</v>
      </c>
      <c r="D2" s="33" t="n">
        <v>5409735407353</v>
      </c>
      <c r="E2" s="33" t="n">
        <v>6471583750543</v>
      </c>
      <c r="F2" s="33" t="n">
        <v>6056355373558</v>
      </c>
      <c r="G2" s="33" t="n">
        <v>689692367896</v>
      </c>
      <c r="H2" s="33" t="n">
        <v>4825763013078</v>
      </c>
      <c r="I2" s="33" t="n">
        <v>8633067583426</v>
      </c>
      <c r="J2" s="33" t="n">
        <v>1042985027628</v>
      </c>
      <c r="K2" s="33" t="n">
        <v>968242972018</v>
      </c>
      <c r="L2" s="33" t="n">
        <v>856152481258</v>
      </c>
      <c r="M2" s="33" t="n">
        <v>918938088015</v>
      </c>
      <c r="N2" s="33" t="n">
        <v>1068045400607</v>
      </c>
      <c r="O2" s="33" t="n">
        <v>1035471253998</v>
      </c>
      <c r="P2" s="33" t="n">
        <v>1934661387220</v>
      </c>
      <c r="Q2" s="33" t="n">
        <v>2028204755376</v>
      </c>
      <c r="R2" s="33" t="n">
        <v>2172351166079</v>
      </c>
      <c r="S2" s="33" t="n">
        <v>2497850274751</v>
      </c>
      <c r="T2" s="33" t="n">
        <v>3327584299891</v>
      </c>
      <c r="U2" s="33" t="n">
        <v>4032996498033</v>
      </c>
    </row>
    <row r="3">
      <c r="A3" s="32" t="inlineStr">
        <is>
          <t>Khấu hao TSCĐ và BĐSĐT</t>
        </is>
      </c>
      <c r="B3" s="33" t="n">
        <v>1222868683717</v>
      </c>
      <c r="C3" s="33" t="n">
        <v>1442826938954</v>
      </c>
      <c r="D3" s="33" t="n">
        <v>2195583071035</v>
      </c>
      <c r="E3" s="33" t="n">
        <v>2920713608410</v>
      </c>
      <c r="F3" s="33" t="n">
        <v>3540324726294</v>
      </c>
      <c r="G3" s="33" t="n">
        <v>3351314267883</v>
      </c>
      <c r="H3" s="33" t="n">
        <v>2913419081483</v>
      </c>
      <c r="I3" s="33" t="n">
        <v>1890882108632</v>
      </c>
      <c r="J3" s="33" t="n">
        <v>275195696006</v>
      </c>
      <c r="K3" s="33" t="n">
        <v>288375292601</v>
      </c>
      <c r="L3" s="33" t="n">
        <v>322218177564</v>
      </c>
      <c r="M3" s="33" t="n">
        <v>337080211991</v>
      </c>
      <c r="N3" s="33" t="n">
        <v>709538513762</v>
      </c>
      <c r="O3" s="33" t="n">
        <v>806163942588</v>
      </c>
      <c r="P3" s="33" t="n">
        <v>508919466750</v>
      </c>
      <c r="Q3" s="33" t="n">
        <v>489299387395</v>
      </c>
      <c r="R3" s="33" t="n">
        <v>459321401160</v>
      </c>
      <c r="S3" s="33" t="n">
        <v>433341853327</v>
      </c>
      <c r="T3" s="33" t="n">
        <v>393929975265</v>
      </c>
      <c r="U3" s="33" t="n">
        <v>360693855102</v>
      </c>
    </row>
    <row r="4">
      <c r="A4" s="32" t="inlineStr">
        <is>
          <t>Chi phí dự phòng</t>
        </is>
      </c>
      <c r="B4" s="33" t="n">
        <v>126083626828</v>
      </c>
      <c r="C4" s="33" t="n">
        <v>90495782206</v>
      </c>
      <c r="D4" s="33" t="n">
        <v>58366659386</v>
      </c>
      <c r="E4" s="33" t="n">
        <v>179550717177</v>
      </c>
      <c r="F4" s="33" t="n">
        <v>-321799366884</v>
      </c>
      <c r="G4" s="33" t="n">
        <v>-165930068132</v>
      </c>
      <c r="H4" s="33" t="n">
        <v>220952651591</v>
      </c>
      <c r="I4" s="33" t="n">
        <v>205754863290</v>
      </c>
      <c r="J4" s="33" t="n">
        <v>61484098224</v>
      </c>
      <c r="K4" s="33" t="n">
        <v>48212881818</v>
      </c>
      <c r="L4" s="33" t="n">
        <v>227862314</v>
      </c>
      <c r="M4" s="33" t="n">
        <v>16158784472</v>
      </c>
      <c r="N4" s="33" t="n">
        <v>80430663127</v>
      </c>
      <c r="O4" s="33" t="n">
        <v>66918985373</v>
      </c>
      <c r="P4" s="33" t="n">
        <v>11990839619</v>
      </c>
      <c r="Q4" s="33" t="n">
        <v>13861998805</v>
      </c>
      <c r="R4" s="33" t="n">
        <v>102781600012</v>
      </c>
      <c r="S4" s="33" t="n">
        <v>77120424854</v>
      </c>
      <c r="T4" s="33" t="n">
        <v>148321568633</v>
      </c>
      <c r="U4" s="33" t="n">
        <v>-16391785057</v>
      </c>
    </row>
    <row r="5">
      <c r="A5" s="32" t="inlineStr">
        <is>
          <t>Lãi/lỗ chênh lệch tỷ giá hối đoái do đánh giá lại các khoản mục tiền tệ có gốc ngoại tệ</t>
        </is>
      </c>
      <c r="B5" s="33" t="n">
        <v>-107059306</v>
      </c>
      <c r="C5" s="33" t="n">
        <v>-27160364</v>
      </c>
      <c r="D5" s="33" t="n">
        <v>-36874578</v>
      </c>
      <c r="E5" s="33" t="n">
        <v>-146653994</v>
      </c>
      <c r="F5" s="33" t="n">
        <v>284374414</v>
      </c>
      <c r="G5" s="33" t="n">
        <v>83631272202</v>
      </c>
      <c r="H5" s="33" t="n">
        <v>25689580954</v>
      </c>
      <c r="I5" s="33" t="n">
        <v>48281410640</v>
      </c>
      <c r="J5" s="33" t="n">
        <v>3123787796</v>
      </c>
      <c r="K5" s="33" t="n">
        <v>-296246332</v>
      </c>
      <c r="L5" s="33" t="n">
        <v>-2851609274</v>
      </c>
      <c r="M5" s="33" t="n">
        <v>-82991496</v>
      </c>
      <c r="N5" s="33" t="n">
        <v>20090137067</v>
      </c>
      <c r="O5" s="33" t="n">
        <v>-141025314729</v>
      </c>
      <c r="P5" s="33" t="n">
        <v>10006964390</v>
      </c>
      <c r="Q5" s="33" t="n">
        <v>20285050148</v>
      </c>
      <c r="R5" s="33" t="n">
        <v>17804103606</v>
      </c>
      <c r="S5" s="33" t="n">
        <v>185292496</v>
      </c>
      <c r="T5" s="33" t="n">
        <v>-1038495565</v>
      </c>
      <c r="U5" s="33" t="n">
        <v>839017483</v>
      </c>
    </row>
    <row r="6">
      <c r="A6" s="32" t="inlineStr">
        <is>
          <t>Lãi/(lỗ) từ thanh lý tài sản cố định</t>
        </is>
      </c>
      <c r="B6" s="33" t="n">
        <v>0</v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</row>
    <row r="7">
      <c r="A7" s="32" t="inlineStr">
        <is>
          <t>(Lãi)/lỗ từ hoạt động đầu tư</t>
        </is>
      </c>
      <c r="B7" s="33" t="n">
        <v>-84857279584</v>
      </c>
      <c r="C7" s="33" t="n">
        <v>-341194613832</v>
      </c>
      <c r="D7" s="33" t="n">
        <v>-557627148536</v>
      </c>
      <c r="E7" s="33" t="n">
        <v>-959323580633</v>
      </c>
      <c r="F7" s="33" t="n">
        <v>-348599792355</v>
      </c>
      <c r="G7" s="33" t="n">
        <v>-1509203341265</v>
      </c>
      <c r="H7" s="33" t="n">
        <v>-1729164103487</v>
      </c>
      <c r="I7" s="33" t="n">
        <v>-2908766491708</v>
      </c>
      <c r="J7" s="33" t="n">
        <v>-4400592798</v>
      </c>
      <c r="K7" s="33" t="n">
        <v>-15137961548</v>
      </c>
      <c r="L7" s="33" t="n">
        <v>-30111340870</v>
      </c>
      <c r="M7" s="33" t="n">
        <v>-35207384368</v>
      </c>
      <c r="N7" s="33" t="n">
        <v>-283114817875</v>
      </c>
      <c r="O7" s="33" t="n">
        <v>-627238602343</v>
      </c>
      <c r="P7" s="33" t="n">
        <v>-637707361482</v>
      </c>
      <c r="Q7" s="33" t="n">
        <v>-721876708932</v>
      </c>
      <c r="R7" s="33" t="n">
        <v>-763715309306</v>
      </c>
      <c r="S7" s="33" t="n">
        <v>-785467111988</v>
      </c>
      <c r="T7" s="33" t="n">
        <v>-803187924707</v>
      </c>
      <c r="U7" s="33" t="n">
        <v>-902130463700</v>
      </c>
    </row>
    <row r="8">
      <c r="A8" s="32" t="inlineStr">
        <is>
          <t>Chi phí lãi vay</t>
        </is>
      </c>
      <c r="B8" s="33" t="n">
        <v>436416577674</v>
      </c>
      <c r="C8" s="33" t="n">
        <v>568136717134</v>
      </c>
      <c r="D8" s="33" t="n">
        <v>594003821021</v>
      </c>
      <c r="E8" s="33" t="n">
        <v>674427746189</v>
      </c>
      <c r="F8" s="33" t="n">
        <v>1362143909103</v>
      </c>
      <c r="G8" s="33" t="n">
        <v>1447718354797</v>
      </c>
      <c r="H8" s="33" t="n">
        <v>1137236129748</v>
      </c>
      <c r="I8" s="33" t="n">
        <v>1470675593604</v>
      </c>
      <c r="J8" s="33" t="n">
        <v>112795317948</v>
      </c>
      <c r="K8" s="33" t="n">
        <v>105346054241</v>
      </c>
      <c r="L8" s="33" t="n">
        <v>107492002949</v>
      </c>
      <c r="M8" s="33" t="n">
        <v>110783202536</v>
      </c>
      <c r="N8" s="33" t="n">
        <v>303696061820</v>
      </c>
      <c r="O8" s="33" t="n">
        <v>323470486929</v>
      </c>
      <c r="P8" s="33" t="n">
        <v>322792850500</v>
      </c>
      <c r="Q8" s="33" t="n">
        <v>375178482038</v>
      </c>
      <c r="R8" s="33" t="n">
        <v>388038374707</v>
      </c>
      <c r="S8" s="33" t="n">
        <v>384665886359</v>
      </c>
      <c r="T8" s="33" t="n">
        <v>415448904085</v>
      </c>
      <c r="U8" s="33" t="n">
        <v>436321054832</v>
      </c>
    </row>
    <row r="9">
      <c r="A9" s="32" t="inlineStr">
        <is>
          <t>Thu lãi và cổ tức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  <c r="P9" s="33" t="n">
        <v>0</v>
      </c>
      <c r="Q9" s="33" t="n">
        <v>0</v>
      </c>
      <c r="R9" s="33" t="n">
        <v>0</v>
      </c>
      <c r="S9" s="33" t="n">
        <v>0</v>
      </c>
      <c r="T9" s="33" t="n">
        <v>0</v>
      </c>
      <c r="U9" s="33" t="n">
        <v>0</v>
      </c>
    </row>
    <row r="10">
      <c r="A10" s="32" t="inlineStr">
        <is>
          <t>Lợi nhuận/(lỗ) từ hoạt động kinh doanh trước những thay đổi vốn lưu động</t>
        </is>
      </c>
      <c r="B10" s="33" t="n">
        <v>5486723118247</v>
      </c>
      <c r="C10" s="33" t="n">
        <v>6813684868794</v>
      </c>
      <c r="D10" s="33" t="n">
        <v>7700024935681</v>
      </c>
      <c r="E10" s="33" t="n">
        <v>9286805587692</v>
      </c>
      <c r="F10" s="33" t="n">
        <v>10288709224130</v>
      </c>
      <c r="G10" s="33" t="n">
        <v>3897222853381</v>
      </c>
      <c r="H10" s="33" t="n">
        <v>7393896353367</v>
      </c>
      <c r="I10" s="33" t="n">
        <v>9339895067884</v>
      </c>
      <c r="J10" s="33" t="n">
        <v>1491183334804</v>
      </c>
      <c r="K10" s="33" t="n">
        <v>1394742992798</v>
      </c>
      <c r="L10" s="33" t="n">
        <v>1253127573941</v>
      </c>
      <c r="M10" s="33" t="n">
        <v>1347669911150</v>
      </c>
      <c r="N10" s="33" t="n">
        <v>1898685958508</v>
      </c>
      <c r="O10" s="33" t="n">
        <v>1463760751816</v>
      </c>
      <c r="P10" s="33" t="n">
        <v>2150664146997</v>
      </c>
      <c r="Q10" s="33" t="n">
        <v>2204952964830</v>
      </c>
      <c r="R10" s="33" t="n">
        <v>2376581336258</v>
      </c>
      <c r="S10" s="33" t="n">
        <v>2607696619799</v>
      </c>
      <c r="T10" s="33" t="n">
        <v>3481058327602</v>
      </c>
      <c r="U10" s="33" t="n">
        <v>3912328176693</v>
      </c>
    </row>
    <row r="11">
      <c r="A11" s="32" t="inlineStr">
        <is>
          <t>(Tăng)/giảm các khoản phải thu</t>
        </is>
      </c>
      <c r="B11" s="33" t="n">
        <v>1246646823981</v>
      </c>
      <c r="C11" s="33" t="n">
        <v>-675979882201</v>
      </c>
      <c r="D11" s="33" t="n">
        <v>850493238036</v>
      </c>
      <c r="E11" s="33" t="n">
        <v>-827596105467</v>
      </c>
      <c r="F11" s="33" t="n">
        <v>-588827639446</v>
      </c>
      <c r="G11" s="33" t="n">
        <v>672440536688</v>
      </c>
      <c r="H11" s="33" t="n">
        <v>151205190961</v>
      </c>
      <c r="I11" s="33" t="n">
        <v>-308618709954</v>
      </c>
      <c r="J11" s="33" t="n">
        <v>1156728740090</v>
      </c>
      <c r="K11" s="33" t="n">
        <v>378964388367</v>
      </c>
      <c r="L11" s="33" t="n">
        <v>-24911405961</v>
      </c>
      <c r="M11" s="33" t="n">
        <v>-281709747071</v>
      </c>
      <c r="N11" s="33" t="n">
        <v>325328320498</v>
      </c>
      <c r="O11" s="33" t="n">
        <v>38470643956</v>
      </c>
      <c r="P11" s="33" t="n">
        <v>-20551258</v>
      </c>
      <c r="Q11" s="33" t="n">
        <v>-251635229938</v>
      </c>
      <c r="R11" s="33" t="n">
        <v>-83919351041</v>
      </c>
      <c r="S11" s="33" t="n">
        <v>26956422283</v>
      </c>
      <c r="T11" s="33" t="n">
        <v>168304248946</v>
      </c>
      <c r="U11" s="33" t="n">
        <v>-13650520988769</v>
      </c>
    </row>
    <row r="12">
      <c r="A12" s="32" t="inlineStr">
        <is>
          <t>(Tăng)/giảm hàng tồn kho</t>
        </is>
      </c>
      <c r="B12" s="33" t="n">
        <v>-4672944194460</v>
      </c>
      <c r="C12" s="33" t="n">
        <v>-8374797030131</v>
      </c>
      <c r="D12" s="33" t="n">
        <v>6269571171519</v>
      </c>
      <c r="E12" s="33" t="n">
        <v>-9923705315353</v>
      </c>
      <c r="F12" s="33" t="n">
        <v>3791937421033</v>
      </c>
      <c r="G12" s="33" t="n">
        <v>4169031757473</v>
      </c>
      <c r="H12" s="33" t="n">
        <v>-636927914305</v>
      </c>
      <c r="I12" s="33" t="n">
        <v>-5207942331422</v>
      </c>
      <c r="J12" s="33" t="n">
        <v>-1586806999135</v>
      </c>
      <c r="K12" s="33" t="n">
        <v>99728382479</v>
      </c>
      <c r="L12" s="33" t="n">
        <v>967735176814</v>
      </c>
      <c r="M12" s="33" t="n">
        <v>-4153600754618</v>
      </c>
      <c r="N12" s="33" t="n">
        <v>-892284242431</v>
      </c>
      <c r="O12" s="33" t="n">
        <v>-454321055722</v>
      </c>
      <c r="P12" s="33" t="n">
        <v>-575792834900</v>
      </c>
      <c r="Q12" s="33" t="n">
        <v>-888492280751</v>
      </c>
      <c r="R12" s="33" t="n">
        <v>-512336774122</v>
      </c>
      <c r="S12" s="33" t="n">
        <v>-3231320441649</v>
      </c>
      <c r="T12" s="33" t="n">
        <v>-473294070349</v>
      </c>
      <c r="U12" s="33" t="n">
        <v>-3249442441366</v>
      </c>
    </row>
    <row r="13">
      <c r="A13" s="32" t="inlineStr">
        <is>
          <t>Tăng/(giảm) các khoản phải trả</t>
        </is>
      </c>
      <c r="B13" s="33" t="n">
        <v>1331042865781</v>
      </c>
      <c r="C13" s="33" t="n">
        <v>2823942311184</v>
      </c>
      <c r="D13" s="33" t="n">
        <v>-1894206905085</v>
      </c>
      <c r="E13" s="33" t="n">
        <v>3781614904801</v>
      </c>
      <c r="F13" s="33" t="n">
        <v>-2286756979213</v>
      </c>
      <c r="G13" s="33" t="n">
        <v>-3136706601092</v>
      </c>
      <c r="H13" s="33" t="n">
        <v>3581806724649</v>
      </c>
      <c r="I13" s="33" t="n">
        <v>5339106069277</v>
      </c>
      <c r="J13" s="33" t="n">
        <v>-2691311201860</v>
      </c>
      <c r="K13" s="33" t="n">
        <v>614010121595</v>
      </c>
      <c r="L13" s="33" t="n">
        <v>-77902747024</v>
      </c>
      <c r="M13" s="33" t="n">
        <v>3503821607071</v>
      </c>
      <c r="N13" s="33" t="n">
        <v>193484688240</v>
      </c>
      <c r="O13" s="33" t="n">
        <v>-325910980822</v>
      </c>
      <c r="P13" s="33" t="n">
        <v>1748346307159</v>
      </c>
      <c r="Q13" s="33" t="n">
        <v>994923531151</v>
      </c>
      <c r="R13" s="33" t="n">
        <v>1930842466387</v>
      </c>
      <c r="S13" s="33" t="n">
        <v>664993764580</v>
      </c>
      <c r="T13" s="33" t="n">
        <v>-776569297738</v>
      </c>
      <c r="U13" s="33" t="n">
        <v>16306823873210</v>
      </c>
    </row>
    <row r="14">
      <c r="A14" s="32" t="inlineStr">
        <is>
          <t>(Tăng)/giảm chi phí trả trước</t>
        </is>
      </c>
      <c r="B14" s="33" t="n">
        <v>126753313780</v>
      </c>
      <c r="C14" s="33" t="n">
        <v>-227805034461</v>
      </c>
      <c r="D14" s="33" t="n">
        <v>-75119169600</v>
      </c>
      <c r="E14" s="33" t="n">
        <v>-27490477725</v>
      </c>
      <c r="F14" s="33" t="n">
        <v>-101041271147</v>
      </c>
      <c r="G14" s="33" t="n">
        <v>130000103455</v>
      </c>
      <c r="H14" s="33" t="n">
        <v>127788870902</v>
      </c>
      <c r="I14" s="33" t="n">
        <v>-123379603345</v>
      </c>
      <c r="J14" s="33" t="n">
        <v>90945030806</v>
      </c>
      <c r="K14" s="33" t="n">
        <v>29394208115</v>
      </c>
      <c r="L14" s="33" t="n">
        <v>13152204575</v>
      </c>
      <c r="M14" s="33" t="n">
        <v>-19000999815</v>
      </c>
      <c r="N14" s="33" t="n">
        <v>33370603157</v>
      </c>
      <c r="O14" s="33" t="n">
        <v>-6332644201</v>
      </c>
      <c r="P14" s="33" t="n">
        <v>-51385677184</v>
      </c>
      <c r="Q14" s="33" t="n">
        <v>7330869497</v>
      </c>
      <c r="R14" s="33" t="n">
        <v>14950225012</v>
      </c>
      <c r="S14" s="33" t="n">
        <v>-94275020670</v>
      </c>
      <c r="T14" s="33" t="n">
        <v>28552315198</v>
      </c>
      <c r="U14" s="33" t="n">
        <v>-8904179182</v>
      </c>
    </row>
    <row r="15">
      <c r="A15" s="32" t="inlineStr">
        <is>
          <t>Tiền lãi vay đã trả</t>
        </is>
      </c>
      <c r="B15" s="33" t="n">
        <v>-427564376510</v>
      </c>
      <c r="C15" s="33" t="n">
        <v>-537997464046</v>
      </c>
      <c r="D15" s="33" t="n">
        <v>-563748612045</v>
      </c>
      <c r="E15" s="33" t="n">
        <v>-585136035219</v>
      </c>
      <c r="F15" s="33" t="n">
        <v>-1322381109404</v>
      </c>
      <c r="G15" s="33" t="n">
        <v>-1435731870616</v>
      </c>
      <c r="H15" s="33" t="n">
        <v>-1141521540734</v>
      </c>
      <c r="I15" s="33" t="n">
        <v>-1396460327956</v>
      </c>
      <c r="J15" s="33" t="n">
        <v>-82967555418</v>
      </c>
      <c r="K15" s="33" t="n">
        <v>-129405281781</v>
      </c>
      <c r="L15" s="33" t="n">
        <v>-79240528647</v>
      </c>
      <c r="M15" s="33" t="n">
        <v>-135951010664</v>
      </c>
      <c r="N15" s="33" t="n">
        <v>-320504510983</v>
      </c>
      <c r="O15" s="33" t="n">
        <v>-307080568328</v>
      </c>
      <c r="P15" s="33" t="n">
        <v>-325485637820</v>
      </c>
      <c r="Q15" s="33" t="n">
        <v>-311664671169</v>
      </c>
      <c r="R15" s="33" t="n">
        <v>-379197708077</v>
      </c>
      <c r="S15" s="33" t="n">
        <v>-380112310890</v>
      </c>
      <c r="T15" s="33" t="n">
        <v>-438524493957</v>
      </c>
      <c r="U15" s="33" t="n">
        <v>-407675925749</v>
      </c>
    </row>
    <row r="16">
      <c r="A16" s="32" t="inlineStr">
        <is>
          <t>Thuế thu nhập doanh nghiệp đã nộp</t>
        </is>
      </c>
      <c r="B16" s="33" t="n">
        <v>-829523019750</v>
      </c>
      <c r="C16" s="33" t="n">
        <v>-1092128547184</v>
      </c>
      <c r="D16" s="33" t="n">
        <v>-1494585439732</v>
      </c>
      <c r="E16" s="33" t="n">
        <v>-1533102122807</v>
      </c>
      <c r="F16" s="33" t="n">
        <v>-1805340844308</v>
      </c>
      <c r="G16" s="33" t="n">
        <v>-860429603219</v>
      </c>
      <c r="H16" s="33" t="n">
        <v>-958914978098</v>
      </c>
      <c r="I16" s="33" t="n">
        <v>-1546459474269</v>
      </c>
      <c r="J16" s="33" t="n">
        <v>-98571977984</v>
      </c>
      <c r="K16" s="33" t="n">
        <v>-242069170136</v>
      </c>
      <c r="L16" s="33" t="n">
        <v>-218069240051</v>
      </c>
      <c r="M16" s="33" t="n">
        <v>-270812631579</v>
      </c>
      <c r="N16" s="33" t="n">
        <v>-316590960701</v>
      </c>
      <c r="O16" s="33" t="n">
        <v>-280150639769</v>
      </c>
      <c r="P16" s="33" t="n">
        <v>-456800409565</v>
      </c>
      <c r="Q16" s="33" t="n">
        <v>-312745003158</v>
      </c>
      <c r="R16" s="33" t="n">
        <v>-571103348185</v>
      </c>
      <c r="S16" s="33" t="n">
        <v>-205810713361</v>
      </c>
      <c r="T16" s="33" t="n">
        <v>-796272456005</v>
      </c>
      <c r="U16" s="33" t="n">
        <v>-521014311749</v>
      </c>
    </row>
    <row r="17">
      <c r="A17" s="32" t="inlineStr">
        <is>
          <t>Tiền thu khác từ hoạt động kinh doanh</t>
        </is>
      </c>
      <c r="B17" s="33" t="n">
        <v>0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33" t="n">
        <v>0</v>
      </c>
    </row>
    <row r="18">
      <c r="A18" s="32" t="inlineStr">
        <is>
          <t>Tiền chi khác cho hoạt động kinh doanh</t>
        </is>
      </c>
      <c r="B18" s="33" t="n">
        <v>0</v>
      </c>
      <c r="C18" s="33" t="n">
        <v>-15000000000</v>
      </c>
      <c r="D18" s="33" t="n">
        <v>0</v>
      </c>
      <c r="E18" s="33" t="n">
        <v>0</v>
      </c>
      <c r="F18" s="33" t="n">
        <v>0</v>
      </c>
      <c r="G18" s="33" t="n">
        <v>0</v>
      </c>
      <c r="H18" s="33" t="n">
        <v>0</v>
      </c>
      <c r="I18" s="33" t="n">
        <v>0</v>
      </c>
      <c r="J18" s="33" t="n">
        <v>0</v>
      </c>
      <c r="K18" s="33" t="n">
        <v>0</v>
      </c>
      <c r="L18" s="33" t="n">
        <v>0</v>
      </c>
      <c r="M18" s="33" t="n">
        <v>0</v>
      </c>
      <c r="N18" s="33" t="n">
        <v>0</v>
      </c>
      <c r="O18" s="33" t="n">
        <v>0</v>
      </c>
      <c r="P18" s="33" t="n">
        <v>0</v>
      </c>
      <c r="Q18" s="33" t="n">
        <v>0</v>
      </c>
      <c r="R18" s="33" t="n">
        <v>0</v>
      </c>
      <c r="S18" s="33" t="n">
        <v>0</v>
      </c>
      <c r="T18" s="33" t="n">
        <v>0</v>
      </c>
      <c r="U18" s="33" t="n">
        <v>0</v>
      </c>
    </row>
    <row r="19">
      <c r="A19" s="32" t="inlineStr">
        <is>
          <t>Lưu chuyển tiền tệ ròng từ các hoạt động sản xuất kinh doanh</t>
        </is>
      </c>
      <c r="B19" s="33" t="n">
        <v>2261134531069</v>
      </c>
      <c r="C19" s="33" t="n">
        <v>-1286080778045</v>
      </c>
      <c r="D19" s="33" t="n">
        <v>10792429218774</v>
      </c>
      <c r="E19" s="33" t="n">
        <v>171390435922</v>
      </c>
      <c r="F19" s="33" t="n">
        <v>7976298801645</v>
      </c>
      <c r="G19" s="33" t="n">
        <v>3435827176070</v>
      </c>
      <c r="H19" s="33" t="n">
        <v>8517332706742</v>
      </c>
      <c r="I19" s="33" t="n">
        <v>6096140690215</v>
      </c>
      <c r="J19" s="33" t="n">
        <v>-1720800628697</v>
      </c>
      <c r="K19" s="33" t="n">
        <v>2145365641437</v>
      </c>
      <c r="L19" s="33" t="n">
        <v>1833891033647</v>
      </c>
      <c r="M19" s="33" t="n">
        <v>-9583625526</v>
      </c>
      <c r="N19" s="33" t="n">
        <v>921489856288</v>
      </c>
      <c r="O19" s="33" t="n">
        <v>128435506930</v>
      </c>
      <c r="P19" s="33" t="n">
        <v>2489525343429</v>
      </c>
      <c r="Q19" s="33" t="n">
        <v>1442670180462</v>
      </c>
      <c r="R19" s="33" t="n">
        <v>2775816846232</v>
      </c>
      <c r="S19" s="33" t="n">
        <v>-611871679908</v>
      </c>
      <c r="T19" s="33" t="n">
        <v>1193254573697</v>
      </c>
      <c r="U19" s="33" t="n">
        <v>2381594203088</v>
      </c>
    </row>
    <row r="20">
      <c r="A20" s="32" t="inlineStr">
        <is>
          <t>Tiền chi để mua sắm, xây dựng TSCĐ và các tài sản dài hạn khác</t>
        </is>
      </c>
      <c r="B20" s="33" t="n">
        <v>-1495931919038</v>
      </c>
      <c r="C20" s="33" t="n">
        <v>-3066921164140</v>
      </c>
      <c r="D20" s="33" t="n">
        <v>-3911358160002</v>
      </c>
      <c r="E20" s="33" t="n">
        <v>-4976876590016</v>
      </c>
      <c r="F20" s="33" t="n">
        <v>-4465359523505</v>
      </c>
      <c r="G20" s="33" t="n">
        <v>-523383330794</v>
      </c>
      <c r="H20" s="33" t="n">
        <v>-303747827395</v>
      </c>
      <c r="I20" s="33" t="n">
        <v>-888461890189</v>
      </c>
      <c r="J20" s="33" t="n">
        <v>-531757773572</v>
      </c>
      <c r="K20" s="33" t="n">
        <v>-224064921078</v>
      </c>
      <c r="L20" s="33" t="n">
        <v>-278499113332</v>
      </c>
      <c r="M20" s="33" t="n">
        <v>-449347935402</v>
      </c>
      <c r="N20" s="33" t="n">
        <v>-192924283078</v>
      </c>
      <c r="O20" s="33" t="n">
        <v>-62842918607</v>
      </c>
      <c r="P20" s="33" t="n">
        <v>-163054946249</v>
      </c>
      <c r="Q20" s="33" t="n">
        <v>-255979320848</v>
      </c>
      <c r="R20" s="33" t="n">
        <v>-119682197534</v>
      </c>
      <c r="S20" s="33" t="n">
        <v>-349745425558</v>
      </c>
      <c r="T20" s="33" t="n">
        <v>-350142572252</v>
      </c>
      <c r="U20" s="33" t="n">
        <v>-296533582218</v>
      </c>
    </row>
    <row r="21">
      <c r="A21" s="32" t="inlineStr">
        <is>
          <t>Tiền thu từ thanh lý, nhượng bán TSCĐ và các tài sản dài hạn khác</t>
        </is>
      </c>
      <c r="B21" s="33" t="n">
        <v>1339965525</v>
      </c>
      <c r="C21" s="33" t="n">
        <v>1290807344</v>
      </c>
      <c r="D21" s="33" t="n">
        <v>2018075304</v>
      </c>
      <c r="E21" s="33" t="n">
        <v>1107020670</v>
      </c>
      <c r="F21" s="33" t="n">
        <v>5331159526</v>
      </c>
      <c r="G21" s="33" t="n">
        <v>31276790650</v>
      </c>
      <c r="H21" s="33" t="n">
        <v>54661690191</v>
      </c>
      <c r="I21" s="33" t="n">
        <v>10165412732</v>
      </c>
      <c r="J21" s="33" t="n">
        <v>0</v>
      </c>
      <c r="K21" s="33" t="n">
        <v>0</v>
      </c>
      <c r="L21" s="33" t="n">
        <v>3402406949</v>
      </c>
      <c r="M21" s="33" t="n">
        <v>-2062506869</v>
      </c>
      <c r="N21" s="33" t="n">
        <v>13744481224</v>
      </c>
      <c r="O21" s="33" t="n">
        <v>7320550676</v>
      </c>
      <c r="P21" s="33" t="n">
        <v>755077318</v>
      </c>
      <c r="Q21" s="33" t="n">
        <v>1755696465</v>
      </c>
      <c r="R21" s="33" t="n">
        <v>4753636569</v>
      </c>
      <c r="S21" s="33" t="n">
        <v>2901002380</v>
      </c>
      <c r="T21" s="33" t="n">
        <v>1297577244</v>
      </c>
      <c r="U21" s="33" t="n">
        <v>1196907560</v>
      </c>
    </row>
    <row r="22">
      <c r="A22" s="32" t="inlineStr">
        <is>
          <t>Tiền chi cho vay, mua các công cụ nợ của đơn vị khác</t>
        </is>
      </c>
      <c r="B22" s="33" t="n">
        <v>-85922451739</v>
      </c>
      <c r="C22" s="33" t="n">
        <v>-8997469863015</v>
      </c>
      <c r="D22" s="33" t="n">
        <v>-11512468958904</v>
      </c>
      <c r="E22" s="33" t="n">
        <v>-19225219180045</v>
      </c>
      <c r="F22" s="33" t="n">
        <v>-20799334065331</v>
      </c>
      <c r="G22" s="33" t="n">
        <v>-34151374180637</v>
      </c>
      <c r="H22" s="33" t="n">
        <v>-52159250994595</v>
      </c>
      <c r="I22" s="33" t="n">
        <v>-56848212766085</v>
      </c>
      <c r="J22" s="33" t="n">
        <v>-2567500000</v>
      </c>
      <c r="K22" s="33" t="n">
        <v>-695434653844</v>
      </c>
      <c r="L22" s="33" t="n">
        <v>3151048412</v>
      </c>
      <c r="M22" s="33" t="n">
        <v>608928653693</v>
      </c>
      <c r="N22" s="33" t="n">
        <v>-7206863787201</v>
      </c>
      <c r="O22" s="33" t="n">
        <v>-19208764699749</v>
      </c>
      <c r="P22" s="33" t="n">
        <v>-12842790158451</v>
      </c>
      <c r="Q22" s="33" t="n">
        <v>-13442045712675</v>
      </c>
      <c r="R22" s="33" t="n">
        <v>-13513380882621</v>
      </c>
      <c r="S22" s="33" t="n">
        <v>-17049996012338</v>
      </c>
      <c r="T22" s="33" t="n">
        <v>-10333984026816</v>
      </c>
      <c r="U22" s="33" t="n">
        <v>-15331967227177</v>
      </c>
    </row>
    <row r="23">
      <c r="A23" s="32" t="inlineStr">
        <is>
          <t>Tiền thu hồi cho vay, bán lại các công cụ nợ của đơn vị khác</t>
        </is>
      </c>
      <c r="B23" s="33" t="n">
        <v>0</v>
      </c>
      <c r="C23" s="33" t="n">
        <v>5911392314754</v>
      </c>
      <c r="D23" s="33" t="n">
        <v>6512150136986</v>
      </c>
      <c r="E23" s="33" t="n">
        <v>12163993969618</v>
      </c>
      <c r="F23" s="33" t="n">
        <v>25851966071069</v>
      </c>
      <c r="G23" s="33" t="n">
        <v>22805115462454</v>
      </c>
      <c r="H23" s="33" t="n">
        <v>38289265386964</v>
      </c>
      <c r="I23" s="33" t="n">
        <v>48660442515806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9836218769118</v>
      </c>
      <c r="O23" s="33" t="n">
        <v>10647198693834</v>
      </c>
      <c r="P23" s="33" t="n">
        <v>8842431495252</v>
      </c>
      <c r="Q23" s="33" t="n">
        <v>9722310788550</v>
      </c>
      <c r="R23" s="33" t="n">
        <v>14012658540167</v>
      </c>
      <c r="S23" s="33" t="n">
        <v>16083041691837</v>
      </c>
      <c r="T23" s="33" t="n">
        <v>10310414167550</v>
      </c>
      <c r="U23" s="33" t="n">
        <v>11375323082103</v>
      </c>
    </row>
    <row r="24">
      <c r="A24" s="32" t="inlineStr">
        <is>
          <t>Tiền chi đầu tư góp vốn vào đơn vị khác</t>
        </is>
      </c>
      <c r="B24" s="33" t="n">
        <v>-828166470141</v>
      </c>
      <c r="C24" s="33" t="n">
        <v>0</v>
      </c>
      <c r="D24" s="33" t="n">
        <v>0</v>
      </c>
      <c r="E24" s="33" t="n">
        <v>-16385001737</v>
      </c>
      <c r="F24" s="33" t="n">
        <v>-181034840000</v>
      </c>
      <c r="G24" s="33" t="n">
        <v>-105597412729</v>
      </c>
      <c r="H24" s="33" t="n">
        <v>0</v>
      </c>
      <c r="I24" s="33" t="n">
        <v>-104772187500</v>
      </c>
      <c r="J24" s="33" t="n">
        <v>-805026772234</v>
      </c>
      <c r="K24" s="33" t="n">
        <v>-23139697907</v>
      </c>
      <c r="L24" s="33" t="n">
        <v>0</v>
      </c>
      <c r="M24" s="33" t="n">
        <v>0</v>
      </c>
      <c r="N24" s="33" t="n">
        <v>0</v>
      </c>
      <c r="O24" s="33" t="n">
        <v>0</v>
      </c>
      <c r="P24" s="33" t="n">
        <v>0</v>
      </c>
      <c r="Q24" s="33" t="n">
        <v>-104772187500</v>
      </c>
      <c r="R24" s="33" t="n">
        <v>0</v>
      </c>
      <c r="S24" s="33" t="n">
        <v>0</v>
      </c>
      <c r="T24" s="33" t="n">
        <v>-122390357255</v>
      </c>
      <c r="U24" s="33" t="n">
        <v>0</v>
      </c>
    </row>
    <row r="25">
      <c r="A25" s="32" t="inlineStr">
        <is>
          <t>Tiền thu hồi đầu tư góp vốn vào đơn vị khác</t>
        </is>
      </c>
      <c r="B25" s="33" t="n">
        <v>0</v>
      </c>
      <c r="C25" s="33" t="n">
        <v>0</v>
      </c>
      <c r="D25" s="33" t="n">
        <v>0</v>
      </c>
      <c r="E25" s="33" t="n">
        <v>796626468011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1777389076956</v>
      </c>
      <c r="O25" s="33" t="n">
        <v>-1777389076956</v>
      </c>
      <c r="P25" s="33" t="n">
        <v>0</v>
      </c>
      <c r="Q25" s="33" t="n">
        <v>0</v>
      </c>
      <c r="R25" s="33" t="n">
        <v>1620547815145</v>
      </c>
      <c r="S25" s="33" t="n">
        <v>-1620547815145</v>
      </c>
      <c r="T25" s="33" t="n">
        <v>0</v>
      </c>
      <c r="U25" s="33" t="n">
        <v>0</v>
      </c>
    </row>
    <row r="26">
      <c r="A26" s="32" t="inlineStr">
        <is>
          <t>Tiền thu lãi cho vay, cổ tức và lợi nhuận được chia</t>
        </is>
      </c>
      <c r="B26" s="33" t="n">
        <v>64286835061</v>
      </c>
      <c r="C26" s="33" t="n">
        <v>278946264804</v>
      </c>
      <c r="D26" s="33" t="n">
        <v>335398013989</v>
      </c>
      <c r="E26" s="33" t="n">
        <v>1883709063</v>
      </c>
      <c r="F26" s="33" t="n">
        <v>1137542621557</v>
      </c>
      <c r="G26" s="33" t="n">
        <v>1112667974114</v>
      </c>
      <c r="H26" s="33" t="n">
        <v>2375786074417</v>
      </c>
      <c r="I26" s="33" t="n">
        <v>2510063523663</v>
      </c>
      <c r="J26" s="33" t="n">
        <v>3058218066</v>
      </c>
      <c r="K26" s="33" t="n">
        <v>15123488975</v>
      </c>
      <c r="L26" s="33" t="n">
        <v>7914978046</v>
      </c>
      <c r="M26" s="33" t="n">
        <v>38190149974</v>
      </c>
      <c r="N26" s="33" t="n">
        <v>-1354529919662</v>
      </c>
      <c r="O26" s="33" t="n">
        <v>2376478611267</v>
      </c>
      <c r="P26" s="33" t="n">
        <v>464757235329</v>
      </c>
      <c r="Q26" s="33" t="n">
        <v>520808780312</v>
      </c>
      <c r="R26" s="33" t="n">
        <v>-987782133561</v>
      </c>
      <c r="S26" s="33" t="n">
        <v>2512279641583</v>
      </c>
      <c r="T26" s="33" t="n">
        <v>684861139738</v>
      </c>
      <c r="U26" s="33" t="n">
        <v>1007033144722</v>
      </c>
    </row>
    <row r="27">
      <c r="A27" s="32" t="inlineStr">
        <is>
          <t>Lưu chuyển tiền thuần từ hoạt động đầu tư</t>
        </is>
      </c>
      <c r="B27" s="33" t="n">
        <v>-2344394040332</v>
      </c>
      <c r="C27" s="33" t="n">
        <v>-5872761640253</v>
      </c>
      <c r="D27" s="33" t="n">
        <v>-8574260892627</v>
      </c>
      <c r="E27" s="33" t="n">
        <v>-11254869604436</v>
      </c>
      <c r="F27" s="33" t="n">
        <v>1549111423316</v>
      </c>
      <c r="G27" s="33" t="n">
        <v>-10831294696942</v>
      </c>
      <c r="H27" s="33" t="n">
        <v>-11743285670418</v>
      </c>
      <c r="I27" s="33" t="n">
        <v>-6660775391573</v>
      </c>
      <c r="J27" s="33" t="n">
        <v>-1336293827740</v>
      </c>
      <c r="K27" s="33" t="n">
        <v>-927515783854</v>
      </c>
      <c r="L27" s="33" t="n">
        <v>-264030679925</v>
      </c>
      <c r="M27" s="33" t="n">
        <v>195708361396</v>
      </c>
      <c r="N27" s="33" t="n">
        <v>2873034337357</v>
      </c>
      <c r="O27" s="33" t="n">
        <v>-8017998839535</v>
      </c>
      <c r="P27" s="33" t="n">
        <v>-3697901296801</v>
      </c>
      <c r="Q27" s="33" t="n">
        <v>-3557921955696</v>
      </c>
      <c r="R27" s="33" t="n">
        <v>1017114778165</v>
      </c>
      <c r="S27" s="33" t="n">
        <v>-422066917241</v>
      </c>
      <c r="T27" s="33" t="n">
        <v>190055928209</v>
      </c>
      <c r="U27" s="33" t="n">
        <v>-3244947675010</v>
      </c>
    </row>
    <row r="28">
      <c r="A28" s="32" t="inlineStr">
        <is>
          <t>Tiền thu từ phát hành cổ phiếu, nhận vốn góp của chủ sở hữu</t>
        </is>
      </c>
      <c r="B28" s="33" t="n">
        <v>705355067201</v>
      </c>
      <c r="C28" s="33" t="n">
        <v>90454820000</v>
      </c>
      <c r="D28" s="33" t="n">
        <v>105200450000</v>
      </c>
      <c r="E28" s="33" t="n">
        <v>228253030000</v>
      </c>
      <c r="F28" s="33" t="n">
        <v>192628370000</v>
      </c>
      <c r="G28" s="33" t="n">
        <v>443220000</v>
      </c>
      <c r="H28" s="33" t="n">
        <v>1771634338542</v>
      </c>
      <c r="I28" s="33" t="n">
        <v>283527980000</v>
      </c>
      <c r="J28" s="33" t="n">
        <v>576545137200</v>
      </c>
      <c r="K28" s="33" t="n">
        <v>0</v>
      </c>
      <c r="L28" s="33" t="n">
        <v>914520000</v>
      </c>
      <c r="M28" s="33" t="n">
        <v>128322510000</v>
      </c>
      <c r="N28" s="33" t="n">
        <v>-6870914127</v>
      </c>
      <c r="O28" s="33" t="n">
        <v>0</v>
      </c>
      <c r="P28" s="33" t="n">
        <v>0</v>
      </c>
      <c r="Q28" s="33" t="n">
        <v>174490000000</v>
      </c>
      <c r="R28" s="33" t="n">
        <v>0</v>
      </c>
      <c r="S28" s="33" t="n">
        <v>109037980000</v>
      </c>
      <c r="T28" s="33" t="n">
        <v>0</v>
      </c>
      <c r="U28" s="33" t="n">
        <v>0</v>
      </c>
    </row>
    <row r="29">
      <c r="A29" s="32" t="inlineStr">
        <is>
          <t>Tiền chi trả vốn góp cho các chủ sở hữu, mua lại cổ phiếu của doanh nghiệp đã phát hành</t>
        </is>
      </c>
      <c r="B29" s="33" t="n">
        <v>-729700000</v>
      </c>
      <c r="C29" s="33" t="n">
        <v>-4850060000</v>
      </c>
      <c r="D29" s="33" t="n">
        <v>-6040930000</v>
      </c>
      <c r="E29" s="33" t="n">
        <v>-2320000000</v>
      </c>
      <c r="F29" s="33" t="n">
        <v>-5025640000</v>
      </c>
      <c r="G29" s="33" t="n">
        <v>-9783280000</v>
      </c>
      <c r="H29" s="33" t="n">
        <v>-9141790000</v>
      </c>
      <c r="I29" s="33" t="n">
        <v>-815870711046</v>
      </c>
      <c r="J29" s="33" t="n">
        <v>-264400000</v>
      </c>
      <c r="K29" s="33" t="n">
        <v>830320000</v>
      </c>
      <c r="L29" s="33" t="n">
        <v>-993020000</v>
      </c>
      <c r="M29" s="33" t="n">
        <v>-729700000</v>
      </c>
      <c r="N29" s="33" t="n">
        <v>0</v>
      </c>
      <c r="O29" s="33" t="n">
        <v>-4311790000</v>
      </c>
      <c r="P29" s="33" t="n">
        <v>0</v>
      </c>
      <c r="Q29" s="33" t="n">
        <v>-3241610000</v>
      </c>
      <c r="R29" s="33" t="n">
        <v>-1522850000</v>
      </c>
      <c r="S29" s="33" t="n">
        <v>-811106251046</v>
      </c>
      <c r="T29" s="33" t="n">
        <v>-332340000</v>
      </c>
      <c r="U29" s="33" t="n">
        <v>0</v>
      </c>
    </row>
    <row r="30">
      <c r="A30" s="32" t="inlineStr">
        <is>
          <t>Tiền thu được các khoản đi vay</t>
        </is>
      </c>
      <c r="B30" s="33" t="n">
        <v>31893805156672</v>
      </c>
      <c r="C30" s="33" t="n">
        <v>45905952301242</v>
      </c>
      <c r="D30" s="33" t="n">
        <v>51168161383884</v>
      </c>
      <c r="E30" s="33" t="n">
        <v>63936208247950</v>
      </c>
      <c r="F30" s="33" t="n">
        <v>65251647851081</v>
      </c>
      <c r="G30" s="33" t="n">
        <v>70373733043570</v>
      </c>
      <c r="H30" s="33" t="n">
        <v>74756279079533</v>
      </c>
      <c r="I30" s="33" t="n">
        <v>98550109184689</v>
      </c>
      <c r="J30" s="33" t="n">
        <v>8709119907937</v>
      </c>
      <c r="K30" s="33" t="n">
        <v>8521469859517</v>
      </c>
      <c r="L30" s="33" t="n">
        <v>7558781074033</v>
      </c>
      <c r="M30" s="33" t="n">
        <v>7104434315185</v>
      </c>
      <c r="N30" s="33" t="n">
        <v>18966926966123</v>
      </c>
      <c r="O30" s="33" t="n">
        <v>20459240811095</v>
      </c>
      <c r="P30" s="33" t="n">
        <v>19644968702325</v>
      </c>
      <c r="Q30" s="33" t="n">
        <v>22571231063140</v>
      </c>
      <c r="R30" s="33" t="n">
        <v>26389717989161</v>
      </c>
      <c r="S30" s="33" t="n">
        <v>29944191430063</v>
      </c>
      <c r="T30" s="33" t="n">
        <v>27840348205836</v>
      </c>
      <c r="U30" s="33" t="n">
        <v>33003674697165</v>
      </c>
    </row>
    <row r="31">
      <c r="A31" s="32" t="inlineStr">
        <is>
          <t>Tiền trả nợ gốc vay</t>
        </is>
      </c>
      <c r="B31" s="33" t="n">
        <v>-31690848740269</v>
      </c>
      <c r="C31" s="33" t="n">
        <v>-38801961791867</v>
      </c>
      <c r="D31" s="33" t="n">
        <v>-48573996682152</v>
      </c>
      <c r="E31" s="33" t="n">
        <v>-56045130957737</v>
      </c>
      <c r="F31" s="33" t="n">
        <v>-73313739286999</v>
      </c>
      <c r="G31" s="33" t="n">
        <v>-61933329857245</v>
      </c>
      <c r="H31" s="33" t="n">
        <v>-73030338420383</v>
      </c>
      <c r="I31" s="33" t="n">
        <v>-95872137944800</v>
      </c>
      <c r="J31" s="33" t="n">
        <v>-7294949570204</v>
      </c>
      <c r="K31" s="33" t="n">
        <v>-8694910642721</v>
      </c>
      <c r="L31" s="33" t="n">
        <v>-6963284231913</v>
      </c>
      <c r="M31" s="33" t="n">
        <v>-8737704295431</v>
      </c>
      <c r="N31" s="33" t="n">
        <v>-18047655601891</v>
      </c>
      <c r="O31" s="33" t="n">
        <v>-17420567788704</v>
      </c>
      <c r="P31" s="33" t="n">
        <v>-20675754394437</v>
      </c>
      <c r="Q31" s="33" t="n">
        <v>-17255443886818</v>
      </c>
      <c r="R31" s="33" t="n">
        <v>-29222061079411</v>
      </c>
      <c r="S31" s="33" t="n">
        <v>-28718878584134</v>
      </c>
      <c r="T31" s="33" t="n">
        <v>-29670637998293</v>
      </c>
      <c r="U31" s="33" t="n">
        <v>-32014768130230</v>
      </c>
    </row>
    <row r="32">
      <c r="A32" s="32" t="inlineStr">
        <is>
          <t>Tiền trả nợ gốc thuê tài chính</t>
        </is>
      </c>
      <c r="B32" s="33" t="n">
        <v>0</v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3" t="n">
        <v>0</v>
      </c>
      <c r="J32" s="33" t="n">
        <v>0</v>
      </c>
      <c r="K32" s="33" t="n">
        <v>0</v>
      </c>
      <c r="L32" s="33" t="n">
        <v>0</v>
      </c>
      <c r="M32" s="33" t="n">
        <v>0</v>
      </c>
      <c r="N32" s="33" t="n">
        <v>0</v>
      </c>
      <c r="O32" s="33" t="n">
        <v>0</v>
      </c>
      <c r="P32" s="33" t="n">
        <v>0</v>
      </c>
      <c r="Q32" s="33" t="n">
        <v>0</v>
      </c>
      <c r="R32" s="33" t="n">
        <v>0</v>
      </c>
      <c r="S32" s="33" t="n">
        <v>0</v>
      </c>
      <c r="T32" s="33" t="n">
        <v>0</v>
      </c>
      <c r="U32" s="33" t="n">
        <v>0</v>
      </c>
    </row>
    <row r="33">
      <c r="A33" s="32" t="inlineStr">
        <is>
          <t>Cổ tức, lợi nhuận đã trả cho chủ sở hữu</t>
        </is>
      </c>
      <c r="B33" s="33" t="n">
        <v>-485862426828</v>
      </c>
      <c r="C33" s="33" t="n">
        <v>-665093453185</v>
      </c>
      <c r="D33" s="33" t="n">
        <v>-678908841000</v>
      </c>
      <c r="E33" s="33" t="n">
        <v>-239519441063</v>
      </c>
      <c r="F33" s="33" t="n">
        <v>-731854815000</v>
      </c>
      <c r="G33" s="33" t="n">
        <v>-731280023500</v>
      </c>
      <c r="H33" s="33" t="n">
        <v>-730957694000</v>
      </c>
      <c r="I33" s="33" t="n">
        <v>-1478456763000</v>
      </c>
      <c r="J33" s="33" t="n">
        <v>0</v>
      </c>
      <c r="K33" s="33" t="n">
        <v>-485113925593</v>
      </c>
      <c r="L33" s="33" t="n">
        <v>0</v>
      </c>
      <c r="M33" s="33" t="n">
        <v>-748501235</v>
      </c>
      <c r="N33" s="33" t="n">
        <v>-730957694000</v>
      </c>
      <c r="O33" s="33" t="n">
        <v>0</v>
      </c>
      <c r="P33" s="33" t="n">
        <v>0</v>
      </c>
      <c r="Q33" s="33" t="n">
        <v>0</v>
      </c>
      <c r="R33" s="33" t="n">
        <v>-1478456763000</v>
      </c>
      <c r="S33" s="33" t="n">
        <v>0</v>
      </c>
      <c r="T33" s="33" t="n">
        <v>0</v>
      </c>
      <c r="U33" s="33" t="n">
        <v>0</v>
      </c>
    </row>
    <row r="34">
      <c r="A34" s="32" t="inlineStr">
        <is>
          <t>Tiền lãi đã nhận</t>
        </is>
      </c>
      <c r="B34" s="33" t="n">
        <v>0</v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</v>
      </c>
      <c r="O34" s="33" t="n">
        <v>0</v>
      </c>
      <c r="P34" s="33" t="n">
        <v>0</v>
      </c>
      <c r="Q34" s="33" t="n">
        <v>0</v>
      </c>
      <c r="R34" s="33" t="n">
        <v>0</v>
      </c>
      <c r="S34" s="33" t="n">
        <v>0</v>
      </c>
      <c r="T34" s="33" t="n">
        <v>0</v>
      </c>
      <c r="U34" s="33" t="n">
        <v>0</v>
      </c>
    </row>
    <row r="35">
      <c r="A35" s="32" t="inlineStr">
        <is>
          <t>Lưu chuyển tiền thuần từ hoạt động tài chính</t>
        </is>
      </c>
      <c r="B35" s="33" t="n">
        <v>421719356776</v>
      </c>
      <c r="C35" s="33" t="n">
        <v>6524501816190</v>
      </c>
      <c r="D35" s="33" t="n">
        <v>2014415380732</v>
      </c>
      <c r="E35" s="33" t="n">
        <v>7877490879150</v>
      </c>
      <c r="F35" s="33" t="n">
        <v>-8606343520918</v>
      </c>
      <c r="G35" s="33" t="n">
        <v>7699783102825</v>
      </c>
      <c r="H35" s="33" t="n">
        <v>2757475513692</v>
      </c>
      <c r="I35" s="33" t="n">
        <v>667171745843</v>
      </c>
      <c r="J35" s="33" t="n">
        <v>1990451074933</v>
      </c>
      <c r="K35" s="33" t="n">
        <v>-657724388797</v>
      </c>
      <c r="L35" s="33" t="n">
        <v>595418342120</v>
      </c>
      <c r="M35" s="33" t="n">
        <v>-1506425671481</v>
      </c>
      <c r="N35" s="33" t="n">
        <v>181442756105</v>
      </c>
      <c r="O35" s="33" t="n">
        <v>3034361232391</v>
      </c>
      <c r="P35" s="33" t="n">
        <v>-1030785692112</v>
      </c>
      <c r="Q35" s="33" t="n">
        <v>5487035566322</v>
      </c>
      <c r="R35" s="33" t="n">
        <v>-4312322703250</v>
      </c>
      <c r="S35" s="33" t="n">
        <v>523244574883</v>
      </c>
      <c r="T35" s="33" t="n">
        <v>-1830622132457</v>
      </c>
      <c r="U35" s="33" t="n">
        <v>988906566935</v>
      </c>
    </row>
    <row r="36">
      <c r="A36" s="32" t="inlineStr">
        <is>
          <t>Lưu chuyển tiền thuần trong kỳ</t>
        </is>
      </c>
      <c r="B36" s="33" t="n">
        <v>338459847513</v>
      </c>
      <c r="C36" s="33" t="n">
        <v>-634340602108</v>
      </c>
      <c r="D36" s="33" t="n">
        <v>4232583706879</v>
      </c>
      <c r="E36" s="33" t="n">
        <v>-3205988289364</v>
      </c>
      <c r="F36" s="33" t="n">
        <v>919066704043</v>
      </c>
      <c r="G36" s="33" t="n">
        <v>304315581953</v>
      </c>
      <c r="H36" s="33" t="n">
        <v>-468477449984</v>
      </c>
      <c r="I36" s="33" t="n">
        <v>102537044485</v>
      </c>
      <c r="J36" s="33" t="n">
        <v>-1066643381504</v>
      </c>
      <c r="K36" s="33" t="n">
        <v>560125468786</v>
      </c>
      <c r="L36" s="33" t="n">
        <v>2165278695842</v>
      </c>
      <c r="M36" s="33" t="n">
        <v>-1320300935611</v>
      </c>
      <c r="N36" s="33" t="n">
        <v>3975966949750</v>
      </c>
      <c r="O36" s="33" t="n">
        <v>-4855202100214</v>
      </c>
      <c r="P36" s="33" t="n">
        <v>-2239161645484</v>
      </c>
      <c r="Q36" s="33" t="n">
        <v>3371783791088</v>
      </c>
      <c r="R36" s="33" t="n">
        <v>-519391078853</v>
      </c>
      <c r="S36" s="33" t="n">
        <v>-510694022266</v>
      </c>
      <c r="T36" s="33" t="n">
        <v>-447311630551</v>
      </c>
      <c r="U36" s="33" t="n">
        <v>125553095013</v>
      </c>
    </row>
    <row r="37">
      <c r="A37" s="32" t="inlineStr">
        <is>
          <t>Tiền và tương đương tiền đầu kỳ</t>
        </is>
      </c>
      <c r="B37" s="33" t="n">
        <v>3410983351393</v>
      </c>
      <c r="C37" s="33" t="n">
        <v>3749550258212</v>
      </c>
      <c r="D37" s="33" t="n">
        <v>3115236816468</v>
      </c>
      <c r="E37" s="33" t="n">
        <v>7347857397925</v>
      </c>
      <c r="F37" s="33" t="n">
        <v>4142015762555</v>
      </c>
      <c r="G37" s="33" t="n">
        <v>5061020547422</v>
      </c>
      <c r="H37" s="33" t="n">
        <v>5365704857172</v>
      </c>
      <c r="I37" s="33" t="n">
        <v>4897331540730</v>
      </c>
      <c r="J37" s="33" t="n">
        <v>3410983351393</v>
      </c>
      <c r="K37" s="33" t="n">
        <v>2344357965889</v>
      </c>
      <c r="L37" s="33" t="n">
        <v>2904599435150</v>
      </c>
      <c r="M37" s="33" t="n">
        <v>5069778230756</v>
      </c>
      <c r="N37" s="33" t="n">
        <v>5776462799036</v>
      </c>
      <c r="O37" s="33" t="n">
        <v>9752339611719</v>
      </c>
      <c r="P37" s="33" t="n">
        <v>4897331540730</v>
      </c>
      <c r="Q37" s="33" t="n">
        <v>2658218136149</v>
      </c>
      <c r="R37" s="33" t="n">
        <v>6030067748439</v>
      </c>
      <c r="S37" s="33" t="n">
        <v>5510816169528</v>
      </c>
      <c r="T37" s="33" t="n">
        <v>4999925717187</v>
      </c>
      <c r="U37" s="33" t="n">
        <v>4553652582201</v>
      </c>
    </row>
    <row r="38">
      <c r="A38" s="32" t="inlineStr">
        <is>
          <t>Ảnh hưởng của thay đổi tỷ giá hối đoái quy đổi ngoại tệ</t>
        </is>
      </c>
      <c r="B38" s="33" t="n">
        <v>107059306</v>
      </c>
      <c r="C38" s="33" t="n">
        <v>27160364</v>
      </c>
      <c r="D38" s="33" t="n">
        <v>36874578</v>
      </c>
      <c r="E38" s="33" t="n">
        <v>146653994</v>
      </c>
      <c r="F38" s="33" t="n">
        <v>-61919176</v>
      </c>
      <c r="G38" s="33" t="n">
        <v>368727797</v>
      </c>
      <c r="H38" s="33" t="n">
        <v>104133542</v>
      </c>
      <c r="I38" s="33" t="n">
        <v>57131972</v>
      </c>
      <c r="J38" s="33" t="n">
        <v>17996000</v>
      </c>
      <c r="K38" s="33" t="n">
        <v>116000475</v>
      </c>
      <c r="L38" s="33" t="n">
        <v>-99900236</v>
      </c>
      <c r="M38" s="33" t="n">
        <v>72963067</v>
      </c>
      <c r="N38" s="33" t="n">
        <v>-90137067</v>
      </c>
      <c r="O38" s="33" t="n">
        <v>194029225</v>
      </c>
      <c r="P38" s="33" t="n">
        <v>48240903</v>
      </c>
      <c r="Q38" s="33" t="n">
        <v>65821202</v>
      </c>
      <c r="R38" s="33" t="n">
        <v>139499942</v>
      </c>
      <c r="S38" s="33" t="n">
        <v>-196430075</v>
      </c>
      <c r="T38" s="33" t="n">
        <v>1038495565</v>
      </c>
      <c r="U38" s="33" t="n">
        <v>-839017483</v>
      </c>
    </row>
    <row r="39">
      <c r="A39" s="32" t="inlineStr">
        <is>
          <t>Tiền và tương đương tiền cuối kỳ</t>
        </is>
      </c>
      <c r="B39" s="33" t="n">
        <v>3749550258212</v>
      </c>
      <c r="C39" s="33" t="n">
        <v>3115236816468</v>
      </c>
      <c r="D39" s="33" t="n">
        <v>7347857397925</v>
      </c>
      <c r="E39" s="33" t="n">
        <v>4142015762555</v>
      </c>
      <c r="F39" s="33" t="n">
        <v>5061020547422</v>
      </c>
      <c r="G39" s="33" t="n">
        <v>5365704857172</v>
      </c>
      <c r="H39" s="33" t="n">
        <v>4897331540730</v>
      </c>
      <c r="I39" s="33" t="n">
        <v>4999925717187</v>
      </c>
      <c r="J39" s="33" t="n">
        <v>2344357965889</v>
      </c>
      <c r="K39" s="33" t="n">
        <v>2904599435150</v>
      </c>
      <c r="L39" s="33" t="n">
        <v>5069778230756</v>
      </c>
      <c r="M39" s="33" t="n">
        <v>3749550258212</v>
      </c>
      <c r="N39" s="33" t="n">
        <v>9752339611719</v>
      </c>
      <c r="O39" s="33" t="n">
        <v>4897331540730</v>
      </c>
      <c r="P39" s="33" t="n">
        <v>2658218136149</v>
      </c>
      <c r="Q39" s="33" t="n">
        <v>6030067748439</v>
      </c>
      <c r="R39" s="33" t="n">
        <v>5510816169528</v>
      </c>
      <c r="S39" s="33" t="n">
        <v>4999925717187</v>
      </c>
      <c r="T39" s="33" t="n">
        <v>4553652582201</v>
      </c>
      <c r="U39" s="33" t="n">
        <v>4678600961443</v>
      </c>
    </row>
    <row r="40">
      <c r="A40" s="32" t="inlineStr">
        <is>
          <t>Phân bổ lợi thế thương mại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</row>
    <row r="41">
      <c r="A41" s="32" t="inlineStr">
        <is>
          <t>Các khoản điều chỉnh khác</t>
        </is>
      </c>
      <c r="B41" s="33" t="n">
        <v>0</v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  <c r="N41" s="33" t="n">
        <v>0</v>
      </c>
      <c r="O41" s="33" t="n">
        <v>0</v>
      </c>
      <c r="P41" s="33" t="n">
        <v>0</v>
      </c>
      <c r="Q41" s="33" t="n">
        <v>0</v>
      </c>
      <c r="R41" s="33" t="n">
        <v>0</v>
      </c>
      <c r="S41" s="33" t="n">
        <v>0</v>
      </c>
      <c r="T41" s="33" t="n">
        <v>0</v>
      </c>
      <c r="U41" s="33" t="n">
        <v>0</v>
      </c>
    </row>
    <row r="42">
      <c r="A42" s="32" t="inlineStr">
        <is>
          <t>(Tăng)/giảm chứng khoán kinh doanh</t>
        </is>
      </c>
      <c r="B42" s="33" t="n">
        <v>0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0</v>
      </c>
      <c r="O42" s="33" t="n">
        <v>0</v>
      </c>
      <c r="P42" s="33" t="n">
        <v>0</v>
      </c>
      <c r="Q42" s="33" t="n">
        <v>0</v>
      </c>
      <c r="R42" s="33" t="n">
        <v>0</v>
      </c>
      <c r="S42" s="33" t="n">
        <v>0</v>
      </c>
      <c r="T42" s="33" t="n">
        <v>0</v>
      </c>
      <c r="U42" s="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tabSelected="1" workbookViewId="0">
      <selection activeCell="H15" sqref="H15"/>
    </sheetView>
  </sheetViews>
  <sheetFormatPr baseColWidth="8" defaultColWidth="8.88671875" defaultRowHeight="13.2"/>
  <cols>
    <col width="48.88671875" bestFit="1" customWidth="1" style="1" min="1" max="1"/>
    <col width="17.109375" bestFit="1" customWidth="1" style="1" min="2" max="9"/>
    <col width="8.88671875" customWidth="1" style="1" min="10" max="16384"/>
  </cols>
  <sheetData>
    <row r="1">
      <c r="A1" s="4" t="inlineStr">
        <is>
          <t>Chỉ tiêu</t>
        </is>
      </c>
      <c r="B1" s="5">
        <f>balance_sheet!J1</f>
        <v/>
      </c>
      <c r="C1" s="5">
        <f>balance_sheet!K1</f>
        <v/>
      </c>
      <c r="D1" s="5">
        <f>balance_sheet!L1</f>
        <v/>
      </c>
      <c r="E1" s="5">
        <f>balance_sheet!M1</f>
        <v/>
      </c>
      <c r="F1" s="5">
        <f>balance_sheet!N1</f>
        <v/>
      </c>
      <c r="G1" s="5">
        <f>balance_sheet!O1</f>
        <v/>
      </c>
      <c r="H1" s="5">
        <f>balance_sheet!P1</f>
        <v/>
      </c>
      <c r="I1" s="5">
        <f>balance_sheet!Q1</f>
        <v/>
      </c>
    </row>
    <row r="2">
      <c r="A2" s="4" t="inlineStr">
        <is>
          <t>ROE (LNST CĐ Cty mẹ / VCSH bình quân)</t>
        </is>
      </c>
      <c r="B2" s="34">
        <f>IFERROR(B$53/((B$41+#REF!)/2),"n/a")</f>
        <v/>
      </c>
      <c r="C2" s="34">
        <f>IFERROR(C$53/((C$41+B$41)/2),"n/a")</f>
        <v/>
      </c>
      <c r="D2" s="34">
        <f>IFERROR(D$53/((D$41+C$41)/2),"n/a")</f>
        <v/>
      </c>
      <c r="E2" s="34">
        <f>IFERROR(E$53/((E$41+D$41)/2),"n/a")</f>
        <v/>
      </c>
      <c r="F2" s="34">
        <f>IFERROR(F$53/((F$41+E$41)/2),"n/a")</f>
        <v/>
      </c>
      <c r="G2" s="34">
        <f>IFERROR(G$53/((G$41+F$41)/2),"n/a")</f>
        <v/>
      </c>
      <c r="H2" s="34">
        <f>IFERROR(H$53/((H$41+G$41)/2),"n/a")</f>
        <v/>
      </c>
      <c r="I2" s="34">
        <f>IFERROR(I$53/((I$41+H$41)/2),"n/a")</f>
        <v/>
      </c>
    </row>
    <row r="3">
      <c r="A3" s="4" t="inlineStr">
        <is>
          <t>ROA (LNST / Tổng tài sản bình quân)</t>
        </is>
      </c>
      <c r="B3" s="34">
        <f>IFERROR(B$52/((B$33+#REF!)/2),"n/a")</f>
        <v/>
      </c>
      <c r="C3" s="34">
        <f>IFERROR(C$52/((C$33+B$33)/2),"n/a")</f>
        <v/>
      </c>
      <c r="D3" s="34">
        <f>IFERROR(D$52/((D$33+C$33)/2),"n/a")</f>
        <v/>
      </c>
      <c r="E3" s="34">
        <f>IFERROR(E$52/((E$33+D$33)/2),"n/a")</f>
        <v/>
      </c>
      <c r="F3" s="34">
        <f>IFERROR(F$52/((F$33+E$33)/2),"n/a")</f>
        <v/>
      </c>
      <c r="G3" s="34">
        <f>IFERROR(G$52/((G$33+F$33)/2),"n/a")</f>
        <v/>
      </c>
      <c r="H3" s="34">
        <f>IFERROR(H$52/((H$33+G$33)/2),"n/a")</f>
        <v/>
      </c>
      <c r="I3" s="34">
        <f>IFERROR(I$52/((I$33+H$33)/2),"n/a")</f>
        <v/>
      </c>
    </row>
    <row r="4">
      <c r="A4" s="4" t="inlineStr">
        <is>
          <t>Tăng trưởng LN Cổ đông Cty mẹ QQ</t>
        </is>
      </c>
      <c r="B4" s="34">
        <f>IFERROR((B$53-#REF!)/ABS(#REF!),"n/a")</f>
        <v/>
      </c>
      <c r="C4" s="29">
        <f>IFERROR((C$53-B$53)/ABS(B$53),"n/a")</f>
        <v/>
      </c>
      <c r="D4" s="29">
        <f>IFERROR((D$53-C$53)/ABS(C$53),"n/a")</f>
        <v/>
      </c>
      <c r="E4" s="29">
        <f>IFERROR((E$53-D$53)/ABS(D$53),"n/a")</f>
        <v/>
      </c>
      <c r="F4" s="29">
        <f>IFERROR((F$53-E$53)/ABS(E$53),"n/a")</f>
        <v/>
      </c>
      <c r="G4" s="29">
        <f>IFERROR((G$53-F$53)/ABS(F$53),"n/a")</f>
        <v/>
      </c>
      <c r="H4" s="29">
        <f>IFERROR((H$53-G$53)/ABS(G$53),"n/a")</f>
        <v/>
      </c>
      <c r="I4" s="29">
        <f>IFERROR((I$53-H$53)/ABS(H$53),"n/a")</f>
        <v/>
      </c>
    </row>
    <row r="5">
      <c r="A5" s="4" t="inlineStr">
        <is>
          <t>Tăng trưởng LN Cổ đông Cty mẹ YY</t>
        </is>
      </c>
      <c r="B5" s="34" t="n"/>
      <c r="C5" s="34" t="n"/>
      <c r="D5" s="34" t="n"/>
      <c r="E5" s="34" t="n"/>
      <c r="F5" s="34">
        <f>IFERROR((F$53-B$53)/ABS(B$53),"n/a")</f>
        <v/>
      </c>
      <c r="G5" s="34">
        <f>IFERROR((G$53-C$53)/ABS(C$53),"n/a")</f>
        <v/>
      </c>
      <c r="H5" s="34">
        <f>IFERROR((H$53-D$53)/ABS(D$53),"n/a")</f>
        <v/>
      </c>
      <c r="I5" s="34">
        <f>IFERROR((I$53-E$53)/ABS(E$53),"n/a")</f>
        <v/>
      </c>
    </row>
    <row r="6">
      <c r="A6" s="4" t="inlineStr">
        <is>
          <t>Tăng trưởng Doanh thu thuần QQ</t>
        </is>
      </c>
      <c r="B6" s="34">
        <f>IFERROR((B$45-#REF!)/ABS(#REF!),"n/a")</f>
        <v/>
      </c>
      <c r="C6" s="29">
        <f>IFERROR((C$45-B$45)/ABS(B$45),"n/a")</f>
        <v/>
      </c>
      <c r="D6" s="29">
        <f>IFERROR((D$45-C$45)/ABS(C$45),"n/a")</f>
        <v/>
      </c>
      <c r="E6" s="29">
        <f>IFERROR((E$45-D$45)/ABS(D$45),"n/a")</f>
        <v/>
      </c>
      <c r="F6" s="29">
        <f>IFERROR((F$45-E$45)/ABS(E$45),"n/a")</f>
        <v/>
      </c>
      <c r="G6" s="29">
        <f>IFERROR((G$45-F$45)/ABS(F$45),"n/a")</f>
        <v/>
      </c>
      <c r="H6" s="29">
        <f>IFERROR((H$45-G$45)/ABS(G$45),"n/a")</f>
        <v/>
      </c>
      <c r="I6" s="29">
        <f>IFERROR((I$45-H$45)/ABS(H$45),"n/a")</f>
        <v/>
      </c>
    </row>
    <row r="7">
      <c r="A7" s="4" t="inlineStr">
        <is>
          <t>Tăng trưởng Doanh thu thuần YY</t>
        </is>
      </c>
      <c r="B7" s="34" t="n"/>
      <c r="C7" s="34" t="n"/>
      <c r="D7" s="34" t="n"/>
      <c r="E7" s="34" t="n"/>
      <c r="F7" s="34">
        <f>IFERROR((F$45-B$45)/ABS(B$45),"n/a")</f>
        <v/>
      </c>
      <c r="G7" s="34">
        <f>IFERROR((G$45-C$45)/ABS(C$45),"n/a")</f>
        <v/>
      </c>
      <c r="H7" s="34">
        <f>IFERROR((H$45-D$45)/ABS(D$45),"n/a")</f>
        <v/>
      </c>
      <c r="I7" s="34">
        <f>IFERROR((I$45-E$45)/ABS(E$45),"n/a")</f>
        <v/>
      </c>
    </row>
    <row r="8">
      <c r="A8" s="4" t="inlineStr">
        <is>
          <t>Biên lợi nhuận gộp</t>
        </is>
      </c>
      <c r="B8" s="34">
        <f>IFERROR(B$47/B$45,"n/a")</f>
        <v/>
      </c>
      <c r="C8" s="34">
        <f>IFERROR(C$47/C$45,"n/a")</f>
        <v/>
      </c>
      <c r="D8" s="34">
        <f>IFERROR(D$47/D$45,"n/a")</f>
        <v/>
      </c>
      <c r="E8" s="34">
        <f>IFERROR(E$47/E$45,"n/a")</f>
        <v/>
      </c>
      <c r="F8" s="34">
        <f>IFERROR(F$47/F$45,"n/a")</f>
        <v/>
      </c>
      <c r="G8" s="34">
        <f>IFERROR(G$47/G$45,"n/a")</f>
        <v/>
      </c>
      <c r="H8" s="34">
        <f>IFERROR(H$47/H$45,"n/a")</f>
        <v/>
      </c>
      <c r="I8" s="34">
        <f>IFERROR(I$47/I$45,"n/a")</f>
        <v/>
      </c>
    </row>
    <row r="9">
      <c r="A9" s="4" t="inlineStr">
        <is>
          <t>Biên lợi nhuận ròng</t>
        </is>
      </c>
      <c r="B9" s="34">
        <f>IFERROR(B$53/B$45,"n/a")</f>
        <v/>
      </c>
      <c r="C9" s="34">
        <f>IFERROR(C$53/C$45,"n/a")</f>
        <v/>
      </c>
      <c r="D9" s="34">
        <f>IFERROR(D$53/D$45,"n/a")</f>
        <v/>
      </c>
      <c r="E9" s="34">
        <f>IFERROR(E$53/E$45,"n/a")</f>
        <v/>
      </c>
      <c r="F9" s="34">
        <f>IFERROR(F$53/F$45,"n/a")</f>
        <v/>
      </c>
      <c r="G9" s="34">
        <f>IFERROR(G$53/G$45,"n/a")</f>
        <v/>
      </c>
      <c r="H9" s="34">
        <f>IFERROR(H$53/H$45,"n/a")</f>
        <v/>
      </c>
      <c r="I9" s="34">
        <f>IFERROR(I$53/I$45,"n/a")</f>
        <v/>
      </c>
    </row>
    <row r="10">
      <c r="A10" s="4" t="inlineStr">
        <is>
          <t>D/E (Nợ vay / Vốn chủ sở hữu)</t>
        </is>
      </c>
      <c r="B10" s="7">
        <f>IFERROR((B$36+B$38)/B$41,"n/a")</f>
        <v/>
      </c>
      <c r="C10" s="7">
        <f>IFERROR((C$36+C$38)/C$41,"n/a")</f>
        <v/>
      </c>
      <c r="D10" s="7">
        <f>IFERROR((D$36+D$38)/D$41,"n/a")</f>
        <v/>
      </c>
      <c r="E10" s="7">
        <f>IFERROR((E$36+E$38)/E$41,"n/a")</f>
        <v/>
      </c>
      <c r="F10" s="7">
        <f>IFERROR((F$36+F$38)/F$41,"n/a")</f>
        <v/>
      </c>
      <c r="G10" s="7">
        <f>IFERROR((G$36+G$38)/G$41,"n/a")</f>
        <v/>
      </c>
      <c r="H10" s="7">
        <f>IFERROR((H$36+H$38)/H$41,"n/a")</f>
        <v/>
      </c>
      <c r="I10" s="7">
        <f>IFERROR((I$36+I$38)/I$41,"n/a")</f>
        <v/>
      </c>
    </row>
    <row r="11">
      <c r="A11" s="8" t="inlineStr">
        <is>
          <t xml:space="preserve">     - Nợ vay dài hạn/Vốn chủ sở hữu</t>
        </is>
      </c>
      <c r="B11" s="7">
        <f>IFERROR(B$38/B$41,"n/a")</f>
        <v/>
      </c>
      <c r="C11" s="7">
        <f>IFERROR(C$38/C$41,"n/a")</f>
        <v/>
      </c>
      <c r="D11" s="7">
        <f>IFERROR(D$38/D$41,"n/a")</f>
        <v/>
      </c>
      <c r="E11" s="7">
        <f>IFERROR(E$38/E$41,"n/a")</f>
        <v/>
      </c>
      <c r="F11" s="7">
        <f>IFERROR(F$38/F$41,"n/a")</f>
        <v/>
      </c>
      <c r="G11" s="7">
        <f>IFERROR(G$38/G$41,"n/a")</f>
        <v/>
      </c>
      <c r="H11" s="7">
        <f>IFERROR(H$38/H$41,"n/a")</f>
        <v/>
      </c>
      <c r="I11" s="7">
        <f>IFERROR(I$38/I$41,"n/a")</f>
        <v/>
      </c>
    </row>
    <row r="12">
      <c r="A12" s="8" t="inlineStr">
        <is>
          <t xml:space="preserve">     - Nợ vay ngắn hạn/Vốn chủ sở hữu</t>
        </is>
      </c>
      <c r="B12" s="7">
        <f>IFERROR(B$36/B$41,"n/a")</f>
        <v/>
      </c>
      <c r="C12" s="7">
        <f>IFERROR(C$36/C$41,"n/a")</f>
        <v/>
      </c>
      <c r="D12" s="7">
        <f>IFERROR(D$36/D$41,"n/a")</f>
        <v/>
      </c>
      <c r="E12" s="7">
        <f>IFERROR(E$36/E$41,"n/a")</f>
        <v/>
      </c>
      <c r="F12" s="7">
        <f>IFERROR(F$36/F$41,"n/a")</f>
        <v/>
      </c>
      <c r="G12" s="7">
        <f>IFERROR(G$36/G$41,"n/a")</f>
        <v/>
      </c>
      <c r="H12" s="7">
        <f>IFERROR(H$36/H$41,"n/a")</f>
        <v/>
      </c>
      <c r="I12" s="7">
        <f>IFERROR(I$36/I$41,"n/a")</f>
        <v/>
      </c>
    </row>
    <row r="13">
      <c r="A13" s="4" t="inlineStr">
        <is>
          <t>Nợ phải trả/Vốn chủ sở hữu</t>
        </is>
      </c>
      <c r="B13" s="7">
        <f>IFERROR(B$40/B$41,"n/a")</f>
        <v/>
      </c>
      <c r="C13" s="7">
        <f>IFERROR(C$40/C$41,"n/a")</f>
        <v/>
      </c>
      <c r="D13" s="7">
        <f>IFERROR(D$40/D$41,"n/a")</f>
        <v/>
      </c>
      <c r="E13" s="7">
        <f>IFERROR(E$40/E$41,"n/a")</f>
        <v/>
      </c>
      <c r="F13" s="7">
        <f>IFERROR(F$40/F$41,"n/a")</f>
        <v/>
      </c>
      <c r="G13" s="7">
        <f>IFERROR(G$40/G$41,"n/a")</f>
        <v/>
      </c>
      <c r="H13" s="7">
        <f>IFERROR(H$40/H$41,"n/a")</f>
        <v/>
      </c>
      <c r="I13" s="7">
        <f>IFERROR(I$40/I$41,"n/a")</f>
        <v/>
      </c>
    </row>
    <row r="14">
      <c r="A14" s="8" t="inlineStr">
        <is>
          <t xml:space="preserve">     - Nợ dài hạn/Vốn chủ sở hữu</t>
        </is>
      </c>
      <c r="B14" s="7">
        <f>IFERROR(B$39/B$41,"n/a")</f>
        <v/>
      </c>
      <c r="C14" s="7">
        <f>IFERROR(C$39/C$41,"n/a")</f>
        <v/>
      </c>
      <c r="D14" s="7">
        <f>IFERROR(D$39/D$41,"n/a")</f>
        <v/>
      </c>
      <c r="E14" s="7">
        <f>IFERROR(E$39/E$41,"n/a")</f>
        <v/>
      </c>
      <c r="F14" s="7">
        <f>IFERROR(F$39/F$41,"n/a")</f>
        <v/>
      </c>
      <c r="G14" s="7">
        <f>IFERROR(G$39/G$41,"n/a")</f>
        <v/>
      </c>
      <c r="H14" s="7">
        <f>IFERROR(H$39/H$41,"n/a")</f>
        <v/>
      </c>
      <c r="I14" s="7">
        <f>IFERROR(I$39/I$41,"n/a")</f>
        <v/>
      </c>
    </row>
    <row r="15">
      <c r="A15" s="8" t="inlineStr">
        <is>
          <t xml:space="preserve">     - Nợ ngắn hạn/Vốn chủ sở hữu</t>
        </is>
      </c>
      <c r="B15" s="7">
        <f>IFERROR(B$37/B$41,"n/a")</f>
        <v/>
      </c>
      <c r="C15" s="7">
        <f>IFERROR(C$37/C$41,"n/a")</f>
        <v/>
      </c>
      <c r="D15" s="7">
        <f>IFERROR(D$37/D$41,"n/a")</f>
        <v/>
      </c>
      <c r="E15" s="7">
        <f>IFERROR(E$37/E$41,"n/a")</f>
        <v/>
      </c>
      <c r="F15" s="7">
        <f>IFERROR(F$37/F$41,"n/a")</f>
        <v/>
      </c>
      <c r="G15" s="7">
        <f>IFERROR(G$37/G$41,"n/a")</f>
        <v/>
      </c>
      <c r="H15" s="7">
        <f>IFERROR(H$37/H$41,"n/a")</f>
        <v/>
      </c>
      <c r="I15" s="7">
        <f>IFERROR(I$37/I$41,"n/a")</f>
        <v/>
      </c>
    </row>
    <row r="16">
      <c r="A16" s="4" t="inlineStr">
        <is>
          <t>Chi phí bán hàng, quản lý/LN gộp</t>
        </is>
      </c>
      <c r="B16" s="34">
        <f>IFERROR((ABS(B$48)+ABS(B$49))/B$47,"n/a")</f>
        <v/>
      </c>
      <c r="C16" s="34">
        <f>IFERROR((ABS(C$48)+ABS(C$49))/C$47,"n/a")</f>
        <v/>
      </c>
      <c r="D16" s="34">
        <f>IFERROR((ABS(D$48)+ABS(D$49))/D$47,"n/a")</f>
        <v/>
      </c>
      <c r="E16" s="34">
        <f>IFERROR((ABS(E$48)+ABS(E$49))/E$47,"n/a")</f>
        <v/>
      </c>
      <c r="F16" s="34">
        <f>IFERROR((ABS(F$48)+ABS(F$49))/F$47,"n/a")</f>
        <v/>
      </c>
      <c r="G16" s="34">
        <f>IFERROR((ABS(G$48)+ABS(G$49))/G$47,"n/a")</f>
        <v/>
      </c>
      <c r="H16" s="34">
        <f>IFERROR((ABS(H$48)+ABS(H$49))/H$47,"n/a")</f>
        <v/>
      </c>
      <c r="I16" s="34">
        <f>IFERROR((ABS(I$48)+ABS(I$49))/I$47,"n/a")</f>
        <v/>
      </c>
    </row>
    <row r="17">
      <c r="A17" s="4" t="inlineStr">
        <is>
          <t>Chi phí lãi vay/LN từ hoạt động kinh doanh</t>
        </is>
      </c>
      <c r="B17" s="34">
        <f>IFERROR(ABS(B$51)/B$50,"n/a")</f>
        <v/>
      </c>
      <c r="C17" s="34">
        <f>IFERROR(ABS(C$51)/C$50,"n/a")</f>
        <v/>
      </c>
      <c r="D17" s="34">
        <f>IFERROR(ABS(D$51)/D$50,"n/a")</f>
        <v/>
      </c>
      <c r="E17" s="34">
        <f>IFERROR(ABS(E$51)/E$50,"n/a")</f>
        <v/>
      </c>
      <c r="F17" s="34">
        <f>IFERROR(ABS(F$51)/F$50,"n/a")</f>
        <v/>
      </c>
      <c r="G17" s="34">
        <f>IFERROR(ABS(G$51)/G$50,"n/a")</f>
        <v/>
      </c>
      <c r="H17" s="34">
        <f>IFERROR(ABS(H$51)/H$50,"n/a")</f>
        <v/>
      </c>
      <c r="I17" s="34">
        <f>IFERROR(ABS(I$51)/I$50,"n/a")</f>
        <v/>
      </c>
    </row>
    <row r="18">
      <c r="A18" s="4" t="inlineStr">
        <is>
          <t>Số ngày phải trả (DPO)</t>
        </is>
      </c>
      <c r="B18" s="9">
        <f>IFERROR(((B$35+#REF!)/2)/ABS(B$46)*365,"n/a")</f>
        <v/>
      </c>
      <c r="C18" s="9">
        <f>IFERROR(((C$35+B$35)/2)/ABS(C$46)*365,"n/a")</f>
        <v/>
      </c>
      <c r="D18" s="9">
        <f>IFERROR(((D$35+C$35)/2)/ABS(D$46)*365,"n/a")</f>
        <v/>
      </c>
      <c r="E18" s="9">
        <f>IFERROR(((E$35+D$35)/2)/ABS(E$46)*365,"n/a")</f>
        <v/>
      </c>
      <c r="F18" s="9">
        <f>IFERROR(((F$35+E$35)/2)/ABS(F$46)*365,"n/a")</f>
        <v/>
      </c>
      <c r="G18" s="9">
        <f>IFERROR(((G$35+F$35)/2)/ABS(G$46)*365,"n/a")</f>
        <v/>
      </c>
      <c r="H18" s="9">
        <f>IFERROR(((H$35+G$35)/2)/ABS(H$46)*365,"n/a")</f>
        <v/>
      </c>
      <c r="I18" s="9">
        <f>IFERROR(((I$35+H$35)/2)/ABS(I$46)*365,"n/a")</f>
        <v/>
      </c>
    </row>
    <row r="19">
      <c r="A19" s="4" t="inlineStr">
        <is>
          <t>Số ngày phải thu (DSO)</t>
        </is>
      </c>
      <c r="B19" s="9">
        <f>IFERROR(((B$29+#REF!)/2)/B$45*365,"n/a")</f>
        <v/>
      </c>
      <c r="C19" s="9">
        <f>IFERROR(((C$29+B$29)/2)/C$45*365,"n/a")</f>
        <v/>
      </c>
      <c r="D19" s="9">
        <f>IFERROR(((D$29+C$29)/2)/D$45*365,"n/a")</f>
        <v/>
      </c>
      <c r="E19" s="9">
        <f>IFERROR(((E$29+D$29)/2)/E$45*365,"n/a")</f>
        <v/>
      </c>
      <c r="F19" s="9">
        <f>IFERROR(((F$29+E$29)/2)/F$45*365,"n/a")</f>
        <v/>
      </c>
      <c r="G19" s="9">
        <f>IFERROR(((G$29+F$29)/2)/G$45*365,"n/a")</f>
        <v/>
      </c>
      <c r="H19" s="9">
        <f>IFERROR(((H$29+G$29)/2)/H$45*365,"n/a")</f>
        <v/>
      </c>
      <c r="I19" s="9">
        <f>IFERROR(((I$29+H$29)/2)/I$45*365,"n/a")</f>
        <v/>
      </c>
    </row>
    <row r="20">
      <c r="A20" s="4" t="inlineStr">
        <is>
          <t>Số ngày tồn kho (DIO)</t>
        </is>
      </c>
      <c r="B20" s="9">
        <f>IFERROR(((B$30+#REF!)/2)/ABS(B$46)*365,"n/a")</f>
        <v/>
      </c>
      <c r="C20" s="9">
        <f>IFERROR(((C$30+B$30)/2)/ABS(C$46)*365,"n/a")</f>
        <v/>
      </c>
      <c r="D20" s="9">
        <f>IFERROR(((D$30+C$30)/2)/ABS(D$46)*365,"n/a")</f>
        <v/>
      </c>
      <c r="E20" s="9">
        <f>IFERROR(((E$30+D$30)/2)/ABS(E$46)*365,"n/a")</f>
        <v/>
      </c>
      <c r="F20" s="9">
        <f>IFERROR(((F$30+E$30)/2)/ABS(F$46)*365,"n/a")</f>
        <v/>
      </c>
      <c r="G20" s="9">
        <f>IFERROR(((G$30+F$30)/2)/ABS(G$46)*365,"n/a")</f>
        <v/>
      </c>
      <c r="H20" s="9">
        <f>IFERROR(((H$30+G$30)/2)/ABS(H$46)*365,"n/a")</f>
        <v/>
      </c>
      <c r="I20" s="9">
        <f>IFERROR(((I$30+H$30)/2)/ABS(I$46)*365,"n/a")</f>
        <v/>
      </c>
    </row>
    <row r="21">
      <c r="A21" s="4" t="inlineStr">
        <is>
          <t>Tiền và tương đương tiền/Tài sản</t>
        </is>
      </c>
      <c r="B21" s="34">
        <f>IFERROR(B$28/B$33,"n/a")</f>
        <v/>
      </c>
      <c r="C21" s="34">
        <f>IFERROR(C$28/C$33,"n/a")</f>
        <v/>
      </c>
      <c r="D21" s="34">
        <f>IFERROR(D$28/D$33,"n/a")</f>
        <v/>
      </c>
      <c r="E21" s="34">
        <f>IFERROR(E$28/E$33,"n/a")</f>
        <v/>
      </c>
      <c r="F21" s="34">
        <f>IFERROR(F$28/F$33,"n/a")</f>
        <v/>
      </c>
      <c r="G21" s="34">
        <f>IFERROR(G$28/G$33,"n/a")</f>
        <v/>
      </c>
      <c r="H21" s="34">
        <f>IFERROR(H$28/H$33,"n/a")</f>
        <v/>
      </c>
      <c r="I21" s="34">
        <f>IFERROR(I$28/I$33,"n/a")</f>
        <v/>
      </c>
    </row>
    <row r="22">
      <c r="A22" s="4" t="inlineStr">
        <is>
          <t>Hàng tồn kho/Tài sản</t>
        </is>
      </c>
      <c r="B22" s="34">
        <f>IFERROR(B$30/B$33,"n/a")</f>
        <v/>
      </c>
      <c r="C22" s="34">
        <f>IFERROR(C$30/C$33,"n/a")</f>
        <v/>
      </c>
      <c r="D22" s="34">
        <f>IFERROR(D$30/D$33,"n/a")</f>
        <v/>
      </c>
      <c r="E22" s="34">
        <f>IFERROR(E$30/E$33,"n/a")</f>
        <v/>
      </c>
      <c r="F22" s="34">
        <f>IFERROR(F$30/F$33,"n/a")</f>
        <v/>
      </c>
      <c r="G22" s="34">
        <f>IFERROR(G$30/G$33,"n/a")</f>
        <v/>
      </c>
      <c r="H22" s="34">
        <f>IFERROR(H$30/H$33,"n/a")</f>
        <v/>
      </c>
      <c r="I22" s="34">
        <f>IFERROR(I$30/I$33,"n/a")</f>
        <v/>
      </c>
    </row>
    <row r="24">
      <c r="A24" s="10" t="inlineStr">
        <is>
          <t>II. DỮ LIỆU TRÍCH XUẤT (tự động dò theo tên khoản mục)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A25" s="3" t="inlineStr">
        <is>
          <t>Khoản mục</t>
        </is>
      </c>
      <c r="B25" s="12">
        <f>balance_sheet!J1</f>
        <v/>
      </c>
      <c r="C25" s="12">
        <f>balance_sheet!K1</f>
        <v/>
      </c>
      <c r="D25" s="12">
        <f>balance_sheet!L1</f>
        <v/>
      </c>
      <c r="E25" s="12">
        <f>balance_sheet!M1</f>
        <v/>
      </c>
      <c r="F25" s="12">
        <f>balance_sheet!N1</f>
        <v/>
      </c>
      <c r="G25" s="12">
        <f>balance_sheet!O1</f>
        <v/>
      </c>
      <c r="H25" s="12">
        <f>balance_sheet!P1</f>
        <v/>
      </c>
      <c r="I25" s="12">
        <f>balance_sheet!Q1</f>
        <v/>
      </c>
    </row>
    <row r="26">
      <c r="A26" s="3" t="inlineStr">
        <is>
          <t>CĐKT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3" t="inlineStr">
        <is>
          <t>Tài sản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3" t="inlineStr">
        <is>
          <t>Tiền và tương đương tiền</t>
        </is>
      </c>
      <c r="B28" s="35">
        <f>IFERROR(INDEX(balance_sheet!$B:$XFD,MATCH("Tiền và tương đương tiền",balance_sheet!$A:$A,0),MATCH(B$25,balance_sheet!$B$1:$XFD$1,0)),"")</f>
        <v/>
      </c>
      <c r="C28" s="35">
        <f>IFERROR(INDEX(balance_sheet!$B:$XFD,MATCH("Tiền và tương đương tiền",balance_sheet!$A:$A,0),MATCH(C$25,balance_sheet!$B$1:$XFD$1,0)),"")</f>
        <v/>
      </c>
      <c r="D28" s="35">
        <f>IFERROR(INDEX(balance_sheet!$B:$XFD,MATCH("Tiền và tương đương tiền",balance_sheet!$A:$A,0),MATCH(D$25,balance_sheet!$B$1:$XFD$1,0)),"")</f>
        <v/>
      </c>
      <c r="E28" s="35">
        <f>IFERROR(INDEX(balance_sheet!$B:$XFD,MATCH("Tiền và tương đương tiền",balance_sheet!$A:$A,0),MATCH(E$25,balance_sheet!$B$1:$XFD$1,0)),"")</f>
        <v/>
      </c>
      <c r="F28" s="35">
        <f>IFERROR(INDEX(balance_sheet!$B:$XFD,MATCH("Tiền và tương đương tiền",balance_sheet!$A:$A,0),MATCH(F$25,balance_sheet!$B$1:$XFD$1,0)),"")</f>
        <v/>
      </c>
      <c r="G28" s="35">
        <f>IFERROR(INDEX(balance_sheet!$B:$XFD,MATCH("Tiền và tương đương tiền",balance_sheet!$A:$A,0),MATCH(G$25,balance_sheet!$B$1:$XFD$1,0)),"")</f>
        <v/>
      </c>
      <c r="H28" s="35">
        <f>IFERROR(INDEX(balance_sheet!$B:$XFD,MATCH("Tiền và tương đương tiền",balance_sheet!$A:$A,0),MATCH(H$25,balance_sheet!$B$1:$XFD$1,0)),"")</f>
        <v/>
      </c>
      <c r="I28" s="35">
        <f>IFERROR(INDEX(balance_sheet!$B:$XFD,MATCH("Tiền và tương đương tiền",balance_sheet!$A:$A,0),MATCH(I$25,balance_sheet!$B$1:$XFD$1,0)),"")</f>
        <v/>
      </c>
    </row>
    <row r="29">
      <c r="A29" s="13" t="inlineStr">
        <is>
          <t>Phải thu khách hàng</t>
        </is>
      </c>
      <c r="B29" s="35">
        <f>IFERROR(INDEX(balance_sheet!$B:$XFD,MATCH("Phải thu khách hàng",balance_sheet!$A:$A,0),MATCH(B$25,balance_sheet!$B$1:$XFD$1,0)),"")</f>
        <v/>
      </c>
      <c r="C29" s="35">
        <f>IFERROR(INDEX(balance_sheet!$B:$XFD,MATCH("Phải thu khách hàng",balance_sheet!$A:$A,0),MATCH(C$25,balance_sheet!$B$1:$XFD$1,0)),"")</f>
        <v/>
      </c>
      <c r="D29" s="35">
        <f>IFERROR(INDEX(balance_sheet!$B:$XFD,MATCH("Phải thu khách hàng",balance_sheet!$A:$A,0),MATCH(D$25,balance_sheet!$B$1:$XFD$1,0)),"")</f>
        <v/>
      </c>
      <c r="E29" s="35">
        <f>IFERROR(INDEX(balance_sheet!$B:$XFD,MATCH("Phải thu khách hàng",balance_sheet!$A:$A,0),MATCH(E$25,balance_sheet!$B$1:$XFD$1,0)),"")</f>
        <v/>
      </c>
      <c r="F29" s="35">
        <f>IFERROR(INDEX(balance_sheet!$B:$XFD,MATCH("Phải thu khách hàng",balance_sheet!$A:$A,0),MATCH(F$25,balance_sheet!$B$1:$XFD$1,0)),"")</f>
        <v/>
      </c>
      <c r="G29" s="35">
        <f>IFERROR(INDEX(balance_sheet!$B:$XFD,MATCH("Phải thu khách hàng",balance_sheet!$A:$A,0),MATCH(G$25,balance_sheet!$B$1:$XFD$1,0)),"")</f>
        <v/>
      </c>
      <c r="H29" s="35">
        <f>IFERROR(INDEX(balance_sheet!$B:$XFD,MATCH("Phải thu khách hàng",balance_sheet!$A:$A,0),MATCH(H$25,balance_sheet!$B$1:$XFD$1,0)),"")</f>
        <v/>
      </c>
      <c r="I29" s="35">
        <f>IFERROR(INDEX(balance_sheet!$B:$XFD,MATCH("Phải thu khách hàng",balance_sheet!$A:$A,0),MATCH(I$25,balance_sheet!$B$1:$XFD$1,0)),"")</f>
        <v/>
      </c>
    </row>
    <row r="30">
      <c r="A30" s="13" t="inlineStr">
        <is>
          <t>Hàng tồn kho, ròng</t>
        </is>
      </c>
      <c r="B30" s="35">
        <f>IFERROR(INDEX(balance_sheet!$B:$XFD,MATCH("Hàng tồn kho, ròng",balance_sheet!$A:$A,0),MATCH(B$25,balance_sheet!$B$1:$XFD$1,0)),"")</f>
        <v/>
      </c>
      <c r="C30" s="35">
        <f>IFERROR(INDEX(balance_sheet!$B:$XFD,MATCH("Hàng tồn kho, ròng",balance_sheet!$A:$A,0),MATCH(C$25,balance_sheet!$B$1:$XFD$1,0)),"")</f>
        <v/>
      </c>
      <c r="D30" s="35">
        <f>IFERROR(INDEX(balance_sheet!$B:$XFD,MATCH("Hàng tồn kho, ròng",balance_sheet!$A:$A,0),MATCH(D$25,balance_sheet!$B$1:$XFD$1,0)),"")</f>
        <v/>
      </c>
      <c r="E30" s="35">
        <f>IFERROR(INDEX(balance_sheet!$B:$XFD,MATCH("Hàng tồn kho, ròng",balance_sheet!$A:$A,0),MATCH(E$25,balance_sheet!$B$1:$XFD$1,0)),"")</f>
        <v/>
      </c>
      <c r="F30" s="35">
        <f>IFERROR(INDEX(balance_sheet!$B:$XFD,MATCH("Hàng tồn kho, ròng",balance_sheet!$A:$A,0),MATCH(F$25,balance_sheet!$B$1:$XFD$1,0)),"")</f>
        <v/>
      </c>
      <c r="G30" s="35">
        <f>IFERROR(INDEX(balance_sheet!$B:$XFD,MATCH("Hàng tồn kho, ròng",balance_sheet!$A:$A,0),MATCH(G$25,balance_sheet!$B$1:$XFD$1,0)),"")</f>
        <v/>
      </c>
      <c r="H30" s="35">
        <f>IFERROR(INDEX(balance_sheet!$B:$XFD,MATCH("Hàng tồn kho, ròng",balance_sheet!$A:$A,0),MATCH(H$25,balance_sheet!$B$1:$XFD$1,0)),"")</f>
        <v/>
      </c>
      <c r="I30" s="35">
        <f>IFERROR(INDEX(balance_sheet!$B:$XFD,MATCH("Hàng tồn kho, ròng",balance_sheet!$A:$A,0),MATCH(I$25,balance_sheet!$B$1:$XFD$1,0)),"")</f>
        <v/>
      </c>
    </row>
    <row r="31">
      <c r="A31" s="13" t="inlineStr">
        <is>
          <t>TÀI SẢN NGẮN HẠN</t>
        </is>
      </c>
      <c r="B31" s="35">
        <f>IFERROR(INDEX(balance_sheet!$B:$XFD,MATCH("TÀI SẢN NGẮN HẠN",balance_sheet!$A:$A,0),MATCH(B$25,balance_sheet!$B$1:$XFD$1,0)),"")</f>
        <v/>
      </c>
      <c r="C31" s="35">
        <f>IFERROR(INDEX(balance_sheet!$B:$XFD,MATCH("TÀI SẢN NGẮN HẠN",balance_sheet!$A:$A,0),MATCH(C$25,balance_sheet!$B$1:$XFD$1,0)),"")</f>
        <v/>
      </c>
      <c r="D31" s="35">
        <f>IFERROR(INDEX(balance_sheet!$B:$XFD,MATCH("TÀI SẢN NGẮN HẠN",balance_sheet!$A:$A,0),MATCH(D$25,balance_sheet!$B$1:$XFD$1,0)),"")</f>
        <v/>
      </c>
      <c r="E31" s="35">
        <f>IFERROR(INDEX(balance_sheet!$B:$XFD,MATCH("TÀI SẢN NGẮN HẠN",balance_sheet!$A:$A,0),MATCH(E$25,balance_sheet!$B$1:$XFD$1,0)),"")</f>
        <v/>
      </c>
      <c r="F31" s="35">
        <f>IFERROR(INDEX(balance_sheet!$B:$XFD,MATCH("TÀI SẢN NGẮN HẠN",balance_sheet!$A:$A,0),MATCH(F$25,balance_sheet!$B$1:$XFD$1,0)),"")</f>
        <v/>
      </c>
      <c r="G31" s="35">
        <f>IFERROR(INDEX(balance_sheet!$B:$XFD,MATCH("TÀI SẢN NGẮN HẠN",balance_sheet!$A:$A,0),MATCH(G$25,balance_sheet!$B$1:$XFD$1,0)),"")</f>
        <v/>
      </c>
      <c r="H31" s="35">
        <f>IFERROR(INDEX(balance_sheet!$B:$XFD,MATCH("TÀI SẢN NGẮN HẠN",balance_sheet!$A:$A,0),MATCH(H$25,balance_sheet!$B$1:$XFD$1,0)),"")</f>
        <v/>
      </c>
      <c r="I31" s="35">
        <f>IFERROR(INDEX(balance_sheet!$B:$XFD,MATCH("TÀI SẢN NGẮN HẠN",balance_sheet!$A:$A,0),MATCH(I$25,balance_sheet!$B$1:$XFD$1,0)),"")</f>
        <v/>
      </c>
    </row>
    <row r="32">
      <c r="A32" s="13" t="inlineStr">
        <is>
          <t>GTCL tài sản cố định vô hình</t>
        </is>
      </c>
      <c r="B32" s="35">
        <f>IFERROR(INDEX(balance_sheet!$B:$XFD,MATCH("GTCL tài sản cố định vô hình",balance_sheet!$A:$A,0),MATCH(B$25,balance_sheet!$B$1:$XFD$1,0)),"")</f>
        <v/>
      </c>
      <c r="C32" s="35">
        <f>IFERROR(INDEX(balance_sheet!$B:$XFD,MATCH("GTCL tài sản cố định vô hình",balance_sheet!$A:$A,0),MATCH(C$25,balance_sheet!$B$1:$XFD$1,0)),"")</f>
        <v/>
      </c>
      <c r="D32" s="35">
        <f>IFERROR(INDEX(balance_sheet!$B:$XFD,MATCH("GTCL tài sản cố định vô hình",balance_sheet!$A:$A,0),MATCH(D$25,balance_sheet!$B$1:$XFD$1,0)),"")</f>
        <v/>
      </c>
      <c r="E32" s="35">
        <f>IFERROR(INDEX(balance_sheet!$B:$XFD,MATCH("GTCL tài sản cố định vô hình",balance_sheet!$A:$A,0),MATCH(E$25,balance_sheet!$B$1:$XFD$1,0)),"")</f>
        <v/>
      </c>
      <c r="F32" s="35">
        <f>IFERROR(INDEX(balance_sheet!$B:$XFD,MATCH("GTCL tài sản cố định vô hình",balance_sheet!$A:$A,0),MATCH(F$25,balance_sheet!$B$1:$XFD$1,0)),"")</f>
        <v/>
      </c>
      <c r="G32" s="35">
        <f>IFERROR(INDEX(balance_sheet!$B:$XFD,MATCH("GTCL tài sản cố định vô hình",balance_sheet!$A:$A,0),MATCH(G$25,balance_sheet!$B$1:$XFD$1,0)),"")</f>
        <v/>
      </c>
      <c r="H32" s="35">
        <f>IFERROR(INDEX(balance_sheet!$B:$XFD,MATCH("GTCL tài sản cố định vô hình",balance_sheet!$A:$A,0),MATCH(H$25,balance_sheet!$B$1:$XFD$1,0)),"")</f>
        <v/>
      </c>
      <c r="I32" s="35">
        <f>IFERROR(INDEX(balance_sheet!$B:$XFD,MATCH("GTCL tài sản cố định vô hình",balance_sheet!$A:$A,0),MATCH(I$25,balance_sheet!$B$1:$XFD$1,0)),"")</f>
        <v/>
      </c>
    </row>
    <row r="33">
      <c r="A33" s="13" t="inlineStr">
        <is>
          <t>TỔNG CỘNG TÀI SẢN</t>
        </is>
      </c>
      <c r="B33" s="35">
        <f>IFERROR(INDEX(balance_sheet!$B:$XFD,MATCH("TỔNG CỘNG TÀI SẢN",balance_sheet!$A:$A,0),MATCH(B$25,balance_sheet!$B$1:$XFD$1,0)),"")</f>
        <v/>
      </c>
      <c r="C33" s="35">
        <f>IFERROR(INDEX(balance_sheet!$B:$XFD,MATCH("TỔNG CỘNG TÀI SẢN",balance_sheet!$A:$A,0),MATCH(C$25,balance_sheet!$B$1:$XFD$1,0)),"")</f>
        <v/>
      </c>
      <c r="D33" s="35">
        <f>IFERROR(INDEX(balance_sheet!$B:$XFD,MATCH("TỔNG CỘNG TÀI SẢN",balance_sheet!$A:$A,0),MATCH(D$25,balance_sheet!$B$1:$XFD$1,0)),"")</f>
        <v/>
      </c>
      <c r="E33" s="35">
        <f>IFERROR(INDEX(balance_sheet!$B:$XFD,MATCH("TỔNG CỘNG TÀI SẢN",balance_sheet!$A:$A,0),MATCH(E$25,balance_sheet!$B$1:$XFD$1,0)),"")</f>
        <v/>
      </c>
      <c r="F33" s="35">
        <f>IFERROR(INDEX(balance_sheet!$B:$XFD,MATCH("TỔNG CỘNG TÀI SẢN",balance_sheet!$A:$A,0),MATCH(F$25,balance_sheet!$B$1:$XFD$1,0)),"")</f>
        <v/>
      </c>
      <c r="G33" s="35">
        <f>IFERROR(INDEX(balance_sheet!$B:$XFD,MATCH("TỔNG CỘNG TÀI SẢN",balance_sheet!$A:$A,0),MATCH(G$25,balance_sheet!$B$1:$XFD$1,0)),"")</f>
        <v/>
      </c>
      <c r="H33" s="35">
        <f>IFERROR(INDEX(balance_sheet!$B:$XFD,MATCH("TỔNG CỘNG TÀI SẢN",balance_sheet!$A:$A,0),MATCH(H$25,balance_sheet!$B$1:$XFD$1,0)),"")</f>
        <v/>
      </c>
      <c r="I33" s="35">
        <f>IFERROR(INDEX(balance_sheet!$B:$XFD,MATCH("TỔNG CỘNG TÀI SẢN",balance_sheet!$A:$A,0),MATCH(I$25,balance_sheet!$B$1:$XFD$1,0)),"")</f>
        <v/>
      </c>
    </row>
    <row r="34">
      <c r="A34" s="3" t="inlineStr">
        <is>
          <t>Nguồn vốn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</row>
    <row r="35">
      <c r="A35" s="13" t="inlineStr">
        <is>
          <t>Phải trả người bán</t>
        </is>
      </c>
      <c r="B35" s="35">
        <f>IFERROR(INDEX(balance_sheet!$B:$XFD,MATCH("Phải trả người bán",balance_sheet!$A:$A,0),MATCH(B$25,balance_sheet!$B$1:$XFD$1,0)),"")</f>
        <v/>
      </c>
      <c r="C35" s="35">
        <f>IFERROR(INDEX(balance_sheet!$B:$XFD,MATCH("Phải trả người bán",balance_sheet!$A:$A,0),MATCH(C$25,balance_sheet!$B$1:$XFD$1,0)),"")</f>
        <v/>
      </c>
      <c r="D35" s="35">
        <f>IFERROR(INDEX(balance_sheet!$B:$XFD,MATCH("Phải trả người bán",balance_sheet!$A:$A,0),MATCH(D$25,balance_sheet!$B$1:$XFD$1,0)),"")</f>
        <v/>
      </c>
      <c r="E35" s="35">
        <f>IFERROR(INDEX(balance_sheet!$B:$XFD,MATCH("Phải trả người bán",balance_sheet!$A:$A,0),MATCH(E$25,balance_sheet!$B$1:$XFD$1,0)),"")</f>
        <v/>
      </c>
      <c r="F35" s="35">
        <f>IFERROR(INDEX(balance_sheet!$B:$XFD,MATCH("Phải trả người bán",balance_sheet!$A:$A,0),MATCH(F$25,balance_sheet!$B$1:$XFD$1,0)),"")</f>
        <v/>
      </c>
      <c r="G35" s="35">
        <f>IFERROR(INDEX(balance_sheet!$B:$XFD,MATCH("Phải trả người bán",balance_sheet!$A:$A,0),MATCH(G$25,balance_sheet!$B$1:$XFD$1,0)),"")</f>
        <v/>
      </c>
      <c r="H35" s="35">
        <f>IFERROR(INDEX(balance_sheet!$B:$XFD,MATCH("Phải trả người bán",balance_sheet!$A:$A,0),MATCH(H$25,balance_sheet!$B$1:$XFD$1,0)),"")</f>
        <v/>
      </c>
      <c r="I35" s="35">
        <f>IFERROR(INDEX(balance_sheet!$B:$XFD,MATCH("Phải trả người bán",balance_sheet!$A:$A,0),MATCH(I$25,balance_sheet!$B$1:$XFD$1,0)),"")</f>
        <v/>
      </c>
    </row>
    <row r="36">
      <c r="A36" s="13" t="inlineStr">
        <is>
          <t>Vay ngắn hạn</t>
        </is>
      </c>
      <c r="B36" s="35">
        <f>IFERROR(INDEX(balance_sheet!$B:$XFD,MATCH("Vay ngắn hạn",balance_sheet!$A:$A,0),MATCH(B$25,balance_sheet!$B$1:$XFD$1,0)),"")</f>
        <v/>
      </c>
      <c r="C36" s="35">
        <f>IFERROR(INDEX(balance_sheet!$B:$XFD,MATCH("Vay ngắn hạn",balance_sheet!$A:$A,0),MATCH(C$25,balance_sheet!$B$1:$XFD$1,0)),"")</f>
        <v/>
      </c>
      <c r="D36" s="35">
        <f>IFERROR(INDEX(balance_sheet!$B:$XFD,MATCH("Vay ngắn hạn",balance_sheet!$A:$A,0),MATCH(D$25,balance_sheet!$B$1:$XFD$1,0)),"")</f>
        <v/>
      </c>
      <c r="E36" s="35">
        <f>IFERROR(INDEX(balance_sheet!$B:$XFD,MATCH("Vay ngắn hạn",balance_sheet!$A:$A,0),MATCH(E$25,balance_sheet!$B$1:$XFD$1,0)),"")</f>
        <v/>
      </c>
      <c r="F36" s="35">
        <f>IFERROR(INDEX(balance_sheet!$B:$XFD,MATCH("Vay ngắn hạn",balance_sheet!$A:$A,0),MATCH(F$25,balance_sheet!$B$1:$XFD$1,0)),"")</f>
        <v/>
      </c>
      <c r="G36" s="35">
        <f>IFERROR(INDEX(balance_sheet!$B:$XFD,MATCH("Vay ngắn hạn",balance_sheet!$A:$A,0),MATCH(G$25,balance_sheet!$B$1:$XFD$1,0)),"")</f>
        <v/>
      </c>
      <c r="H36" s="35">
        <f>IFERROR(INDEX(balance_sheet!$B:$XFD,MATCH("Vay ngắn hạn",balance_sheet!$A:$A,0),MATCH(H$25,balance_sheet!$B$1:$XFD$1,0)),"")</f>
        <v/>
      </c>
      <c r="I36" s="35">
        <f>IFERROR(INDEX(balance_sheet!$B:$XFD,MATCH("Vay ngắn hạn",balance_sheet!$A:$A,0),MATCH(I$25,balance_sheet!$B$1:$XFD$1,0)),"")</f>
        <v/>
      </c>
    </row>
    <row r="37">
      <c r="A37" s="13" t="inlineStr">
        <is>
          <t>Nợ ngắn hạn</t>
        </is>
      </c>
      <c r="B37" s="35">
        <f>IFERROR(INDEX(balance_sheet!$B:$XFD,MATCH("Nợ ngắn hạn",balance_sheet!$A:$A,0),MATCH(B$25,balance_sheet!$B$1:$XFD$1,0)),"")</f>
        <v/>
      </c>
      <c r="C37" s="35">
        <f>IFERROR(INDEX(balance_sheet!$B:$XFD,MATCH("Nợ ngắn hạn",balance_sheet!$A:$A,0),MATCH(C$25,balance_sheet!$B$1:$XFD$1,0)),"")</f>
        <v/>
      </c>
      <c r="D37" s="35">
        <f>IFERROR(INDEX(balance_sheet!$B:$XFD,MATCH("Nợ ngắn hạn",balance_sheet!$A:$A,0),MATCH(D$25,balance_sheet!$B$1:$XFD$1,0)),"")</f>
        <v/>
      </c>
      <c r="E37" s="35">
        <f>IFERROR(INDEX(balance_sheet!$B:$XFD,MATCH("Nợ ngắn hạn",balance_sheet!$A:$A,0),MATCH(E$25,balance_sheet!$B$1:$XFD$1,0)),"")</f>
        <v/>
      </c>
      <c r="F37" s="35">
        <f>IFERROR(INDEX(balance_sheet!$B:$XFD,MATCH("Nợ ngắn hạn",balance_sheet!$A:$A,0),MATCH(F$25,balance_sheet!$B$1:$XFD$1,0)),"")</f>
        <v/>
      </c>
      <c r="G37" s="35">
        <f>IFERROR(INDEX(balance_sheet!$B:$XFD,MATCH("Nợ ngắn hạn",balance_sheet!$A:$A,0),MATCH(G$25,balance_sheet!$B$1:$XFD$1,0)),"")</f>
        <v/>
      </c>
      <c r="H37" s="35">
        <f>IFERROR(INDEX(balance_sheet!$B:$XFD,MATCH("Nợ ngắn hạn",balance_sheet!$A:$A,0),MATCH(H$25,balance_sheet!$B$1:$XFD$1,0)),"")</f>
        <v/>
      </c>
      <c r="I37" s="35">
        <f>IFERROR(INDEX(balance_sheet!$B:$XFD,MATCH("Nợ ngắn hạn",balance_sheet!$A:$A,0),MATCH(I$25,balance_sheet!$B$1:$XFD$1,0)),"")</f>
        <v/>
      </c>
    </row>
    <row r="38">
      <c r="A38" s="13" t="inlineStr">
        <is>
          <t>Vay dài hạn</t>
        </is>
      </c>
      <c r="B38" s="35">
        <f>IFERROR(INDEX(balance_sheet!$B:$XFD,MATCH("Vay dài hạn",balance_sheet!$A:$A,0),MATCH(B$25,balance_sheet!$B$1:$XFD$1,0)),"")</f>
        <v/>
      </c>
      <c r="C38" s="35">
        <f>IFERROR(INDEX(balance_sheet!$B:$XFD,MATCH("Vay dài hạn",balance_sheet!$A:$A,0),MATCH(C$25,balance_sheet!$B$1:$XFD$1,0)),"")</f>
        <v/>
      </c>
      <c r="D38" s="35">
        <f>IFERROR(INDEX(balance_sheet!$B:$XFD,MATCH("Vay dài hạn",balance_sheet!$A:$A,0),MATCH(D$25,balance_sheet!$B$1:$XFD$1,0)),"")</f>
        <v/>
      </c>
      <c r="E38" s="35">
        <f>IFERROR(INDEX(balance_sheet!$B:$XFD,MATCH("Vay dài hạn",balance_sheet!$A:$A,0),MATCH(E$25,balance_sheet!$B$1:$XFD$1,0)),"")</f>
        <v/>
      </c>
      <c r="F38" s="35">
        <f>IFERROR(INDEX(balance_sheet!$B:$XFD,MATCH("Vay dài hạn",balance_sheet!$A:$A,0),MATCH(F$25,balance_sheet!$B$1:$XFD$1,0)),"")</f>
        <v/>
      </c>
      <c r="G38" s="35">
        <f>IFERROR(INDEX(balance_sheet!$B:$XFD,MATCH("Vay dài hạn",balance_sheet!$A:$A,0),MATCH(G$25,balance_sheet!$B$1:$XFD$1,0)),"")</f>
        <v/>
      </c>
      <c r="H38" s="35">
        <f>IFERROR(INDEX(balance_sheet!$B:$XFD,MATCH("Vay dài hạn",balance_sheet!$A:$A,0),MATCH(H$25,balance_sheet!$B$1:$XFD$1,0)),"")</f>
        <v/>
      </c>
      <c r="I38" s="35">
        <f>IFERROR(INDEX(balance_sheet!$B:$XFD,MATCH("Vay dài hạn",balance_sheet!$A:$A,0),MATCH(I$25,balance_sheet!$B$1:$XFD$1,0)),"")</f>
        <v/>
      </c>
    </row>
    <row r="39">
      <c r="A39" s="13" t="inlineStr">
        <is>
          <t>Nợ dài hạn</t>
        </is>
      </c>
      <c r="B39" s="35">
        <f>IFERROR(INDEX(balance_sheet!$B:$XFD,MATCH("Nợ dài hạn",balance_sheet!$A:$A,0),MATCH(B$25,balance_sheet!$B$1:$XFD$1,0)),"")</f>
        <v/>
      </c>
      <c r="C39" s="35">
        <f>IFERROR(INDEX(balance_sheet!$B:$XFD,MATCH("Nợ dài hạn",balance_sheet!$A:$A,0),MATCH(C$25,balance_sheet!$B$1:$XFD$1,0)),"")</f>
        <v/>
      </c>
      <c r="D39" s="35">
        <f>IFERROR(INDEX(balance_sheet!$B:$XFD,MATCH("Nợ dài hạn",balance_sheet!$A:$A,0),MATCH(D$25,balance_sheet!$B$1:$XFD$1,0)),"")</f>
        <v/>
      </c>
      <c r="E39" s="35">
        <f>IFERROR(INDEX(balance_sheet!$B:$XFD,MATCH("Nợ dài hạn",balance_sheet!$A:$A,0),MATCH(E$25,balance_sheet!$B$1:$XFD$1,0)),"")</f>
        <v/>
      </c>
      <c r="F39" s="35">
        <f>IFERROR(INDEX(balance_sheet!$B:$XFD,MATCH("Nợ dài hạn",balance_sheet!$A:$A,0),MATCH(F$25,balance_sheet!$B$1:$XFD$1,0)),"")</f>
        <v/>
      </c>
      <c r="G39" s="35">
        <f>IFERROR(INDEX(balance_sheet!$B:$XFD,MATCH("Nợ dài hạn",balance_sheet!$A:$A,0),MATCH(G$25,balance_sheet!$B$1:$XFD$1,0)),"")</f>
        <v/>
      </c>
      <c r="H39" s="35">
        <f>IFERROR(INDEX(balance_sheet!$B:$XFD,MATCH("Nợ dài hạn",balance_sheet!$A:$A,0),MATCH(H$25,balance_sheet!$B$1:$XFD$1,0)),"")</f>
        <v/>
      </c>
      <c r="I39" s="35">
        <f>IFERROR(INDEX(balance_sheet!$B:$XFD,MATCH("Nợ dài hạn",balance_sheet!$A:$A,0),MATCH(I$25,balance_sheet!$B$1:$XFD$1,0)),"")</f>
        <v/>
      </c>
    </row>
    <row r="40">
      <c r="A40" s="13" t="inlineStr">
        <is>
          <t>NỢ PHẢI TRẢ</t>
        </is>
      </c>
      <c r="B40" s="35">
        <f>IFERROR(INDEX(balance_sheet!$B:$XFD,MATCH("NỢ PHẢI TRẢ",balance_sheet!$A:$A,0),MATCH(B$25,balance_sheet!$B$1:$XFD$1,0)),"")</f>
        <v/>
      </c>
      <c r="C40" s="35">
        <f>IFERROR(INDEX(balance_sheet!$B:$XFD,MATCH("NỢ PHẢI TRẢ",balance_sheet!$A:$A,0),MATCH(C$25,balance_sheet!$B$1:$XFD$1,0)),"")</f>
        <v/>
      </c>
      <c r="D40" s="35">
        <f>IFERROR(INDEX(balance_sheet!$B:$XFD,MATCH("NỢ PHẢI TRẢ",balance_sheet!$A:$A,0),MATCH(D$25,balance_sheet!$B$1:$XFD$1,0)),"")</f>
        <v/>
      </c>
      <c r="E40" s="35">
        <f>IFERROR(INDEX(balance_sheet!$B:$XFD,MATCH("NỢ PHẢI TRẢ",balance_sheet!$A:$A,0),MATCH(E$25,balance_sheet!$B$1:$XFD$1,0)),"")</f>
        <v/>
      </c>
      <c r="F40" s="35">
        <f>IFERROR(INDEX(balance_sheet!$B:$XFD,MATCH("NỢ PHẢI TRẢ",balance_sheet!$A:$A,0),MATCH(F$25,balance_sheet!$B$1:$XFD$1,0)),"")</f>
        <v/>
      </c>
      <c r="G40" s="35">
        <f>IFERROR(INDEX(balance_sheet!$B:$XFD,MATCH("NỢ PHẢI TRẢ",balance_sheet!$A:$A,0),MATCH(G$25,balance_sheet!$B$1:$XFD$1,0)),"")</f>
        <v/>
      </c>
      <c r="H40" s="35">
        <f>IFERROR(INDEX(balance_sheet!$B:$XFD,MATCH("NỢ PHẢI TRẢ",balance_sheet!$A:$A,0),MATCH(H$25,balance_sheet!$B$1:$XFD$1,0)),"")</f>
        <v/>
      </c>
      <c r="I40" s="35">
        <f>IFERROR(INDEX(balance_sheet!$B:$XFD,MATCH("NỢ PHẢI TRẢ",balance_sheet!$A:$A,0),MATCH(I$25,balance_sheet!$B$1:$XFD$1,0)),"")</f>
        <v/>
      </c>
    </row>
    <row r="41" customFormat="1" s="21">
      <c r="A41" s="3" t="inlineStr">
        <is>
          <t>Vốn chủ sở hữu</t>
        </is>
      </c>
      <c r="B41" s="36">
        <f>IFERROR(INDEX(balance_sheet!$B:$XFD,MATCH("Vốn chủ sở hữu",balance_sheet!$A:$A,0),MATCH(B$25,balance_sheet!$B$1:$XFD$1,0)),"")</f>
        <v/>
      </c>
      <c r="C41" s="36">
        <f>IFERROR(INDEX(balance_sheet!$B:$XFD,MATCH("Vốn chủ sở hữu",balance_sheet!$A:$A,0),MATCH(C$25,balance_sheet!$B$1:$XFD$1,0)),"")</f>
        <v/>
      </c>
      <c r="D41" s="36">
        <f>IFERROR(INDEX(balance_sheet!$B:$XFD,MATCH("Vốn chủ sở hữu",balance_sheet!$A:$A,0),MATCH(D$25,balance_sheet!$B$1:$XFD$1,0)),"")</f>
        <v/>
      </c>
      <c r="E41" s="36">
        <f>IFERROR(INDEX(balance_sheet!$B:$XFD,MATCH("Vốn chủ sở hữu",balance_sheet!$A:$A,0),MATCH(E$25,balance_sheet!$B$1:$XFD$1,0)),"")</f>
        <v/>
      </c>
      <c r="F41" s="36">
        <f>IFERROR(INDEX(balance_sheet!$B:$XFD,MATCH("Vốn chủ sở hữu",balance_sheet!$A:$A,0),MATCH(F$25,balance_sheet!$B$1:$XFD$1,0)),"")</f>
        <v/>
      </c>
      <c r="G41" s="36">
        <f>IFERROR(INDEX(balance_sheet!$B:$XFD,MATCH("Vốn chủ sở hữu",balance_sheet!$A:$A,0),MATCH(G$25,balance_sheet!$B$1:$XFD$1,0)),"")</f>
        <v/>
      </c>
      <c r="H41" s="36">
        <f>IFERROR(INDEX(balance_sheet!$B:$XFD,MATCH("Vốn chủ sở hữu",balance_sheet!$A:$A,0),MATCH(H$25,balance_sheet!$B$1:$XFD$1,0)),"")</f>
        <v/>
      </c>
      <c r="I41" s="36">
        <f>IFERROR(INDEX(balance_sheet!$B:$XFD,MATCH("Vốn chủ sở hữu",balance_sheet!$A:$A,0),MATCH(I$25,balance_sheet!$B$1:$XFD$1,0)),"")</f>
        <v/>
      </c>
    </row>
    <row r="42" customFormat="1" s="24">
      <c r="A42" s="22" t="inlineStr">
        <is>
          <t>Tăng VCSH/LN cổ đông cty mẹ</t>
        </is>
      </c>
      <c r="B42" s="23" t="n"/>
      <c r="C42" s="23">
        <f>(C41-B41)/C53</f>
        <v/>
      </c>
      <c r="D42" s="23">
        <f>(D41-C41)/D53</f>
        <v/>
      </c>
      <c r="E42" s="23">
        <f>(E41-D41)/E53</f>
        <v/>
      </c>
      <c r="F42" s="23">
        <f>(F41-E41)/F53</f>
        <v/>
      </c>
      <c r="G42" s="23">
        <f>(G41-F41)/G53</f>
        <v/>
      </c>
      <c r="H42" s="23">
        <f>(H41-G41)/H53</f>
        <v/>
      </c>
      <c r="I42" s="23">
        <f>(I41-H41)/I53</f>
        <v/>
      </c>
    </row>
    <row r="43" customFormat="1" s="21">
      <c r="A43" s="3" t="inlineStr">
        <is>
          <t>Lợi ích cổ đông không kiểm soát</t>
        </is>
      </c>
      <c r="B43" s="36">
        <f>IFERROR(INDEX(balance_sheet!$B:$XFD,MATCH("Lợi ích cổ đông không kiểm soát",balance_sheet!$A:$A,0),MATCH(B$25,balance_sheet!$B$1:$XFD$1,0)),"")</f>
        <v/>
      </c>
      <c r="C43" s="36">
        <f>IFERROR(INDEX(balance_sheet!$B:$XFD,MATCH("Lợi ích cổ đông không kiểm soát",balance_sheet!$A:$A,0),MATCH(C$25,balance_sheet!$B$1:$XFD$1,0)),"")</f>
        <v/>
      </c>
      <c r="D43" s="36">
        <f>IFERROR(INDEX(balance_sheet!$B:$XFD,MATCH("Lợi ích cổ đông không kiểm soát",balance_sheet!$A:$A,0),MATCH(D$25,balance_sheet!$B$1:$XFD$1,0)),"")</f>
        <v/>
      </c>
      <c r="E43" s="36">
        <f>IFERROR(INDEX(balance_sheet!$B:$XFD,MATCH("Lợi ích cổ đông không kiểm soát",balance_sheet!$A:$A,0),MATCH(E$25,balance_sheet!$B$1:$XFD$1,0)),"")</f>
        <v/>
      </c>
      <c r="F43" s="36">
        <f>IFERROR(INDEX(balance_sheet!$B:$XFD,MATCH("Lợi ích cổ đông không kiểm soát",balance_sheet!$A:$A,0),MATCH(F$25,balance_sheet!$B$1:$XFD$1,0)),"")</f>
        <v/>
      </c>
      <c r="G43" s="36">
        <f>IFERROR(INDEX(balance_sheet!$B:$XFD,MATCH("Lợi ích cổ đông không kiểm soát",balance_sheet!$A:$A,0),MATCH(G$25,balance_sheet!$B$1:$XFD$1,0)),"")</f>
        <v/>
      </c>
      <c r="H43" s="36">
        <f>IFERROR(INDEX(balance_sheet!$B:$XFD,MATCH("Lợi ích cổ đông không kiểm soát",balance_sheet!$A:$A,0),MATCH(H$25,balance_sheet!$B$1:$XFD$1,0)),"")</f>
        <v/>
      </c>
      <c r="I43" s="36">
        <f>IFERROR(INDEX(balance_sheet!$B:$XFD,MATCH("Lợi ích cổ đông không kiểm soát",balance_sheet!$A:$A,0),MATCH(I$25,balance_sheet!$B$1:$XFD$1,0)),"")</f>
        <v/>
      </c>
    </row>
    <row r="44">
      <c r="A44" s="3" t="inlineStr">
        <is>
          <t>Kết quả hoạt động kinh doanh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customFormat="1" s="21">
      <c r="A45" s="3" t="inlineStr">
        <is>
          <t>Doanh thu thuần</t>
        </is>
      </c>
      <c r="B45" s="36">
        <f>IFERROR(INDEX(income_statement!$B:$XFD,MATCH("Doanh thu thuần",income_statement!$A:$A,0),MATCH(B$25,income_statement!$B$1:$XFD$1,0)),"")</f>
        <v/>
      </c>
      <c r="C45" s="36">
        <f>IFERROR(INDEX(income_statement!$B:$XFD,MATCH("Doanh thu thuần",income_statement!$A:$A,0),MATCH(C$25,income_statement!$B$1:$XFD$1,0)),"")</f>
        <v/>
      </c>
      <c r="D45" s="36">
        <f>IFERROR(INDEX(income_statement!$B:$XFD,MATCH("Doanh thu thuần",income_statement!$A:$A,0),MATCH(D$25,income_statement!$B$1:$XFD$1,0)),"")</f>
        <v/>
      </c>
      <c r="E45" s="36">
        <f>IFERROR(INDEX(income_statement!$B:$XFD,MATCH("Doanh thu thuần",income_statement!$A:$A,0),MATCH(E$25,income_statement!$B$1:$XFD$1,0)),"")</f>
        <v/>
      </c>
      <c r="F45" s="36">
        <f>IFERROR(INDEX(income_statement!$B:$XFD,MATCH("Doanh thu thuần",income_statement!$A:$A,0),MATCH(F$25,income_statement!$B$1:$XFD$1,0)),"")</f>
        <v/>
      </c>
      <c r="G45" s="36">
        <f>IFERROR(INDEX(income_statement!$B:$XFD,MATCH("Doanh thu thuần",income_statement!$A:$A,0),MATCH(G$25,income_statement!$B$1:$XFD$1,0)),"")</f>
        <v/>
      </c>
      <c r="H45" s="36">
        <f>IFERROR(INDEX(income_statement!$B:$XFD,MATCH("Doanh thu thuần",income_statement!$A:$A,0),MATCH(H$25,income_statement!$B$1:$XFD$1,0)),"")</f>
        <v/>
      </c>
      <c r="I45" s="36">
        <f>IFERROR(INDEX(income_statement!$B:$XFD,MATCH("Doanh thu thuần",income_statement!$A:$A,0),MATCH(I$25,income_statement!$B$1:$XFD$1,0)),"")</f>
        <v/>
      </c>
    </row>
    <row r="46">
      <c r="A46" s="13" t="inlineStr">
        <is>
          <t>Giá vốn hàng bán</t>
        </is>
      </c>
      <c r="B46" s="35">
        <f>IFERROR(INDEX(income_statement!$B:$XFD,MATCH("Giá vốn hàng bán",income_statement!$A:$A,0),MATCH(B$25,income_statement!$B$1:$XFD$1,0)),"")</f>
        <v/>
      </c>
      <c r="C46" s="35">
        <f>IFERROR(INDEX(income_statement!$B:$XFD,MATCH("Giá vốn hàng bán",income_statement!$A:$A,0),MATCH(C$25,income_statement!$B$1:$XFD$1,0)),"")</f>
        <v/>
      </c>
      <c r="D46" s="35">
        <f>IFERROR(INDEX(income_statement!$B:$XFD,MATCH("Giá vốn hàng bán",income_statement!$A:$A,0),MATCH(D$25,income_statement!$B$1:$XFD$1,0)),"")</f>
        <v/>
      </c>
      <c r="E46" s="35">
        <f>IFERROR(INDEX(income_statement!$B:$XFD,MATCH("Giá vốn hàng bán",income_statement!$A:$A,0),MATCH(E$25,income_statement!$B$1:$XFD$1,0)),"")</f>
        <v/>
      </c>
      <c r="F46" s="35">
        <f>IFERROR(INDEX(income_statement!$B:$XFD,MATCH("Giá vốn hàng bán",income_statement!$A:$A,0),MATCH(F$25,income_statement!$B$1:$XFD$1,0)),"")</f>
        <v/>
      </c>
      <c r="G46" s="35">
        <f>IFERROR(INDEX(income_statement!$B:$XFD,MATCH("Giá vốn hàng bán",income_statement!$A:$A,0),MATCH(G$25,income_statement!$B$1:$XFD$1,0)),"")</f>
        <v/>
      </c>
      <c r="H46" s="35">
        <f>IFERROR(INDEX(income_statement!$B:$XFD,MATCH("Giá vốn hàng bán",income_statement!$A:$A,0),MATCH(H$25,income_statement!$B$1:$XFD$1,0)),"")</f>
        <v/>
      </c>
      <c r="I46" s="35">
        <f>IFERROR(INDEX(income_statement!$B:$XFD,MATCH("Giá vốn hàng bán",income_statement!$A:$A,0),MATCH(I$25,income_statement!$B$1:$XFD$1,0)),"")</f>
        <v/>
      </c>
    </row>
    <row r="47" customFormat="1" s="21">
      <c r="A47" s="3" t="inlineStr">
        <is>
          <t>Lợi nhuận gộp</t>
        </is>
      </c>
      <c r="B47" s="36">
        <f>IFERROR(INDEX(income_statement!$B:$XFD,MATCH("Lợi nhuận gộp",income_statement!$A:$A,0),MATCH(B$25,income_statement!$B$1:$XFD$1,0)),"")</f>
        <v/>
      </c>
      <c r="C47" s="36">
        <f>IFERROR(INDEX(income_statement!$B:$XFD,MATCH("Lợi nhuận gộp",income_statement!$A:$A,0),MATCH(C$25,income_statement!$B$1:$XFD$1,0)),"")</f>
        <v/>
      </c>
      <c r="D47" s="36">
        <f>IFERROR(INDEX(income_statement!$B:$XFD,MATCH("Lợi nhuận gộp",income_statement!$A:$A,0),MATCH(D$25,income_statement!$B$1:$XFD$1,0)),"")</f>
        <v/>
      </c>
      <c r="E47" s="36">
        <f>IFERROR(INDEX(income_statement!$B:$XFD,MATCH("Lợi nhuận gộp",income_statement!$A:$A,0),MATCH(E$25,income_statement!$B$1:$XFD$1,0)),"")</f>
        <v/>
      </c>
      <c r="F47" s="36">
        <f>IFERROR(INDEX(income_statement!$B:$XFD,MATCH("Lợi nhuận gộp",income_statement!$A:$A,0),MATCH(F$25,income_statement!$B$1:$XFD$1,0)),"")</f>
        <v/>
      </c>
      <c r="G47" s="36">
        <f>IFERROR(INDEX(income_statement!$B:$XFD,MATCH("Lợi nhuận gộp",income_statement!$A:$A,0),MATCH(G$25,income_statement!$B$1:$XFD$1,0)),"")</f>
        <v/>
      </c>
      <c r="H47" s="36">
        <f>IFERROR(INDEX(income_statement!$B:$XFD,MATCH("Lợi nhuận gộp",income_statement!$A:$A,0),MATCH(H$25,income_statement!$B$1:$XFD$1,0)),"")</f>
        <v/>
      </c>
      <c r="I47" s="36">
        <f>IFERROR(INDEX(income_statement!$B:$XFD,MATCH("Lợi nhuận gộp",income_statement!$A:$A,0),MATCH(I$25,income_statement!$B$1:$XFD$1,0)),"")</f>
        <v/>
      </c>
    </row>
    <row r="48">
      <c r="A48" s="13" t="inlineStr">
        <is>
          <t>Chi phí bán hàng</t>
        </is>
      </c>
      <c r="B48" s="35">
        <f>IFERROR(INDEX(income_statement!$B:$XFD,MATCH("Chi phí bán hàng",income_statement!$A:$A,0),MATCH(B$25,income_statement!$B$1:$XFD$1,0)),"")</f>
        <v/>
      </c>
      <c r="C48" s="35">
        <f>IFERROR(INDEX(income_statement!$B:$XFD,MATCH("Chi phí bán hàng",income_statement!$A:$A,0),MATCH(C$25,income_statement!$B$1:$XFD$1,0)),"")</f>
        <v/>
      </c>
      <c r="D48" s="35">
        <f>IFERROR(INDEX(income_statement!$B:$XFD,MATCH("Chi phí bán hàng",income_statement!$A:$A,0),MATCH(D$25,income_statement!$B$1:$XFD$1,0)),"")</f>
        <v/>
      </c>
      <c r="E48" s="35">
        <f>IFERROR(INDEX(income_statement!$B:$XFD,MATCH("Chi phí bán hàng",income_statement!$A:$A,0),MATCH(E$25,income_statement!$B$1:$XFD$1,0)),"")</f>
        <v/>
      </c>
      <c r="F48" s="35">
        <f>IFERROR(INDEX(income_statement!$B:$XFD,MATCH("Chi phí bán hàng",income_statement!$A:$A,0),MATCH(F$25,income_statement!$B$1:$XFD$1,0)),"")</f>
        <v/>
      </c>
      <c r="G48" s="35">
        <f>IFERROR(INDEX(income_statement!$B:$XFD,MATCH("Chi phí bán hàng",income_statement!$A:$A,0),MATCH(G$25,income_statement!$B$1:$XFD$1,0)),"")</f>
        <v/>
      </c>
      <c r="H48" s="35">
        <f>IFERROR(INDEX(income_statement!$B:$XFD,MATCH("Chi phí bán hàng",income_statement!$A:$A,0),MATCH(H$25,income_statement!$B$1:$XFD$1,0)),"")</f>
        <v/>
      </c>
      <c r="I48" s="35">
        <f>IFERROR(INDEX(income_statement!$B:$XFD,MATCH("Chi phí bán hàng",income_statement!$A:$A,0),MATCH(I$25,income_statement!$B$1:$XFD$1,0)),"")</f>
        <v/>
      </c>
    </row>
    <row r="49">
      <c r="A49" s="13" t="inlineStr">
        <is>
          <t>Chi phí quản lý doanh nghiệp</t>
        </is>
      </c>
      <c r="B49" s="35">
        <f>IFERROR(INDEX(income_statement!$B:$XFD,MATCH("Chi phí quản lý doanh nghiệp",income_statement!$A:$A,0),MATCH(B$25,income_statement!$B$1:$XFD$1,0)),"")</f>
        <v/>
      </c>
      <c r="C49" s="35">
        <f>IFERROR(INDEX(income_statement!$B:$XFD,MATCH("Chi phí quản lý doanh nghiệp",income_statement!$A:$A,0),MATCH(C$25,income_statement!$B$1:$XFD$1,0)),"")</f>
        <v/>
      </c>
      <c r="D49" s="35">
        <f>IFERROR(INDEX(income_statement!$B:$XFD,MATCH("Chi phí quản lý doanh nghiệp",income_statement!$A:$A,0),MATCH(D$25,income_statement!$B$1:$XFD$1,0)),"")</f>
        <v/>
      </c>
      <c r="E49" s="35">
        <f>IFERROR(INDEX(income_statement!$B:$XFD,MATCH("Chi phí quản lý doanh nghiệp",income_statement!$A:$A,0),MATCH(E$25,income_statement!$B$1:$XFD$1,0)),"")</f>
        <v/>
      </c>
      <c r="F49" s="35">
        <f>IFERROR(INDEX(income_statement!$B:$XFD,MATCH("Chi phí quản lý doanh nghiệp",income_statement!$A:$A,0),MATCH(F$25,income_statement!$B$1:$XFD$1,0)),"")</f>
        <v/>
      </c>
      <c r="G49" s="35">
        <f>IFERROR(INDEX(income_statement!$B:$XFD,MATCH("Chi phí quản lý doanh nghiệp",income_statement!$A:$A,0),MATCH(G$25,income_statement!$B$1:$XFD$1,0)),"")</f>
        <v/>
      </c>
      <c r="H49" s="35">
        <f>IFERROR(INDEX(income_statement!$B:$XFD,MATCH("Chi phí quản lý doanh nghiệp",income_statement!$A:$A,0),MATCH(H$25,income_statement!$B$1:$XFD$1,0)),"")</f>
        <v/>
      </c>
      <c r="I49" s="35">
        <f>IFERROR(INDEX(income_statement!$B:$XFD,MATCH("Chi phí quản lý doanh nghiệp",income_statement!$A:$A,0),MATCH(I$25,income_statement!$B$1:$XFD$1,0)),"")</f>
        <v/>
      </c>
    </row>
    <row r="50">
      <c r="A50" s="13" t="inlineStr">
        <is>
          <t>Lãi/(lỗ) từ hoạt động kinh doanh</t>
        </is>
      </c>
      <c r="B50" s="35">
        <f>IFERROR(INDEX(income_statement!$B:$XFD,MATCH("Lãi/(lỗ) từ hoạt động kinh doanh",income_statement!$A:$A,0),MATCH(B$25,income_statement!$B$1:$XFD$1,0)),"")</f>
        <v/>
      </c>
      <c r="C50" s="35">
        <f>IFERROR(INDEX(income_statement!$B:$XFD,MATCH("Lãi/(lỗ) từ hoạt động kinh doanh",income_statement!$A:$A,0),MATCH(C$25,income_statement!$B$1:$XFD$1,0)),"")</f>
        <v/>
      </c>
      <c r="D50" s="35">
        <f>IFERROR(INDEX(income_statement!$B:$XFD,MATCH("Lãi/(lỗ) từ hoạt động kinh doanh",income_statement!$A:$A,0),MATCH(D$25,income_statement!$B$1:$XFD$1,0)),"")</f>
        <v/>
      </c>
      <c r="E50" s="35">
        <f>IFERROR(INDEX(income_statement!$B:$XFD,MATCH("Lãi/(lỗ) từ hoạt động kinh doanh",income_statement!$A:$A,0),MATCH(E$25,income_statement!$B$1:$XFD$1,0)),"")</f>
        <v/>
      </c>
      <c r="F50" s="35">
        <f>IFERROR(INDEX(income_statement!$B:$XFD,MATCH("Lãi/(lỗ) từ hoạt động kinh doanh",income_statement!$A:$A,0),MATCH(F$25,income_statement!$B$1:$XFD$1,0)),"")</f>
        <v/>
      </c>
      <c r="G50" s="35">
        <f>IFERROR(INDEX(income_statement!$B:$XFD,MATCH("Lãi/(lỗ) từ hoạt động kinh doanh",income_statement!$A:$A,0),MATCH(G$25,income_statement!$B$1:$XFD$1,0)),"")</f>
        <v/>
      </c>
      <c r="H50" s="35">
        <f>IFERROR(INDEX(income_statement!$B:$XFD,MATCH("Lãi/(lỗ) từ hoạt động kinh doanh",income_statement!$A:$A,0),MATCH(H$25,income_statement!$B$1:$XFD$1,0)),"")</f>
        <v/>
      </c>
      <c r="I50" s="35">
        <f>IFERROR(INDEX(income_statement!$B:$XFD,MATCH("Lãi/(lỗ) từ hoạt động kinh doanh",income_statement!$A:$A,0),MATCH(I$25,income_statement!$B$1:$XFD$1,0)),"")</f>
        <v/>
      </c>
    </row>
    <row r="51">
      <c r="A51" s="13" t="inlineStr">
        <is>
          <t>Chi phí lãi vay</t>
        </is>
      </c>
      <c r="B51" s="35">
        <f>IFERROR(INDEX(income_statement!$B:$XFD,MATCH("Chi phí lãi vay",income_statement!$A:$A,0),MATCH(B$25,income_statement!$B$1:$XFD$1,0)),"")</f>
        <v/>
      </c>
      <c r="C51" s="35">
        <f>IFERROR(INDEX(income_statement!$B:$XFD,MATCH("Chi phí lãi vay",income_statement!$A:$A,0),MATCH(C$25,income_statement!$B$1:$XFD$1,0)),"")</f>
        <v/>
      </c>
      <c r="D51" s="35">
        <f>IFERROR(INDEX(income_statement!$B:$XFD,MATCH("Chi phí lãi vay",income_statement!$A:$A,0),MATCH(D$25,income_statement!$B$1:$XFD$1,0)),"")</f>
        <v/>
      </c>
      <c r="E51" s="35">
        <f>IFERROR(INDEX(income_statement!$B:$XFD,MATCH("Chi phí lãi vay",income_statement!$A:$A,0),MATCH(E$25,income_statement!$B$1:$XFD$1,0)),"")</f>
        <v/>
      </c>
      <c r="F51" s="35">
        <f>IFERROR(INDEX(income_statement!$B:$XFD,MATCH("Chi phí lãi vay",income_statement!$A:$A,0),MATCH(F$25,income_statement!$B$1:$XFD$1,0)),"")</f>
        <v/>
      </c>
      <c r="G51" s="35">
        <f>IFERROR(INDEX(income_statement!$B:$XFD,MATCH("Chi phí lãi vay",income_statement!$A:$A,0),MATCH(G$25,income_statement!$B$1:$XFD$1,0)),"")</f>
        <v/>
      </c>
      <c r="H51" s="35">
        <f>IFERROR(INDEX(income_statement!$B:$XFD,MATCH("Chi phí lãi vay",income_statement!$A:$A,0),MATCH(H$25,income_statement!$B$1:$XFD$1,0)),"")</f>
        <v/>
      </c>
      <c r="I51" s="35">
        <f>IFERROR(INDEX(income_statement!$B:$XFD,MATCH("Chi phí lãi vay",income_statement!$A:$A,0),MATCH(I$25,income_statement!$B$1:$XFD$1,0)),"")</f>
        <v/>
      </c>
    </row>
    <row r="52" customFormat="1" s="21">
      <c r="A52" s="3" t="inlineStr">
        <is>
          <t>Lãi/(lỗ) thuần sau thuế</t>
        </is>
      </c>
      <c r="B52" s="36">
        <f>IFERROR(INDEX(income_statement!$B:$XFD,MATCH("Lãi/(lỗ) thuần sau thuế",income_statement!$A:$A,0),MATCH(B$25,income_statement!$B$1:$XFD$1,0)),"")</f>
        <v/>
      </c>
      <c r="C52" s="36">
        <f>IFERROR(INDEX(income_statement!$B:$XFD,MATCH("Lãi/(lỗ) thuần sau thuế",income_statement!$A:$A,0),MATCH(C$25,income_statement!$B$1:$XFD$1,0)),"")</f>
        <v/>
      </c>
      <c r="D52" s="36">
        <f>IFERROR(INDEX(income_statement!$B:$XFD,MATCH("Lãi/(lỗ) thuần sau thuế",income_statement!$A:$A,0),MATCH(D$25,income_statement!$B$1:$XFD$1,0)),"")</f>
        <v/>
      </c>
      <c r="E52" s="36">
        <f>IFERROR(INDEX(income_statement!$B:$XFD,MATCH("Lãi/(lỗ) thuần sau thuế",income_statement!$A:$A,0),MATCH(E$25,income_statement!$B$1:$XFD$1,0)),"")</f>
        <v/>
      </c>
      <c r="F52" s="36">
        <f>IFERROR(INDEX(income_statement!$B:$XFD,MATCH("Lãi/(lỗ) thuần sau thuế",income_statement!$A:$A,0),MATCH(F$25,income_statement!$B$1:$XFD$1,0)),"")</f>
        <v/>
      </c>
      <c r="G52" s="36">
        <f>IFERROR(INDEX(income_statement!$B:$XFD,MATCH("Lãi/(lỗ) thuần sau thuế",income_statement!$A:$A,0),MATCH(G$25,income_statement!$B$1:$XFD$1,0)),"")</f>
        <v/>
      </c>
      <c r="H52" s="36">
        <f>IFERROR(INDEX(income_statement!$B:$XFD,MATCH("Lãi/(lỗ) thuần sau thuế",income_statement!$A:$A,0),MATCH(H$25,income_statement!$B$1:$XFD$1,0)),"")</f>
        <v/>
      </c>
      <c r="I52" s="36">
        <f>IFERROR(INDEX(income_statement!$B:$XFD,MATCH("Lãi/(lỗ) thuần sau thuế",income_statement!$A:$A,0),MATCH(I$25,income_statement!$B$1:$XFD$1,0)),"")</f>
        <v/>
      </c>
    </row>
    <row r="53" customFormat="1" s="21">
      <c r="A53" s="3" t="inlineStr">
        <is>
          <t>Lợi nhuận của Cổ đông của Công ty mẹ</t>
        </is>
      </c>
      <c r="B53" s="36">
        <f>IFERROR(INDEX(income_statement!$B:$XFD,MATCH("Lợi nhuận của Cổ đông của Công ty mẹ",income_statement!$A:$A,0),MATCH(B$25,income_statement!$B$1:$XFD$1,0)),"")</f>
        <v/>
      </c>
      <c r="C53" s="36">
        <f>IFERROR(INDEX(income_statement!$B:$XFD,MATCH("Lợi nhuận của Cổ đông của Công ty mẹ",income_statement!$A:$A,0),MATCH(C$25,income_statement!$B$1:$XFD$1,0)),"")</f>
        <v/>
      </c>
      <c r="D53" s="36">
        <f>IFERROR(INDEX(income_statement!$B:$XFD,MATCH("Lợi nhuận của Cổ đông của Công ty mẹ",income_statement!$A:$A,0),MATCH(D$25,income_statement!$B$1:$XFD$1,0)),"")</f>
        <v/>
      </c>
      <c r="E53" s="36">
        <f>IFERROR(INDEX(income_statement!$B:$XFD,MATCH("Lợi nhuận của Cổ đông của Công ty mẹ",income_statement!$A:$A,0),MATCH(E$25,income_statement!$B$1:$XFD$1,0)),"")</f>
        <v/>
      </c>
      <c r="F53" s="36">
        <f>IFERROR(INDEX(income_statement!$B:$XFD,MATCH("Lợi nhuận của Cổ đông của Công ty mẹ",income_statement!$A:$A,0),MATCH(F$25,income_statement!$B$1:$XFD$1,0)),"")</f>
        <v/>
      </c>
      <c r="G53" s="36">
        <f>IFERROR(INDEX(income_statement!$B:$XFD,MATCH("Lợi nhuận của Cổ đông của Công ty mẹ",income_statement!$A:$A,0),MATCH(G$25,income_statement!$B$1:$XFD$1,0)),"")</f>
        <v/>
      </c>
      <c r="H53" s="36">
        <f>IFERROR(INDEX(income_statement!$B:$XFD,MATCH("Lợi nhuận của Cổ đông của Công ty mẹ",income_statement!$A:$A,0),MATCH(H$25,income_statement!$B$1:$XFD$1,0)),"")</f>
        <v/>
      </c>
      <c r="I53" s="36">
        <f>IFERROR(INDEX(income_statement!$B:$XFD,MATCH("Lợi nhuận của Cổ đông của Công ty mẹ",income_statement!$A:$A,0),MATCH(I$25,income_statement!$B$1:$XFD$1,0)),"")</f>
        <v/>
      </c>
    </row>
    <row r="54">
      <c r="A54" s="3" t="inlineStr">
        <is>
          <t>Lưu chuyển tiền tệ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13" t="inlineStr">
        <is>
          <t>Khấu hao TSCĐ và BĐSĐT</t>
        </is>
      </c>
      <c r="B55" s="35">
        <f>IFERROR(INDEX(cash_flow!$B:$XFD,MATCH("Khấu hao TSCĐ và BĐSĐT",cash_flow!$A:$A,0),MATCH(B$25,cash_flow!$B$1:$XFD$1,0)),"")</f>
        <v/>
      </c>
      <c r="C55" s="35">
        <f>IFERROR(INDEX(cash_flow!$B:$XFD,MATCH("Khấu hao TSCĐ và BĐSĐT",cash_flow!$A:$A,0),MATCH(C$25,cash_flow!$B$1:$XFD$1,0)),"")</f>
        <v/>
      </c>
      <c r="D55" s="35">
        <f>IFERROR(INDEX(cash_flow!$B:$XFD,MATCH("Khấu hao TSCĐ và BĐSĐT",cash_flow!$A:$A,0),MATCH(D$25,cash_flow!$B$1:$XFD$1,0)),"")</f>
        <v/>
      </c>
      <c r="E55" s="35">
        <f>IFERROR(INDEX(cash_flow!$B:$XFD,MATCH("Khấu hao TSCĐ và BĐSĐT",cash_flow!$A:$A,0),MATCH(E$25,cash_flow!$B$1:$XFD$1,0)),"")</f>
        <v/>
      </c>
      <c r="F55" s="35">
        <f>IFERROR(INDEX(cash_flow!$B:$XFD,MATCH("Khấu hao TSCĐ và BĐSĐT",cash_flow!$A:$A,0),MATCH(F$25,cash_flow!$B$1:$XFD$1,0)),"")</f>
        <v/>
      </c>
      <c r="G55" s="35">
        <f>IFERROR(INDEX(cash_flow!$B:$XFD,MATCH("Khấu hao TSCĐ và BĐSĐT",cash_flow!$A:$A,0),MATCH(G$25,cash_flow!$B$1:$XFD$1,0)),"")</f>
        <v/>
      </c>
      <c r="H55" s="35">
        <f>IFERROR(INDEX(cash_flow!$B:$XFD,MATCH("Khấu hao TSCĐ và BĐSĐT",cash_flow!$A:$A,0),MATCH(H$25,cash_flow!$B$1:$XFD$1,0)),"")</f>
        <v/>
      </c>
      <c r="I55" s="35">
        <f>IFERROR(INDEX(cash_flow!$B:$XFD,MATCH("Khấu hao TSCĐ và BĐSĐT",cash_flow!$A:$A,0),MATCH(I$25,cash_flow!$B$1:$XFD$1,0)),"")</f>
        <v/>
      </c>
    </row>
    <row r="56">
      <c r="A56" s="13" t="inlineStr">
        <is>
          <t>Tiền chi để mua sắm, xây dựng TSCĐ và các tài sản dài hạn khác</t>
        </is>
      </c>
      <c r="B56" s="35">
        <f>IFERROR(INDEX(cash_flow!$B:$XFD,MATCH("Tiền chi để mua sắm, xây dựng TSCĐ và các tài sản dài hạn khác",cash_flow!$A:$A,0),MATCH(B$25,cash_flow!$B$1:$XFD$1,0)),"")</f>
        <v/>
      </c>
      <c r="C56" s="35">
        <f>IFERROR(INDEX(cash_flow!$B:$XFD,MATCH("Tiền chi để mua sắm, xây dựng TSCĐ và các tài sản dài hạn khác",cash_flow!$A:$A,0),MATCH(C$25,cash_flow!$B$1:$XFD$1,0)),"")</f>
        <v/>
      </c>
      <c r="D56" s="35">
        <f>IFERROR(INDEX(cash_flow!$B:$XFD,MATCH("Tiền chi để mua sắm, xây dựng TSCĐ và các tài sản dài hạn khác",cash_flow!$A:$A,0),MATCH(D$25,cash_flow!$B$1:$XFD$1,0)),"")</f>
        <v/>
      </c>
      <c r="E56" s="35">
        <f>IFERROR(INDEX(cash_flow!$B:$XFD,MATCH("Tiền chi để mua sắm, xây dựng TSCĐ và các tài sản dài hạn khác",cash_flow!$A:$A,0),MATCH(E$25,cash_flow!$B$1:$XFD$1,0)),"")</f>
        <v/>
      </c>
      <c r="F56" s="35">
        <f>IFERROR(INDEX(cash_flow!$B:$XFD,MATCH("Tiền chi để mua sắm, xây dựng TSCĐ và các tài sản dài hạn khác",cash_flow!$A:$A,0),MATCH(F$25,cash_flow!$B$1:$XFD$1,0)),"")</f>
        <v/>
      </c>
      <c r="G56" s="35">
        <f>IFERROR(INDEX(cash_flow!$B:$XFD,MATCH("Tiền chi để mua sắm, xây dựng TSCĐ và các tài sản dài hạn khác",cash_flow!$A:$A,0),MATCH(G$25,cash_flow!$B$1:$XFD$1,0)),"")</f>
        <v/>
      </c>
      <c r="H56" s="35">
        <f>IFERROR(INDEX(cash_flow!$B:$XFD,MATCH("Tiền chi để mua sắm, xây dựng TSCĐ và các tài sản dài hạn khác",cash_flow!$A:$A,0),MATCH(H$25,cash_flow!$B$1:$XFD$1,0)),"")</f>
        <v/>
      </c>
      <c r="I56" s="35">
        <f>IFERROR(INDEX(cash_flow!$B:$XFD,MATCH("Tiền chi để mua sắm, xây dựng TSCĐ và các tài sản dài hạn khác",cash_flow!$A:$A,0),MATCH(I$25,cash_flow!$B$1:$XFD$1,0)),"")</f>
        <v/>
      </c>
    </row>
    <row r="57">
      <c r="A57" s="13" t="inlineStr">
        <is>
          <t>Lưu chuyển tiền tệ ròng từ các hoạt động sản xuất kinh doanh</t>
        </is>
      </c>
      <c r="B57" s="35">
        <f>IFERROR(INDEX(cash_flow!$B:$XFD,MATCH("Lưu chuyển tiền tệ ròng từ các hoạt động sản xuất kinh doanh",cash_flow!$A:$A,0),MATCH(B$25,cash_flow!$B$1:$XFD$1,0)),"")</f>
        <v/>
      </c>
      <c r="C57" s="35">
        <f>IFERROR(INDEX(cash_flow!$B:$XFD,MATCH("Lưu chuyển tiền tệ ròng từ các hoạt động sản xuất kinh doanh",cash_flow!$A:$A,0),MATCH(C$25,cash_flow!$B$1:$XFD$1,0)),"")</f>
        <v/>
      </c>
      <c r="D57" s="35">
        <f>IFERROR(INDEX(cash_flow!$B:$XFD,MATCH("Lưu chuyển tiền tệ ròng từ các hoạt động sản xuất kinh doanh",cash_flow!$A:$A,0),MATCH(D$25,cash_flow!$B$1:$XFD$1,0)),"")</f>
        <v/>
      </c>
      <c r="E57" s="35">
        <f>IFERROR(INDEX(cash_flow!$B:$XFD,MATCH("Lưu chuyển tiền tệ ròng từ các hoạt động sản xuất kinh doanh",cash_flow!$A:$A,0),MATCH(E$25,cash_flow!$B$1:$XFD$1,0)),"")</f>
        <v/>
      </c>
      <c r="F57" s="35">
        <f>IFERROR(INDEX(cash_flow!$B:$XFD,MATCH("Lưu chuyển tiền tệ ròng từ các hoạt động sản xuất kinh doanh",cash_flow!$A:$A,0),MATCH(F$25,cash_flow!$B$1:$XFD$1,0)),"")</f>
        <v/>
      </c>
      <c r="G57" s="35">
        <f>IFERROR(INDEX(cash_flow!$B:$XFD,MATCH("Lưu chuyển tiền tệ ròng từ các hoạt động sản xuất kinh doanh",cash_flow!$A:$A,0),MATCH(G$25,cash_flow!$B$1:$XFD$1,0)),"")</f>
        <v/>
      </c>
      <c r="H57" s="35">
        <f>IFERROR(INDEX(cash_flow!$B:$XFD,MATCH("Lưu chuyển tiền tệ ròng từ các hoạt động sản xuất kinh doanh",cash_flow!$A:$A,0),MATCH(H$25,cash_flow!$B$1:$XFD$1,0)),"")</f>
        <v/>
      </c>
      <c r="I57" s="35">
        <f>IFERROR(INDEX(cash_flow!$B:$XFD,MATCH("Lưu chuyển tiền tệ ròng từ các hoạt động sản xuất kinh doanh",cash_flow!$A:$A,0),MATCH(I$25,cash_flow!$B$1:$XFD$1,0)),"")</f>
        <v/>
      </c>
    </row>
    <row r="61">
      <c r="A61" s="16" t="inlineStr">
        <is>
          <t>CHỈ SỐ THÊM</t>
        </is>
      </c>
      <c r="B61" s="12" t="n">
        <v>2026</v>
      </c>
      <c r="C61" s="12" t="n">
        <v>2027</v>
      </c>
      <c r="D61" s="12" t="n">
        <v>2028</v>
      </c>
      <c r="E61" s="12" t="n">
        <v>2029</v>
      </c>
      <c r="F61" s="12" t="n">
        <v>2030</v>
      </c>
      <c r="G61" s="12" t="n">
        <v>2031</v>
      </c>
      <c r="H61" s="12" t="n">
        <v>2032</v>
      </c>
      <c r="I61" s="12" t="n">
        <v>2033</v>
      </c>
    </row>
    <row r="62">
      <c r="A62" s="16" t="inlineStr">
        <is>
          <t>Khả năng sinh lời &amp; hiệu quả sử dụng vốn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ROCE</t>
        </is>
      </c>
      <c r="B63" s="37">
        <f>IFERROR(B$65/(B$33-B$37),"n/a")</f>
        <v/>
      </c>
      <c r="C63" s="37">
        <f>IFERROR(C$65/(C$33-C$37),"n/a")</f>
        <v/>
      </c>
      <c r="D63" s="37">
        <f>IFERROR(D$65/(D$33-D$37),"n/a")</f>
        <v/>
      </c>
      <c r="E63" s="37">
        <f>IFERROR(E$65/(E$33-E$37),"n/a")</f>
        <v/>
      </c>
      <c r="F63" s="37">
        <f>IFERROR(F$65/(F$33-F$37),"n/a")</f>
        <v/>
      </c>
      <c r="G63" s="37">
        <f>IFERROR(G$65/(G$33-G$37),"n/a")</f>
        <v/>
      </c>
      <c r="H63" s="37">
        <f>IFERROR(H$65/(H$33-H$37),"n/a")</f>
        <v/>
      </c>
      <c r="I63" s="37">
        <f>IFERROR(I$65/(I$33-I$37),"n/a")</f>
        <v/>
      </c>
    </row>
    <row r="64">
      <c r="A64" s="2" t="inlineStr">
        <is>
          <t>CROIC</t>
        </is>
      </c>
      <c r="B64" s="37">
        <f>IFERROR(B$69/(B$33-B$37),"n/a")</f>
        <v/>
      </c>
      <c r="C64" s="37">
        <f>IFERROR(C$69/(C$33-C$37),"n/a")</f>
        <v/>
      </c>
      <c r="D64" s="37">
        <f>IFERROR(D$69/(D$33-D$37),"n/a")</f>
        <v/>
      </c>
      <c r="E64" s="37">
        <f>IFERROR(E$69/(E$33-E$37),"n/a")</f>
        <v/>
      </c>
      <c r="F64" s="37">
        <f>IFERROR(F$69/(F$33-F$37),"n/a")</f>
        <v/>
      </c>
      <c r="G64" s="37">
        <f>IFERROR(G$69/(G$33-G$37),"n/a")</f>
        <v/>
      </c>
      <c r="H64" s="37">
        <f>IFERROR(H$69/(H$33-H$37),"n/a")</f>
        <v/>
      </c>
      <c r="I64" s="37">
        <f>IFERROR(I$69/(I$33-I$37),"n/a")</f>
        <v/>
      </c>
    </row>
    <row r="65">
      <c r="A65" s="2" t="inlineStr">
        <is>
          <t>EBIT</t>
        </is>
      </c>
      <c r="B65" s="38">
        <f>IFERROR(B$50+ABS(B$51),"n/a")</f>
        <v/>
      </c>
      <c r="C65" s="38">
        <f>IFERROR(C$50+ABS(C$51),"n/a")</f>
        <v/>
      </c>
      <c r="D65" s="38">
        <f>IFERROR(D$50+ABS(D$51),"n/a")</f>
        <v/>
      </c>
      <c r="E65" s="38">
        <f>IFERROR(E$50+ABS(E$51),"n/a")</f>
        <v/>
      </c>
      <c r="F65" s="38">
        <f>IFERROR(F$50+ABS(F$51),"n/a")</f>
        <v/>
      </c>
      <c r="G65" s="38">
        <f>IFERROR(G$50+ABS(G$51),"n/a")</f>
        <v/>
      </c>
      <c r="H65" s="38">
        <f>IFERROR(H$50+ABS(H$51),"n/a")</f>
        <v/>
      </c>
      <c r="I65" s="38">
        <f>IFERROR(I$50+ABS(I$51),"n/a")</f>
        <v/>
      </c>
    </row>
    <row r="66">
      <c r="A66" s="2" t="inlineStr">
        <is>
          <t>EBIT/DT</t>
        </is>
      </c>
      <c r="B66" s="37">
        <f>IFERROR(B$65/B$45,"n/a")</f>
        <v/>
      </c>
      <c r="C66" s="37">
        <f>IFERROR(C$65/C$45,"n/a")</f>
        <v/>
      </c>
      <c r="D66" s="37">
        <f>IFERROR(D$65/D$45,"n/a")</f>
        <v/>
      </c>
      <c r="E66" s="37">
        <f>IFERROR(E$65/E$45,"n/a")</f>
        <v/>
      </c>
      <c r="F66" s="37">
        <f>IFERROR(F$65/F$45,"n/a")</f>
        <v/>
      </c>
      <c r="G66" s="37">
        <f>IFERROR(G$65/G$45,"n/a")</f>
        <v/>
      </c>
      <c r="H66" s="37">
        <f>IFERROR(H$65/H$45,"n/a")</f>
        <v/>
      </c>
      <c r="I66" s="37">
        <f>IFERROR(I$65/I$45,"n/a")</f>
        <v/>
      </c>
    </row>
    <row r="67">
      <c r="A67" s="2" t="inlineStr">
        <is>
          <t>DT/TS</t>
        </is>
      </c>
      <c r="B67" s="37">
        <f>IFERROR(B$45/B$33,"n/a")</f>
        <v/>
      </c>
      <c r="C67" s="37">
        <f>IFERROR(C$45/C$33,"n/a")</f>
        <v/>
      </c>
      <c r="D67" s="37">
        <f>IFERROR(D$45/D$33,"n/a")</f>
        <v/>
      </c>
      <c r="E67" s="37">
        <f>IFERROR(E$45/E$33,"n/a")</f>
        <v/>
      </c>
      <c r="F67" s="37">
        <f>IFERROR(F$45/F$33,"n/a")</f>
        <v/>
      </c>
      <c r="G67" s="37">
        <f>IFERROR(G$45/G$33,"n/a")</f>
        <v/>
      </c>
      <c r="H67" s="37">
        <f>IFERROR(H$45/H$33,"n/a")</f>
        <v/>
      </c>
      <c r="I67" s="37">
        <f>IFERROR(I$45/I$33,"n/a")</f>
        <v/>
      </c>
    </row>
    <row r="68">
      <c r="A68" s="16" t="inlineStr">
        <is>
          <t>Dòng tiền &amp; tái đầu tư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FCF</t>
        </is>
      </c>
      <c r="B69" s="38">
        <f>IFERROR(B$57-ABS(B$56),"n/a")</f>
        <v/>
      </c>
      <c r="C69" s="38">
        <f>IFERROR(C$57-ABS(C$56),"n/a")</f>
        <v/>
      </c>
      <c r="D69" s="38">
        <f>IFERROR(D$57-ABS(D$56),"n/a")</f>
        <v/>
      </c>
      <c r="E69" s="38">
        <f>IFERROR(E$57-ABS(E$56),"n/a")</f>
        <v/>
      </c>
      <c r="F69" s="38">
        <f>IFERROR(F$57-ABS(F$56),"n/a")</f>
        <v/>
      </c>
      <c r="G69" s="38">
        <f>IFERROR(G$57-ABS(G$56),"n/a")</f>
        <v/>
      </c>
      <c r="H69" s="38">
        <f>IFERROR(H$57-ABS(H$56),"n/a")</f>
        <v/>
      </c>
      <c r="I69" s="38">
        <f>IFERROR(I$57-ABS(I$56),"n/a")</f>
        <v/>
      </c>
    </row>
    <row r="70">
      <c r="A70" s="2" t="inlineStr">
        <is>
          <t>FCF/DT</t>
        </is>
      </c>
      <c r="B70" s="37">
        <f>IFERROR(B$69/B$45,"n/a")</f>
        <v/>
      </c>
      <c r="C70" s="37">
        <f>IFERROR(C$69/C$45,"n/a")</f>
        <v/>
      </c>
      <c r="D70" s="37">
        <f>IFERROR(D$69/D$45,"n/a")</f>
        <v/>
      </c>
      <c r="E70" s="37">
        <f>IFERROR(E$69/E$45,"n/a")</f>
        <v/>
      </c>
      <c r="F70" s="37">
        <f>IFERROR(F$69/F$45,"n/a")</f>
        <v/>
      </c>
      <c r="G70" s="37">
        <f>IFERROR(G$69/G$45,"n/a")</f>
        <v/>
      </c>
      <c r="H70" s="37">
        <f>IFERROR(H$69/H$45,"n/a")</f>
        <v/>
      </c>
      <c r="I70" s="37">
        <f>IFERROR(I$69/I$45,"n/a")</f>
        <v/>
      </c>
    </row>
    <row r="71">
      <c r="A71" s="2" t="inlineStr">
        <is>
          <t>FCF/Nợ ngắn hạn</t>
        </is>
      </c>
      <c r="B71" s="37">
        <f>IFERROR(B$69/B$37,"n/a")</f>
        <v/>
      </c>
      <c r="C71" s="37">
        <f>IFERROR(C$69/C$37,"n/a")</f>
        <v/>
      </c>
      <c r="D71" s="37">
        <f>IFERROR(D$69/D$37,"n/a")</f>
        <v/>
      </c>
      <c r="E71" s="37">
        <f>IFERROR(E$69/E$37,"n/a")</f>
        <v/>
      </c>
      <c r="F71" s="37">
        <f>IFERROR(F$69/F$37,"n/a")</f>
        <v/>
      </c>
      <c r="G71" s="37">
        <f>IFERROR(G$69/G$37,"n/a")</f>
        <v/>
      </c>
      <c r="H71" s="37">
        <f>IFERROR(H$69/H$37,"n/a")</f>
        <v/>
      </c>
      <c r="I71" s="37">
        <f>IFERROR(I$69/I$37,"n/a")</f>
        <v/>
      </c>
    </row>
    <row r="72">
      <c r="A72" s="2" t="inlineStr">
        <is>
          <t>Capex</t>
        </is>
      </c>
      <c r="B72" s="38">
        <f>IFERROR(ABS(B$56),"n/a")</f>
        <v/>
      </c>
      <c r="C72" s="38">
        <f>IFERROR(ABS(C$56),"n/a")</f>
        <v/>
      </c>
      <c r="D72" s="38">
        <f>IFERROR(ABS(D$56),"n/a")</f>
        <v/>
      </c>
      <c r="E72" s="38">
        <f>IFERROR(ABS(E$56),"n/a")</f>
        <v/>
      </c>
      <c r="F72" s="38">
        <f>IFERROR(ABS(F$56),"n/a")</f>
        <v/>
      </c>
      <c r="G72" s="38">
        <f>IFERROR(ABS(G$56),"n/a")</f>
        <v/>
      </c>
      <c r="H72" s="38">
        <f>IFERROR(ABS(H$56),"n/a")</f>
        <v/>
      </c>
      <c r="I72" s="38">
        <f>IFERROR(ABS(I$56),"n/a")</f>
        <v/>
      </c>
    </row>
    <row r="73">
      <c r="A73" s="2" t="inlineStr">
        <is>
          <t>Capex/TS</t>
        </is>
      </c>
      <c r="B73" s="37">
        <f>IFERROR(B$72/B$33,"n/a")</f>
        <v/>
      </c>
      <c r="C73" s="37">
        <f>IFERROR(C$72/C$33,"n/a")</f>
        <v/>
      </c>
      <c r="D73" s="37">
        <f>IFERROR(D$72/D$33,"n/a")</f>
        <v/>
      </c>
      <c r="E73" s="37">
        <f>IFERROR(E$72/E$33,"n/a")</f>
        <v/>
      </c>
      <c r="F73" s="37">
        <f>IFERROR(F$72/F$33,"n/a")</f>
        <v/>
      </c>
      <c r="G73" s="37">
        <f>IFERROR(G$72/G$33,"n/a")</f>
        <v/>
      </c>
      <c r="H73" s="37">
        <f>IFERROR(H$72/H$33,"n/a")</f>
        <v/>
      </c>
      <c r="I73" s="37">
        <f>IFERROR(I$72/I$33,"n/a")</f>
        <v/>
      </c>
    </row>
    <row r="74">
      <c r="A74" s="2" t="inlineStr">
        <is>
          <t>Capex/LNST</t>
        </is>
      </c>
      <c r="B74" s="37">
        <f>IFERROR(B$72/ABS(B$52),"n/a")</f>
        <v/>
      </c>
      <c r="C74" s="37">
        <f>IFERROR(C$72/ABS(C$52),"n/a")</f>
        <v/>
      </c>
      <c r="D74" s="37">
        <f>IFERROR(D$72/ABS(D$52),"n/a")</f>
        <v/>
      </c>
      <c r="E74" s="37">
        <f>IFERROR(E$72/ABS(E$52),"n/a")</f>
        <v/>
      </c>
      <c r="F74" s="37">
        <f>IFERROR(F$72/ABS(F$52),"n/a")</f>
        <v/>
      </c>
      <c r="G74" s="37">
        <f>IFERROR(G$72/ABS(G$52),"n/a")</f>
        <v/>
      </c>
      <c r="H74" s="37">
        <f>IFERROR(H$72/ABS(H$52),"n/a")</f>
        <v/>
      </c>
      <c r="I74" s="37">
        <f>IFERROR(I$72/ABS(I$52),"n/a")</f>
        <v/>
      </c>
    </row>
    <row r="75">
      <c r="A75" s="2" t="inlineStr">
        <is>
          <t>Chi phí khấu hao/Lợi nhuận gộp</t>
        </is>
      </c>
      <c r="B75" s="37">
        <f>IFERROR(ABS(B$55)/B$47,"n/a")</f>
        <v/>
      </c>
      <c r="C75" s="37">
        <f>IFERROR(ABS(C$55)/C$47,"n/a")</f>
        <v/>
      </c>
      <c r="D75" s="37">
        <f>IFERROR(ABS(D$55)/D$47,"n/a")</f>
        <v/>
      </c>
      <c r="E75" s="37">
        <f>IFERROR(ABS(E$55)/E$47,"n/a")</f>
        <v/>
      </c>
      <c r="F75" s="37">
        <f>IFERROR(ABS(F$55)/F$47,"n/a")</f>
        <v/>
      </c>
      <c r="G75" s="37">
        <f>IFERROR(ABS(G$55)/G$47,"n/a")</f>
        <v/>
      </c>
      <c r="H75" s="37">
        <f>IFERROR(ABS(H$55)/H$47,"n/a")</f>
        <v/>
      </c>
      <c r="I75" s="37">
        <f>IFERROR(ABS(I$55)/I$47,"n/a")</f>
        <v/>
      </c>
    </row>
    <row r="76">
      <c r="A76" s="2" t="inlineStr">
        <is>
          <t>EBIT/Chi phí lãi vay</t>
        </is>
      </c>
      <c r="B76" s="39">
        <f>IFERROR(B$65/ABS(B$51),"n/a")</f>
        <v/>
      </c>
      <c r="C76" s="39">
        <f>IFERROR(C$65/ABS(C$51),"n/a")</f>
        <v/>
      </c>
      <c r="D76" s="39">
        <f>IFERROR(D$65/ABS(D$51),"n/a")</f>
        <v/>
      </c>
      <c r="E76" s="39">
        <f>IFERROR(E$65/ABS(E$51),"n/a")</f>
        <v/>
      </c>
      <c r="F76" s="39">
        <f>IFERROR(F$65/ABS(F$51),"n/a")</f>
        <v/>
      </c>
      <c r="G76" s="39">
        <f>IFERROR(G$65/ABS(G$51),"n/a")</f>
        <v/>
      </c>
      <c r="H76" s="39">
        <f>IFERROR(H$65/ABS(H$51),"n/a")</f>
        <v/>
      </c>
      <c r="I76" s="39">
        <f>IFERROR(I$65/ABS(I$51),"n/a")</f>
        <v/>
      </c>
    </row>
    <row r="77">
      <c r="A77" s="16" t="inlineStr">
        <is>
          <t>Vốn lưu động &amp; hiệu quả hoạt động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Vòng quay tiền mặt</t>
        </is>
      </c>
      <c r="B78" s="20">
        <f>IFERROR(B$19+B$20-B$18,"n/a")</f>
        <v/>
      </c>
      <c r="C78" s="20">
        <f>IFERROR(C$19+C$20-C$18,"n/a")</f>
        <v/>
      </c>
      <c r="D78" s="20">
        <f>IFERROR(D$19+D$20-D$18,"n/a")</f>
        <v/>
      </c>
      <c r="E78" s="20">
        <f>IFERROR(E$19+E$20-E$18,"n/a")</f>
        <v/>
      </c>
      <c r="F78" s="20">
        <f>IFERROR(F$19+F$20-F$18,"n/a")</f>
        <v/>
      </c>
      <c r="G78" s="20">
        <f>IFERROR(G$19+G$20-G$18,"n/a")</f>
        <v/>
      </c>
      <c r="H78" s="20">
        <f>IFERROR(H$19+H$20-H$18,"n/a")</f>
        <v/>
      </c>
      <c r="I78" s="20">
        <f>IFERROR(I$19+I$20-I$18,"n/a")</f>
        <v/>
      </c>
    </row>
    <row r="79">
      <c r="A79" s="2" t="inlineStr">
        <is>
          <t>HTK/DT</t>
        </is>
      </c>
      <c r="B79" s="37">
        <f>IFERROR(B$30/B$45,"n/a")</f>
        <v/>
      </c>
      <c r="C79" s="37">
        <f>IFERROR(C$30/C$45,"n/a")</f>
        <v/>
      </c>
      <c r="D79" s="37">
        <f>IFERROR(D$30/D$45,"n/a")</f>
        <v/>
      </c>
      <c r="E79" s="37">
        <f>IFERROR(E$30/E$45,"n/a")</f>
        <v/>
      </c>
      <c r="F79" s="37">
        <f>IFERROR(F$30/F$45,"n/a")</f>
        <v/>
      </c>
      <c r="G79" s="37">
        <f>IFERROR(G$30/G$45,"n/a")</f>
        <v/>
      </c>
      <c r="H79" s="37">
        <f>IFERROR(H$30/H$45,"n/a")</f>
        <v/>
      </c>
      <c r="I79" s="37">
        <f>IFERROR(I$30/I$45,"n/a")</f>
        <v/>
      </c>
    </row>
    <row r="80">
      <c r="A80" s="2" t="inlineStr">
        <is>
          <t>HTK/TS</t>
        </is>
      </c>
      <c r="B80" s="37">
        <f>IFERROR(B$30/B$33,"n/a")</f>
        <v/>
      </c>
      <c r="C80" s="37">
        <f>IFERROR(C$30/C$33,"n/a")</f>
        <v/>
      </c>
      <c r="D80" s="37">
        <f>IFERROR(D$30/D$33,"n/a")</f>
        <v/>
      </c>
      <c r="E80" s="37">
        <f>IFERROR(E$30/E$33,"n/a")</f>
        <v/>
      </c>
      <c r="F80" s="37">
        <f>IFERROR(F$30/F$33,"n/a")</f>
        <v/>
      </c>
      <c r="G80" s="37">
        <f>IFERROR(G$30/G$33,"n/a")</f>
        <v/>
      </c>
      <c r="H80" s="37">
        <f>IFERROR(H$30/H$33,"n/a")</f>
        <v/>
      </c>
      <c r="I80" s="37">
        <f>IFERROR(I$30/I$33,"n/a")</f>
        <v/>
      </c>
    </row>
    <row r="81">
      <c r="A81" s="2" t="inlineStr">
        <is>
          <t>DT/TS</t>
        </is>
      </c>
      <c r="B81" s="37">
        <f>IFERROR(B$45/B$33,"n/a")</f>
        <v/>
      </c>
      <c r="C81" s="37">
        <f>IFERROR(C$45/C$33,"n/a")</f>
        <v/>
      </c>
      <c r="D81" s="37">
        <f>IFERROR(D$45/D$33,"n/a")</f>
        <v/>
      </c>
      <c r="E81" s="37">
        <f>IFERROR(E$45/E$33,"n/a")</f>
        <v/>
      </c>
      <c r="F81" s="37">
        <f>IFERROR(F$45/F$33,"n/a")</f>
        <v/>
      </c>
      <c r="G81" s="37">
        <f>IFERROR(G$45/G$33,"n/a")</f>
        <v/>
      </c>
      <c r="H81" s="37">
        <f>IFERROR(H$45/H$33,"n/a")</f>
        <v/>
      </c>
      <c r="I81" s="37">
        <f>IFERROR(I$45/I$33,"n/a")</f>
        <v/>
      </c>
    </row>
    <row r="82">
      <c r="A82" s="16" t="inlineStr">
        <is>
          <t>Khả năng thanh toán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(TS ngắn hạn − HTK)/Nợ ngắn hạn</t>
        </is>
      </c>
      <c r="B83" s="39">
        <f>IFERROR((B$31-B$30)/B$37,"n/a")</f>
        <v/>
      </c>
      <c r="C83" s="39">
        <f>IFERROR((C$31-C$30)/C$37,"n/a")</f>
        <v/>
      </c>
      <c r="D83" s="39">
        <f>IFERROR((D$31-D$30)/D$37,"n/a")</f>
        <v/>
      </c>
      <c r="E83" s="39">
        <f>IFERROR((E$31-E$30)/E$37,"n/a")</f>
        <v/>
      </c>
      <c r="F83" s="39">
        <f>IFERROR((F$31-F$30)/F$37,"n/a")</f>
        <v/>
      </c>
      <c r="G83" s="39">
        <f>IFERROR((G$31-G$30)/G$37,"n/a")</f>
        <v/>
      </c>
      <c r="H83" s="39">
        <f>IFERROR((H$31-H$30)/H$37,"n/a")</f>
        <v/>
      </c>
      <c r="I83" s="39">
        <f>IFERROR((I$31-I$30)/I$37,"n/a")</f>
        <v/>
      </c>
    </row>
    <row r="84">
      <c r="A84" s="2" t="inlineStr">
        <is>
          <t>TS ngắn hạn/Nợ ngắn hạn</t>
        </is>
      </c>
      <c r="B84" s="39">
        <f>IFERROR(B$31/B$37,"n/a")</f>
        <v/>
      </c>
      <c r="C84" s="39">
        <f>IFERROR(C$31/C$37,"n/a")</f>
        <v/>
      </c>
      <c r="D84" s="39">
        <f>IFERROR(D$31/D$37,"n/a")</f>
        <v/>
      </c>
      <c r="E84" s="39">
        <f>IFERROR(E$31/E$37,"n/a")</f>
        <v/>
      </c>
      <c r="F84" s="39">
        <f>IFERROR(F$31/F$37,"n/a")</f>
        <v/>
      </c>
      <c r="G84" s="39">
        <f>IFERROR(G$31/G$37,"n/a")</f>
        <v/>
      </c>
      <c r="H84" s="39">
        <f>IFERROR(H$31/H$37,"n/a")</f>
        <v/>
      </c>
      <c r="I84" s="39">
        <f>IFERROR(I$31/I$37,"n/a")</f>
        <v/>
      </c>
    </row>
    <row r="85">
      <c r="A85" s="16" t="inlineStr">
        <is>
          <t>Tài sản &amp; cơ cấu tài sản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inlineStr">
        <is>
          <t>TSCĐ vô hình</t>
        </is>
      </c>
      <c r="B86" s="38">
        <f>IFERROR(B$32,"n/a")</f>
        <v/>
      </c>
      <c r="C86" s="38">
        <f>IFERROR(C$32,"n/a")</f>
        <v/>
      </c>
      <c r="D86" s="38">
        <f>IFERROR(D$32,"n/a")</f>
        <v/>
      </c>
      <c r="E86" s="38">
        <f>IFERROR(E$32,"n/a")</f>
        <v/>
      </c>
      <c r="F86" s="38">
        <f>IFERROR(F$32,"n/a")</f>
        <v/>
      </c>
      <c r="G86" s="38">
        <f>IFERROR(G$32,"n/a")</f>
        <v/>
      </c>
      <c r="H86" s="38">
        <f>IFERROR(H$32,"n/a")</f>
        <v/>
      </c>
      <c r="I86" s="38">
        <f>IFERROR(I$32,"n/a")</f>
        <v/>
      </c>
    </row>
    <row r="87">
      <c r="A87" s="2" t="inlineStr">
        <is>
          <t>Tài sản vô hình/Giá trị sổ sách</t>
        </is>
      </c>
      <c r="B87" s="37">
        <f>IFERROR(B$32/B$41,"n/a")</f>
        <v/>
      </c>
      <c r="C87" s="37">
        <f>IFERROR(C$32/C$41,"n/a")</f>
        <v/>
      </c>
      <c r="D87" s="37">
        <f>IFERROR(D$32/D$41,"n/a")</f>
        <v/>
      </c>
      <c r="E87" s="37">
        <f>IFERROR(E$32/E$41,"n/a")</f>
        <v/>
      </c>
      <c r="F87" s="37">
        <f>IFERROR(F$32/F$41,"n/a")</f>
        <v/>
      </c>
      <c r="G87" s="37">
        <f>IFERROR(G$32/G$41,"n/a")</f>
        <v/>
      </c>
      <c r="H87" s="37">
        <f>IFERROR(H$32/H$41,"n/a")</f>
        <v/>
      </c>
      <c r="I87" s="37">
        <f>IFERROR(I$32/I$41,"n/a")</f>
        <v/>
      </c>
    </row>
  </sheetData>
  <conditionalFormatting sqref="B8:I8">
    <cfRule type="cellIs" priority="11" operator="greaterThanOrEqual" dxfId="5">
      <formula>0.3</formula>
    </cfRule>
    <cfRule type="cellIs" priority="12" operator="lessThanOrEqual" dxfId="6">
      <formula>0.1</formula>
    </cfRule>
    <cfRule type="cellIs" priority="13" operator="between" dxfId="4">
      <formula>0.1</formula>
      <formula>0.3</formula>
    </cfRule>
  </conditionalFormatting>
  <conditionalFormatting sqref="B9:I9">
    <cfRule type="cellIs" priority="10" operator="greaterThanOrEqual" dxfId="5">
      <formula>0.1</formula>
    </cfRule>
  </conditionalFormatting>
  <conditionalFormatting sqref="B10:I10 B13:I13">
    <cfRule type="cellIs" priority="9" operator="lessThanOrEqual" dxfId="5">
      <formula>0.5</formula>
    </cfRule>
  </conditionalFormatting>
  <conditionalFormatting sqref="B16:I16">
    <cfRule type="cellIs" priority="7" operator="lessThanOrEqual" dxfId="5">
      <formula>0.3</formula>
    </cfRule>
    <cfRule type="cellIs" priority="8" operator="greaterThanOrEqual" dxfId="6">
      <formula>0.7</formula>
    </cfRule>
  </conditionalFormatting>
  <conditionalFormatting sqref="B21:I21">
    <cfRule type="cellIs" priority="5" operator="notBetween" dxfId="6">
      <formula>0.02</formula>
      <formula>0.3</formula>
    </cfRule>
    <cfRule type="cellIs" priority="6" operator="between" dxfId="5">
      <formula>0.02</formula>
      <formula>0.3</formula>
    </cfRule>
  </conditionalFormatting>
  <conditionalFormatting sqref="C2:I2">
    <cfRule type="cellIs" priority="17" operator="greaterThanOrEqual" dxfId="5">
      <formula>0.15/4</formula>
    </cfRule>
    <cfRule type="cellIs" priority="18" operator="lessThan" dxfId="6">
      <formula>0.15/4</formula>
    </cfRule>
  </conditionalFormatting>
  <conditionalFormatting sqref="F5:I5 F7:I7">
    <cfRule type="cellIs" priority="14" operator="lessThan" dxfId="6">
      <formula>0.1</formula>
    </cfRule>
    <cfRule type="cellIs" priority="15" operator="greaterThanOrEqual" dxfId="5">
      <formula>0.15</formula>
    </cfRule>
    <cfRule type="cellIs" priority="16" operator="between" dxfId="4">
      <formula>0.1</formula>
      <formula>0.15</formula>
    </cfRule>
  </conditionalFormatting>
  <conditionalFormatting sqref="C4:I4">
    <cfRule type="cellIs" priority="3" operator="lessThan" dxfId="1">
      <formula>0.1/4</formula>
    </cfRule>
    <cfRule type="cellIs" priority="4" operator="greaterThan" dxfId="0">
      <formula>0.15/4</formula>
    </cfRule>
  </conditionalFormatting>
  <conditionalFormatting sqref="C6:I6">
    <cfRule type="cellIs" priority="1" operator="lessThan" dxfId="1">
      <formula>0.1/4</formula>
    </cfRule>
    <cfRule type="cellIs" priority="2" operator="greaterThan" dxfId="0">
      <formula>0.15/4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2026-08-21T13:08:29Z</dcterms:created>
  <dcterms:modified xsi:type="dcterms:W3CDTF">2026-10-28T04:39:06Z</dcterms:modified>
  <cp:lastModifiedBy>Administrator</cp:lastModifiedBy>
</cp:coreProperties>
</file>
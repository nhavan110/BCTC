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_sheet" sheetId="1" state="visible" r:id="rId1"/>
    <sheet name="income_statement" sheetId="2" state="visible" r:id="rId2"/>
    <sheet name="cash_flow" sheetId="3" state="visible" r:id="rId3"/>
    <sheet name="chi_so_tai_chinh" sheetId="4" state="visible" r:id="rId4"/>
    <sheet name="Dự báo tăng trưở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;(#,##0);&quot;-&quot;"/>
    <numFmt numFmtId="165" formatCode="0.0%"/>
    <numFmt numFmtId="166" formatCode="#,##0;\(#,##0\);\-"/>
    <numFmt numFmtId="167" formatCode="0.00\x"/>
    <numFmt numFmtId="168" formatCode="_-* #,##0_-;\-* #,##0_-;_-* &quot;-&quot;_-;_-@_-"/>
    <numFmt numFmtId="169" formatCode="_(* #,##0_);_(* \(#,##0\);_(* &quot;-&quot;??_);_(@_)"/>
    <numFmt numFmtId="170" formatCode="_-* #,##0.00_-;\-* #,##0.00_-;_-* &quot;-&quot;??_-;_-@_-"/>
    <numFmt numFmtId="171" formatCode="_(* #,##0.00_);_(* \(#,##0.00\);_(* &quot;-&quot;_);_(@_)"/>
  </numFmts>
  <fonts count="13">
    <font>
      <name val="Calibri"/>
      <family val="2"/>
      <color theme="1"/>
      <sz val="11"/>
      <scheme val="minor"/>
    </font>
    <font>
      <name val="Tahoma"/>
      <b val="1"/>
      <color rgb="00FFFFFF"/>
    </font>
    <font>
      <name val="Tahoma"/>
      <sz val="10"/>
    </font>
    <font>
      <name val="Tahoma"/>
      <family val="2"/>
      <b val="1"/>
      <sz val="10"/>
    </font>
    <font>
      <name val="Tahoma"/>
      <family val="2"/>
      <i val="1"/>
      <color rgb="FF808080"/>
      <sz val="10"/>
    </font>
    <font>
      <name val="Tahoma"/>
      <family val="2"/>
      <color rgb="FF000000"/>
      <sz val="10"/>
    </font>
    <font>
      <name val="Tahoma"/>
      <family val="2"/>
      <sz val="10"/>
    </font>
    <font>
      <name val="Tahoma"/>
      <family val="2"/>
      <color theme="1"/>
      <sz val="10"/>
    </font>
    <font>
      <name val="Tahoma"/>
      <family val="2"/>
      <color rgb="FF008000"/>
      <sz val="10"/>
    </font>
    <font>
      <name val="Tahoma"/>
      <family val="2"/>
      <b val="1"/>
      <color rgb="FF008000"/>
      <sz val="10"/>
    </font>
    <font>
      <name val="Tahoma"/>
      <family val="2"/>
      <b val="1"/>
      <color rgb="FF7030A0"/>
      <sz val="10"/>
    </font>
    <font>
      <name val="Tahoma"/>
      <family val="2"/>
      <b val="1"/>
      <color theme="1"/>
      <sz val="10"/>
    </font>
    <font>
      <name val="Tahoma"/>
      <family val="2"/>
      <color rgb="FF7030A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3" fillId="3" borderId="2" pivotButton="0" quotePrefix="0" xfId="0"/>
    <xf numFmtId="1" fontId="3" fillId="3" borderId="2" applyAlignment="1" pivotButton="0" quotePrefix="0" xfId="0">
      <alignment horizontal="center"/>
    </xf>
    <xf numFmtId="0" fontId="4" fillId="3" borderId="2" pivotButton="0" quotePrefix="0" xfId="0"/>
    <xf numFmtId="165" fontId="5" fillId="3" borderId="2" pivotButton="0" quotePrefix="0" xfId="0"/>
    <xf numFmtId="9" fontId="5" fillId="3" borderId="2" pivotButton="0" quotePrefix="0" xfId="0"/>
    <xf numFmtId="0" fontId="6" fillId="3" borderId="2" pivotButton="0" quotePrefix="0" xfId="0"/>
    <xf numFmtId="1" fontId="4" fillId="3" borderId="2" pivotButton="0" quotePrefix="0" xfId="0"/>
    <xf numFmtId="1" fontId="5" fillId="3" borderId="2" pivotButton="0" quotePrefix="0" xfId="0"/>
    <xf numFmtId="0" fontId="3" fillId="4" borderId="2" pivotButton="0" quotePrefix="0" xfId="0"/>
    <xf numFmtId="0" fontId="7" fillId="4" borderId="2" pivotButton="0" quotePrefix="0" xfId="0"/>
    <xf numFmtId="0" fontId="3" fillId="0" borderId="2" pivotButton="0" quotePrefix="0" xfId="0"/>
    <xf numFmtId="1" fontId="3" fillId="0" borderId="2" applyAlignment="1" pivotButton="0" quotePrefix="0" xfId="0">
      <alignment horizontal="center"/>
    </xf>
    <xf numFmtId="0" fontId="6" fillId="0" borderId="2" pivotButton="0" quotePrefix="0" xfId="0"/>
    <xf numFmtId="166" fontId="8" fillId="0" borderId="2" pivotButton="0" quotePrefix="0" xfId="0"/>
    <xf numFmtId="166" fontId="9" fillId="0" borderId="2" pivotButton="0" quotePrefix="0" xfId="0"/>
    <xf numFmtId="166" fontId="9" fillId="0" borderId="3" pivotButton="0" quotePrefix="0" xfId="0"/>
    <xf numFmtId="0" fontId="10" fillId="0" borderId="2" pivotButton="0" quotePrefix="0" xfId="0"/>
    <xf numFmtId="166" fontId="10" fillId="0" borderId="2" pivotButton="0" quotePrefix="0" xfId="0"/>
    <xf numFmtId="9" fontId="10" fillId="0" borderId="2" pivotButton="0" quotePrefix="0" xfId="0"/>
    <xf numFmtId="166" fontId="10" fillId="0" borderId="0" pivotButton="0" quotePrefix="0" xfId="0"/>
    <xf numFmtId="0" fontId="7" fillId="0" borderId="2" pivotButton="0" quotePrefix="0" xfId="0"/>
    <xf numFmtId="0" fontId="11" fillId="0" borderId="2" pivotButton="0" quotePrefix="0" xfId="0"/>
    <xf numFmtId="165" fontId="7" fillId="0" borderId="2" pivotButton="0" quotePrefix="0" xfId="0"/>
    <xf numFmtId="166" fontId="7" fillId="0" borderId="2" pivotButton="0" quotePrefix="0" xfId="0"/>
    <xf numFmtId="167" fontId="7" fillId="0" borderId="2" pivotButton="0" quotePrefix="0" xfId="0"/>
    <xf numFmtId="1" fontId="7" fillId="0" borderId="2" pivotButton="0" quotePrefix="0" xfId="0"/>
    <xf numFmtId="168" fontId="7" fillId="0" borderId="2" pivotButton="0" quotePrefix="0" xfId="0"/>
    <xf numFmtId="169" fontId="7" fillId="0" borderId="2" pivotButton="0" quotePrefix="0" xfId="0"/>
    <xf numFmtId="170" fontId="7" fillId="0" borderId="0" pivotButton="0" quotePrefix="0" xfId="0"/>
    <xf numFmtId="9" fontId="7" fillId="0" borderId="0" pivotButton="0" quotePrefix="0" xfId="0"/>
    <xf numFmtId="0" fontId="12" fillId="0" borderId="2" pivotButton="0" quotePrefix="0" xfId="0"/>
    <xf numFmtId="168" fontId="12" fillId="0" borderId="2" pivotButton="0" quotePrefix="0" xfId="0"/>
    <xf numFmtId="171" fontId="12" fillId="0" borderId="2" pivotButton="0" quotePrefix="0" xfId="0"/>
    <xf numFmtId="0" fontId="12" fillId="0" borderId="0" pivotButton="0" quotePrefix="0" xfId="0"/>
  </cellXfs>
  <cellStyles count="1">
    <cellStyle name="Normal" xfId="0" builtinId="0" hidden="0"/>
  </cellStyles>
  <dxfs count="3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TÀI SẢN NGẮN HẠN</t>
        </is>
      </c>
      <c r="B2" s="4" t="n">
        <v>23371994756394</v>
      </c>
      <c r="C2" s="4" t="n">
        <v>35011896908246</v>
      </c>
      <c r="D2" s="4" t="n">
        <v>37317233970267</v>
      </c>
      <c r="E2" s="4" t="n">
        <v>51955257770657</v>
      </c>
      <c r="F2" s="4" t="n">
        <v>44577607228189</v>
      </c>
      <c r="G2" s="4" t="n">
        <v>51950337976047</v>
      </c>
      <c r="H2" s="4" t="n">
        <v>65836422620040</v>
      </c>
      <c r="I2" s="4" t="n">
        <v>77201650782966</v>
      </c>
    </row>
    <row r="3">
      <c r="A3" s="3" t="inlineStr">
        <is>
          <t>Tiền và tương đương tiền</t>
        </is>
      </c>
      <c r="B3" s="4" t="n">
        <v>3749550258212</v>
      </c>
      <c r="C3" s="4" t="n">
        <v>3115236816468</v>
      </c>
      <c r="D3" s="4" t="n">
        <v>7347857397925</v>
      </c>
      <c r="E3" s="4" t="n">
        <v>4142015762555</v>
      </c>
      <c r="F3" s="4" t="n">
        <v>5061020547422</v>
      </c>
      <c r="G3" s="4" t="n">
        <v>5365704857172</v>
      </c>
      <c r="H3" s="4" t="n">
        <v>4897331540730</v>
      </c>
      <c r="I3" s="4" t="n">
        <v>4999925717187</v>
      </c>
    </row>
    <row r="4">
      <c r="A4" s="3" t="inlineStr">
        <is>
          <t>Tiền</t>
        </is>
      </c>
      <c r="B4" s="4" t="n">
        <v>3363717276954</v>
      </c>
      <c r="C4" s="4" t="n">
        <v>2024347938868</v>
      </c>
      <c r="D4" s="4" t="n">
        <v>2243274466174</v>
      </c>
      <c r="E4" s="4" t="n">
        <v>2606672264502</v>
      </c>
      <c r="F4" s="4" t="n">
        <v>3846020547422</v>
      </c>
      <c r="G4" s="4" t="n">
        <v>4795636583222</v>
      </c>
      <c r="H4" s="4" t="n">
        <v>4697331540730</v>
      </c>
      <c r="I4" s="4" t="n">
        <v>4960375717187</v>
      </c>
    </row>
    <row r="5">
      <c r="A5" s="3" t="inlineStr">
        <is>
          <t>Các khoản tương đương tiền</t>
        </is>
      </c>
      <c r="B5" s="4" t="n">
        <v>385832981258</v>
      </c>
      <c r="C5" s="4" t="n">
        <v>1090888877600</v>
      </c>
      <c r="D5" s="4" t="n">
        <v>5104582931751</v>
      </c>
      <c r="E5" s="4" t="n">
        <v>1535343498053</v>
      </c>
      <c r="F5" s="4" t="n">
        <v>1215000000000</v>
      </c>
      <c r="G5" s="4" t="n">
        <v>570068273950</v>
      </c>
      <c r="H5" s="4" t="n">
        <v>200000000000</v>
      </c>
      <c r="I5" s="4" t="n">
        <v>39550000000</v>
      </c>
    </row>
    <row r="6">
      <c r="A6" s="3" t="inlineStr">
        <is>
          <t>Đầu tư ngắn hạn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</row>
    <row r="7">
      <c r="A7" s="3" t="inlineStr">
        <is>
          <t>Đầu tư ngắn hạn</t>
        </is>
      </c>
      <c r="B7" s="4" t="n"/>
      <c r="C7" s="4" t="n"/>
      <c r="D7" s="4" t="n"/>
      <c r="E7" s="4" t="n"/>
      <c r="F7" s="4" t="n">
        <v>0</v>
      </c>
      <c r="G7" s="4" t="n">
        <v>0</v>
      </c>
      <c r="H7" s="4" t="n">
        <v>0</v>
      </c>
      <c r="I7" s="4" t="n">
        <v>0</v>
      </c>
    </row>
    <row r="8">
      <c r="A8" s="3" t="inlineStr">
        <is>
          <t>Dự phòng giảm giá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</row>
    <row r="9">
      <c r="A9" s="3" t="inlineStr">
        <is>
          <t>Các khoản phải thu</t>
        </is>
      </c>
      <c r="B9" s="4" t="n">
        <v>1542529736073</v>
      </c>
      <c r="C9" s="4" t="n">
        <v>1815085561979</v>
      </c>
      <c r="D9" s="4" t="n">
        <v>1595251018496</v>
      </c>
      <c r="E9" s="4" t="n">
        <v>3162121971586</v>
      </c>
      <c r="F9" s="4" t="n">
        <v>3000817466182</v>
      </c>
      <c r="G9" s="4" t="n">
        <v>5158853337785</v>
      </c>
      <c r="H9" s="4" t="n">
        <v>8825896224771</v>
      </c>
      <c r="I9" s="4" t="n">
        <v>10182835978469</v>
      </c>
    </row>
    <row r="10">
      <c r="A10" s="3" t="inlineStr">
        <is>
          <t>Phải thu khách hàng</t>
        </is>
      </c>
      <c r="B10" s="4" t="n">
        <v>369573657457</v>
      </c>
      <c r="C10" s="4" t="n">
        <v>262268362817</v>
      </c>
      <c r="D10" s="4" t="n">
        <v>196394545434</v>
      </c>
      <c r="E10" s="4" t="n">
        <v>384236578232</v>
      </c>
      <c r="F10" s="4" t="n">
        <v>178061365251</v>
      </c>
      <c r="G10" s="4" t="n">
        <v>308474343927</v>
      </c>
      <c r="H10" s="4" t="n">
        <v>241405396887</v>
      </c>
      <c r="I10" s="4" t="n">
        <v>253358838280</v>
      </c>
    </row>
    <row r="11">
      <c r="A11" s="3" t="inlineStr">
        <is>
          <t>Trả trước người bán</t>
        </is>
      </c>
      <c r="B11" s="4" t="n">
        <v>21007291749</v>
      </c>
      <c r="C11" s="4" t="n">
        <v>195016846986</v>
      </c>
      <c r="D11" s="4" t="n">
        <v>287913331552</v>
      </c>
      <c r="E11" s="4" t="n">
        <v>390738782756</v>
      </c>
      <c r="F11" s="4" t="n">
        <v>403669438496</v>
      </c>
      <c r="G11" s="4" t="n">
        <v>95981093251</v>
      </c>
      <c r="H11" s="4" t="n">
        <v>115888383111</v>
      </c>
      <c r="I11" s="4" t="n">
        <v>141627187798</v>
      </c>
    </row>
    <row r="12">
      <c r="A12" s="3" t="inlineStr">
        <is>
          <t>Phải thu nội bộ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</row>
    <row r="13">
      <c r="A13" s="3" t="inlineStr">
        <is>
          <t>Phải thu hợp đồng xây dựng đang thực hiện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</row>
    <row r="14">
      <c r="A14" s="3" t="inlineStr">
        <is>
          <t>Phải thu khác</t>
        </is>
      </c>
      <c r="B14" s="4" t="n">
        <v>1151948786867</v>
      </c>
      <c r="C14" s="4" t="n">
        <v>1357800352176</v>
      </c>
      <c r="D14" s="4" t="n">
        <v>1030943141510</v>
      </c>
      <c r="E14" s="4" t="n">
        <v>1425228912960</v>
      </c>
      <c r="F14" s="4" t="n">
        <v>2402168964797</v>
      </c>
      <c r="G14" s="4" t="n">
        <v>2668480202969</v>
      </c>
      <c r="H14" s="4" t="n">
        <v>2430887848672</v>
      </c>
      <c r="I14" s="4" t="n">
        <v>2877349952391</v>
      </c>
    </row>
    <row r="15">
      <c r="A15" s="3" t="inlineStr">
        <is>
          <t>Dự phòng nợ khó đòi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</row>
    <row r="16">
      <c r="A16" s="3" t="inlineStr">
        <is>
          <t>Hàng tồn kho, ròng</t>
        </is>
      </c>
      <c r="B16" s="4" t="n">
        <v>17446005298981</v>
      </c>
      <c r="C16" s="4" t="n">
        <v>25745428436580</v>
      </c>
      <c r="D16" s="4" t="n">
        <v>19422177452674</v>
      </c>
      <c r="E16" s="4" t="n">
        <v>29167232293922</v>
      </c>
      <c r="F16" s="4" t="n">
        <v>25696077735282</v>
      </c>
      <c r="G16" s="4" t="n">
        <v>21824235626176</v>
      </c>
      <c r="H16" s="4" t="n">
        <v>22244676326705</v>
      </c>
      <c r="I16" s="4" t="n">
        <v>27266851974258</v>
      </c>
    </row>
    <row r="17">
      <c r="A17" s="3" t="inlineStr">
        <is>
          <t>Hàng tồn kho</t>
        </is>
      </c>
      <c r="B17" s="4" t="n">
        <v>17821137643753</v>
      </c>
      <c r="C17" s="4" t="n">
        <v>26195934673884</v>
      </c>
      <c r="D17" s="4" t="n">
        <v>19926363502365</v>
      </c>
      <c r="E17" s="4" t="n">
        <v>29850068817719</v>
      </c>
      <c r="F17" s="4" t="n">
        <v>26058131396686</v>
      </c>
      <c r="G17" s="4" t="n">
        <v>22028684523096</v>
      </c>
      <c r="H17" s="4" t="n">
        <v>22667774012643</v>
      </c>
      <c r="I17" s="4" t="n">
        <v>27876446129267</v>
      </c>
    </row>
    <row r="18">
      <c r="A18" s="3" t="inlineStr">
        <is>
          <t>Dự phòng giảm giá hàng tồn kho</t>
        </is>
      </c>
      <c r="B18" s="4" t="n">
        <v>-375132344772</v>
      </c>
      <c r="C18" s="4" t="n">
        <v>-450506237304</v>
      </c>
      <c r="D18" s="4" t="n">
        <v>-504186049691</v>
      </c>
      <c r="E18" s="4" t="n">
        <v>-682836523797</v>
      </c>
      <c r="F18" s="4" t="n">
        <v>-362053661404</v>
      </c>
      <c r="G18" s="4" t="n">
        <v>-204448896920</v>
      </c>
      <c r="H18" s="4" t="n">
        <v>-423097685938</v>
      </c>
      <c r="I18" s="4" t="n">
        <v>-609594155009</v>
      </c>
    </row>
    <row r="19">
      <c r="A19" s="3" t="inlineStr">
        <is>
          <t>Tài sản lưu động khác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</row>
    <row r="20">
      <c r="A20" s="3" t="inlineStr">
        <is>
          <t>Chi phí trả trước ngắn hạn</t>
        </is>
      </c>
      <c r="B20" s="4" t="n">
        <v>283034716902</v>
      </c>
      <c r="C20" s="4" t="n">
        <v>487030591956</v>
      </c>
      <c r="D20" s="4" t="n">
        <v>563786316141</v>
      </c>
      <c r="E20" s="4" t="n">
        <v>569195556788</v>
      </c>
      <c r="F20" s="4" t="n">
        <v>565060213333</v>
      </c>
      <c r="G20" s="4" t="n">
        <v>481240961302</v>
      </c>
      <c r="H20" s="4" t="n">
        <v>390391360669</v>
      </c>
      <c r="I20" s="4" t="n">
        <v>518599409258</v>
      </c>
    </row>
    <row r="21">
      <c r="A21" s="3" t="inlineStr">
        <is>
          <t>Thuế GTGT được khấu trừ</t>
        </is>
      </c>
      <c r="B21" s="4" t="n">
        <v>298109345560</v>
      </c>
      <c r="C21" s="4" t="n">
        <v>709225135972</v>
      </c>
      <c r="D21" s="4" t="n">
        <v>326091275646</v>
      </c>
      <c r="E21" s="4" t="n">
        <v>636081440070</v>
      </c>
      <c r="F21" s="4" t="n">
        <v>156743753740</v>
      </c>
      <c r="G21" s="4" t="n">
        <v>159821188825</v>
      </c>
      <c r="H21" s="4" t="n">
        <v>121055116270</v>
      </c>
      <c r="I21" s="4" t="n">
        <v>314874106182</v>
      </c>
    </row>
    <row r="22">
      <c r="A22" s="3" t="inlineStr">
        <is>
          <t>Phải thu thuế khác</t>
        </is>
      </c>
      <c r="B22" s="4" t="n">
        <v>1842948927</v>
      </c>
      <c r="C22" s="4" t="n">
        <v>2890365291</v>
      </c>
      <c r="D22" s="4" t="n">
        <v>4751687467</v>
      </c>
      <c r="E22" s="4" t="n">
        <v>41984411029</v>
      </c>
      <c r="F22" s="4" t="n">
        <v>28637906590</v>
      </c>
      <c r="G22" s="4" t="n">
        <v>23473930964</v>
      </c>
      <c r="H22" s="4" t="n">
        <v>32630294575</v>
      </c>
      <c r="I22" s="4" t="n">
        <v>44293494912</v>
      </c>
    </row>
    <row r="23">
      <c r="A23" s="3" t="inlineStr">
        <is>
          <t>Tài sản lưu động khác</t>
        </is>
      </c>
      <c r="B23" s="4" t="n"/>
      <c r="C23" s="4" t="n"/>
      <c r="D23" s="4" t="n"/>
      <c r="E23" s="4" t="n"/>
      <c r="F23" s="4" t="n">
        <v>0</v>
      </c>
      <c r="G23" s="4" t="n">
        <v>0</v>
      </c>
      <c r="H23" s="4" t="n">
        <v>0</v>
      </c>
      <c r="I23" s="4" t="n">
        <v>0</v>
      </c>
    </row>
    <row r="24">
      <c r="A24" s="3" t="inlineStr">
        <is>
          <t>TÀI SẢN DÀI HẠN</t>
        </is>
      </c>
      <c r="B24" s="4" t="n">
        <v>4750536730462</v>
      </c>
      <c r="C24" s="4" t="n">
        <v>6696198636637</v>
      </c>
      <c r="D24" s="4" t="n">
        <v>8713645982187</v>
      </c>
      <c r="E24" s="4" t="n">
        <v>11016147044285</v>
      </c>
      <c r="F24" s="4" t="n">
        <v>11256488385860</v>
      </c>
      <c r="G24" s="4" t="n">
        <v>8160899236677</v>
      </c>
      <c r="H24" s="4" t="n">
        <v>4601353101564</v>
      </c>
      <c r="I24" s="4" t="n">
        <v>6743968829068</v>
      </c>
    </row>
    <row r="25">
      <c r="A25" s="3" t="inlineStr">
        <is>
          <t>Phải thu dài hạn</t>
        </is>
      </c>
      <c r="B25" s="4" t="n">
        <v>313775645332</v>
      </c>
      <c r="C25" s="4" t="n">
        <v>374563598474</v>
      </c>
      <c r="D25" s="4" t="n">
        <v>439493257757</v>
      </c>
      <c r="E25" s="4" t="n">
        <v>482389179464</v>
      </c>
      <c r="F25" s="4" t="n">
        <v>503486573563</v>
      </c>
      <c r="G25" s="4" t="n">
        <v>457569986630</v>
      </c>
      <c r="H25" s="4" t="n">
        <v>389707802472</v>
      </c>
      <c r="I25" s="4" t="n">
        <v>403823784845</v>
      </c>
    </row>
    <row r="26">
      <c r="A26" s="3" t="inlineStr">
        <is>
          <t>Phải thu khách hàng dài hạn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</row>
    <row r="27">
      <c r="A27" s="3" t="inlineStr">
        <is>
          <t>Phải thu nội bộ dài hạn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</row>
    <row r="28">
      <c r="A28" s="3" t="inlineStr">
        <is>
          <t>Phải thu dài hạn khác</t>
        </is>
      </c>
      <c r="B28" s="4" t="n">
        <v>313775645332</v>
      </c>
      <c r="C28" s="4" t="n">
        <v>374563598474</v>
      </c>
      <c r="D28" s="4" t="n">
        <v>439493257757</v>
      </c>
      <c r="E28" s="4" t="n">
        <v>482389179464</v>
      </c>
      <c r="F28" s="4" t="n">
        <v>493741850234</v>
      </c>
      <c r="G28" s="4" t="n">
        <v>448325013301</v>
      </c>
      <c r="H28" s="4" t="n">
        <v>389707802472</v>
      </c>
      <c r="I28" s="4" t="n">
        <v>403823784845</v>
      </c>
    </row>
    <row r="29">
      <c r="A29" s="3" t="inlineStr">
        <is>
          <t>Dự phòng phải thu dài hạn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</row>
    <row r="30">
      <c r="A30" s="3" t="inlineStr">
        <is>
          <t>Tài sản cố định</t>
        </is>
      </c>
      <c r="B30" s="4" t="n">
        <v>3333147659602</v>
      </c>
      <c r="C30" s="4" t="n">
        <v>5403776988921</v>
      </c>
      <c r="D30" s="4" t="n">
        <v>7294961666136</v>
      </c>
      <c r="E30" s="4" t="n">
        <v>9647168873232</v>
      </c>
      <c r="F30" s="4" t="n">
        <v>9727502911440</v>
      </c>
      <c r="G30" s="4" t="n">
        <v>6500135608914</v>
      </c>
      <c r="H30" s="4" t="n">
        <v>3586628664045</v>
      </c>
      <c r="I30" s="4" t="n">
        <v>2598189217583</v>
      </c>
    </row>
    <row r="31">
      <c r="A31" s="3" t="inlineStr">
        <is>
          <t>GTCL TSCĐ hữu hình</t>
        </is>
      </c>
      <c r="B31" s="4" t="n">
        <v>3304923529470</v>
      </c>
      <c r="C31" s="4" t="n">
        <v>5375279172974</v>
      </c>
      <c r="D31" s="4" t="n">
        <v>7267319287908</v>
      </c>
      <c r="E31" s="4" t="n">
        <v>9566954933220</v>
      </c>
      <c r="F31" s="4" t="n">
        <v>9653330005976</v>
      </c>
      <c r="G31" s="4" t="n">
        <v>6431315373113</v>
      </c>
      <c r="H31" s="4" t="n">
        <v>3523161097906</v>
      </c>
      <c r="I31" s="4" t="n">
        <v>2540074321107</v>
      </c>
    </row>
    <row r="32">
      <c r="A32" s="3" t="inlineStr">
        <is>
          <t>Nguyên giá TSCĐ hữu hình</t>
        </is>
      </c>
      <c r="B32" s="4" t="n">
        <v>5788326331676</v>
      </c>
      <c r="C32" s="4" t="n">
        <v>9148455989525</v>
      </c>
      <c r="D32" s="4" t="n">
        <v>12963311412901</v>
      </c>
      <c r="E32" s="4" t="n">
        <v>17987087849355</v>
      </c>
      <c r="F32" s="4" t="n">
        <v>20841513609195</v>
      </c>
      <c r="G32" s="4" t="n">
        <v>20139282722977</v>
      </c>
      <c r="H32" s="4" t="n">
        <v>19174626383752</v>
      </c>
      <c r="I32" s="4" t="n">
        <v>19478200234864</v>
      </c>
    </row>
    <row r="33">
      <c r="A33" s="3" t="inlineStr">
        <is>
          <t>Khấu hao lũy kế TSCĐ hữu hình</t>
        </is>
      </c>
      <c r="B33" s="4" t="n">
        <v>-2483402802206</v>
      </c>
      <c r="C33" s="4" t="n">
        <v>-3773176816551</v>
      </c>
      <c r="D33" s="4" t="n">
        <v>-5695992124993</v>
      </c>
      <c r="E33" s="4" t="n">
        <v>-8420132916135</v>
      </c>
      <c r="F33" s="4" t="n">
        <v>-11188183603219</v>
      </c>
      <c r="G33" s="4" t="n">
        <v>-13707967349864</v>
      </c>
      <c r="H33" s="4" t="n">
        <v>-15651465285846</v>
      </c>
      <c r="I33" s="4" t="n">
        <v>-16938125913757</v>
      </c>
    </row>
    <row r="34">
      <c r="A34" s="3" t="inlineStr">
        <is>
          <t>GTCL tài sản thuê tài chính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</row>
    <row r="35">
      <c r="A35" s="3" t="inlineStr">
        <is>
          <t>Nguyên giá tài sản thuê tài chính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</row>
    <row r="36">
      <c r="A36" s="3" t="inlineStr">
        <is>
          <t>Khấu hao lũy kế tài sản thuê tài chính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</row>
    <row r="37">
      <c r="A37" s="3" t="inlineStr">
        <is>
          <t>GTCL tài sản cố định vô hình</t>
        </is>
      </c>
      <c r="B37" s="4" t="n">
        <v>28224130132</v>
      </c>
      <c r="C37" s="4" t="n">
        <v>28497815947</v>
      </c>
      <c r="D37" s="4" t="n">
        <v>27642378228</v>
      </c>
      <c r="E37" s="4" t="n">
        <v>80213940012</v>
      </c>
      <c r="F37" s="4" t="n">
        <v>74172905464</v>
      </c>
      <c r="G37" s="4" t="n">
        <v>68820235801</v>
      </c>
      <c r="H37" s="4" t="n">
        <v>63467566139</v>
      </c>
      <c r="I37" s="4" t="n">
        <v>58114896476</v>
      </c>
    </row>
    <row r="38">
      <c r="A38" s="3" t="inlineStr">
        <is>
          <t>Nguyên giá TSCĐ vô hình</t>
        </is>
      </c>
      <c r="B38" s="4" t="n">
        <v>33838423144</v>
      </c>
      <c r="C38" s="4" t="n">
        <v>34852200200</v>
      </c>
      <c r="D38" s="4" t="n">
        <v>35811638200</v>
      </c>
      <c r="E38" s="4" t="n">
        <v>90297772827</v>
      </c>
      <c r="F38" s="4" t="n">
        <v>90297772827</v>
      </c>
      <c r="G38" s="4" t="n">
        <v>90297772827</v>
      </c>
      <c r="H38" s="4" t="n">
        <v>90297772827</v>
      </c>
      <c r="I38" s="4" t="n">
        <v>90297772827</v>
      </c>
    </row>
    <row r="39">
      <c r="A39" s="3" t="inlineStr">
        <is>
          <t>Khấu hao lũy kế TSCĐ vô hình</t>
        </is>
      </c>
      <c r="B39" s="4" t="n">
        <v>-5614293012</v>
      </c>
      <c r="C39" s="4" t="n">
        <v>-6354384253</v>
      </c>
      <c r="D39" s="4" t="n">
        <v>-8169259972</v>
      </c>
      <c r="E39" s="4" t="n">
        <v>-10083832815</v>
      </c>
      <c r="F39" s="4" t="n">
        <v>-16124867363</v>
      </c>
      <c r="G39" s="4" t="n">
        <v>-21477537026</v>
      </c>
      <c r="H39" s="4" t="n">
        <v>-26830206688</v>
      </c>
      <c r="I39" s="4" t="n">
        <v>-32182876351</v>
      </c>
    </row>
    <row r="40">
      <c r="A40" s="3" t="inlineStr">
        <is>
          <t>Xây dựng cơ bản đang dang dở (trước 2015)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</row>
    <row r="41">
      <c r="A41" s="3" t="inlineStr">
        <is>
          <t>Giá trị ròng tài sản đầu tư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</row>
    <row r="42">
      <c r="A42" s="3" t="inlineStr">
        <is>
          <t>Nguyên giá tài sản đầu tư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</row>
    <row r="43">
      <c r="A43" s="3" t="inlineStr">
        <is>
          <t>Khấu hao lũy kế tài sản đầu tư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</row>
    <row r="44">
      <c r="A44" s="3" t="inlineStr">
        <is>
          <t>Đầu tư dài hạn</t>
        </is>
      </c>
      <c r="B44" s="4" t="n">
        <v>59937763115</v>
      </c>
      <c r="C44" s="4" t="n">
        <v>56464479744</v>
      </c>
      <c r="D44" s="4" t="n">
        <v>52757540273</v>
      </c>
      <c r="E44" s="4" t="n">
        <v>0</v>
      </c>
      <c r="F44" s="4" t="n">
        <v>231034840000</v>
      </c>
      <c r="G44" s="4" t="n">
        <v>746632252729</v>
      </c>
      <c r="H44" s="4" t="n">
        <v>242035797830</v>
      </c>
      <c r="I44" s="4" t="n">
        <v>3136315564517</v>
      </c>
    </row>
    <row r="45">
      <c r="A45" s="3" t="inlineStr">
        <is>
          <t>Đầu tư vào các công ty con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</row>
    <row r="46">
      <c r="A46" s="3" t="inlineStr">
        <is>
          <t>Đầu tư vào các công ty liên kết</t>
        </is>
      </c>
      <c r="B46" s="4" t="n">
        <v>59937763115</v>
      </c>
      <c r="C46" s="4" t="n">
        <v>56464479744</v>
      </c>
      <c r="D46" s="4" t="n">
        <v>52757540273</v>
      </c>
      <c r="E46" s="4" t="n">
        <v>0</v>
      </c>
      <c r="F46" s="4" t="n">
        <v>181034840000</v>
      </c>
      <c r="G46" s="4" t="n">
        <v>286632252729</v>
      </c>
      <c r="H46" s="4" t="n">
        <v>242035797830</v>
      </c>
      <c r="I46" s="4" t="n">
        <v>371159064517</v>
      </c>
    </row>
    <row r="47">
      <c r="A47" s="3" t="inlineStr">
        <is>
          <t>Đầu tư dài hạn khác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</row>
    <row r="48">
      <c r="A48" s="3" t="inlineStr">
        <is>
          <t>Dự phòng giảm giá đầu tư dài hạn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</row>
    <row r="49">
      <c r="A49" s="3" t="inlineStr">
        <is>
          <t>Lợi thế thương mại (trước 2015)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</row>
    <row r="50">
      <c r="A50" s="3" t="inlineStr">
        <is>
          <t>Tài sản dài hạn khác</t>
        </is>
      </c>
      <c r="B50" s="4" t="n">
        <v>786843665206</v>
      </c>
      <c r="C50" s="4" t="n">
        <v>773963131188</v>
      </c>
      <c r="D50" s="4" t="n">
        <v>793813155551</v>
      </c>
      <c r="E50" s="4" t="n">
        <v>806891052417</v>
      </c>
      <c r="F50" s="4" t="n">
        <v>670590081979</v>
      </c>
      <c r="G50" s="4" t="n">
        <v>452067531470</v>
      </c>
      <c r="H50" s="4" t="n">
        <v>358454413877</v>
      </c>
      <c r="I50" s="4" t="n">
        <v>514740794251</v>
      </c>
    </row>
    <row r="51">
      <c r="A51" s="3" t="inlineStr">
        <is>
          <t>Trả trước dài hạn</t>
        </is>
      </c>
      <c r="B51" s="4" t="n">
        <v>84768088475</v>
      </c>
      <c r="C51" s="4" t="n">
        <v>104029473910</v>
      </c>
      <c r="D51" s="4" t="n">
        <v>76720247019</v>
      </c>
      <c r="E51" s="4" t="n">
        <v>88371396963</v>
      </c>
      <c r="F51" s="4" t="n">
        <v>175104437161</v>
      </c>
      <c r="G51" s="4" t="n">
        <v>105411103799</v>
      </c>
      <c r="H51" s="4" t="n">
        <v>68471833530</v>
      </c>
      <c r="I51" s="4" t="n">
        <v>63643388286</v>
      </c>
    </row>
    <row r="52">
      <c r="A52" s="3" t="inlineStr">
        <is>
          <t>Thuế thu nhập hoãn lại</t>
        </is>
      </c>
      <c r="B52" s="4" t="n">
        <v>1896011499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1168691414</v>
      </c>
      <c r="H52" s="4" t="n">
        <v>0</v>
      </c>
      <c r="I52" s="4" t="n">
        <v>0</v>
      </c>
    </row>
    <row r="53">
      <c r="A53" s="3" t="inlineStr">
        <is>
          <t>Các tài sản dài hạn khác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</row>
    <row r="54">
      <c r="A54" s="3" t="inlineStr">
        <is>
          <t>TỔNG CỘNG TÀI SẢN</t>
        </is>
      </c>
      <c r="B54" s="4" t="n">
        <v>28122531486856</v>
      </c>
      <c r="C54" s="4" t="n">
        <v>41708095544883</v>
      </c>
      <c r="D54" s="4" t="n">
        <v>46030879952454</v>
      </c>
      <c r="E54" s="4" t="n">
        <v>62971404814942</v>
      </c>
      <c r="F54" s="4" t="n">
        <v>55834095614049</v>
      </c>
      <c r="G54" s="4" t="n">
        <v>60111237212724</v>
      </c>
      <c r="H54" s="4" t="n">
        <v>70437775721604</v>
      </c>
      <c r="I54" s="4" t="n">
        <v>83945619612034</v>
      </c>
    </row>
    <row r="55">
      <c r="A55" s="3" t="inlineStr">
        <is>
          <t>NỢ PHẢI TRẢ</t>
        </is>
      </c>
      <c r="B55" s="4" t="n">
        <v>19139496155514</v>
      </c>
      <c r="C55" s="4" t="n">
        <v>29564503350530</v>
      </c>
      <c r="D55" s="4" t="n">
        <v>30549190106022</v>
      </c>
      <c r="E55" s="4" t="n">
        <v>42593158815096</v>
      </c>
      <c r="F55" s="4" t="n">
        <v>31901514096473</v>
      </c>
      <c r="G55" s="4" t="n">
        <v>36751679245386</v>
      </c>
      <c r="H55" s="4" t="n">
        <v>42316198897749</v>
      </c>
      <c r="I55" s="4" t="n">
        <v>50769502237457</v>
      </c>
    </row>
    <row r="56">
      <c r="A56" s="3" t="inlineStr">
        <is>
          <t>Nợ ngắn hạn</t>
        </is>
      </c>
      <c r="B56" s="4" t="n">
        <v>17929433003626</v>
      </c>
      <c r="C56" s="4" t="n">
        <v>28442366683873</v>
      </c>
      <c r="D56" s="4" t="n">
        <v>29422513439369</v>
      </c>
      <c r="E56" s="4" t="n">
        <v>42593158815096</v>
      </c>
      <c r="F56" s="4" t="n">
        <v>26000264096473</v>
      </c>
      <c r="G56" s="4" t="n">
        <v>30765260553972</v>
      </c>
      <c r="H56" s="4" t="n">
        <v>42316198897749</v>
      </c>
      <c r="I56" s="4" t="n">
        <v>50769502237457</v>
      </c>
    </row>
    <row r="57">
      <c r="A57" s="3" t="inlineStr">
        <is>
          <t>Vay ngắn hạn</t>
        </is>
      </c>
      <c r="B57" s="4" t="n">
        <v>5836454637089</v>
      </c>
      <c r="C57" s="4" t="n">
        <v>13031015620192</v>
      </c>
      <c r="D57" s="4" t="n">
        <v>15625180321924</v>
      </c>
      <c r="E57" s="4" t="n">
        <v>24647474278786</v>
      </c>
      <c r="F57" s="4" t="n">
        <v>10688138631456</v>
      </c>
      <c r="G57" s="4" t="n">
        <v>19128541817781</v>
      </c>
      <c r="H57" s="4" t="n">
        <v>27300246721779</v>
      </c>
      <c r="I57" s="4" t="n">
        <v>29930942961668</v>
      </c>
    </row>
    <row r="58">
      <c r="A58" s="3" t="inlineStr">
        <is>
          <t>Phải trả người bán</t>
        </is>
      </c>
      <c r="B58" s="4" t="n">
        <v>8244614243810</v>
      </c>
      <c r="C58" s="4" t="n">
        <v>12055385483995</v>
      </c>
      <c r="D58" s="4" t="n">
        <v>8728168862341</v>
      </c>
      <c r="E58" s="4" t="n">
        <v>12179774771734</v>
      </c>
      <c r="F58" s="4" t="n">
        <v>8745827331813</v>
      </c>
      <c r="G58" s="4" t="n">
        <v>7927069727935</v>
      </c>
      <c r="H58" s="4" t="n">
        <v>9179636054558</v>
      </c>
      <c r="I58" s="4" t="n">
        <v>13113899672272</v>
      </c>
    </row>
    <row r="59">
      <c r="A59" s="3" t="inlineStr">
        <is>
          <t>Người mua trả tiền trước</t>
        </is>
      </c>
      <c r="B59" s="4" t="n">
        <v>38061594053</v>
      </c>
      <c r="C59" s="4" t="n">
        <v>81194129529</v>
      </c>
      <c r="D59" s="4" t="n">
        <v>86907353149</v>
      </c>
      <c r="E59" s="4" t="n">
        <v>98379250626</v>
      </c>
      <c r="F59" s="4" t="n">
        <v>97659957856</v>
      </c>
      <c r="G59" s="4" t="n">
        <v>88995836420</v>
      </c>
      <c r="H59" s="4" t="n">
        <v>90966314915</v>
      </c>
      <c r="I59" s="4" t="n">
        <v>210360719303</v>
      </c>
    </row>
    <row r="60">
      <c r="A60" s="3" t="inlineStr">
        <is>
          <t>Thuế và các khoản phải trả Nhà nước</t>
        </is>
      </c>
      <c r="B60" s="4" t="n">
        <v>217699643883</v>
      </c>
      <c r="C60" s="4" t="n">
        <v>374623269110</v>
      </c>
      <c r="D60" s="4" t="n">
        <v>634917868176</v>
      </c>
      <c r="E60" s="4" t="n">
        <v>696559033545</v>
      </c>
      <c r="F60" s="4" t="n">
        <v>764244077963</v>
      </c>
      <c r="G60" s="4" t="n">
        <v>421532018021</v>
      </c>
      <c r="H60" s="4" t="n">
        <v>691059561096</v>
      </c>
      <c r="I60" s="4" t="n">
        <v>899553978698</v>
      </c>
    </row>
    <row r="61">
      <c r="A61" s="3" t="inlineStr">
        <is>
          <t>Phải trả người lao động</t>
        </is>
      </c>
      <c r="B61" s="4" t="n">
        <v>149774991802</v>
      </c>
      <c r="C61" s="4" t="n">
        <v>258242266298</v>
      </c>
      <c r="D61" s="4" t="n">
        <v>533572319767</v>
      </c>
      <c r="E61" s="4" t="n">
        <v>531987432339</v>
      </c>
      <c r="F61" s="4" t="n">
        <v>475431939590</v>
      </c>
      <c r="G61" s="4" t="n">
        <v>438404323414</v>
      </c>
      <c r="H61" s="4" t="n">
        <v>649999685139</v>
      </c>
      <c r="I61" s="4" t="n">
        <v>342221054994</v>
      </c>
    </row>
    <row r="62">
      <c r="A62" s="3" t="inlineStr">
        <is>
          <t>Chi phí phải trả</t>
        </is>
      </c>
      <c r="B62" s="4" t="n">
        <v>2173064879414</v>
      </c>
      <c r="C62" s="4" t="n">
        <v>1851966958655</v>
      </c>
      <c r="D62" s="4" t="n">
        <v>3191005394514</v>
      </c>
      <c r="E62" s="4" t="n">
        <v>3885356381233</v>
      </c>
      <c r="F62" s="4" t="n">
        <v>2180365916409</v>
      </c>
      <c r="G62" s="4" t="n">
        <v>1372808265814</v>
      </c>
      <c r="H62" s="4" t="n">
        <v>3357568974136</v>
      </c>
      <c r="I62" s="4" t="n">
        <v>4474359546479</v>
      </c>
    </row>
    <row r="63">
      <c r="A63" s="3" t="inlineStr">
        <is>
          <t>Phải trả nội bộ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</row>
    <row r="64">
      <c r="A64" s="3" t="inlineStr">
        <is>
          <t>Phải trả về xây dựng cơ bản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</row>
    <row r="65">
      <c r="A65" s="3" t="inlineStr">
        <is>
          <t>Phải trả khác</t>
        </is>
      </c>
      <c r="B65" s="4" t="n">
        <v>1208214263090</v>
      </c>
      <c r="C65" s="4" t="n">
        <v>717884730756</v>
      </c>
      <c r="D65" s="4" t="n">
        <v>546045423865</v>
      </c>
      <c r="E65" s="4" t="n">
        <v>476319936603</v>
      </c>
      <c r="F65" s="4" t="n">
        <v>2971948189708</v>
      </c>
      <c r="G65" s="4" t="n">
        <v>1316566967018</v>
      </c>
      <c r="H65" s="4" t="n">
        <v>924674307090</v>
      </c>
      <c r="I65" s="4" t="n">
        <v>1171729524469</v>
      </c>
    </row>
    <row r="66">
      <c r="A66" s="3" t="inlineStr">
        <is>
          <t>Dự phòng các khoản phải trả ngắn hạn</t>
        </is>
      </c>
      <c r="B66" s="4" t="n">
        <v>56568632732</v>
      </c>
      <c r="C66" s="4" t="n">
        <v>71690522406</v>
      </c>
      <c r="D66" s="4" t="n">
        <v>76377369405</v>
      </c>
      <c r="E66" s="4" t="n">
        <v>77277612477</v>
      </c>
      <c r="F66" s="4" t="n">
        <v>76261107986</v>
      </c>
      <c r="G66" s="4" t="n">
        <v>67935804338</v>
      </c>
      <c r="H66" s="4" t="n">
        <v>70239666911</v>
      </c>
      <c r="I66" s="4" t="n">
        <v>89498061130</v>
      </c>
    </row>
    <row r="67">
      <c r="A67" s="3" t="inlineStr">
        <is>
          <t>Quỹ khen thưởng, phúc lợi</t>
        </is>
      </c>
      <c r="B67" s="4" t="n">
        <v>4980117753</v>
      </c>
      <c r="C67" s="4" t="n">
        <v>30117753</v>
      </c>
      <c r="D67" s="4" t="n">
        <v>30117753</v>
      </c>
      <c r="E67" s="4" t="n">
        <v>30117753</v>
      </c>
      <c r="F67" s="4" t="n">
        <v>0</v>
      </c>
      <c r="G67" s="4" t="n">
        <v>0</v>
      </c>
      <c r="H67" s="4" t="n">
        <v>0</v>
      </c>
      <c r="I67" s="4" t="n">
        <v>0</v>
      </c>
    </row>
    <row r="68">
      <c r="A68" s="3" t="inlineStr">
        <is>
          <t>Nợ dài hạn</t>
        </is>
      </c>
      <c r="B68" s="4" t="n">
        <v>1210063151888</v>
      </c>
      <c r="C68" s="4" t="n">
        <v>1122136666657</v>
      </c>
      <c r="D68" s="4" t="n">
        <v>1126676666653</v>
      </c>
      <c r="E68" s="4" t="n">
        <v>0</v>
      </c>
      <c r="F68" s="4" t="n">
        <v>5901250000000</v>
      </c>
      <c r="G68" s="4" t="n">
        <v>5986418691414</v>
      </c>
      <c r="H68" s="4" t="n">
        <v>0</v>
      </c>
      <c r="I68" s="4" t="n">
        <v>0</v>
      </c>
    </row>
    <row r="69">
      <c r="A69" s="3" t="inlineStr">
        <is>
          <t>Phải trả nhà cung cấp dài hạn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</row>
    <row r="70">
      <c r="A70" s="3" t="inlineStr">
        <is>
          <t>Phải trả nội bộ dài hạn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</row>
    <row r="71">
      <c r="A71" s="3" t="inlineStr">
        <is>
          <t>Phải trả dài hạn khác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</row>
    <row r="72">
      <c r="A72" s="3" t="inlineStr">
        <is>
          <t>Vay dài hạn</t>
        </is>
      </c>
      <c r="B72" s="4" t="n">
        <v>1208167140389</v>
      </c>
      <c r="C72" s="4" t="n">
        <v>1122136666657</v>
      </c>
      <c r="D72" s="4" t="n">
        <v>1126676666653</v>
      </c>
      <c r="E72" s="4" t="n">
        <v>0</v>
      </c>
      <c r="F72" s="4" t="n">
        <v>5901250000000</v>
      </c>
      <c r="G72" s="4" t="n">
        <v>5985250000000</v>
      </c>
      <c r="H72" s="4" t="n">
        <v>0</v>
      </c>
      <c r="I72" s="4" t="n">
        <v>0</v>
      </c>
    </row>
    <row r="73">
      <c r="A73" s="3" t="inlineStr">
        <is>
          <t>Thuế thu nhập hoãn lại</t>
        </is>
      </c>
      <c r="B73" s="4" t="n"/>
      <c r="C73" s="4" t="n"/>
      <c r="D73" s="4" t="n"/>
      <c r="E73" s="4" t="n"/>
      <c r="F73" s="4" t="n">
        <v>0</v>
      </c>
      <c r="G73" s="4" t="n">
        <v>1168691414</v>
      </c>
      <c r="H73" s="4" t="n">
        <v>0</v>
      </c>
      <c r="I73" s="4" t="n">
        <v>0</v>
      </c>
    </row>
    <row r="74">
      <c r="A74" s="3" t="inlineStr">
        <is>
          <t>Dự phòng trợ cấp thôi việc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</row>
    <row r="75">
      <c r="A75" s="3" t="inlineStr">
        <is>
          <t>Dự phòng các khoản nợ dài hạn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</row>
    <row r="76">
      <c r="A76" s="3" t="inlineStr">
        <is>
          <t>Doanh thu chưa thực hiện</t>
        </is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</row>
    <row r="77">
      <c r="A77" s="3" t="inlineStr">
        <is>
          <t>Quỹ phát triển khoa học công nghệ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</row>
    <row r="78">
      <c r="A78" s="3" t="inlineStr">
        <is>
          <t>Vốn chủ sở hữu</t>
        </is>
      </c>
      <c r="B78" s="4" t="n">
        <v>8983035331342</v>
      </c>
      <c r="C78" s="4" t="n">
        <v>12143592194353</v>
      </c>
      <c r="D78" s="4" t="n">
        <v>15481689846432</v>
      </c>
      <c r="E78" s="4" t="n">
        <v>20378245999846</v>
      </c>
      <c r="F78" s="4" t="n">
        <v>23932581517576</v>
      </c>
      <c r="G78" s="4" t="n">
        <v>23359557967338</v>
      </c>
      <c r="H78" s="4" t="n">
        <v>28121576823855</v>
      </c>
      <c r="I78" s="4" t="n">
        <v>33176117374577</v>
      </c>
    </row>
    <row r="79">
      <c r="A79" s="3" t="inlineStr">
        <is>
          <t>Vốn và các quỹ</t>
        </is>
      </c>
      <c r="B79" s="4" t="n">
        <v>8983035331342</v>
      </c>
      <c r="C79" s="4" t="n">
        <v>12143592194353</v>
      </c>
      <c r="D79" s="4" t="n">
        <v>15481689846432</v>
      </c>
      <c r="E79" s="4" t="n">
        <v>20378245999846</v>
      </c>
      <c r="F79" s="4" t="n">
        <v>23932581517576</v>
      </c>
      <c r="G79" s="4" t="n">
        <v>23359557967338</v>
      </c>
      <c r="H79" s="4" t="n">
        <v>28121576823855</v>
      </c>
      <c r="I79" s="4" t="n">
        <v>33176117374577</v>
      </c>
    </row>
    <row r="80">
      <c r="A80" s="3" t="inlineStr">
        <is>
          <t>Vốn góp</t>
        </is>
      </c>
      <c r="B80" s="4" t="n">
        <v>4434961780000</v>
      </c>
      <c r="C80" s="4" t="n">
        <v>4435461780000</v>
      </c>
      <c r="D80" s="4" t="n">
        <v>4532099870000</v>
      </c>
      <c r="E80" s="4" t="n">
        <v>7130654950000</v>
      </c>
      <c r="F80" s="4" t="n">
        <v>14638792800000</v>
      </c>
      <c r="G80" s="4" t="n">
        <v>14633767160000</v>
      </c>
      <c r="H80" s="4" t="n">
        <v>14622441770000</v>
      </c>
      <c r="I80" s="4" t="n">
        <v>14696931770000</v>
      </c>
    </row>
    <row r="81">
      <c r="A81" s="3" t="inlineStr">
        <is>
          <t>Thặng dư vốn cổ phần</t>
        </is>
      </c>
      <c r="B81" s="4" t="n">
        <v>551451995486</v>
      </c>
      <c r="C81" s="4" t="n">
        <v>555206995486</v>
      </c>
      <c r="D81" s="4" t="n">
        <v>558110430986</v>
      </c>
      <c r="E81" s="4" t="n">
        <v>558110430986</v>
      </c>
      <c r="F81" s="4" t="n">
        <v>558110430986</v>
      </c>
      <c r="G81" s="4" t="n">
        <v>558110430986</v>
      </c>
      <c r="H81" s="4" t="n">
        <v>558110430986</v>
      </c>
      <c r="I81" s="4" t="n">
        <v>-152995820060</v>
      </c>
    </row>
    <row r="82">
      <c r="A82" s="3" t="inlineStr">
        <is>
          <t>Vốn khác</t>
        </is>
      </c>
      <c r="B82" s="4" t="n">
        <v>1130494084</v>
      </c>
      <c r="C82" s="4" t="n">
        <v>1130494084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</row>
    <row r="83">
      <c r="A83" s="3" t="inlineStr">
        <is>
          <t>Cổ phiếu quỹ</t>
        </is>
      </c>
      <c r="B83" s="4" t="n">
        <v>-808864500</v>
      </c>
      <c r="C83" s="4" t="n">
        <v>-5658924500</v>
      </c>
      <c r="D83" s="4" t="n">
        <v>-6040930000</v>
      </c>
      <c r="E83" s="4" t="n">
        <v>-2320000000</v>
      </c>
      <c r="F83" s="4" t="n">
        <v>-5025640000</v>
      </c>
      <c r="G83" s="4" t="n">
        <v>-9783280000</v>
      </c>
      <c r="H83" s="4" t="n">
        <v>-7599680000</v>
      </c>
      <c r="I83" s="4" t="n">
        <v>-12364140000</v>
      </c>
    </row>
    <row r="84">
      <c r="A84" s="3" t="inlineStr">
        <is>
          <t>Chênh lệch đánh giá lại tài sản</t>
        </is>
      </c>
      <c r="B84" s="4" t="n">
        <v>0</v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</row>
    <row r="85">
      <c r="A85" s="3" t="inlineStr">
        <is>
          <t>Chênh lệch tỷ giá</t>
        </is>
      </c>
      <c r="B85" s="4" t="n">
        <v>446572898</v>
      </c>
      <c r="C85" s="4" t="n">
        <v>-28377933</v>
      </c>
      <c r="D85" s="4" t="n">
        <v>-1443756225</v>
      </c>
      <c r="E85" s="4" t="n">
        <v>5388425299</v>
      </c>
      <c r="F85" s="4" t="n">
        <v>2261603090</v>
      </c>
      <c r="G85" s="4" t="n">
        <v>3739030306</v>
      </c>
      <c r="H85" s="4" t="n">
        <v>2458384629</v>
      </c>
      <c r="I85" s="4" t="n">
        <v>0</v>
      </c>
    </row>
    <row r="86">
      <c r="A86" s="3" t="inlineStr">
        <is>
          <t>Quỹ đầu tư và phát triển</t>
        </is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</row>
    <row r="87">
      <c r="A87" s="3" t="inlineStr">
        <is>
          <t>Quỹ dự phòng tài chính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</row>
    <row r="88">
      <c r="A88" s="3" t="inlineStr">
        <is>
          <t>Quỹ khác</t>
        </is>
      </c>
      <c r="B88" s="4" t="n">
        <v>0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</row>
    <row r="89">
      <c r="A89" s="3" t="inlineStr">
        <is>
          <t>Lãi chưa phân phối</t>
        </is>
      </c>
      <c r="B89" s="4" t="n">
        <v>3989603910055</v>
      </c>
      <c r="C89" s="4" t="n">
        <v>7149694161602</v>
      </c>
      <c r="D89" s="4" t="n">
        <v>10389683597845</v>
      </c>
      <c r="E89" s="4" t="n">
        <v>12674574164065</v>
      </c>
      <c r="F89" s="4" t="n">
        <v>8723934226370</v>
      </c>
      <c r="G89" s="4" t="n">
        <v>8160323595574</v>
      </c>
      <c r="H89" s="4" t="n">
        <v>12582145266842</v>
      </c>
      <c r="I89" s="4" t="n">
        <v>18068194576159</v>
      </c>
    </row>
    <row r="90">
      <c r="A90" s="3" t="inlineStr">
        <is>
          <t>Quỹ hỗ trợ sắp xếp doanh nghiệp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</row>
    <row r="91">
      <c r="A91" s="3" t="inlineStr">
        <is>
          <t>Vốn Ngân sách nhà nước và quỹ khác</t>
        </is>
      </c>
      <c r="B91" s="4" t="n">
        <v>0</v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</row>
    <row r="92">
      <c r="A92" s="3" t="inlineStr">
        <is>
          <t>Quỹ khen thưởng, phúc lợi (trước 2010)</t>
        </is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</row>
    <row r="93">
      <c r="A93" s="3" t="inlineStr">
        <is>
          <t>Vốn ngân sách nhà nước và quỹ khác</t>
        </is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</row>
    <row r="94">
      <c r="A94" s="3" t="inlineStr">
        <is>
          <t>Lợi ích của cổ đông thiểu số</t>
        </is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</row>
    <row r="95">
      <c r="A95" s="3" t="inlineStr">
        <is>
          <t>Tổng cộng nguồn vốn</t>
        </is>
      </c>
      <c r="B95" s="4" t="n">
        <v>28122531486856</v>
      </c>
      <c r="C95" s="4" t="n">
        <v>41708095544883</v>
      </c>
      <c r="D95" s="4" t="n">
        <v>46030879952454</v>
      </c>
      <c r="E95" s="4" t="n">
        <v>62971404814942</v>
      </c>
      <c r="F95" s="4" t="n">
        <v>55834095614049</v>
      </c>
      <c r="G95" s="4" t="n">
        <v>60111237212724</v>
      </c>
      <c r="H95" s="4" t="n">
        <v>70437775721604</v>
      </c>
      <c r="I95" s="4" t="n">
        <v>83945619612034</v>
      </c>
    </row>
    <row r="96">
      <c r="A96" s="3" t="inlineStr">
        <is>
          <t>Cổ phiếu ưu đãi</t>
        </is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</row>
    <row r="97">
      <c r="A97" s="3" t="inlineStr">
        <is>
          <t>Đầu tư nắm giữ đến ngày đáo hạn</t>
        </is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50000000000</v>
      </c>
      <c r="G97" s="4" t="n">
        <v>460000000000</v>
      </c>
      <c r="H97" s="4" t="n">
        <v>0</v>
      </c>
      <c r="I97" s="4" t="n">
        <v>2765156500000</v>
      </c>
    </row>
    <row r="98">
      <c r="A98" s="3" t="inlineStr">
        <is>
          <t>Vốn kinh doanh ở các đơn vị trực thuộc</t>
        </is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</row>
    <row r="99">
      <c r="A99" s="3" t="inlineStr">
        <is>
          <t>Tài sản thiếu cần xử lý</t>
        </is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</row>
    <row r="100">
      <c r="A100" s="3" t="inlineStr">
        <is>
          <t>Phải thu cho vay ngắn hạn</t>
        </is>
      </c>
      <c r="B100" s="4" t="n">
        <v>0</v>
      </c>
      <c r="C100" s="4" t="n">
        <v>0</v>
      </c>
      <c r="D100" s="4" t="n">
        <v>80000000000</v>
      </c>
      <c r="E100" s="4" t="n">
        <v>961917697638</v>
      </c>
      <c r="F100" s="4" t="n">
        <v>16917697638</v>
      </c>
      <c r="G100" s="4" t="n">
        <v>2085917697638</v>
      </c>
      <c r="H100" s="4" t="n">
        <v>6037714596101</v>
      </c>
      <c r="I100" s="4" t="n">
        <v>6910500000000</v>
      </c>
    </row>
    <row r="101">
      <c r="A101" s="3" t="inlineStr">
        <is>
          <t>Giao dịch mua bán lại trái phiếu Chính phủ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</row>
    <row r="102">
      <c r="A102" s="3" t="inlineStr">
        <is>
          <t>Trả trước người bán dài hạn</t>
        </is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</row>
    <row r="103">
      <c r="A103" s="3" t="inlineStr">
        <is>
          <t>Phải thu cho vay dài hạn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9744723329</v>
      </c>
      <c r="G103" s="4" t="n">
        <v>9244973329</v>
      </c>
      <c r="H103" s="4" t="n">
        <v>0</v>
      </c>
      <c r="I103" s="4" t="n">
        <v>0</v>
      </c>
    </row>
    <row r="104">
      <c r="A104" s="3" t="inlineStr">
        <is>
          <t>Tài sản dở dang dài hạn</t>
        </is>
      </c>
      <c r="B104" s="4" t="n">
        <v>256831997207</v>
      </c>
      <c r="C104" s="4" t="n">
        <v>87430438310</v>
      </c>
      <c r="D104" s="4" t="n">
        <v>132620362470</v>
      </c>
      <c r="E104" s="4" t="n">
        <v>79697939172</v>
      </c>
      <c r="F104" s="4" t="n">
        <v>123873978878</v>
      </c>
      <c r="G104" s="4" t="n">
        <v>4493856934</v>
      </c>
      <c r="H104" s="4" t="n">
        <v>24526423340</v>
      </c>
      <c r="I104" s="4" t="n">
        <v>90899467872</v>
      </c>
    </row>
    <row r="105">
      <c r="A105" s="3" t="inlineStr">
        <is>
          <t>Chi phí sản xuất, kinh doanh dở dang dài hạn</t>
        </is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</row>
    <row r="106">
      <c r="A106" s="3" t="inlineStr">
        <is>
          <t>Đầu tư nắm giữ đến ngày đáo hạn</t>
        </is>
      </c>
      <c r="B106" s="4" t="n"/>
      <c r="C106" s="4" t="n"/>
      <c r="D106" s="4" t="n"/>
      <c r="E106" s="4" t="n"/>
      <c r="F106" s="4" t="n">
        <v>50000000000</v>
      </c>
      <c r="G106" s="4" t="n">
        <v>460000000000</v>
      </c>
      <c r="H106" s="4" t="n">
        <v>0</v>
      </c>
      <c r="I106" s="4" t="n">
        <v>2765156500000</v>
      </c>
    </row>
    <row r="107">
      <c r="A107" s="3" t="inlineStr">
        <is>
          <t>Thiết bị, vật tư, phụ tùng thay thế dài hạn</t>
        </is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</row>
    <row r="108">
      <c r="A108" s="3" t="inlineStr">
        <is>
          <t>Doanh thu chưa thực hiện ngắn hạn</t>
        </is>
      </c>
      <c r="B108" s="4" t="n">
        <v>0</v>
      </c>
      <c r="C108" s="4" t="n">
        <v>333585179</v>
      </c>
      <c r="D108" s="4" t="n">
        <v>308408475</v>
      </c>
      <c r="E108" s="4" t="n">
        <v>0</v>
      </c>
      <c r="F108" s="4" t="n">
        <v>386943692</v>
      </c>
      <c r="G108" s="4" t="n">
        <v>3405793231</v>
      </c>
      <c r="H108" s="4" t="n">
        <v>51807612125</v>
      </c>
      <c r="I108" s="4" t="n">
        <v>536936718444</v>
      </c>
    </row>
    <row r="109">
      <c r="A109" s="3" t="inlineStr">
        <is>
          <t>Quỹ bình ổn giá</t>
        </is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</row>
    <row r="110">
      <c r="A110" s="3" t="inlineStr">
        <is>
          <t>Giao dịch mua bán lại trái phiếu chính phủ</t>
        </is>
      </c>
      <c r="B110" s="4" t="n">
        <v>0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</row>
    <row r="111">
      <c r="A111" s="3" t="inlineStr">
        <is>
          <t>Người mua trả tiền trước dài hạn</t>
        </is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</row>
    <row r="112">
      <c r="A112" s="3" t="inlineStr">
        <is>
          <t>Chi phí phải trả dài hạn</t>
        </is>
      </c>
      <c r="B112" s="4" t="n">
        <v>0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</row>
    <row r="113">
      <c r="A113" s="3" t="inlineStr">
        <is>
          <t>Phải trả nội bộ về vốn kinh doanh</t>
        </is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</row>
    <row r="114">
      <c r="A114" s="3" t="inlineStr">
        <is>
          <t>Trái phiếu chuyển đổi</t>
        </is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</row>
    <row r="115">
      <c r="A115" s="3" t="inlineStr">
        <is>
          <t>Cổ phiếu ưu đãi</t>
        </is>
      </c>
      <c r="B115" s="4" t="n"/>
      <c r="C115" s="4" t="n"/>
      <c r="D115" s="4" t="n"/>
      <c r="E115" s="4" t="n"/>
      <c r="F115" s="4" t="n">
        <v>0</v>
      </c>
      <c r="G115" s="4" t="n">
        <v>0</v>
      </c>
      <c r="H115" s="4" t="n">
        <v>0</v>
      </c>
      <c r="I115" s="4" t="n">
        <v>0</v>
      </c>
    </row>
    <row r="116">
      <c r="A116" s="3" t="inlineStr">
        <is>
          <t>Cổ phiếu phổ thông</t>
        </is>
      </c>
      <c r="B116" s="4" t="n">
        <v>4434961780000</v>
      </c>
      <c r="C116" s="4" t="n">
        <v>4435461780000</v>
      </c>
      <c r="D116" s="4" t="n">
        <v>4532099870000</v>
      </c>
      <c r="E116" s="4" t="n">
        <v>7130654950000</v>
      </c>
      <c r="F116" s="4" t="n">
        <v>14638792800000</v>
      </c>
      <c r="G116" s="4" t="n">
        <v>14633767160000</v>
      </c>
      <c r="H116" s="4" t="n">
        <v>14622441770000</v>
      </c>
      <c r="I116" s="4" t="n">
        <v>14696931770000</v>
      </c>
    </row>
    <row r="117">
      <c r="A117" s="3" t="inlineStr">
        <is>
          <t>Quyền chọn chuyển đổi trái phiếu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</row>
    <row r="118">
      <c r="A118" s="3" t="inlineStr">
        <is>
          <t>LNST chưa phân phối lũy kế đến cuối kỳ trước</t>
        </is>
      </c>
      <c r="B118" s="4" t="n">
        <v>1138290716709</v>
      </c>
      <c r="C118" s="4" t="n">
        <v>3315424614555</v>
      </c>
      <c r="D118" s="4" t="n">
        <v>6470785320602</v>
      </c>
      <c r="E118" s="4" t="n">
        <v>7775704885845</v>
      </c>
      <c r="F118" s="4" t="n">
        <v>4624171199065</v>
      </c>
      <c r="G118" s="4" t="n">
        <v>7992654202870</v>
      </c>
      <c r="H118" s="4" t="n">
        <v>8860276825181</v>
      </c>
      <c r="I118" s="4" t="n">
        <v>11034463805990</v>
      </c>
    </row>
    <row r="119">
      <c r="A119" s="3" t="inlineStr">
        <is>
          <t>LNST chưa phân phối kỳ này</t>
        </is>
      </c>
      <c r="B119" s="4" t="n">
        <v>2851313193346</v>
      </c>
      <c r="C119" s="4" t="n">
        <v>3834269547047</v>
      </c>
      <c r="D119" s="4" t="n">
        <v>3918898277243</v>
      </c>
      <c r="E119" s="4" t="n">
        <v>4898869278220</v>
      </c>
      <c r="F119" s="4" t="n">
        <v>4099763027305</v>
      </c>
      <c r="G119" s="4" t="n">
        <v>167669392704</v>
      </c>
      <c r="H119" s="4" t="n">
        <v>3721868441661</v>
      </c>
      <c r="I119" s="4" t="n">
        <v>7033730770169</v>
      </c>
    </row>
    <row r="120">
      <c r="A120" s="3" t="inlineStr">
        <is>
          <t>Xây dựng cơ bản đang dở dang</t>
        </is>
      </c>
      <c r="B120" s="4" t="n">
        <v>256831997207</v>
      </c>
      <c r="C120" s="4" t="n">
        <v>87430438310</v>
      </c>
      <c r="D120" s="4" t="n">
        <v>132620362470</v>
      </c>
      <c r="E120" s="4" t="n">
        <v>79697939172</v>
      </c>
      <c r="F120" s="4" t="n">
        <v>123873978878</v>
      </c>
      <c r="G120" s="4" t="n">
        <v>4493856934</v>
      </c>
      <c r="H120" s="4" t="n">
        <v>24526423340</v>
      </c>
      <c r="I120" s="4" t="n">
        <v>90899467872</v>
      </c>
    </row>
    <row r="121">
      <c r="A121" s="3" t="inlineStr">
        <is>
          <t>Lợi thế thương mại</t>
        </is>
      </c>
      <c r="B121" s="4" t="n">
        <v>552526849066</v>
      </c>
      <c r="C121" s="4" t="n">
        <v>491134976947</v>
      </c>
      <c r="D121" s="4" t="n">
        <v>429743104828</v>
      </c>
      <c r="E121" s="4" t="n">
        <v>368351232709</v>
      </c>
      <c r="F121" s="4" t="n">
        <v>306959360590</v>
      </c>
      <c r="G121" s="4" t="n">
        <v>245567488471</v>
      </c>
      <c r="H121" s="4" t="n">
        <v>0</v>
      </c>
      <c r="I121" s="4" t="n">
        <v>0</v>
      </c>
    </row>
    <row r="122">
      <c r="A122" s="3" t="inlineStr">
        <is>
          <t>Lợi ích cổ đông không kiểm soát</t>
        </is>
      </c>
      <c r="B122" s="4" t="n">
        <v>6249443319</v>
      </c>
      <c r="C122" s="4" t="n">
        <v>7786065614</v>
      </c>
      <c r="D122" s="4" t="n">
        <v>9280633826</v>
      </c>
      <c r="E122" s="4" t="n">
        <v>11838029496</v>
      </c>
      <c r="F122" s="4" t="n">
        <v>14508097130</v>
      </c>
      <c r="G122" s="4" t="n">
        <v>13401030472</v>
      </c>
      <c r="H122" s="4" t="n">
        <v>364020651398</v>
      </c>
      <c r="I122" s="4" t="n">
        <v>576350988478</v>
      </c>
    </row>
    <row r="123">
      <c r="A123" s="3" t="inlineStr">
        <is>
          <t>Nguồn kinh phí đã hình thành TSCĐ</t>
        </is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  <col width="22" customWidth="1" min="8" max="8"/>
    <col width="22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Doanh thu bán hàng và cung cấp dịch vụ</t>
        </is>
      </c>
      <c r="B2" s="4" t="n">
        <v>87738378978636</v>
      </c>
      <c r="C2" s="4" t="n">
        <v>103485046672447</v>
      </c>
      <c r="D2" s="4" t="n">
        <v>109801253690656</v>
      </c>
      <c r="E2" s="4" t="n">
        <v>124141525689948</v>
      </c>
      <c r="F2" s="4" t="n">
        <v>134722248887557</v>
      </c>
      <c r="G2" s="4" t="n">
        <v>119234184825086</v>
      </c>
      <c r="H2" s="4" t="n">
        <v>135225101298992</v>
      </c>
      <c r="I2" s="4" t="n">
        <v>156836115054975</v>
      </c>
    </row>
    <row r="3">
      <c r="A3" s="3" t="inlineStr">
        <is>
          <t>Các khoản giảm trừ doanh thu</t>
        </is>
      </c>
      <c r="B3" s="4" t="n">
        <v>-1222091976137</v>
      </c>
      <c r="C3" s="4" t="n">
        <v>-1310802695724</v>
      </c>
      <c r="D3" s="4" t="n">
        <v>-1255234025244</v>
      </c>
      <c r="E3" s="4" t="n">
        <v>-1183419586774</v>
      </c>
      <c r="F3" s="4" t="n">
        <v>-1317471297033</v>
      </c>
      <c r="G3" s="4" t="n">
        <v>-954396369644</v>
      </c>
      <c r="H3" s="4" t="n">
        <v>-883948450190</v>
      </c>
      <c r="I3" s="4" t="n">
        <v>-907969435608</v>
      </c>
    </row>
    <row r="4">
      <c r="A4" s="3" t="inlineStr">
        <is>
          <t>Doanh thu thuần</t>
        </is>
      </c>
      <c r="B4" s="4" t="n">
        <v>86516287002499</v>
      </c>
      <c r="C4" s="4" t="n">
        <v>102174243976723</v>
      </c>
      <c r="D4" s="4" t="n">
        <v>108546019665412</v>
      </c>
      <c r="E4" s="4" t="n">
        <v>122958106103174</v>
      </c>
      <c r="F4" s="4" t="n">
        <v>133404777590524</v>
      </c>
      <c r="G4" s="4" t="n">
        <v>118279788455442</v>
      </c>
      <c r="H4" s="4" t="n">
        <v>134341152848802</v>
      </c>
      <c r="I4" s="4" t="n">
        <v>155928145619367</v>
      </c>
    </row>
    <row r="5">
      <c r="A5" s="3" t="inlineStr">
        <is>
          <t>Giá vốn hàng bán</t>
        </is>
      </c>
      <c r="B5" s="4" t="n">
        <v>-71224159239435</v>
      </c>
      <c r="C5" s="4" t="n">
        <v>-82686444673012</v>
      </c>
      <c r="D5" s="4" t="n">
        <v>-84591522392949</v>
      </c>
      <c r="E5" s="4" t="n">
        <v>-95325974107640</v>
      </c>
      <c r="F5" s="4" t="n">
        <v>-102542735094343</v>
      </c>
      <c r="G5" s="4" t="n">
        <v>-95759175291712</v>
      </c>
      <c r="H5" s="4" t="n">
        <v>-106841942771781</v>
      </c>
      <c r="I5" s="4" t="n">
        <v>-124926268219546</v>
      </c>
    </row>
    <row r="6">
      <c r="A6" s="3" t="inlineStr">
        <is>
          <t>Lợi nhuận gộp</t>
        </is>
      </c>
      <c r="B6" s="4" t="n">
        <v>15292127763064</v>
      </c>
      <c r="C6" s="4" t="n">
        <v>19487799303711</v>
      </c>
      <c r="D6" s="4" t="n">
        <v>23954497272463</v>
      </c>
      <c r="E6" s="4" t="n">
        <v>27632131995534</v>
      </c>
      <c r="F6" s="4" t="n">
        <v>30862042496181</v>
      </c>
      <c r="G6" s="4" t="n">
        <v>22520613163730</v>
      </c>
      <c r="H6" s="4" t="n">
        <v>27499210077021</v>
      </c>
      <c r="I6" s="4" t="n">
        <v>31001877399821</v>
      </c>
    </row>
    <row r="7">
      <c r="A7" s="3" t="inlineStr">
        <is>
          <t>Doanh thu hoạt động tài chính</t>
        </is>
      </c>
      <c r="B7" s="4" t="n">
        <v>342083875229</v>
      </c>
      <c r="C7" s="4" t="n">
        <v>631177854351</v>
      </c>
      <c r="D7" s="4" t="n">
        <v>794121782667</v>
      </c>
      <c r="E7" s="4" t="n">
        <v>1287956026163</v>
      </c>
      <c r="F7" s="4" t="n">
        <v>1313137304323</v>
      </c>
      <c r="G7" s="4" t="n">
        <v>2166963715091</v>
      </c>
      <c r="H7" s="4" t="n">
        <v>2376502605263</v>
      </c>
      <c r="I7" s="4" t="n">
        <v>3107348733939</v>
      </c>
    </row>
    <row r="8">
      <c r="A8" s="3" t="inlineStr">
        <is>
          <t>Chi phí tài chính</t>
        </is>
      </c>
      <c r="B8" s="4" t="n">
        <v>-436573150236</v>
      </c>
      <c r="C8" s="4" t="n">
        <v>-569754844844</v>
      </c>
      <c r="D8" s="4" t="n">
        <v>-594151513751</v>
      </c>
      <c r="E8" s="4" t="n">
        <v>-714707225745</v>
      </c>
      <c r="F8" s="4" t="n">
        <v>-1382620454532</v>
      </c>
      <c r="G8" s="4" t="n">
        <v>-1556146106982</v>
      </c>
      <c r="H8" s="4" t="n">
        <v>-1188465609510</v>
      </c>
      <c r="I8" s="4" t="n">
        <v>-1542518673463</v>
      </c>
    </row>
    <row r="9">
      <c r="A9" s="3" t="inlineStr">
        <is>
          <t>Chi phí lãi vay</t>
        </is>
      </c>
      <c r="B9" s="4" t="n">
        <v>-436416577674</v>
      </c>
      <c r="C9" s="4" t="n">
        <v>-568136717134</v>
      </c>
      <c r="D9" s="4" t="n">
        <v>-594003821021</v>
      </c>
      <c r="E9" s="4" t="n">
        <v>-674427746189</v>
      </c>
      <c r="F9" s="4" t="n">
        <v>-1362143909103</v>
      </c>
      <c r="G9" s="4" t="n">
        <v>-1447718354797</v>
      </c>
      <c r="H9" s="4" t="n">
        <v>-1137236129748</v>
      </c>
      <c r="I9" s="4" t="n">
        <v>-1470675593604</v>
      </c>
    </row>
    <row r="10">
      <c r="A10" s="3" t="inlineStr">
        <is>
          <t>Chi phí bán hàng</t>
        </is>
      </c>
      <c r="B10" s="4" t="n">
        <v>-9659741188756</v>
      </c>
      <c r="C10" s="4" t="n">
        <v>-12437282718212</v>
      </c>
      <c r="D10" s="4" t="n">
        <v>-15333798830787</v>
      </c>
      <c r="E10" s="4" t="n">
        <v>-17914173302345</v>
      </c>
      <c r="F10" s="4" t="n">
        <v>-22336838067678</v>
      </c>
      <c r="G10" s="4" t="n">
        <v>-20916710755306</v>
      </c>
      <c r="H10" s="4" t="n">
        <v>-19849837609882</v>
      </c>
      <c r="I10" s="4" t="n">
        <v>-19330903536858</v>
      </c>
    </row>
    <row r="11">
      <c r="A11" s="3" t="inlineStr">
        <is>
          <t>Chi phí quản lý doanh nghiệp</t>
        </is>
      </c>
      <c r="B11" s="4" t="n">
        <v>-1761613900080</v>
      </c>
      <c r="C11" s="4" t="n">
        <v>-2073782880058</v>
      </c>
      <c r="D11" s="4" t="n">
        <v>-3404431838167</v>
      </c>
      <c r="E11" s="4" t="n">
        <v>-3823390074765</v>
      </c>
      <c r="F11" s="4" t="n">
        <v>-1881027579714</v>
      </c>
      <c r="G11" s="4" t="n">
        <v>-1167651662536</v>
      </c>
      <c r="H11" s="4" t="n">
        <v>-3565767583102</v>
      </c>
      <c r="I11" s="4" t="n">
        <v>-4596074513172</v>
      </c>
    </row>
    <row r="12">
      <c r="A12" s="3" t="inlineStr">
        <is>
          <t>Lãi/(lỗ) từ hoạt động kinh doanh</t>
        </is>
      </c>
      <c r="B12" s="4" t="n">
        <v>3774182412336</v>
      </c>
      <c r="C12" s="4" t="n">
        <v>5034683431577</v>
      </c>
      <c r="D12" s="4" t="n">
        <v>5412529932954</v>
      </c>
      <c r="E12" s="4" t="n">
        <v>6465606918356</v>
      </c>
      <c r="F12" s="4" t="n">
        <v>6574693698580</v>
      </c>
      <c r="G12" s="4" t="n">
        <v>1047068353997</v>
      </c>
      <c r="H12" s="4" t="n">
        <v>5227045424891</v>
      </c>
      <c r="I12" s="4" t="n">
        <v>8664080489454</v>
      </c>
    </row>
    <row r="13">
      <c r="A13" s="3" t="inlineStr">
        <is>
          <t>Thu nhập khác</t>
        </is>
      </c>
      <c r="B13" s="4" t="n">
        <v>33233337382</v>
      </c>
      <c r="C13" s="4" t="n">
        <v>41557041541</v>
      </c>
      <c r="D13" s="4" t="n">
        <v>43512695471</v>
      </c>
      <c r="E13" s="4" t="n">
        <v>54872797433</v>
      </c>
      <c r="F13" s="4" t="n">
        <v>61606712681</v>
      </c>
      <c r="G13" s="4" t="n">
        <v>36883419051</v>
      </c>
      <c r="H13" s="4" t="n">
        <v>25743895664</v>
      </c>
      <c r="I13" s="4" t="n">
        <v>52777770887</v>
      </c>
    </row>
    <row r="14">
      <c r="A14" s="3" t="inlineStr">
        <is>
          <t>Chi phí khác</t>
        </is>
      </c>
      <c r="B14" s="4" t="n">
        <v>-21097180799</v>
      </c>
      <c r="C14" s="4" t="n">
        <v>-22793268422</v>
      </c>
      <c r="D14" s="4" t="n">
        <v>-46307221072</v>
      </c>
      <c r="E14" s="4" t="n">
        <v>-48895965246</v>
      </c>
      <c r="F14" s="4" t="n">
        <v>-579945037703</v>
      </c>
      <c r="G14" s="4" t="n">
        <v>-394259405152</v>
      </c>
      <c r="H14" s="4" t="n">
        <v>-427026307477</v>
      </c>
      <c r="I14" s="4" t="n">
        <v>-83790676915</v>
      </c>
    </row>
    <row r="15">
      <c r="A15" s="3" t="inlineStr">
        <is>
          <t>Thu nhập khác, ròng</t>
        </is>
      </c>
      <c r="B15" s="4" t="n">
        <v>12136156583</v>
      </c>
      <c r="C15" s="4" t="n">
        <v>18763773119</v>
      </c>
      <c r="D15" s="4" t="n">
        <v>-2794525601</v>
      </c>
      <c r="E15" s="4" t="n">
        <v>5976832187</v>
      </c>
      <c r="F15" s="4" t="n">
        <v>-518338325022</v>
      </c>
      <c r="G15" s="4" t="n">
        <v>-357375986101</v>
      </c>
      <c r="H15" s="4" t="n">
        <v>-401282411813</v>
      </c>
      <c r="I15" s="4" t="n">
        <v>-31012906028</v>
      </c>
    </row>
    <row r="16">
      <c r="A16" s="3" t="inlineStr">
        <is>
          <t>Lãi/(lỗ) từ công ty liên doanh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</row>
    <row r="17">
      <c r="A17" s="3" t="inlineStr">
        <is>
          <t>Lãi/(lỗ) trước thuế</t>
        </is>
      </c>
      <c r="B17" s="4" t="n">
        <v>3786318568919</v>
      </c>
      <c r="C17" s="4" t="n">
        <v>5053447204696</v>
      </c>
      <c r="D17" s="4" t="n">
        <v>5409735407353</v>
      </c>
      <c r="E17" s="4" t="n">
        <v>6471583750543</v>
      </c>
      <c r="F17" s="4" t="n">
        <v>6056355373558</v>
      </c>
      <c r="G17" s="4" t="n">
        <v>689692367896</v>
      </c>
      <c r="H17" s="4" t="n">
        <v>4825763013078</v>
      </c>
      <c r="I17" s="4" t="n">
        <v>8633067583426</v>
      </c>
    </row>
    <row r="18">
      <c r="A18" s="3" t="inlineStr">
        <is>
          <t>Thuế thu nhập doanh nghiệp - hiện thời</t>
        </is>
      </c>
      <c r="B18" s="4" t="n">
        <v>-933836738446</v>
      </c>
      <c r="C18" s="4" t="n">
        <v>-1248353081834</v>
      </c>
      <c r="D18" s="4" t="n">
        <v>-1598413821219</v>
      </c>
      <c r="E18" s="4" t="n">
        <v>-1632975695694</v>
      </c>
      <c r="F18" s="4" t="n">
        <v>-1792998810102</v>
      </c>
      <c r="G18" s="4" t="n">
        <v>-433257176515</v>
      </c>
      <c r="H18" s="4" t="n">
        <v>-1282537116919</v>
      </c>
      <c r="I18" s="4" t="n">
        <v>-1721559523168</v>
      </c>
    </row>
    <row r="19">
      <c r="A19" s="3" t="inlineStr">
        <is>
          <t>Thuế thu nhập doanh nghiệp - hoãn lại</t>
        </is>
      </c>
      <c r="B19" s="4" t="n">
        <v>27827229661</v>
      </c>
      <c r="C19" s="4" t="n">
        <v>31145964165</v>
      </c>
      <c r="D19" s="4" t="n">
        <v>108551123373</v>
      </c>
      <c r="E19" s="4" t="n">
        <v>62818619041</v>
      </c>
      <c r="F19" s="4" t="n">
        <v>-161642138517</v>
      </c>
      <c r="G19" s="4" t="n">
        <v>-88606036442</v>
      </c>
      <c r="H19" s="4" t="n">
        <v>190062332561</v>
      </c>
      <c r="I19" s="4" t="n">
        <v>161114825617</v>
      </c>
    </row>
    <row r="20">
      <c r="A20" s="3" t="inlineStr">
        <is>
          <t>Chi phí thuế thu nhập doanh nghiệp</t>
        </is>
      </c>
      <c r="B20" s="4" t="n">
        <v>-906009508785</v>
      </c>
      <c r="C20" s="4" t="n">
        <v>-1217207117669</v>
      </c>
      <c r="D20" s="4" t="n">
        <v>-1489862697846</v>
      </c>
      <c r="E20" s="4" t="n">
        <v>-1570157076653</v>
      </c>
      <c r="F20" s="4" t="n">
        <v>-1954640948619</v>
      </c>
      <c r="G20" s="4" t="n">
        <v>-521863212957</v>
      </c>
      <c r="H20" s="4" t="n">
        <v>-1092474784358</v>
      </c>
      <c r="I20" s="4" t="n">
        <v>-1560444697551</v>
      </c>
    </row>
    <row r="21">
      <c r="A21" s="3" t="inlineStr">
        <is>
          <t>Lãi/(lỗ) thuần sau thuế</t>
        </is>
      </c>
      <c r="B21" s="4" t="n">
        <v>2880309060134</v>
      </c>
      <c r="C21" s="4" t="n">
        <v>3836240087027</v>
      </c>
      <c r="D21" s="4" t="n">
        <v>3919872709507</v>
      </c>
      <c r="E21" s="4" t="n">
        <v>4901426673890</v>
      </c>
      <c r="F21" s="4" t="n">
        <v>4101714424939</v>
      </c>
      <c r="G21" s="4" t="n">
        <v>167829154939</v>
      </c>
      <c r="H21" s="4" t="n">
        <v>3733288228720</v>
      </c>
      <c r="I21" s="4" t="n">
        <v>7072622885875</v>
      </c>
    </row>
    <row r="22">
      <c r="A22" s="3" t="inlineStr">
        <is>
          <t>Lợi ích của cổ đông thiểu số</t>
        </is>
      </c>
      <c r="B22" s="4" t="n">
        <v>1584929226</v>
      </c>
      <c r="C22" s="4" t="n">
        <v>1970539980</v>
      </c>
      <c r="D22" s="4" t="n">
        <v>2104926348</v>
      </c>
      <c r="E22" s="4" t="n">
        <v>2557395670</v>
      </c>
      <c r="F22" s="4" t="n">
        <v>1951397634</v>
      </c>
      <c r="G22" s="4" t="n">
        <v>159762235</v>
      </c>
      <c r="H22" s="4" t="n">
        <v>11419787059</v>
      </c>
      <c r="I22" s="4" t="n">
        <v>38892115706</v>
      </c>
    </row>
    <row r="23">
      <c r="A23" s="3" t="inlineStr">
        <is>
          <t>Lợi nhuận của Cổ đông của Công ty mẹ</t>
        </is>
      </c>
      <c r="B23" s="4" t="n">
        <v>2878724130908</v>
      </c>
      <c r="C23" s="4" t="n">
        <v>3834269547047</v>
      </c>
      <c r="D23" s="4" t="n">
        <v>3917767783159</v>
      </c>
      <c r="E23" s="4" t="n">
        <v>4898869278220</v>
      </c>
      <c r="F23" s="4" t="n">
        <v>4099763027305</v>
      </c>
      <c r="G23" s="4" t="n">
        <v>167669392704</v>
      </c>
      <c r="H23" s="4" t="n">
        <v>3721868441661</v>
      </c>
      <c r="I23" s="4" t="n">
        <v>7033730770169</v>
      </c>
    </row>
    <row r="24">
      <c r="A24" s="3" t="inlineStr">
        <is>
          <t>Lãi cơ bản trên cổ phiếu (VND)</t>
        </is>
      </c>
      <c r="B24" s="4" t="n">
        <v>6689</v>
      </c>
      <c r="C24" s="4" t="n">
        <v>8665</v>
      </c>
      <c r="D24" s="4" t="n">
        <v>8654</v>
      </c>
      <c r="E24" s="4" t="n">
        <v>6897</v>
      </c>
      <c r="F24" s="4" t="n">
        <v>2810</v>
      </c>
      <c r="G24" s="4" t="n">
        <v>115</v>
      </c>
      <c r="H24" s="4" t="n">
        <v>2546</v>
      </c>
      <c r="I24" s="4" t="n">
        <v>4774</v>
      </c>
    </row>
    <row r="25">
      <c r="A25" s="3" t="inlineStr">
        <is>
          <t>Lãi trên cổ phiếu pha loãng (VND)</t>
        </is>
      </c>
      <c r="B25" s="4" t="n">
        <v>6689</v>
      </c>
      <c r="C25" s="4" t="n">
        <v>8665</v>
      </c>
      <c r="D25" s="4" t="n">
        <v>8654</v>
      </c>
      <c r="E25" s="4" t="n">
        <v>6897</v>
      </c>
      <c r="F25" s="4" t="n">
        <v>2810</v>
      </c>
      <c r="G25" s="4" t="n">
        <v>115</v>
      </c>
      <c r="H25" s="4" t="n">
        <v>2546</v>
      </c>
      <c r="I25" s="4" t="n">
        <v>4774</v>
      </c>
    </row>
    <row r="26">
      <c r="A26" s="3" t="inlineStr">
        <is>
          <t>Lãi/(lỗ) từ công ty liên doanh (từ năm 2015)</t>
        </is>
      </c>
      <c r="B26" s="4" t="n">
        <v>-2100986885</v>
      </c>
      <c r="C26" s="4" t="n">
        <v>-3473283371</v>
      </c>
      <c r="D26" s="4" t="n">
        <v>-3706939471</v>
      </c>
      <c r="E26" s="4" t="n">
        <v>-2210500486</v>
      </c>
      <c r="F26" s="4" t="n">
        <v>0</v>
      </c>
      <c r="G26" s="4" t="n">
        <v>0</v>
      </c>
      <c r="H26" s="4" t="n">
        <v>-44596454899</v>
      </c>
      <c r="I26" s="4" t="n">
        <v>24351079187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item</t>
        </is>
      </c>
      <c r="B1" s="2" t="inlineStr">
        <is>
          <t>2018</t>
        </is>
      </c>
      <c r="C1" s="2" t="inlineStr">
        <is>
          <t>2019</t>
        </is>
      </c>
      <c r="D1" s="2" t="inlineStr">
        <is>
          <t>2020</t>
        </is>
      </c>
      <c r="E1" s="2" t="inlineStr">
        <is>
          <t>2021</t>
        </is>
      </c>
      <c r="F1" s="2" t="inlineStr">
        <is>
          <t>2022</t>
        </is>
      </c>
      <c r="G1" s="2" t="inlineStr">
        <is>
          <t>2023</t>
        </is>
      </c>
      <c r="H1" s="2" t="inlineStr">
        <is>
          <t>2024</t>
        </is>
      </c>
      <c r="I1" s="2" t="inlineStr">
        <is>
          <t>2025</t>
        </is>
      </c>
    </row>
    <row r="2">
      <c r="A2" s="3" t="inlineStr">
        <is>
          <t>Lợi nhuận/(lỗ) trước thuế</t>
        </is>
      </c>
      <c r="B2" s="4" t="n">
        <v>3786318568918</v>
      </c>
      <c r="C2" s="4" t="n">
        <v>5053447204696</v>
      </c>
      <c r="D2" s="4" t="n">
        <v>5409735407353</v>
      </c>
      <c r="E2" s="4" t="n">
        <v>6471583750543</v>
      </c>
      <c r="F2" s="4" t="n">
        <v>6056355373558</v>
      </c>
      <c r="G2" s="4" t="n">
        <v>689692367896</v>
      </c>
      <c r="H2" s="4" t="n">
        <v>4825763013078</v>
      </c>
      <c r="I2" s="4" t="n">
        <v>8633067583426</v>
      </c>
    </row>
    <row r="3">
      <c r="A3" s="3" t="inlineStr">
        <is>
          <t>Khấu hao TSCĐ và BĐSĐT</t>
        </is>
      </c>
      <c r="B3" s="4" t="n">
        <v>1222868683717</v>
      </c>
      <c r="C3" s="4" t="n">
        <v>1442826938954</v>
      </c>
      <c r="D3" s="4" t="n">
        <v>2195583071035</v>
      </c>
      <c r="E3" s="4" t="n">
        <v>2920713608410</v>
      </c>
      <c r="F3" s="4" t="n">
        <v>3540324726294</v>
      </c>
      <c r="G3" s="4" t="n">
        <v>3351314267883</v>
      </c>
      <c r="H3" s="4" t="n">
        <v>2913419081483</v>
      </c>
      <c r="I3" s="4" t="n">
        <v>1890882108632</v>
      </c>
    </row>
    <row r="4">
      <c r="A4" s="3" t="inlineStr">
        <is>
          <t>Chi phí dự phòng</t>
        </is>
      </c>
      <c r="B4" s="4" t="n">
        <v>126083626828</v>
      </c>
      <c r="C4" s="4" t="n">
        <v>90495782206</v>
      </c>
      <c r="D4" s="4" t="n">
        <v>58366659386</v>
      </c>
      <c r="E4" s="4" t="n">
        <v>179550717177</v>
      </c>
      <c r="F4" s="4" t="n">
        <v>-321799366884</v>
      </c>
      <c r="G4" s="4" t="n">
        <v>-165930068132</v>
      </c>
      <c r="H4" s="4" t="n">
        <v>220952651591</v>
      </c>
      <c r="I4" s="4" t="n">
        <v>205754863290</v>
      </c>
    </row>
    <row r="5">
      <c r="A5" s="3" t="inlineStr">
        <is>
          <t>Lãi/lỗ chênh lệch tỷ giá hối đoái do đánh giá lại các khoản mục tiền tệ có gốc ngoại tệ</t>
        </is>
      </c>
      <c r="B5" s="4" t="n">
        <v>-107059306</v>
      </c>
      <c r="C5" s="4" t="n">
        <v>-27160364</v>
      </c>
      <c r="D5" s="4" t="n">
        <v>-36874578</v>
      </c>
      <c r="E5" s="4" t="n">
        <v>-146653994</v>
      </c>
      <c r="F5" s="4" t="n">
        <v>284374414</v>
      </c>
      <c r="G5" s="4" t="n">
        <v>83631272202</v>
      </c>
      <c r="H5" s="4" t="n">
        <v>25689580954</v>
      </c>
      <c r="I5" s="4" t="n">
        <v>48281410640</v>
      </c>
    </row>
    <row r="6">
      <c r="A6" s="3" t="inlineStr">
        <is>
          <t>Lãi/(lỗ) từ thanh lý tài sản cố định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</row>
    <row r="7">
      <c r="A7" s="3" t="inlineStr">
        <is>
          <t>(Lãi)/lỗ từ hoạt động đầu tư</t>
        </is>
      </c>
      <c r="B7" s="4" t="n">
        <v>-84857279584</v>
      </c>
      <c r="C7" s="4" t="n">
        <v>-341194613832</v>
      </c>
      <c r="D7" s="4" t="n">
        <v>-557627148536</v>
      </c>
      <c r="E7" s="4" t="n">
        <v>-959323580633</v>
      </c>
      <c r="F7" s="4" t="n">
        <v>-348599792355</v>
      </c>
      <c r="G7" s="4" t="n">
        <v>-1509203341265</v>
      </c>
      <c r="H7" s="4" t="n">
        <v>-1729164103487</v>
      </c>
      <c r="I7" s="4" t="n">
        <v>-2908766491708</v>
      </c>
    </row>
    <row r="8">
      <c r="A8" s="3" t="inlineStr">
        <is>
          <t>Chi phí lãi vay</t>
        </is>
      </c>
      <c r="B8" s="4" t="n">
        <v>436416577674</v>
      </c>
      <c r="C8" s="4" t="n">
        <v>568136717134</v>
      </c>
      <c r="D8" s="4" t="n">
        <v>594003821021</v>
      </c>
      <c r="E8" s="4" t="n">
        <v>674427746189</v>
      </c>
      <c r="F8" s="4" t="n">
        <v>1362143909103</v>
      </c>
      <c r="G8" s="4" t="n">
        <v>1447718354797</v>
      </c>
      <c r="H8" s="4" t="n">
        <v>1137236129748</v>
      </c>
      <c r="I8" s="4" t="n">
        <v>1470675593604</v>
      </c>
    </row>
    <row r="9">
      <c r="A9" s="3" t="inlineStr">
        <is>
          <t>Thu lãi và cổ tức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</row>
    <row r="10">
      <c r="A10" s="3" t="inlineStr">
        <is>
          <t>Lợi nhuận/(lỗ) từ hoạt động kinh doanh trước những thay đổi vốn lưu động</t>
        </is>
      </c>
      <c r="B10" s="4" t="n">
        <v>5486723118247</v>
      </c>
      <c r="C10" s="4" t="n">
        <v>6813684868794</v>
      </c>
      <c r="D10" s="4" t="n">
        <v>7700024935681</v>
      </c>
      <c r="E10" s="4" t="n">
        <v>9286805587692</v>
      </c>
      <c r="F10" s="4" t="n">
        <v>10288709224130</v>
      </c>
      <c r="G10" s="4" t="n">
        <v>3897222853381</v>
      </c>
      <c r="H10" s="4" t="n">
        <v>7393896353367</v>
      </c>
      <c r="I10" s="4" t="n">
        <v>9339895067884</v>
      </c>
    </row>
    <row r="11">
      <c r="A11" s="3" t="inlineStr">
        <is>
          <t>(Tăng)/giảm các khoản phải thu</t>
        </is>
      </c>
      <c r="B11" s="4" t="n">
        <v>1246646823981</v>
      </c>
      <c r="C11" s="4" t="n">
        <v>-675979882201</v>
      </c>
      <c r="D11" s="4" t="n">
        <v>850493238036</v>
      </c>
      <c r="E11" s="4" t="n">
        <v>-827596105467</v>
      </c>
      <c r="F11" s="4" t="n">
        <v>-588827639446</v>
      </c>
      <c r="G11" s="4" t="n">
        <v>672440536688</v>
      </c>
      <c r="H11" s="4" t="n">
        <v>151205190961</v>
      </c>
      <c r="I11" s="4" t="n">
        <v>-308618709954</v>
      </c>
    </row>
    <row r="12">
      <c r="A12" s="3" t="inlineStr">
        <is>
          <t>(Tăng)/giảm hàng tồn kho</t>
        </is>
      </c>
      <c r="B12" s="4" t="n">
        <v>-4672944194460</v>
      </c>
      <c r="C12" s="4" t="n">
        <v>-8374797030131</v>
      </c>
      <c r="D12" s="4" t="n">
        <v>6269571171519</v>
      </c>
      <c r="E12" s="4" t="n">
        <v>-9923705315353</v>
      </c>
      <c r="F12" s="4" t="n">
        <v>3791937421033</v>
      </c>
      <c r="G12" s="4" t="n">
        <v>4169031757473</v>
      </c>
      <c r="H12" s="4" t="n">
        <v>-636927914305</v>
      </c>
      <c r="I12" s="4" t="n">
        <v>-5207942331422</v>
      </c>
    </row>
    <row r="13">
      <c r="A13" s="3" t="inlineStr">
        <is>
          <t>Tăng/(giảm) các khoản phải trả</t>
        </is>
      </c>
      <c r="B13" s="4" t="n">
        <v>1331042865781</v>
      </c>
      <c r="C13" s="4" t="n">
        <v>2823942311184</v>
      </c>
      <c r="D13" s="4" t="n">
        <v>-1894206905085</v>
      </c>
      <c r="E13" s="4" t="n">
        <v>3781614904801</v>
      </c>
      <c r="F13" s="4" t="n">
        <v>-2286756979213</v>
      </c>
      <c r="G13" s="4" t="n">
        <v>-3136706601092</v>
      </c>
      <c r="H13" s="4" t="n">
        <v>3581806724649</v>
      </c>
      <c r="I13" s="4" t="n">
        <v>5339106069277</v>
      </c>
    </row>
    <row r="14">
      <c r="A14" s="3" t="inlineStr">
        <is>
          <t>(Tăng)/giảm chi phí trả trước</t>
        </is>
      </c>
      <c r="B14" s="4" t="n">
        <v>126753313780</v>
      </c>
      <c r="C14" s="4" t="n">
        <v>-227805034461</v>
      </c>
      <c r="D14" s="4" t="n">
        <v>-75119169600</v>
      </c>
      <c r="E14" s="4" t="n">
        <v>-27490477725</v>
      </c>
      <c r="F14" s="4" t="n">
        <v>-101041271147</v>
      </c>
      <c r="G14" s="4" t="n">
        <v>130000103455</v>
      </c>
      <c r="H14" s="4" t="n">
        <v>127788870902</v>
      </c>
      <c r="I14" s="4" t="n">
        <v>-123379603345</v>
      </c>
    </row>
    <row r="15">
      <c r="A15" s="3" t="inlineStr">
        <is>
          <t>Tiền lãi vay đã trả</t>
        </is>
      </c>
      <c r="B15" s="4" t="n">
        <v>-427564376510</v>
      </c>
      <c r="C15" s="4" t="n">
        <v>-537997464046</v>
      </c>
      <c r="D15" s="4" t="n">
        <v>-563748612045</v>
      </c>
      <c r="E15" s="4" t="n">
        <v>-585136035219</v>
      </c>
      <c r="F15" s="4" t="n">
        <v>-1322381109404</v>
      </c>
      <c r="G15" s="4" t="n">
        <v>-1435731870616</v>
      </c>
      <c r="H15" s="4" t="n">
        <v>-1141521540734</v>
      </c>
      <c r="I15" s="4" t="n">
        <v>-1396460327956</v>
      </c>
    </row>
    <row r="16">
      <c r="A16" s="3" t="inlineStr">
        <is>
          <t>Thuế thu nhập doanh nghiệp đã nộp</t>
        </is>
      </c>
      <c r="B16" s="4" t="n">
        <v>-829523019750</v>
      </c>
      <c r="C16" s="4" t="n">
        <v>-1092128547184</v>
      </c>
      <c r="D16" s="4" t="n">
        <v>-1494585439732</v>
      </c>
      <c r="E16" s="4" t="n">
        <v>-1533102122807</v>
      </c>
      <c r="F16" s="4" t="n">
        <v>-1805340844308</v>
      </c>
      <c r="G16" s="4" t="n">
        <v>-860429603219</v>
      </c>
      <c r="H16" s="4" t="n">
        <v>-958914978098</v>
      </c>
      <c r="I16" s="4" t="n">
        <v>-1546459474269</v>
      </c>
    </row>
    <row r="17">
      <c r="A17" s="3" t="inlineStr">
        <is>
          <t>Tiền thu khác từ hoạt động kinh doanh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</row>
    <row r="18">
      <c r="A18" s="3" t="inlineStr">
        <is>
          <t>Tiền chi khác cho hoạt động kinh doanh</t>
        </is>
      </c>
      <c r="B18" s="4" t="n">
        <v>0</v>
      </c>
      <c r="C18" s="4" t="n">
        <v>-15000000000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</row>
    <row r="19">
      <c r="A19" s="3" t="inlineStr">
        <is>
          <t>Lưu chuyển tiền tệ ròng từ các hoạt động sản xuất kinh doanh</t>
        </is>
      </c>
      <c r="B19" s="4" t="n">
        <v>2261134531069</v>
      </c>
      <c r="C19" s="4" t="n">
        <v>-1286080778045</v>
      </c>
      <c r="D19" s="4" t="n">
        <v>10792429218774</v>
      </c>
      <c r="E19" s="4" t="n">
        <v>171390435922</v>
      </c>
      <c r="F19" s="4" t="n">
        <v>7976298801645</v>
      </c>
      <c r="G19" s="4" t="n">
        <v>3435827176070</v>
      </c>
      <c r="H19" s="4" t="n">
        <v>8517332706742</v>
      </c>
      <c r="I19" s="4" t="n">
        <v>6096140690215</v>
      </c>
    </row>
    <row r="20">
      <c r="A20" s="3" t="inlineStr">
        <is>
          <t>Tiền chi để mua sắm, xây dựng TSCĐ và các tài sản dài hạn khác</t>
        </is>
      </c>
      <c r="B20" s="4" t="n">
        <v>-1495931919038</v>
      </c>
      <c r="C20" s="4" t="n">
        <v>-3066921164140</v>
      </c>
      <c r="D20" s="4" t="n">
        <v>-3911358160002</v>
      </c>
      <c r="E20" s="4" t="n">
        <v>-4976876590016</v>
      </c>
      <c r="F20" s="4" t="n">
        <v>-4465359523505</v>
      </c>
      <c r="G20" s="4" t="n">
        <v>-523383330794</v>
      </c>
      <c r="H20" s="4" t="n">
        <v>-303747827395</v>
      </c>
      <c r="I20" s="4" t="n">
        <v>-888461890189</v>
      </c>
    </row>
    <row r="21">
      <c r="A21" s="3" t="inlineStr">
        <is>
          <t>Tiền thu từ thanh lý, nhượng bán TSCĐ và các tài sản dài hạn khác</t>
        </is>
      </c>
      <c r="B21" s="4" t="n">
        <v>1339965525</v>
      </c>
      <c r="C21" s="4" t="n">
        <v>1290807344</v>
      </c>
      <c r="D21" s="4" t="n">
        <v>2018075304</v>
      </c>
      <c r="E21" s="4" t="n">
        <v>1107020670</v>
      </c>
      <c r="F21" s="4" t="n">
        <v>5331159526</v>
      </c>
      <c r="G21" s="4" t="n">
        <v>31276790650</v>
      </c>
      <c r="H21" s="4" t="n">
        <v>54661690191</v>
      </c>
      <c r="I21" s="4" t="n">
        <v>10165412732</v>
      </c>
    </row>
    <row r="22">
      <c r="A22" s="3" t="inlineStr">
        <is>
          <t>Tiền chi cho vay, mua các công cụ nợ của đơn vị khác</t>
        </is>
      </c>
      <c r="B22" s="4" t="n">
        <v>-85922451739</v>
      </c>
      <c r="C22" s="4" t="n">
        <v>-8997469863015</v>
      </c>
      <c r="D22" s="4" t="n">
        <v>-11512468958904</v>
      </c>
      <c r="E22" s="4" t="n">
        <v>-19225219180045</v>
      </c>
      <c r="F22" s="4" t="n">
        <v>-20799334065331</v>
      </c>
      <c r="G22" s="4" t="n">
        <v>-34151374180637</v>
      </c>
      <c r="H22" s="4" t="n">
        <v>-52159250994595</v>
      </c>
      <c r="I22" s="4" t="n">
        <v>-56848212766085</v>
      </c>
    </row>
    <row r="23">
      <c r="A23" s="3" t="inlineStr">
        <is>
          <t>Tiền thu hồi cho vay, bán lại các công cụ nợ của đơn vị khác</t>
        </is>
      </c>
      <c r="B23" s="4" t="n">
        <v>0</v>
      </c>
      <c r="C23" s="4" t="n">
        <v>5911392314754</v>
      </c>
      <c r="D23" s="4" t="n">
        <v>6512150136986</v>
      </c>
      <c r="E23" s="4" t="n">
        <v>12163993969618</v>
      </c>
      <c r="F23" s="4" t="n">
        <v>25851966071069</v>
      </c>
      <c r="G23" s="4" t="n">
        <v>22805115462454</v>
      </c>
      <c r="H23" s="4" t="n">
        <v>38289265386964</v>
      </c>
      <c r="I23" s="4" t="n">
        <v>48660442515806</v>
      </c>
    </row>
    <row r="24">
      <c r="A24" s="3" t="inlineStr">
        <is>
          <t>Tiền chi đầu tư góp vốn vào đơn vị khác</t>
        </is>
      </c>
      <c r="B24" s="4" t="n">
        <v>-828166470141</v>
      </c>
      <c r="C24" s="4" t="n">
        <v>0</v>
      </c>
      <c r="D24" s="4" t="n">
        <v>0</v>
      </c>
      <c r="E24" s="4" t="n">
        <v>-16385001737</v>
      </c>
      <c r="F24" s="4" t="n">
        <v>-181034840000</v>
      </c>
      <c r="G24" s="4" t="n">
        <v>-105597412729</v>
      </c>
      <c r="H24" s="4" t="n">
        <v>0</v>
      </c>
      <c r="I24" s="4" t="n">
        <v>-104772187500</v>
      </c>
    </row>
    <row r="25">
      <c r="A25" s="3" t="inlineStr">
        <is>
          <t>Tiền thu hồi đầu tư góp vốn vào đơn vị khác</t>
        </is>
      </c>
      <c r="B25" s="4" t="n">
        <v>0</v>
      </c>
      <c r="C25" s="4" t="n">
        <v>0</v>
      </c>
      <c r="D25" s="4" t="n">
        <v>0</v>
      </c>
      <c r="E25" s="4" t="n">
        <v>796626468011</v>
      </c>
      <c r="F25" s="4" t="n">
        <v>0</v>
      </c>
      <c r="G25" s="4" t="n">
        <v>0</v>
      </c>
      <c r="H25" s="4" t="n">
        <v>0</v>
      </c>
      <c r="I25" s="4" t="n">
        <v>0</v>
      </c>
    </row>
    <row r="26">
      <c r="A26" s="3" t="inlineStr">
        <is>
          <t>Tiền thu lãi cho vay, cổ tức và lợi nhuận được chia</t>
        </is>
      </c>
      <c r="B26" s="4" t="n">
        <v>64286835061</v>
      </c>
      <c r="C26" s="4" t="n">
        <v>278946264804</v>
      </c>
      <c r="D26" s="4" t="n">
        <v>335398013989</v>
      </c>
      <c r="E26" s="4" t="n">
        <v>1883709063</v>
      </c>
      <c r="F26" s="4" t="n">
        <v>1137542621557</v>
      </c>
      <c r="G26" s="4" t="n">
        <v>1112667974114</v>
      </c>
      <c r="H26" s="4" t="n">
        <v>2375786074417</v>
      </c>
      <c r="I26" s="4" t="n">
        <v>2510063523663</v>
      </c>
    </row>
    <row r="27">
      <c r="A27" s="3" t="inlineStr">
        <is>
          <t>Lưu chuyển tiền thuần từ hoạt động đầu tư</t>
        </is>
      </c>
      <c r="B27" s="4" t="n">
        <v>-2344394040332</v>
      </c>
      <c r="C27" s="4" t="n">
        <v>-5872761640253</v>
      </c>
      <c r="D27" s="4" t="n">
        <v>-8574260892627</v>
      </c>
      <c r="E27" s="4" t="n">
        <v>-11254869604436</v>
      </c>
      <c r="F27" s="4" t="n">
        <v>1549111423316</v>
      </c>
      <c r="G27" s="4" t="n">
        <v>-10831294696942</v>
      </c>
      <c r="H27" s="4" t="n">
        <v>-11743285670418</v>
      </c>
      <c r="I27" s="4" t="n">
        <v>-6660775391573</v>
      </c>
    </row>
    <row r="28">
      <c r="A28" s="3" t="inlineStr">
        <is>
          <t>Tiền thu từ phát hành cổ phiếu, nhận vốn góp của chủ sở hữu</t>
        </is>
      </c>
      <c r="B28" s="4" t="n">
        <v>705355067201</v>
      </c>
      <c r="C28" s="4" t="n">
        <v>90454820000</v>
      </c>
      <c r="D28" s="4" t="n">
        <v>105200450000</v>
      </c>
      <c r="E28" s="4" t="n">
        <v>228253030000</v>
      </c>
      <c r="F28" s="4" t="n">
        <v>192628370000</v>
      </c>
      <c r="G28" s="4" t="n">
        <v>443220000</v>
      </c>
      <c r="H28" s="4" t="n">
        <v>1771634338542</v>
      </c>
      <c r="I28" s="4" t="n">
        <v>283527980000</v>
      </c>
    </row>
    <row r="29">
      <c r="A29" s="3" t="inlineStr">
        <is>
          <t>Tiền chi trả vốn góp cho các chủ sở hữu, mua lại cổ phiếu của doanh nghiệp đã phát hành</t>
        </is>
      </c>
      <c r="B29" s="4" t="n">
        <v>-729700000</v>
      </c>
      <c r="C29" s="4" t="n">
        <v>-4850060000</v>
      </c>
      <c r="D29" s="4" t="n">
        <v>-6040930000</v>
      </c>
      <c r="E29" s="4" t="n">
        <v>-2320000000</v>
      </c>
      <c r="F29" s="4" t="n">
        <v>-5025640000</v>
      </c>
      <c r="G29" s="4" t="n">
        <v>-9783280000</v>
      </c>
      <c r="H29" s="4" t="n">
        <v>-9141790000</v>
      </c>
      <c r="I29" s="4" t="n">
        <v>-815870711046</v>
      </c>
    </row>
    <row r="30">
      <c r="A30" s="3" t="inlineStr">
        <is>
          <t>Tiền thu được các khoản đi vay</t>
        </is>
      </c>
      <c r="B30" s="4" t="n">
        <v>31893805156672</v>
      </c>
      <c r="C30" s="4" t="n">
        <v>45905952301242</v>
      </c>
      <c r="D30" s="4" t="n">
        <v>51168161383884</v>
      </c>
      <c r="E30" s="4" t="n">
        <v>63936208247950</v>
      </c>
      <c r="F30" s="4" t="n">
        <v>65251647851081</v>
      </c>
      <c r="G30" s="4" t="n">
        <v>70373733043570</v>
      </c>
      <c r="H30" s="4" t="n">
        <v>74756279079533</v>
      </c>
      <c r="I30" s="4" t="n">
        <v>98550109184689</v>
      </c>
    </row>
    <row r="31">
      <c r="A31" s="3" t="inlineStr">
        <is>
          <t>Tiền trả nợ gốc vay</t>
        </is>
      </c>
      <c r="B31" s="4" t="n">
        <v>-31690848740269</v>
      </c>
      <c r="C31" s="4" t="n">
        <v>-38801961791867</v>
      </c>
      <c r="D31" s="4" t="n">
        <v>-48573996682152</v>
      </c>
      <c r="E31" s="4" t="n">
        <v>-56045130957737</v>
      </c>
      <c r="F31" s="4" t="n">
        <v>-73313739286999</v>
      </c>
      <c r="G31" s="4" t="n">
        <v>-61933329857245</v>
      </c>
      <c r="H31" s="4" t="n">
        <v>-73030338420383</v>
      </c>
      <c r="I31" s="4" t="n">
        <v>-95872137944800</v>
      </c>
    </row>
    <row r="32">
      <c r="A32" s="3" t="inlineStr">
        <is>
          <t>Tiền trả nợ gốc thuê tài chính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</row>
    <row r="33">
      <c r="A33" s="3" t="inlineStr">
        <is>
          <t>Cổ tức, lợi nhuận đã trả cho chủ sở hữu</t>
        </is>
      </c>
      <c r="B33" s="4" t="n">
        <v>-485862426828</v>
      </c>
      <c r="C33" s="4" t="n">
        <v>-665093453185</v>
      </c>
      <c r="D33" s="4" t="n">
        <v>-678908841000</v>
      </c>
      <c r="E33" s="4" t="n">
        <v>-239519441063</v>
      </c>
      <c r="F33" s="4" t="n">
        <v>-731854815000</v>
      </c>
      <c r="G33" s="4" t="n">
        <v>-731280023500</v>
      </c>
      <c r="H33" s="4" t="n">
        <v>-730957694000</v>
      </c>
      <c r="I33" s="4" t="n">
        <v>-1478456763000</v>
      </c>
    </row>
    <row r="34">
      <c r="A34" s="3" t="inlineStr">
        <is>
          <t>Tiền lãi đã nhận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</row>
    <row r="35">
      <c r="A35" s="3" t="inlineStr">
        <is>
          <t>Lưu chuyển tiền thuần từ hoạt động tài chính</t>
        </is>
      </c>
      <c r="B35" s="4" t="n">
        <v>421719356776</v>
      </c>
      <c r="C35" s="4" t="n">
        <v>6524501816190</v>
      </c>
      <c r="D35" s="4" t="n">
        <v>2014415380732</v>
      </c>
      <c r="E35" s="4" t="n">
        <v>7877490879150</v>
      </c>
      <c r="F35" s="4" t="n">
        <v>-8606343520918</v>
      </c>
      <c r="G35" s="4" t="n">
        <v>7699783102825</v>
      </c>
      <c r="H35" s="4" t="n">
        <v>2757475513692</v>
      </c>
      <c r="I35" s="4" t="n">
        <v>667171745843</v>
      </c>
    </row>
    <row r="36">
      <c r="A36" s="3" t="inlineStr">
        <is>
          <t>Lưu chuyển tiền thuần trong kỳ</t>
        </is>
      </c>
      <c r="B36" s="4" t="n">
        <v>338459847513</v>
      </c>
      <c r="C36" s="4" t="n">
        <v>-634340602108</v>
      </c>
      <c r="D36" s="4" t="n">
        <v>4232583706879</v>
      </c>
      <c r="E36" s="4" t="n">
        <v>-3205988289364</v>
      </c>
      <c r="F36" s="4" t="n">
        <v>919066704043</v>
      </c>
      <c r="G36" s="4" t="n">
        <v>304315581953</v>
      </c>
      <c r="H36" s="4" t="n">
        <v>-468477449984</v>
      </c>
      <c r="I36" s="4" t="n">
        <v>102537044485</v>
      </c>
    </row>
    <row r="37">
      <c r="A37" s="3" t="inlineStr">
        <is>
          <t>Tiền và tương đương tiền đầu kỳ</t>
        </is>
      </c>
      <c r="B37" s="4" t="n">
        <v>3410983351393</v>
      </c>
      <c r="C37" s="4" t="n">
        <v>3749550258212</v>
      </c>
      <c r="D37" s="4" t="n">
        <v>3115236816468</v>
      </c>
      <c r="E37" s="4" t="n">
        <v>7347857397925</v>
      </c>
      <c r="F37" s="4" t="n">
        <v>4142015762555</v>
      </c>
      <c r="G37" s="4" t="n">
        <v>5061020547422</v>
      </c>
      <c r="H37" s="4" t="n">
        <v>5365704857172</v>
      </c>
      <c r="I37" s="4" t="n">
        <v>4897331540730</v>
      </c>
    </row>
    <row r="38">
      <c r="A38" s="3" t="inlineStr">
        <is>
          <t>Ảnh hưởng của thay đổi tỷ giá hối đoái quy đổi ngoại tệ</t>
        </is>
      </c>
      <c r="B38" s="4" t="n">
        <v>107059306</v>
      </c>
      <c r="C38" s="4" t="n">
        <v>27160364</v>
      </c>
      <c r="D38" s="4" t="n">
        <v>36874578</v>
      </c>
      <c r="E38" s="4" t="n">
        <v>146653994</v>
      </c>
      <c r="F38" s="4" t="n">
        <v>-61919176</v>
      </c>
      <c r="G38" s="4" t="n">
        <v>368727797</v>
      </c>
      <c r="H38" s="4" t="n">
        <v>104133542</v>
      </c>
      <c r="I38" s="4" t="n">
        <v>57131972</v>
      </c>
    </row>
    <row r="39">
      <c r="A39" s="3" t="inlineStr">
        <is>
          <t>Tiền và tương đương tiền cuối kỳ</t>
        </is>
      </c>
      <c r="B39" s="4" t="n">
        <v>3749550258212</v>
      </c>
      <c r="C39" s="4" t="n">
        <v>3115236816468</v>
      </c>
      <c r="D39" s="4" t="n">
        <v>7347857397925</v>
      </c>
      <c r="E39" s="4" t="n">
        <v>4142015762555</v>
      </c>
      <c r="F39" s="4" t="n">
        <v>5061020547422</v>
      </c>
      <c r="G39" s="4" t="n">
        <v>5365704857172</v>
      </c>
      <c r="H39" s="4" t="n">
        <v>4897331540730</v>
      </c>
      <c r="I39" s="4" t="n">
        <v>4999925717187</v>
      </c>
    </row>
    <row r="40">
      <c r="A40" s="3" t="inlineStr">
        <is>
          <t>Phân bổ lợi thế thương mại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</row>
    <row r="41">
      <c r="A41" s="3" t="inlineStr">
        <is>
          <t>Các khoản điều chỉnh khác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</row>
    <row r="42">
      <c r="A42" s="3" t="inlineStr">
        <is>
          <t>(Tăng)/giảm chứng khoán kinh doanh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5"/>
  <sheetViews>
    <sheetView showGridLines="0" workbookViewId="0">
      <selection activeCell="A1" sqref="A1"/>
    </sheetView>
  </sheetViews>
  <sheetFormatPr baseColWidth="8" defaultRowHeight="15"/>
  <cols>
    <col width="40.625" customWidth="1" min="1" max="1"/>
    <col width="18.875" customWidth="1" min="2" max="2"/>
    <col width="21.875" customWidth="1" min="9" max="9"/>
    <col width="20.5" customWidth="1" min="10" max="10"/>
    <col width="9" customWidth="1" min="11" max="11"/>
    <col width="8.875" customWidth="1" min="12" max="12"/>
    <col width="8.875" customWidth="1" min="13" max="13"/>
  </cols>
  <sheetData>
    <row r="1">
      <c r="A1" s="5" t="inlineStr">
        <is>
          <t>Chỉ tiêu</t>
        </is>
      </c>
      <c r="B1" s="6">
        <f>balance_sheet!B1</f>
        <v/>
      </c>
      <c r="C1" s="6">
        <f>balance_sheet!C1</f>
        <v/>
      </c>
      <c r="D1" s="6">
        <f>balance_sheet!D1</f>
        <v/>
      </c>
      <c r="E1" s="6">
        <f>balance_sheet!E1</f>
        <v/>
      </c>
      <c r="F1" s="6">
        <f>balance_sheet!F1</f>
        <v/>
      </c>
      <c r="G1" s="6">
        <f>balance_sheet!G1</f>
        <v/>
      </c>
      <c r="H1" s="6">
        <f>balance_sheet!H1</f>
        <v/>
      </c>
      <c r="I1" s="6">
        <f>balance_sheet!I1</f>
        <v/>
      </c>
      <c r="J1" s="6" t="n">
        <v>2026</v>
      </c>
    </row>
    <row r="2">
      <c r="A2" s="5" t="inlineStr">
        <is>
          <t>ROE (LNST CĐ Cty mẹ / VCSH bình quân)</t>
        </is>
      </c>
      <c r="B2" s="7" t="inlineStr">
        <is>
          <t>n/a</t>
        </is>
      </c>
      <c r="C2" s="8">
        <f>IFERROR(C$51/((C$39+B$39)/2),"n/a")</f>
        <v/>
      </c>
      <c r="D2" s="8">
        <f>IFERROR(D$51/((D$39+C$39)/2),"n/a")</f>
        <v/>
      </c>
      <c r="E2" s="8">
        <f>IFERROR(E$51/((E$39+D$39)/2),"n/a")</f>
        <v/>
      </c>
      <c r="F2" s="8">
        <f>IFERROR(F$51/((F$39+E$39)/2),"n/a")</f>
        <v/>
      </c>
      <c r="G2" s="8">
        <f>IFERROR(G$51/((G$39+F$39)/2),"n/a")</f>
        <v/>
      </c>
      <c r="H2" s="8">
        <f>IFERROR(H$51/((H$39+G$39)/2),"n/a")</f>
        <v/>
      </c>
      <c r="I2" s="8">
        <f>IFERROR(I$51/((I$39+H$39)/2),"n/a")</f>
        <v/>
      </c>
      <c r="J2" s="8">
        <f>IFERROR(J$51/((J$39+I$39)/2),"n/a")</f>
        <v/>
      </c>
    </row>
    <row r="3">
      <c r="A3" s="5" t="inlineStr">
        <is>
          <t>ROA (LNST / Tổng tài sản bình quân)</t>
        </is>
      </c>
      <c r="B3" s="7" t="inlineStr">
        <is>
          <t>n/a</t>
        </is>
      </c>
      <c r="C3" s="8">
        <f>IFERROR(C$50/((C$31+B$31)/2),"n/a")</f>
        <v/>
      </c>
      <c r="D3" s="8">
        <f>IFERROR(D$50/((D$31+C$31)/2),"n/a")</f>
        <v/>
      </c>
      <c r="E3" s="8">
        <f>IFERROR(E$50/((E$31+D$31)/2),"n/a")</f>
        <v/>
      </c>
      <c r="F3" s="8">
        <f>IFERROR(F$50/((F$31+E$31)/2),"n/a")</f>
        <v/>
      </c>
      <c r="G3" s="8">
        <f>IFERROR(G$50/((G$31+F$31)/2),"n/a")</f>
        <v/>
      </c>
      <c r="H3" s="8">
        <f>IFERROR(H$50/((H$31+G$31)/2),"n/a")</f>
        <v/>
      </c>
      <c r="I3" s="8">
        <f>IFERROR(I$50/((I$31+H$31)/2),"n/a")</f>
        <v/>
      </c>
    </row>
    <row r="4">
      <c r="A4" s="5" t="inlineStr">
        <is>
          <t>Tăng trưởng LN Cổ đông Cty mẹ</t>
        </is>
      </c>
      <c r="B4" s="7" t="inlineStr">
        <is>
          <t>n/a</t>
        </is>
      </c>
      <c r="C4" s="8">
        <f>IFERROR((C$51-B$51)/ABS(B$51),"n/a")</f>
        <v/>
      </c>
      <c r="D4" s="8">
        <f>IFERROR((D$51-C$51)/ABS(C$51),"n/a")</f>
        <v/>
      </c>
      <c r="E4" s="8">
        <f>IFERROR((E$51-D$51)/ABS(D$51),"n/a")</f>
        <v/>
      </c>
      <c r="F4" s="8">
        <f>IFERROR((F$51-E$51)/ABS(E$51),"n/a")</f>
        <v/>
      </c>
      <c r="G4" s="8">
        <f>IFERROR((G$51-F$51)/ABS(F$51),"n/a")</f>
        <v/>
      </c>
      <c r="H4" s="8">
        <f>IFERROR((H$51-G$51)/ABS(G$51),"n/a")</f>
        <v/>
      </c>
      <c r="I4" s="8">
        <f>IFERROR((I$51-H$51)/ABS(H$51),"n/a")</f>
        <v/>
      </c>
      <c r="J4" s="8">
        <f>IFERROR((J$51-I$51)/ABS(I$51),"n/a")</f>
        <v/>
      </c>
    </row>
    <row r="5">
      <c r="A5" s="5" t="inlineStr">
        <is>
          <t>Tăng trưởng Doanh thu thuần</t>
        </is>
      </c>
      <c r="B5" s="7" t="inlineStr">
        <is>
          <t>n/a</t>
        </is>
      </c>
      <c r="C5" s="8">
        <f>IFERROR((C$43-B$43)/ABS(B$43),"n/a")</f>
        <v/>
      </c>
      <c r="D5" s="8">
        <f>IFERROR((D$43-C$43)/ABS(C$43),"n/a")</f>
        <v/>
      </c>
      <c r="E5" s="8">
        <f>IFERROR((E$43-D$43)/ABS(D$43),"n/a")</f>
        <v/>
      </c>
      <c r="F5" s="8">
        <f>IFERROR((F$43-E$43)/ABS(E$43),"n/a")</f>
        <v/>
      </c>
      <c r="G5" s="8">
        <f>IFERROR((G$43-F$43)/ABS(F$43),"n/a")</f>
        <v/>
      </c>
      <c r="H5" s="8">
        <f>IFERROR((H$43-G$43)/ABS(G$43),"n/a")</f>
        <v/>
      </c>
      <c r="I5" s="8">
        <f>IFERROR((I$43-H$43)/ABS(H$43),"n/a")</f>
        <v/>
      </c>
      <c r="J5" s="8">
        <f>IFERROR((J$43-I$43)/ABS(I$43),"n/a")</f>
        <v/>
      </c>
    </row>
    <row r="6">
      <c r="A6" s="5" t="inlineStr">
        <is>
          <t>Biên lợi nhuận gộp</t>
        </is>
      </c>
      <c r="B6" s="8">
        <f>IFERROR(B$45/B$43,"n/a")</f>
        <v/>
      </c>
      <c r="C6" s="8">
        <f>IFERROR(C$45/C$43,"n/a")</f>
        <v/>
      </c>
      <c r="D6" s="8">
        <f>IFERROR(D$45/D$43,"n/a")</f>
        <v/>
      </c>
      <c r="E6" s="8">
        <f>IFERROR(E$45/E$43,"n/a")</f>
        <v/>
      </c>
      <c r="F6" s="8">
        <f>IFERROR(F$45/F$43,"n/a")</f>
        <v/>
      </c>
      <c r="G6" s="8">
        <f>IFERROR(G$45/G$43,"n/a")</f>
        <v/>
      </c>
      <c r="H6" s="8">
        <f>IFERROR(H$45/H$43,"n/a")</f>
        <v/>
      </c>
      <c r="I6" s="8">
        <f>IFERROR(I$45/I$43,"n/a")</f>
        <v/>
      </c>
    </row>
    <row r="7">
      <c r="A7" s="5" t="inlineStr">
        <is>
          <t>Biên lợi nhuận ròng</t>
        </is>
      </c>
      <c r="B7" s="8">
        <f>IFERROR(B$51/B$43,"n/a")</f>
        <v/>
      </c>
      <c r="C7" s="8">
        <f>IFERROR(C$51/C$43,"n/a")</f>
        <v/>
      </c>
      <c r="D7" s="8">
        <f>IFERROR(D$51/D$43,"n/a")</f>
        <v/>
      </c>
      <c r="E7" s="8">
        <f>IFERROR(E$51/E$43,"n/a")</f>
        <v/>
      </c>
      <c r="F7" s="8">
        <f>IFERROR(F$51/F$43,"n/a")</f>
        <v/>
      </c>
      <c r="G7" s="8">
        <f>IFERROR(G$51/G$43,"n/a")</f>
        <v/>
      </c>
      <c r="H7" s="8">
        <f>IFERROR(H$51/H$43,"n/a")</f>
        <v/>
      </c>
      <c r="I7" s="8">
        <f>IFERROR(I$51/I$43,"n/a")</f>
        <v/>
      </c>
      <c r="J7" s="8">
        <f>IFERROR(J$51/J$43,"n/a")</f>
        <v/>
      </c>
    </row>
    <row r="8">
      <c r="A8" s="5" t="inlineStr">
        <is>
          <t>D/E (Nợ vay / Vốn chủ sở hữu)</t>
        </is>
      </c>
      <c r="B8" s="9">
        <f>IFERROR((B$34+B$36)/B$39,"n/a")</f>
        <v/>
      </c>
      <c r="C8" s="9">
        <f>IFERROR((C$34+C$36)/C$39,"n/a")</f>
        <v/>
      </c>
      <c r="D8" s="9">
        <f>IFERROR((D$34+D$36)/D$39,"n/a")</f>
        <v/>
      </c>
      <c r="E8" s="9">
        <f>IFERROR((E$34+E$36)/E$39,"n/a")</f>
        <v/>
      </c>
      <c r="F8" s="9">
        <f>IFERROR((F$34+F$36)/F$39,"n/a")</f>
        <v/>
      </c>
      <c r="G8" s="9">
        <f>IFERROR((G$34+G$36)/G$39,"n/a")</f>
        <v/>
      </c>
      <c r="H8" s="9">
        <f>IFERROR((H$34+H$36)/H$39,"n/a")</f>
        <v/>
      </c>
      <c r="I8" s="9">
        <f>IFERROR((I$34+I$36)/I$39,"n/a")</f>
        <v/>
      </c>
    </row>
    <row r="9">
      <c r="A9" s="10" t="inlineStr">
        <is>
          <t xml:space="preserve">     - Nợ vay dài hạn/Vốn chủ sở hữu</t>
        </is>
      </c>
      <c r="B9" s="9">
        <f>IFERROR(B$36/B$39,"n/a")</f>
        <v/>
      </c>
      <c r="C9" s="9">
        <f>IFERROR(C$36/C$39,"n/a")</f>
        <v/>
      </c>
      <c r="D9" s="9">
        <f>IFERROR(D$36/D$39,"n/a")</f>
        <v/>
      </c>
      <c r="E9" s="9">
        <f>IFERROR(E$36/E$39,"n/a")</f>
        <v/>
      </c>
      <c r="F9" s="9">
        <f>IFERROR(F$36/F$39,"n/a")</f>
        <v/>
      </c>
      <c r="G9" s="9">
        <f>IFERROR(G$36/G$39,"n/a")</f>
        <v/>
      </c>
      <c r="H9" s="9">
        <f>IFERROR(H$36/H$39,"n/a")</f>
        <v/>
      </c>
      <c r="I9" s="9">
        <f>IFERROR(I$36/I$39,"n/a")</f>
        <v/>
      </c>
    </row>
    <row r="10">
      <c r="A10" s="10" t="inlineStr">
        <is>
          <t xml:space="preserve">     - Nợ vay ngắn hạn/Vốn chủ sở hữu</t>
        </is>
      </c>
      <c r="B10" s="9">
        <f>IFERROR(B$34/B$39,"n/a")</f>
        <v/>
      </c>
      <c r="C10" s="9">
        <f>IFERROR(C$34/C$39,"n/a")</f>
        <v/>
      </c>
      <c r="D10" s="9">
        <f>IFERROR(D$34/D$39,"n/a")</f>
        <v/>
      </c>
      <c r="E10" s="9">
        <f>IFERROR(E$34/E$39,"n/a")</f>
        <v/>
      </c>
      <c r="F10" s="9">
        <f>IFERROR(F$34/F$39,"n/a")</f>
        <v/>
      </c>
      <c r="G10" s="9">
        <f>IFERROR(G$34/G$39,"n/a")</f>
        <v/>
      </c>
      <c r="H10" s="9">
        <f>IFERROR(H$34/H$39,"n/a")</f>
        <v/>
      </c>
      <c r="I10" s="9">
        <f>IFERROR(I$34/I$39,"n/a")</f>
        <v/>
      </c>
    </row>
    <row r="11">
      <c r="A11" s="5" t="inlineStr">
        <is>
          <t>Nợ phải trả/Vốn chủ sở hữu</t>
        </is>
      </c>
      <c r="B11" s="9">
        <f>IFERROR(B$38/B$39,"n/a")</f>
        <v/>
      </c>
      <c r="C11" s="9">
        <f>IFERROR(C$38/C$39,"n/a")</f>
        <v/>
      </c>
      <c r="D11" s="9">
        <f>IFERROR(D$38/D$39,"n/a")</f>
        <v/>
      </c>
      <c r="E11" s="9">
        <f>IFERROR(E$38/E$39,"n/a")</f>
        <v/>
      </c>
      <c r="F11" s="9">
        <f>IFERROR(F$38/F$39,"n/a")</f>
        <v/>
      </c>
      <c r="G11" s="9">
        <f>IFERROR(G$38/G$39,"n/a")</f>
        <v/>
      </c>
      <c r="H11" s="9">
        <f>IFERROR(H$38/H$39,"n/a")</f>
        <v/>
      </c>
      <c r="I11" s="9">
        <f>IFERROR(I$38/I$39,"n/a")</f>
        <v/>
      </c>
    </row>
    <row r="12">
      <c r="A12" s="10" t="inlineStr">
        <is>
          <t xml:space="preserve">     - Nợ dài hạn/Vốn chủ sở hữu</t>
        </is>
      </c>
      <c r="B12" s="9">
        <f>IFERROR(B$37/B$39,"n/a")</f>
        <v/>
      </c>
      <c r="C12" s="9">
        <f>IFERROR(C$37/C$39,"n/a")</f>
        <v/>
      </c>
      <c r="D12" s="9">
        <f>IFERROR(D$37/D$39,"n/a")</f>
        <v/>
      </c>
      <c r="E12" s="9">
        <f>IFERROR(E$37/E$39,"n/a")</f>
        <v/>
      </c>
      <c r="F12" s="9">
        <f>IFERROR(F$37/F$39,"n/a")</f>
        <v/>
      </c>
      <c r="G12" s="9">
        <f>IFERROR(G$37/G$39,"n/a")</f>
        <v/>
      </c>
      <c r="H12" s="9">
        <f>IFERROR(H$37/H$39,"n/a")</f>
        <v/>
      </c>
      <c r="I12" s="9">
        <f>IFERROR(I$37/I$39,"n/a")</f>
        <v/>
      </c>
    </row>
    <row r="13">
      <c r="A13" s="10" t="inlineStr">
        <is>
          <t xml:space="preserve">     - Nợ ngắn hạn/Vốn chủ sở hữu</t>
        </is>
      </c>
      <c r="B13" s="9">
        <f>IFERROR(B$35/B$39,"n/a")</f>
        <v/>
      </c>
      <c r="C13" s="9">
        <f>IFERROR(C$35/C$39,"n/a")</f>
        <v/>
      </c>
      <c r="D13" s="9">
        <f>IFERROR(D$35/D$39,"n/a")</f>
        <v/>
      </c>
      <c r="E13" s="9">
        <f>IFERROR(E$35/E$39,"n/a")</f>
        <v/>
      </c>
      <c r="F13" s="9">
        <f>IFERROR(F$35/F$39,"n/a")</f>
        <v/>
      </c>
      <c r="G13" s="9">
        <f>IFERROR(G$35/G$39,"n/a")</f>
        <v/>
      </c>
      <c r="H13" s="9">
        <f>IFERROR(H$35/H$39,"n/a")</f>
        <v/>
      </c>
      <c r="I13" s="9">
        <f>IFERROR(I$35/I$39,"n/a")</f>
        <v/>
      </c>
    </row>
    <row r="14">
      <c r="A14" s="5" t="inlineStr">
        <is>
          <t>Chi phí bán hàng, quản lý/LN gộp</t>
        </is>
      </c>
      <c r="B14" s="8">
        <f>IFERROR((ABS(B$46)+ABS(B$47))/B$45,"n/a")</f>
        <v/>
      </c>
      <c r="C14" s="8">
        <f>IFERROR((ABS(C$46)+ABS(C$47))/C$45,"n/a")</f>
        <v/>
      </c>
      <c r="D14" s="8">
        <f>IFERROR((ABS(D$46)+ABS(D$47))/D$45,"n/a")</f>
        <v/>
      </c>
      <c r="E14" s="8">
        <f>IFERROR((ABS(E$46)+ABS(E$47))/E$45,"n/a")</f>
        <v/>
      </c>
      <c r="F14" s="8">
        <f>IFERROR((ABS(F$46)+ABS(F$47))/F$45,"n/a")</f>
        <v/>
      </c>
      <c r="G14" s="8">
        <f>IFERROR((ABS(G$46)+ABS(G$47))/G$45,"n/a")</f>
        <v/>
      </c>
      <c r="H14" s="8">
        <f>IFERROR((ABS(H$46)+ABS(H$47))/H$45,"n/a")</f>
        <v/>
      </c>
      <c r="I14" s="8">
        <f>IFERROR((ABS(I$46)+ABS(I$47))/I$45,"n/a")</f>
        <v/>
      </c>
    </row>
    <row r="15">
      <c r="A15" s="5" t="inlineStr">
        <is>
          <t>Chi phí lãi vay/LN từ hoạt động kinh doanh</t>
        </is>
      </c>
      <c r="B15" s="8">
        <f>IFERROR(ABS(B$49)/B$48,"n/a")</f>
        <v/>
      </c>
      <c r="C15" s="8">
        <f>IFERROR(ABS(C$49)/C$48,"n/a")</f>
        <v/>
      </c>
      <c r="D15" s="8">
        <f>IFERROR(ABS(D$49)/D$48,"n/a")</f>
        <v/>
      </c>
      <c r="E15" s="8">
        <f>IFERROR(ABS(E$49)/E$48,"n/a")</f>
        <v/>
      </c>
      <c r="F15" s="8">
        <f>IFERROR(ABS(F$49)/F$48,"n/a")</f>
        <v/>
      </c>
      <c r="G15" s="8">
        <f>IFERROR(ABS(G$49)/G$48,"n/a")</f>
        <v/>
      </c>
      <c r="H15" s="8">
        <f>IFERROR(ABS(H$49)/H$48,"n/a")</f>
        <v/>
      </c>
      <c r="I15" s="8">
        <f>IFERROR(ABS(I$49)/I$48,"n/a")</f>
        <v/>
      </c>
    </row>
    <row r="16">
      <c r="A16" s="5" t="inlineStr">
        <is>
          <t>Số ngày phải trả (DPO)</t>
        </is>
      </c>
      <c r="B16" s="11" t="inlineStr">
        <is>
          <t>n/a</t>
        </is>
      </c>
      <c r="C16" s="12">
        <f>IFERROR(((C$33+B$33)/2)/ABS(C$44)*365,"n/a")</f>
        <v/>
      </c>
      <c r="D16" s="12">
        <f>IFERROR(((D$33+C$33)/2)/ABS(D$44)*365,"n/a")</f>
        <v/>
      </c>
      <c r="E16" s="12">
        <f>IFERROR(((E$33+D$33)/2)/ABS(E$44)*365,"n/a")</f>
        <v/>
      </c>
      <c r="F16" s="12">
        <f>IFERROR(((F$33+E$33)/2)/ABS(F$44)*365,"n/a")</f>
        <v/>
      </c>
      <c r="G16" s="12">
        <f>IFERROR(((G$33+F$33)/2)/ABS(G$44)*365,"n/a")</f>
        <v/>
      </c>
      <c r="H16" s="12">
        <f>IFERROR(((H$33+G$33)/2)/ABS(H$44)*365,"n/a")</f>
        <v/>
      </c>
      <c r="I16" s="12">
        <f>IFERROR(((I$33+H$33)/2)/ABS(I$44)*365,"n/a")</f>
        <v/>
      </c>
    </row>
    <row r="17">
      <c r="A17" s="5" t="inlineStr">
        <is>
          <t>Số ngày phải thu (DSO)</t>
        </is>
      </c>
      <c r="B17" s="11" t="inlineStr">
        <is>
          <t>n/a</t>
        </is>
      </c>
      <c r="C17" s="12">
        <f>IFERROR(((C$27+B$27)/2)/C$43*365,"n/a")</f>
        <v/>
      </c>
      <c r="D17" s="12">
        <f>IFERROR(((D$27+C$27)/2)/D$43*365,"n/a")</f>
        <v/>
      </c>
      <c r="E17" s="12">
        <f>IFERROR(((E$27+D$27)/2)/E$43*365,"n/a")</f>
        <v/>
      </c>
      <c r="F17" s="12">
        <f>IFERROR(((F$27+E$27)/2)/F$43*365,"n/a")</f>
        <v/>
      </c>
      <c r="G17" s="12">
        <f>IFERROR(((G$27+F$27)/2)/G$43*365,"n/a")</f>
        <v/>
      </c>
      <c r="H17" s="12">
        <f>IFERROR(((H$27+G$27)/2)/H$43*365,"n/a")</f>
        <v/>
      </c>
      <c r="I17" s="12">
        <f>IFERROR(((I$27+H$27)/2)/I$43*365,"n/a")</f>
        <v/>
      </c>
    </row>
    <row r="18">
      <c r="A18" s="5" t="inlineStr">
        <is>
          <t>Số ngày tồn kho (DIO)</t>
        </is>
      </c>
      <c r="B18" s="11" t="inlineStr">
        <is>
          <t>n/a</t>
        </is>
      </c>
      <c r="C18" s="12">
        <f>IFERROR(((C$28+B$28)/2)/ABS(C$44)*365,"n/a")</f>
        <v/>
      </c>
      <c r="D18" s="12">
        <f>IFERROR(((D$28+C$28)/2)/ABS(D$44)*365,"n/a")</f>
        <v/>
      </c>
      <c r="E18" s="12">
        <f>IFERROR(((E$28+D$28)/2)/ABS(E$44)*365,"n/a")</f>
        <v/>
      </c>
      <c r="F18" s="12">
        <f>IFERROR(((F$28+E$28)/2)/ABS(F$44)*365,"n/a")</f>
        <v/>
      </c>
      <c r="G18" s="12">
        <f>IFERROR(((G$28+F$28)/2)/ABS(G$44)*365,"n/a")</f>
        <v/>
      </c>
      <c r="H18" s="12">
        <f>IFERROR(((H$28+G$28)/2)/ABS(H$44)*365,"n/a")</f>
        <v/>
      </c>
      <c r="I18" s="12">
        <f>IFERROR(((I$28+H$28)/2)/ABS(I$44)*365,"n/a")</f>
        <v/>
      </c>
    </row>
    <row r="19">
      <c r="A19" s="5" t="inlineStr">
        <is>
          <t>Tiền và tương đương tiền/Tài sản</t>
        </is>
      </c>
      <c r="B19" s="8">
        <f>IFERROR(B$26/B$31,"n/a")</f>
        <v/>
      </c>
      <c r="C19" s="8">
        <f>IFERROR(C$26/C$31,"n/a")</f>
        <v/>
      </c>
      <c r="D19" s="8">
        <f>IFERROR(D$26/D$31,"n/a")</f>
        <v/>
      </c>
      <c r="E19" s="8">
        <f>IFERROR(E$26/E$31,"n/a")</f>
        <v/>
      </c>
      <c r="F19" s="8">
        <f>IFERROR(F$26/F$31,"n/a")</f>
        <v/>
      </c>
      <c r="G19" s="8">
        <f>IFERROR(G$26/G$31,"n/a")</f>
        <v/>
      </c>
      <c r="H19" s="8">
        <f>IFERROR(H$26/H$31,"n/a")</f>
        <v/>
      </c>
      <c r="I19" s="8">
        <f>IFERROR(I$26/I$31,"n/a")</f>
        <v/>
      </c>
    </row>
    <row r="20">
      <c r="A20" s="5" t="inlineStr">
        <is>
          <t>Hàng tồn kho/Tài sản</t>
        </is>
      </c>
      <c r="B20" s="8">
        <f>IFERROR(B$28/B$31,"n/a")</f>
        <v/>
      </c>
      <c r="C20" s="8">
        <f>IFERROR(C$28/C$31,"n/a")</f>
        <v/>
      </c>
      <c r="D20" s="8">
        <f>IFERROR(D$28/D$31,"n/a")</f>
        <v/>
      </c>
      <c r="E20" s="8">
        <f>IFERROR(E$28/E$31,"n/a")</f>
        <v/>
      </c>
      <c r="F20" s="8">
        <f>IFERROR(F$28/F$31,"n/a")</f>
        <v/>
      </c>
      <c r="G20" s="8">
        <f>IFERROR(G$28/G$31,"n/a")</f>
        <v/>
      </c>
      <c r="H20" s="8">
        <f>IFERROR(H$28/H$31,"n/a")</f>
        <v/>
      </c>
      <c r="I20" s="8">
        <f>IFERROR(I$28/I$31,"n/a")</f>
        <v/>
      </c>
    </row>
    <row r="22">
      <c r="A22" s="13" t="inlineStr">
        <is>
          <t>II. DỮ LIỆU TRÍCH XUẤT (tự động dò theo tên khoản mục)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</row>
    <row r="23">
      <c r="A23" s="15" t="inlineStr">
        <is>
          <t>Khoản mục</t>
        </is>
      </c>
      <c r="B23" s="16">
        <f>balance_sheet!B1</f>
        <v/>
      </c>
      <c r="C23" s="16">
        <f>balance_sheet!C1</f>
        <v/>
      </c>
      <c r="D23" s="16">
        <f>balance_sheet!D1</f>
        <v/>
      </c>
      <c r="E23" s="16">
        <f>balance_sheet!E1</f>
        <v/>
      </c>
      <c r="F23" s="16">
        <f>balance_sheet!F1</f>
        <v/>
      </c>
      <c r="G23" s="16">
        <f>balance_sheet!G1</f>
        <v/>
      </c>
      <c r="H23" s="16">
        <f>balance_sheet!H1</f>
        <v/>
      </c>
      <c r="I23" s="16">
        <f>balance_sheet!I1</f>
        <v/>
      </c>
    </row>
    <row r="24">
      <c r="A24" s="15" t="inlineStr">
        <is>
          <t>CĐKT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</row>
    <row r="25">
      <c r="A25" s="15" t="inlineStr">
        <is>
          <t>Tài sản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</row>
    <row r="26">
      <c r="A26" s="17" t="inlineStr">
        <is>
          <t>Tiền và tương đương tiền</t>
        </is>
      </c>
      <c r="B26" s="18">
        <f>IFERROR(INDEX(balance_sheet!$B:$XFD,MATCH("Tiền và tương đương tiền",balance_sheet!$A:$A,0),MATCH(B$23,balance_sheet!$B$1:$XFD$1,0)),"")</f>
        <v/>
      </c>
      <c r="C26" s="18">
        <f>IFERROR(INDEX(balance_sheet!$B:$XFD,MATCH("Tiền và tương đương tiền",balance_sheet!$A:$A,0),MATCH(C$23,balance_sheet!$B$1:$XFD$1,0)),"")</f>
        <v/>
      </c>
      <c r="D26" s="18">
        <f>IFERROR(INDEX(balance_sheet!$B:$XFD,MATCH("Tiền và tương đương tiền",balance_sheet!$A:$A,0),MATCH(D$23,balance_sheet!$B$1:$XFD$1,0)),"")</f>
        <v/>
      </c>
      <c r="E26" s="18">
        <f>IFERROR(INDEX(balance_sheet!$B:$XFD,MATCH("Tiền và tương đương tiền",balance_sheet!$A:$A,0),MATCH(E$23,balance_sheet!$B$1:$XFD$1,0)),"")</f>
        <v/>
      </c>
      <c r="F26" s="18">
        <f>IFERROR(INDEX(balance_sheet!$B:$XFD,MATCH("Tiền và tương đương tiền",balance_sheet!$A:$A,0),MATCH(F$23,balance_sheet!$B$1:$XFD$1,0)),"")</f>
        <v/>
      </c>
      <c r="G26" s="18">
        <f>IFERROR(INDEX(balance_sheet!$B:$XFD,MATCH("Tiền và tương đương tiền",balance_sheet!$A:$A,0),MATCH(G$23,balance_sheet!$B$1:$XFD$1,0)),"")</f>
        <v/>
      </c>
      <c r="H26" s="18">
        <f>IFERROR(INDEX(balance_sheet!$B:$XFD,MATCH("Tiền và tương đương tiền",balance_sheet!$A:$A,0),MATCH(H$23,balance_sheet!$B$1:$XFD$1,0)),"")</f>
        <v/>
      </c>
      <c r="I26" s="18">
        <f>IFERROR(INDEX(balance_sheet!$B:$XFD,MATCH("Tiền và tương đương tiền",balance_sheet!$A:$A,0),MATCH(I$23,balance_sheet!$B$1:$XFD$1,0)),"")</f>
        <v/>
      </c>
    </row>
    <row r="27">
      <c r="A27" s="17" t="inlineStr">
        <is>
          <t>Phải thu khách hàng</t>
        </is>
      </c>
      <c r="B27" s="18">
        <f>IFERROR(INDEX(balance_sheet!$B:$XFD,MATCH("Phải thu khách hàng",balance_sheet!$A:$A,0),MATCH(B$23,balance_sheet!$B$1:$XFD$1,0)),"")</f>
        <v/>
      </c>
      <c r="C27" s="18">
        <f>IFERROR(INDEX(balance_sheet!$B:$XFD,MATCH("Phải thu khách hàng",balance_sheet!$A:$A,0),MATCH(C$23,balance_sheet!$B$1:$XFD$1,0)),"")</f>
        <v/>
      </c>
      <c r="D27" s="18">
        <f>IFERROR(INDEX(balance_sheet!$B:$XFD,MATCH("Phải thu khách hàng",balance_sheet!$A:$A,0),MATCH(D$23,balance_sheet!$B$1:$XFD$1,0)),"")</f>
        <v/>
      </c>
      <c r="E27" s="18">
        <f>IFERROR(INDEX(balance_sheet!$B:$XFD,MATCH("Phải thu khách hàng",balance_sheet!$A:$A,0),MATCH(E$23,balance_sheet!$B$1:$XFD$1,0)),"")</f>
        <v/>
      </c>
      <c r="F27" s="18">
        <f>IFERROR(INDEX(balance_sheet!$B:$XFD,MATCH("Phải thu khách hàng",balance_sheet!$A:$A,0),MATCH(F$23,balance_sheet!$B$1:$XFD$1,0)),"")</f>
        <v/>
      </c>
      <c r="G27" s="18">
        <f>IFERROR(INDEX(balance_sheet!$B:$XFD,MATCH("Phải thu khách hàng",balance_sheet!$A:$A,0),MATCH(G$23,balance_sheet!$B$1:$XFD$1,0)),"")</f>
        <v/>
      </c>
      <c r="H27" s="18">
        <f>IFERROR(INDEX(balance_sheet!$B:$XFD,MATCH("Phải thu khách hàng",balance_sheet!$A:$A,0),MATCH(H$23,balance_sheet!$B$1:$XFD$1,0)),"")</f>
        <v/>
      </c>
      <c r="I27" s="18">
        <f>IFERROR(INDEX(balance_sheet!$B:$XFD,MATCH("Phải thu khách hàng",balance_sheet!$A:$A,0),MATCH(I$23,balance_sheet!$B$1:$XFD$1,0)),"")</f>
        <v/>
      </c>
    </row>
    <row r="28">
      <c r="A28" s="17" t="inlineStr">
        <is>
          <t>Hàng tồn kho, ròng</t>
        </is>
      </c>
      <c r="B28" s="18">
        <f>IFERROR(INDEX(balance_sheet!$B:$XFD,MATCH("Hàng tồn kho, ròng",balance_sheet!$A:$A,0),MATCH(B$23,balance_sheet!$B$1:$XFD$1,0)),"")</f>
        <v/>
      </c>
      <c r="C28" s="18">
        <f>IFERROR(INDEX(balance_sheet!$B:$XFD,MATCH("Hàng tồn kho, ròng",balance_sheet!$A:$A,0),MATCH(C$23,balance_sheet!$B$1:$XFD$1,0)),"")</f>
        <v/>
      </c>
      <c r="D28" s="18">
        <f>IFERROR(INDEX(balance_sheet!$B:$XFD,MATCH("Hàng tồn kho, ròng",balance_sheet!$A:$A,0),MATCH(D$23,balance_sheet!$B$1:$XFD$1,0)),"")</f>
        <v/>
      </c>
      <c r="E28" s="18">
        <f>IFERROR(INDEX(balance_sheet!$B:$XFD,MATCH("Hàng tồn kho, ròng",balance_sheet!$A:$A,0),MATCH(E$23,balance_sheet!$B$1:$XFD$1,0)),"")</f>
        <v/>
      </c>
      <c r="F28" s="18">
        <f>IFERROR(INDEX(balance_sheet!$B:$XFD,MATCH("Hàng tồn kho, ròng",balance_sheet!$A:$A,0),MATCH(F$23,balance_sheet!$B$1:$XFD$1,0)),"")</f>
        <v/>
      </c>
      <c r="G28" s="18">
        <f>IFERROR(INDEX(balance_sheet!$B:$XFD,MATCH("Hàng tồn kho, ròng",balance_sheet!$A:$A,0),MATCH(G$23,balance_sheet!$B$1:$XFD$1,0)),"")</f>
        <v/>
      </c>
      <c r="H28" s="18">
        <f>IFERROR(INDEX(balance_sheet!$B:$XFD,MATCH("Hàng tồn kho, ròng",balance_sheet!$A:$A,0),MATCH(H$23,balance_sheet!$B$1:$XFD$1,0)),"")</f>
        <v/>
      </c>
      <c r="I28" s="18">
        <f>IFERROR(INDEX(balance_sheet!$B:$XFD,MATCH("Hàng tồn kho, ròng",balance_sheet!$A:$A,0),MATCH(I$23,balance_sheet!$B$1:$XFD$1,0)),"")</f>
        <v/>
      </c>
    </row>
    <row r="29">
      <c r="A29" s="17" t="inlineStr">
        <is>
          <t>TÀI SẢN NGẮN HẠN</t>
        </is>
      </c>
      <c r="B29" s="18">
        <f>IFERROR(INDEX(balance_sheet!$B:$XFD,MATCH("TÀI SẢN NGẮN HẠN",balance_sheet!$A:$A,0),MATCH(B$23,balance_sheet!$B$1:$XFD$1,0)),"")</f>
        <v/>
      </c>
      <c r="C29" s="18">
        <f>IFERROR(INDEX(balance_sheet!$B:$XFD,MATCH("TÀI SẢN NGẮN HẠN",balance_sheet!$A:$A,0),MATCH(C$23,balance_sheet!$B$1:$XFD$1,0)),"")</f>
        <v/>
      </c>
      <c r="D29" s="18">
        <f>IFERROR(INDEX(balance_sheet!$B:$XFD,MATCH("TÀI SẢN NGẮN HẠN",balance_sheet!$A:$A,0),MATCH(D$23,balance_sheet!$B$1:$XFD$1,0)),"")</f>
        <v/>
      </c>
      <c r="E29" s="18">
        <f>IFERROR(INDEX(balance_sheet!$B:$XFD,MATCH("TÀI SẢN NGẮN HẠN",balance_sheet!$A:$A,0),MATCH(E$23,balance_sheet!$B$1:$XFD$1,0)),"")</f>
        <v/>
      </c>
      <c r="F29" s="18">
        <f>IFERROR(INDEX(balance_sheet!$B:$XFD,MATCH("TÀI SẢN NGẮN HẠN",balance_sheet!$A:$A,0),MATCH(F$23,balance_sheet!$B$1:$XFD$1,0)),"")</f>
        <v/>
      </c>
      <c r="G29" s="18">
        <f>IFERROR(INDEX(balance_sheet!$B:$XFD,MATCH("TÀI SẢN NGẮN HẠN",balance_sheet!$A:$A,0),MATCH(G$23,balance_sheet!$B$1:$XFD$1,0)),"")</f>
        <v/>
      </c>
      <c r="H29" s="18">
        <f>IFERROR(INDEX(balance_sheet!$B:$XFD,MATCH("TÀI SẢN NGẮN HẠN",balance_sheet!$A:$A,0),MATCH(H$23,balance_sheet!$B$1:$XFD$1,0)),"")</f>
        <v/>
      </c>
      <c r="I29" s="18">
        <f>IFERROR(INDEX(balance_sheet!$B:$XFD,MATCH("TÀI SẢN NGẮN HẠN",balance_sheet!$A:$A,0),MATCH(I$23,balance_sheet!$B$1:$XFD$1,0)),"")</f>
        <v/>
      </c>
    </row>
    <row r="30">
      <c r="A30" s="17" t="inlineStr">
        <is>
          <t>GTCL tài sản cố định vô hình</t>
        </is>
      </c>
      <c r="B30" s="18">
        <f>IFERROR(INDEX(balance_sheet!$B:$XFD,MATCH("GTCL tài sản cố định vô hình",balance_sheet!$A:$A,0),MATCH(B$23,balance_sheet!$B$1:$XFD$1,0)),"")</f>
        <v/>
      </c>
      <c r="C30" s="18">
        <f>IFERROR(INDEX(balance_sheet!$B:$XFD,MATCH("GTCL tài sản cố định vô hình",balance_sheet!$A:$A,0),MATCH(C$23,balance_sheet!$B$1:$XFD$1,0)),"")</f>
        <v/>
      </c>
      <c r="D30" s="18">
        <f>IFERROR(INDEX(balance_sheet!$B:$XFD,MATCH("GTCL tài sản cố định vô hình",balance_sheet!$A:$A,0),MATCH(D$23,balance_sheet!$B$1:$XFD$1,0)),"")</f>
        <v/>
      </c>
      <c r="E30" s="18">
        <f>IFERROR(INDEX(balance_sheet!$B:$XFD,MATCH("GTCL tài sản cố định vô hình",balance_sheet!$A:$A,0),MATCH(E$23,balance_sheet!$B$1:$XFD$1,0)),"")</f>
        <v/>
      </c>
      <c r="F30" s="18">
        <f>IFERROR(INDEX(balance_sheet!$B:$XFD,MATCH("GTCL tài sản cố định vô hình",balance_sheet!$A:$A,0),MATCH(F$23,balance_sheet!$B$1:$XFD$1,0)),"")</f>
        <v/>
      </c>
      <c r="G30" s="18">
        <f>IFERROR(INDEX(balance_sheet!$B:$XFD,MATCH("GTCL tài sản cố định vô hình",balance_sheet!$A:$A,0),MATCH(G$23,balance_sheet!$B$1:$XFD$1,0)),"")</f>
        <v/>
      </c>
      <c r="H30" s="18">
        <f>IFERROR(INDEX(balance_sheet!$B:$XFD,MATCH("GTCL tài sản cố định vô hình",balance_sheet!$A:$A,0),MATCH(H$23,balance_sheet!$B$1:$XFD$1,0)),"")</f>
        <v/>
      </c>
      <c r="I30" s="18">
        <f>IFERROR(INDEX(balance_sheet!$B:$XFD,MATCH("GTCL tài sản cố định vô hình",balance_sheet!$A:$A,0),MATCH(I$23,balance_sheet!$B$1:$XFD$1,0)),"")</f>
        <v/>
      </c>
    </row>
    <row r="31">
      <c r="A31" s="17" t="inlineStr">
        <is>
          <t>TỔNG CỘNG TÀI SẢN</t>
        </is>
      </c>
      <c r="B31" s="18">
        <f>IFERROR(INDEX(balance_sheet!$B:$XFD,MATCH("TỔNG CỘNG TÀI SẢN",balance_sheet!$A:$A,0),MATCH(B$23,balance_sheet!$B$1:$XFD$1,0)),"")</f>
        <v/>
      </c>
      <c r="C31" s="18">
        <f>IFERROR(INDEX(balance_sheet!$B:$XFD,MATCH("TỔNG CỘNG TÀI SẢN",balance_sheet!$A:$A,0),MATCH(C$23,balance_sheet!$B$1:$XFD$1,0)),"")</f>
        <v/>
      </c>
      <c r="D31" s="18">
        <f>IFERROR(INDEX(balance_sheet!$B:$XFD,MATCH("TỔNG CỘNG TÀI SẢN",balance_sheet!$A:$A,0),MATCH(D$23,balance_sheet!$B$1:$XFD$1,0)),"")</f>
        <v/>
      </c>
      <c r="E31" s="18">
        <f>IFERROR(INDEX(balance_sheet!$B:$XFD,MATCH("TỔNG CỘNG TÀI SẢN",balance_sheet!$A:$A,0),MATCH(E$23,balance_sheet!$B$1:$XFD$1,0)),"")</f>
        <v/>
      </c>
      <c r="F31" s="18">
        <f>IFERROR(INDEX(balance_sheet!$B:$XFD,MATCH("TỔNG CỘNG TÀI SẢN",balance_sheet!$A:$A,0),MATCH(F$23,balance_sheet!$B$1:$XFD$1,0)),"")</f>
        <v/>
      </c>
      <c r="G31" s="18">
        <f>IFERROR(INDEX(balance_sheet!$B:$XFD,MATCH("TỔNG CỘNG TÀI SẢN",balance_sheet!$A:$A,0),MATCH(G$23,balance_sheet!$B$1:$XFD$1,0)),"")</f>
        <v/>
      </c>
      <c r="H31" s="18">
        <f>IFERROR(INDEX(balance_sheet!$B:$XFD,MATCH("TỔNG CỘNG TÀI SẢN",balance_sheet!$A:$A,0),MATCH(H$23,balance_sheet!$B$1:$XFD$1,0)),"")</f>
        <v/>
      </c>
      <c r="I31" s="18">
        <f>IFERROR(INDEX(balance_sheet!$B:$XFD,MATCH("TỔNG CỘNG TÀI SẢN",balance_sheet!$A:$A,0),MATCH(I$23,balance_sheet!$B$1:$XFD$1,0)),"")</f>
        <v/>
      </c>
    </row>
    <row r="32">
      <c r="A32" s="15" t="inlineStr">
        <is>
          <t>Nguồn vốn</t>
        </is>
      </c>
      <c r="B32" s="18" t="n"/>
      <c r="C32" s="18" t="n"/>
      <c r="D32" s="18" t="n"/>
      <c r="E32" s="18" t="n"/>
      <c r="F32" s="18" t="n"/>
      <c r="G32" s="18" t="n"/>
      <c r="H32" s="18" t="n"/>
      <c r="I32" s="18" t="n"/>
    </row>
    <row r="33">
      <c r="A33" s="17" t="inlineStr">
        <is>
          <t>Phải trả người bán</t>
        </is>
      </c>
      <c r="B33" s="18">
        <f>IFERROR(INDEX(balance_sheet!$B:$XFD,MATCH("Phải trả người bán",balance_sheet!$A:$A,0),MATCH(B$23,balance_sheet!$B$1:$XFD$1,0)),"")</f>
        <v/>
      </c>
      <c r="C33" s="18">
        <f>IFERROR(INDEX(balance_sheet!$B:$XFD,MATCH("Phải trả người bán",balance_sheet!$A:$A,0),MATCH(C$23,balance_sheet!$B$1:$XFD$1,0)),"")</f>
        <v/>
      </c>
      <c r="D33" s="18">
        <f>IFERROR(INDEX(balance_sheet!$B:$XFD,MATCH("Phải trả người bán",balance_sheet!$A:$A,0),MATCH(D$23,balance_sheet!$B$1:$XFD$1,0)),"")</f>
        <v/>
      </c>
      <c r="E33" s="18">
        <f>IFERROR(INDEX(balance_sheet!$B:$XFD,MATCH("Phải trả người bán",balance_sheet!$A:$A,0),MATCH(E$23,balance_sheet!$B$1:$XFD$1,0)),"")</f>
        <v/>
      </c>
      <c r="F33" s="18">
        <f>IFERROR(INDEX(balance_sheet!$B:$XFD,MATCH("Phải trả người bán",balance_sheet!$A:$A,0),MATCH(F$23,balance_sheet!$B$1:$XFD$1,0)),"")</f>
        <v/>
      </c>
      <c r="G33" s="18">
        <f>IFERROR(INDEX(balance_sheet!$B:$XFD,MATCH("Phải trả người bán",balance_sheet!$A:$A,0),MATCH(G$23,balance_sheet!$B$1:$XFD$1,0)),"")</f>
        <v/>
      </c>
      <c r="H33" s="18">
        <f>IFERROR(INDEX(balance_sheet!$B:$XFD,MATCH("Phải trả người bán",balance_sheet!$A:$A,0),MATCH(H$23,balance_sheet!$B$1:$XFD$1,0)),"")</f>
        <v/>
      </c>
      <c r="I33" s="18">
        <f>IFERROR(INDEX(balance_sheet!$B:$XFD,MATCH("Phải trả người bán",balance_sheet!$A:$A,0),MATCH(I$23,balance_sheet!$B$1:$XFD$1,0)),"")</f>
        <v/>
      </c>
    </row>
    <row r="34">
      <c r="A34" s="17" t="inlineStr">
        <is>
          <t>Vay ngắn hạn</t>
        </is>
      </c>
      <c r="B34" s="18">
        <f>IFERROR(INDEX(balance_sheet!$B:$XFD,MATCH("Vay ngắn hạn",balance_sheet!$A:$A,0),MATCH(B$23,balance_sheet!$B$1:$XFD$1,0)),"")</f>
        <v/>
      </c>
      <c r="C34" s="18">
        <f>IFERROR(INDEX(balance_sheet!$B:$XFD,MATCH("Vay ngắn hạn",balance_sheet!$A:$A,0),MATCH(C$23,balance_sheet!$B$1:$XFD$1,0)),"")</f>
        <v/>
      </c>
      <c r="D34" s="18">
        <f>IFERROR(INDEX(balance_sheet!$B:$XFD,MATCH("Vay ngắn hạn",balance_sheet!$A:$A,0),MATCH(D$23,balance_sheet!$B$1:$XFD$1,0)),"")</f>
        <v/>
      </c>
      <c r="E34" s="18">
        <f>IFERROR(INDEX(balance_sheet!$B:$XFD,MATCH("Vay ngắn hạn",balance_sheet!$A:$A,0),MATCH(E$23,balance_sheet!$B$1:$XFD$1,0)),"")</f>
        <v/>
      </c>
      <c r="F34" s="18">
        <f>IFERROR(INDEX(balance_sheet!$B:$XFD,MATCH("Vay ngắn hạn",balance_sheet!$A:$A,0),MATCH(F$23,balance_sheet!$B$1:$XFD$1,0)),"")</f>
        <v/>
      </c>
      <c r="G34" s="18">
        <f>IFERROR(INDEX(balance_sheet!$B:$XFD,MATCH("Vay ngắn hạn",balance_sheet!$A:$A,0),MATCH(G$23,balance_sheet!$B$1:$XFD$1,0)),"")</f>
        <v/>
      </c>
      <c r="H34" s="18">
        <f>IFERROR(INDEX(balance_sheet!$B:$XFD,MATCH("Vay ngắn hạn",balance_sheet!$A:$A,0),MATCH(H$23,balance_sheet!$B$1:$XFD$1,0)),"")</f>
        <v/>
      </c>
      <c r="I34" s="18">
        <f>IFERROR(INDEX(balance_sheet!$B:$XFD,MATCH("Vay ngắn hạn",balance_sheet!$A:$A,0),MATCH(I$23,balance_sheet!$B$1:$XFD$1,0)),"")</f>
        <v/>
      </c>
    </row>
    <row r="35">
      <c r="A35" s="17" t="inlineStr">
        <is>
          <t>Nợ ngắn hạn</t>
        </is>
      </c>
      <c r="B35" s="18">
        <f>IFERROR(INDEX(balance_sheet!$B:$XFD,MATCH("Nợ ngắn hạn",balance_sheet!$A:$A,0),MATCH(B$23,balance_sheet!$B$1:$XFD$1,0)),"")</f>
        <v/>
      </c>
      <c r="C35" s="18">
        <f>IFERROR(INDEX(balance_sheet!$B:$XFD,MATCH("Nợ ngắn hạn",balance_sheet!$A:$A,0),MATCH(C$23,balance_sheet!$B$1:$XFD$1,0)),"")</f>
        <v/>
      </c>
      <c r="D35" s="18">
        <f>IFERROR(INDEX(balance_sheet!$B:$XFD,MATCH("Nợ ngắn hạn",balance_sheet!$A:$A,0),MATCH(D$23,balance_sheet!$B$1:$XFD$1,0)),"")</f>
        <v/>
      </c>
      <c r="E35" s="18">
        <f>IFERROR(INDEX(balance_sheet!$B:$XFD,MATCH("Nợ ngắn hạn",balance_sheet!$A:$A,0),MATCH(E$23,balance_sheet!$B$1:$XFD$1,0)),"")</f>
        <v/>
      </c>
      <c r="F35" s="18">
        <f>IFERROR(INDEX(balance_sheet!$B:$XFD,MATCH("Nợ ngắn hạn",balance_sheet!$A:$A,0),MATCH(F$23,balance_sheet!$B$1:$XFD$1,0)),"")</f>
        <v/>
      </c>
      <c r="G35" s="18">
        <f>IFERROR(INDEX(balance_sheet!$B:$XFD,MATCH("Nợ ngắn hạn",balance_sheet!$A:$A,0),MATCH(G$23,balance_sheet!$B$1:$XFD$1,0)),"")</f>
        <v/>
      </c>
      <c r="H35" s="18">
        <f>IFERROR(INDEX(balance_sheet!$B:$XFD,MATCH("Nợ ngắn hạn",balance_sheet!$A:$A,0),MATCH(H$23,balance_sheet!$B$1:$XFD$1,0)),"")</f>
        <v/>
      </c>
      <c r="I35" s="18">
        <f>IFERROR(INDEX(balance_sheet!$B:$XFD,MATCH("Nợ ngắn hạn",balance_sheet!$A:$A,0),MATCH(I$23,balance_sheet!$B$1:$XFD$1,0)),"")</f>
        <v/>
      </c>
    </row>
    <row r="36">
      <c r="A36" s="17" t="inlineStr">
        <is>
          <t>Vay dài hạn</t>
        </is>
      </c>
      <c r="B36" s="18">
        <f>IFERROR(INDEX(balance_sheet!$B:$XFD,MATCH("Vay dài hạn",balance_sheet!$A:$A,0),MATCH(B$23,balance_sheet!$B$1:$XFD$1,0)),"")</f>
        <v/>
      </c>
      <c r="C36" s="18">
        <f>IFERROR(INDEX(balance_sheet!$B:$XFD,MATCH("Vay dài hạn",balance_sheet!$A:$A,0),MATCH(C$23,balance_sheet!$B$1:$XFD$1,0)),"")</f>
        <v/>
      </c>
      <c r="D36" s="18">
        <f>IFERROR(INDEX(balance_sheet!$B:$XFD,MATCH("Vay dài hạn",balance_sheet!$A:$A,0),MATCH(D$23,balance_sheet!$B$1:$XFD$1,0)),"")</f>
        <v/>
      </c>
      <c r="E36" s="18">
        <f>IFERROR(INDEX(balance_sheet!$B:$XFD,MATCH("Vay dài hạn",balance_sheet!$A:$A,0),MATCH(E$23,balance_sheet!$B$1:$XFD$1,0)),"")</f>
        <v/>
      </c>
      <c r="F36" s="18">
        <f>IFERROR(INDEX(balance_sheet!$B:$XFD,MATCH("Vay dài hạn",balance_sheet!$A:$A,0),MATCH(F$23,balance_sheet!$B$1:$XFD$1,0)),"")</f>
        <v/>
      </c>
      <c r="G36" s="18">
        <f>IFERROR(INDEX(balance_sheet!$B:$XFD,MATCH("Vay dài hạn",balance_sheet!$A:$A,0),MATCH(G$23,balance_sheet!$B$1:$XFD$1,0)),"")</f>
        <v/>
      </c>
      <c r="H36" s="18">
        <f>IFERROR(INDEX(balance_sheet!$B:$XFD,MATCH("Vay dài hạn",balance_sheet!$A:$A,0),MATCH(H$23,balance_sheet!$B$1:$XFD$1,0)),"")</f>
        <v/>
      </c>
      <c r="I36" s="18">
        <f>IFERROR(INDEX(balance_sheet!$B:$XFD,MATCH("Vay dài hạn",balance_sheet!$A:$A,0),MATCH(I$23,balance_sheet!$B$1:$XFD$1,0)),"")</f>
        <v/>
      </c>
    </row>
    <row r="37">
      <c r="A37" s="17" t="inlineStr">
        <is>
          <t>Nợ dài hạn</t>
        </is>
      </c>
      <c r="B37" s="18">
        <f>IFERROR(INDEX(balance_sheet!$B:$XFD,MATCH("Nợ dài hạn",balance_sheet!$A:$A,0),MATCH(B$23,balance_sheet!$B$1:$XFD$1,0)),"")</f>
        <v/>
      </c>
      <c r="C37" s="18">
        <f>IFERROR(INDEX(balance_sheet!$B:$XFD,MATCH("Nợ dài hạn",balance_sheet!$A:$A,0),MATCH(C$23,balance_sheet!$B$1:$XFD$1,0)),"")</f>
        <v/>
      </c>
      <c r="D37" s="18">
        <f>IFERROR(INDEX(balance_sheet!$B:$XFD,MATCH("Nợ dài hạn",balance_sheet!$A:$A,0),MATCH(D$23,balance_sheet!$B$1:$XFD$1,0)),"")</f>
        <v/>
      </c>
      <c r="E37" s="18">
        <f>IFERROR(INDEX(balance_sheet!$B:$XFD,MATCH("Nợ dài hạn",balance_sheet!$A:$A,0),MATCH(E$23,balance_sheet!$B$1:$XFD$1,0)),"")</f>
        <v/>
      </c>
      <c r="F37" s="18">
        <f>IFERROR(INDEX(balance_sheet!$B:$XFD,MATCH("Nợ dài hạn",balance_sheet!$A:$A,0),MATCH(F$23,balance_sheet!$B$1:$XFD$1,0)),"")</f>
        <v/>
      </c>
      <c r="G37" s="18">
        <f>IFERROR(INDEX(balance_sheet!$B:$XFD,MATCH("Nợ dài hạn",balance_sheet!$A:$A,0),MATCH(G$23,balance_sheet!$B$1:$XFD$1,0)),"")</f>
        <v/>
      </c>
      <c r="H37" s="18">
        <f>IFERROR(INDEX(balance_sheet!$B:$XFD,MATCH("Nợ dài hạn",balance_sheet!$A:$A,0),MATCH(H$23,balance_sheet!$B$1:$XFD$1,0)),"")</f>
        <v/>
      </c>
      <c r="I37" s="18">
        <f>IFERROR(INDEX(balance_sheet!$B:$XFD,MATCH("Nợ dài hạn",balance_sheet!$A:$A,0),MATCH(I$23,balance_sheet!$B$1:$XFD$1,0)),"")</f>
        <v/>
      </c>
    </row>
    <row r="38">
      <c r="A38" s="17" t="inlineStr">
        <is>
          <t>NỢ PHẢI TRẢ</t>
        </is>
      </c>
      <c r="B38" s="18">
        <f>IFERROR(INDEX(balance_sheet!$B:$XFD,MATCH("NỢ PHẢI TRẢ",balance_sheet!$A:$A,0),MATCH(B$23,balance_sheet!$B$1:$XFD$1,0)),"")</f>
        <v/>
      </c>
      <c r="C38" s="18">
        <f>IFERROR(INDEX(balance_sheet!$B:$XFD,MATCH("NỢ PHẢI TRẢ",balance_sheet!$A:$A,0),MATCH(C$23,balance_sheet!$B$1:$XFD$1,0)),"")</f>
        <v/>
      </c>
      <c r="D38" s="18">
        <f>IFERROR(INDEX(balance_sheet!$B:$XFD,MATCH("NỢ PHẢI TRẢ",balance_sheet!$A:$A,0),MATCH(D$23,balance_sheet!$B$1:$XFD$1,0)),"")</f>
        <v/>
      </c>
      <c r="E38" s="18">
        <f>IFERROR(INDEX(balance_sheet!$B:$XFD,MATCH("NỢ PHẢI TRẢ",balance_sheet!$A:$A,0),MATCH(E$23,balance_sheet!$B$1:$XFD$1,0)),"")</f>
        <v/>
      </c>
      <c r="F38" s="18">
        <f>IFERROR(INDEX(balance_sheet!$B:$XFD,MATCH("NỢ PHẢI TRẢ",balance_sheet!$A:$A,0),MATCH(F$23,balance_sheet!$B$1:$XFD$1,0)),"")</f>
        <v/>
      </c>
      <c r="G38" s="18">
        <f>IFERROR(INDEX(balance_sheet!$B:$XFD,MATCH("NỢ PHẢI TRẢ",balance_sheet!$A:$A,0),MATCH(G$23,balance_sheet!$B$1:$XFD$1,0)),"")</f>
        <v/>
      </c>
      <c r="H38" s="18">
        <f>IFERROR(INDEX(balance_sheet!$B:$XFD,MATCH("NỢ PHẢI TRẢ",balance_sheet!$A:$A,0),MATCH(H$23,balance_sheet!$B$1:$XFD$1,0)),"")</f>
        <v/>
      </c>
      <c r="I38" s="18">
        <f>IFERROR(INDEX(balance_sheet!$B:$XFD,MATCH("NỢ PHẢI TRẢ",balance_sheet!$A:$A,0),MATCH(I$23,balance_sheet!$B$1:$XFD$1,0)),"")</f>
        <v/>
      </c>
    </row>
    <row r="39">
      <c r="A39" s="15" t="inlineStr">
        <is>
          <t>Vốn chủ sở hữu</t>
        </is>
      </c>
      <c r="B39" s="19">
        <f>IFERROR(INDEX(balance_sheet!$B:$XFD,MATCH("Vốn chủ sở hữu",balance_sheet!$A:$A,0),MATCH(B$23,balance_sheet!$B$1:$XFD$1,0)),"")</f>
        <v/>
      </c>
      <c r="C39" s="19">
        <f>IFERROR(INDEX(balance_sheet!$B:$XFD,MATCH("Vốn chủ sở hữu",balance_sheet!$A:$A,0),MATCH(C$23,balance_sheet!$B$1:$XFD$1,0)),"")</f>
        <v/>
      </c>
      <c r="D39" s="19">
        <f>IFERROR(INDEX(balance_sheet!$B:$XFD,MATCH("Vốn chủ sở hữu",balance_sheet!$A:$A,0),MATCH(D$23,balance_sheet!$B$1:$XFD$1,0)),"")</f>
        <v/>
      </c>
      <c r="E39" s="19">
        <f>IFERROR(INDEX(balance_sheet!$B:$XFD,MATCH("Vốn chủ sở hữu",balance_sheet!$A:$A,0),MATCH(E$23,balance_sheet!$B$1:$XFD$1,0)),"")</f>
        <v/>
      </c>
      <c r="F39" s="19">
        <f>IFERROR(INDEX(balance_sheet!$B:$XFD,MATCH("Vốn chủ sở hữu",balance_sheet!$A:$A,0),MATCH(F$23,balance_sheet!$B$1:$XFD$1,0)),"")</f>
        <v/>
      </c>
      <c r="G39" s="19">
        <f>IFERROR(INDEX(balance_sheet!$B:$XFD,MATCH("Vốn chủ sở hữu",balance_sheet!$A:$A,0),MATCH(G$23,balance_sheet!$B$1:$XFD$1,0)),"")</f>
        <v/>
      </c>
      <c r="H39" s="19">
        <f>IFERROR(INDEX(balance_sheet!$B:$XFD,MATCH("Vốn chủ sở hữu",balance_sheet!$A:$A,0),MATCH(H$23,balance_sheet!$B$1:$XFD$1,0)),"")</f>
        <v/>
      </c>
      <c r="I39" s="19">
        <f>IFERROR(INDEX(balance_sheet!$B:$XFD,MATCH("Vốn chủ sở hữu",balance_sheet!$A:$A,0),MATCH(I$23,balance_sheet!$B$1:$XFD$1,0)),"")</f>
        <v/>
      </c>
      <c r="J39" s="20">
        <f>I39+0.8*J51</f>
        <v/>
      </c>
    </row>
    <row r="40">
      <c r="A40" s="21" t="inlineStr">
        <is>
          <t>Tăng VCSH/LN cổ đông cty mẹ</t>
        </is>
      </c>
      <c r="B40" s="22" t="n"/>
      <c r="C40" s="23">
        <f>(C39-B39)/C51</f>
        <v/>
      </c>
      <c r="D40" s="23">
        <f>(D39-C39)/D51</f>
        <v/>
      </c>
      <c r="E40" s="23">
        <f>(E39-D39)/E51</f>
        <v/>
      </c>
      <c r="F40" s="23">
        <f>(F39-E39)/F51</f>
        <v/>
      </c>
      <c r="G40" s="23">
        <f>(G39-F39)/G51</f>
        <v/>
      </c>
      <c r="H40" s="23">
        <f>(H39-G39)/H51</f>
        <v/>
      </c>
      <c r="I40" s="23">
        <f>(I39-H39)/I51</f>
        <v/>
      </c>
      <c r="J40" s="24" t="n"/>
    </row>
    <row r="41">
      <c r="A41" s="15" t="inlineStr">
        <is>
          <t>Lợi ích cổ đông không kiểm soát</t>
        </is>
      </c>
      <c r="B41" s="19">
        <f>IFERROR(INDEX(balance_sheet!$B:$XFD,MATCH("Lợi ích cổ đông không kiểm soát",balance_sheet!$A:$A,0),MATCH(B$23,balance_sheet!$B$1:$XFD$1,0)),"")</f>
        <v/>
      </c>
      <c r="C41" s="19">
        <f>IFERROR(INDEX(balance_sheet!$B:$XFD,MATCH("Lợi ích cổ đông không kiểm soát",balance_sheet!$A:$A,0),MATCH(C$23,balance_sheet!$B$1:$XFD$1,0)),"")</f>
        <v/>
      </c>
      <c r="D41" s="19">
        <f>IFERROR(INDEX(balance_sheet!$B:$XFD,MATCH("Lợi ích cổ đông không kiểm soát",balance_sheet!$A:$A,0),MATCH(D$23,balance_sheet!$B$1:$XFD$1,0)),"")</f>
        <v/>
      </c>
      <c r="E41" s="19">
        <f>IFERROR(INDEX(balance_sheet!$B:$XFD,MATCH("Lợi ích cổ đông không kiểm soát",balance_sheet!$A:$A,0),MATCH(E$23,balance_sheet!$B$1:$XFD$1,0)),"")</f>
        <v/>
      </c>
      <c r="F41" s="19">
        <f>IFERROR(INDEX(balance_sheet!$B:$XFD,MATCH("Lợi ích cổ đông không kiểm soát",balance_sheet!$A:$A,0),MATCH(F$23,balance_sheet!$B$1:$XFD$1,0)),"")</f>
        <v/>
      </c>
      <c r="G41" s="19">
        <f>IFERROR(INDEX(balance_sheet!$B:$XFD,MATCH("Lợi ích cổ đông không kiểm soát",balance_sheet!$A:$A,0),MATCH(G$23,balance_sheet!$B$1:$XFD$1,0)),"")</f>
        <v/>
      </c>
      <c r="H41" s="19">
        <f>IFERROR(INDEX(balance_sheet!$B:$XFD,MATCH("Lợi ích cổ đông không kiểm soát",balance_sheet!$A:$A,0),MATCH(H$23,balance_sheet!$B$1:$XFD$1,0)),"")</f>
        <v/>
      </c>
      <c r="I41" s="19">
        <f>IFERROR(INDEX(balance_sheet!$B:$XFD,MATCH("Lợi ích cổ đông không kiểm soát",balance_sheet!$A:$A,0),MATCH(I$23,balance_sheet!$B$1:$XFD$1,0)),"")</f>
        <v/>
      </c>
    </row>
    <row r="42">
      <c r="A42" s="15" t="inlineStr">
        <is>
          <t>Kết quả hoạt động kinh doanh</t>
        </is>
      </c>
      <c r="B42" s="25" t="n"/>
      <c r="C42" s="25" t="n"/>
      <c r="D42" s="25" t="n"/>
      <c r="E42" s="25" t="n"/>
      <c r="F42" s="25" t="n"/>
      <c r="G42" s="25" t="n"/>
      <c r="H42" s="25" t="n"/>
      <c r="I42" s="25" t="n"/>
    </row>
    <row r="43">
      <c r="A43" s="15" t="inlineStr">
        <is>
          <t>Doanh thu thuần</t>
        </is>
      </c>
      <c r="B43" s="19">
        <f>IFERROR(INDEX(income_statement!$B:$XFD,MATCH("Doanh thu thuần",income_statement!$A:$A,0),MATCH(B$23,income_statement!$B$1:$XFD$1,0)),"")</f>
        <v/>
      </c>
      <c r="C43" s="19">
        <f>IFERROR(INDEX(income_statement!$B:$XFD,MATCH("Doanh thu thuần",income_statement!$A:$A,0),MATCH(C$23,income_statement!$B$1:$XFD$1,0)),"")</f>
        <v/>
      </c>
      <c r="D43" s="19">
        <f>IFERROR(INDEX(income_statement!$B:$XFD,MATCH("Doanh thu thuần",income_statement!$A:$A,0),MATCH(D$23,income_statement!$B$1:$XFD$1,0)),"")</f>
        <v/>
      </c>
      <c r="E43" s="19">
        <f>IFERROR(INDEX(income_statement!$B:$XFD,MATCH("Doanh thu thuần",income_statement!$A:$A,0),MATCH(E$23,income_statement!$B$1:$XFD$1,0)),"")</f>
        <v/>
      </c>
      <c r="F43" s="19">
        <f>IFERROR(INDEX(income_statement!$B:$XFD,MATCH("Doanh thu thuần",income_statement!$A:$A,0),MATCH(F$23,income_statement!$B$1:$XFD$1,0)),"")</f>
        <v/>
      </c>
      <c r="G43" s="19">
        <f>IFERROR(INDEX(income_statement!$B:$XFD,MATCH("Doanh thu thuần",income_statement!$A:$A,0),MATCH(G$23,income_statement!$B$1:$XFD$1,0)),"")</f>
        <v/>
      </c>
      <c r="H43" s="19">
        <f>IFERROR(INDEX(income_statement!$B:$XFD,MATCH("Doanh thu thuần",income_statement!$A:$A,0),MATCH(H$23,income_statement!$B$1:$XFD$1,0)),"")</f>
        <v/>
      </c>
      <c r="I43" s="19">
        <f>IFERROR(INDEX(income_statement!$B:$XFD,MATCH("Doanh thu thuần",income_statement!$A:$A,0),MATCH(I$23,income_statement!$B$1:$XFD$1,0)),"")</f>
        <v/>
      </c>
      <c r="J43" s="19" t="n">
        <v>185000000000000</v>
      </c>
    </row>
    <row r="44">
      <c r="A44" s="17" t="inlineStr">
        <is>
          <t>Giá vốn hàng bán</t>
        </is>
      </c>
      <c r="B44" s="18">
        <f>IFERROR(INDEX(income_statement!$B:$XFD,MATCH("Giá vốn hàng bán",income_statement!$A:$A,0),MATCH(B$23,income_statement!$B$1:$XFD$1,0)),"")</f>
        <v/>
      </c>
      <c r="C44" s="18">
        <f>IFERROR(INDEX(income_statement!$B:$XFD,MATCH("Giá vốn hàng bán",income_statement!$A:$A,0),MATCH(C$23,income_statement!$B$1:$XFD$1,0)),"")</f>
        <v/>
      </c>
      <c r="D44" s="18">
        <f>IFERROR(INDEX(income_statement!$B:$XFD,MATCH("Giá vốn hàng bán",income_statement!$A:$A,0),MATCH(D$23,income_statement!$B$1:$XFD$1,0)),"")</f>
        <v/>
      </c>
      <c r="E44" s="18">
        <f>IFERROR(INDEX(income_statement!$B:$XFD,MATCH("Giá vốn hàng bán",income_statement!$A:$A,0),MATCH(E$23,income_statement!$B$1:$XFD$1,0)),"")</f>
        <v/>
      </c>
      <c r="F44" s="18">
        <f>IFERROR(INDEX(income_statement!$B:$XFD,MATCH("Giá vốn hàng bán",income_statement!$A:$A,0),MATCH(F$23,income_statement!$B$1:$XFD$1,0)),"")</f>
        <v/>
      </c>
      <c r="G44" s="18">
        <f>IFERROR(INDEX(income_statement!$B:$XFD,MATCH("Giá vốn hàng bán",income_statement!$A:$A,0),MATCH(G$23,income_statement!$B$1:$XFD$1,0)),"")</f>
        <v/>
      </c>
      <c r="H44" s="18">
        <f>IFERROR(INDEX(income_statement!$B:$XFD,MATCH("Giá vốn hàng bán",income_statement!$A:$A,0),MATCH(H$23,income_statement!$B$1:$XFD$1,0)),"")</f>
        <v/>
      </c>
      <c r="I44" s="18">
        <f>IFERROR(INDEX(income_statement!$B:$XFD,MATCH("Giá vốn hàng bán",income_statement!$A:$A,0),MATCH(I$23,income_statement!$B$1:$XFD$1,0)),"")</f>
        <v/>
      </c>
    </row>
    <row r="45">
      <c r="A45" s="15" t="inlineStr">
        <is>
          <t>Lợi nhuận gộp</t>
        </is>
      </c>
      <c r="B45" s="19">
        <f>IFERROR(INDEX(income_statement!$B:$XFD,MATCH("Lợi nhuận gộp",income_statement!$A:$A,0),MATCH(B$23,income_statement!$B$1:$XFD$1,0)),"")</f>
        <v/>
      </c>
      <c r="C45" s="19">
        <f>IFERROR(INDEX(income_statement!$B:$XFD,MATCH("Lợi nhuận gộp",income_statement!$A:$A,0),MATCH(C$23,income_statement!$B$1:$XFD$1,0)),"")</f>
        <v/>
      </c>
      <c r="D45" s="19">
        <f>IFERROR(INDEX(income_statement!$B:$XFD,MATCH("Lợi nhuận gộp",income_statement!$A:$A,0),MATCH(D$23,income_statement!$B$1:$XFD$1,0)),"")</f>
        <v/>
      </c>
      <c r="E45" s="19">
        <f>IFERROR(INDEX(income_statement!$B:$XFD,MATCH("Lợi nhuận gộp",income_statement!$A:$A,0),MATCH(E$23,income_statement!$B$1:$XFD$1,0)),"")</f>
        <v/>
      </c>
      <c r="F45" s="19">
        <f>IFERROR(INDEX(income_statement!$B:$XFD,MATCH("Lợi nhuận gộp",income_statement!$A:$A,0),MATCH(F$23,income_statement!$B$1:$XFD$1,0)),"")</f>
        <v/>
      </c>
      <c r="G45" s="19">
        <f>IFERROR(INDEX(income_statement!$B:$XFD,MATCH("Lợi nhuận gộp",income_statement!$A:$A,0),MATCH(G$23,income_statement!$B$1:$XFD$1,0)),"")</f>
        <v/>
      </c>
      <c r="H45" s="19">
        <f>IFERROR(INDEX(income_statement!$B:$XFD,MATCH("Lợi nhuận gộp",income_statement!$A:$A,0),MATCH(H$23,income_statement!$B$1:$XFD$1,0)),"")</f>
        <v/>
      </c>
      <c r="I45" s="19">
        <f>IFERROR(INDEX(income_statement!$B:$XFD,MATCH("Lợi nhuận gộp",income_statement!$A:$A,0),MATCH(I$23,income_statement!$B$1:$XFD$1,0)),"")</f>
        <v/>
      </c>
    </row>
    <row r="46">
      <c r="A46" s="17" t="inlineStr">
        <is>
          <t>Chi phí bán hàng</t>
        </is>
      </c>
      <c r="B46" s="18">
        <f>IFERROR(INDEX(income_statement!$B:$XFD,MATCH("Chi phí bán hàng",income_statement!$A:$A,0),MATCH(B$23,income_statement!$B$1:$XFD$1,0)),"")</f>
        <v/>
      </c>
      <c r="C46" s="18">
        <f>IFERROR(INDEX(income_statement!$B:$XFD,MATCH("Chi phí bán hàng",income_statement!$A:$A,0),MATCH(C$23,income_statement!$B$1:$XFD$1,0)),"")</f>
        <v/>
      </c>
      <c r="D46" s="18">
        <f>IFERROR(INDEX(income_statement!$B:$XFD,MATCH("Chi phí bán hàng",income_statement!$A:$A,0),MATCH(D$23,income_statement!$B$1:$XFD$1,0)),"")</f>
        <v/>
      </c>
      <c r="E46" s="18">
        <f>IFERROR(INDEX(income_statement!$B:$XFD,MATCH("Chi phí bán hàng",income_statement!$A:$A,0),MATCH(E$23,income_statement!$B$1:$XFD$1,0)),"")</f>
        <v/>
      </c>
      <c r="F46" s="18">
        <f>IFERROR(INDEX(income_statement!$B:$XFD,MATCH("Chi phí bán hàng",income_statement!$A:$A,0),MATCH(F$23,income_statement!$B$1:$XFD$1,0)),"")</f>
        <v/>
      </c>
      <c r="G46" s="18">
        <f>IFERROR(INDEX(income_statement!$B:$XFD,MATCH("Chi phí bán hàng",income_statement!$A:$A,0),MATCH(G$23,income_statement!$B$1:$XFD$1,0)),"")</f>
        <v/>
      </c>
      <c r="H46" s="18">
        <f>IFERROR(INDEX(income_statement!$B:$XFD,MATCH("Chi phí bán hàng",income_statement!$A:$A,0),MATCH(H$23,income_statement!$B$1:$XFD$1,0)),"")</f>
        <v/>
      </c>
      <c r="I46" s="18">
        <f>IFERROR(INDEX(income_statement!$B:$XFD,MATCH("Chi phí bán hàng",income_statement!$A:$A,0),MATCH(I$23,income_statement!$B$1:$XFD$1,0)),"")</f>
        <v/>
      </c>
    </row>
    <row r="47">
      <c r="A47" s="17" t="inlineStr">
        <is>
          <t>Chi phí quản lý doanh nghiệp</t>
        </is>
      </c>
      <c r="B47" s="18">
        <f>IFERROR(INDEX(income_statement!$B:$XFD,MATCH("Chi phí quản lý doanh nghiệp",income_statement!$A:$A,0),MATCH(B$23,income_statement!$B$1:$XFD$1,0)),"")</f>
        <v/>
      </c>
      <c r="C47" s="18">
        <f>IFERROR(INDEX(income_statement!$B:$XFD,MATCH("Chi phí quản lý doanh nghiệp",income_statement!$A:$A,0),MATCH(C$23,income_statement!$B$1:$XFD$1,0)),"")</f>
        <v/>
      </c>
      <c r="D47" s="18">
        <f>IFERROR(INDEX(income_statement!$B:$XFD,MATCH("Chi phí quản lý doanh nghiệp",income_statement!$A:$A,0),MATCH(D$23,income_statement!$B$1:$XFD$1,0)),"")</f>
        <v/>
      </c>
      <c r="E47" s="18">
        <f>IFERROR(INDEX(income_statement!$B:$XFD,MATCH("Chi phí quản lý doanh nghiệp",income_statement!$A:$A,0),MATCH(E$23,income_statement!$B$1:$XFD$1,0)),"")</f>
        <v/>
      </c>
      <c r="F47" s="18">
        <f>IFERROR(INDEX(income_statement!$B:$XFD,MATCH("Chi phí quản lý doanh nghiệp",income_statement!$A:$A,0),MATCH(F$23,income_statement!$B$1:$XFD$1,0)),"")</f>
        <v/>
      </c>
      <c r="G47" s="18">
        <f>IFERROR(INDEX(income_statement!$B:$XFD,MATCH("Chi phí quản lý doanh nghiệp",income_statement!$A:$A,0),MATCH(G$23,income_statement!$B$1:$XFD$1,0)),"")</f>
        <v/>
      </c>
      <c r="H47" s="18">
        <f>IFERROR(INDEX(income_statement!$B:$XFD,MATCH("Chi phí quản lý doanh nghiệp",income_statement!$A:$A,0),MATCH(H$23,income_statement!$B$1:$XFD$1,0)),"")</f>
        <v/>
      </c>
      <c r="I47" s="18">
        <f>IFERROR(INDEX(income_statement!$B:$XFD,MATCH("Chi phí quản lý doanh nghiệp",income_statement!$A:$A,0),MATCH(I$23,income_statement!$B$1:$XFD$1,0)),"")</f>
        <v/>
      </c>
    </row>
    <row r="48">
      <c r="A48" s="17" t="inlineStr">
        <is>
          <t>Lãi/(lỗ) từ hoạt động kinh doanh</t>
        </is>
      </c>
      <c r="B48" s="18">
        <f>IFERROR(INDEX(income_statement!$B:$XFD,MATCH("Lãi/(lỗ) từ hoạt động kinh doanh",income_statement!$A:$A,0),MATCH(B$23,income_statement!$B$1:$XFD$1,0)),"")</f>
        <v/>
      </c>
      <c r="C48" s="18">
        <f>IFERROR(INDEX(income_statement!$B:$XFD,MATCH("Lãi/(lỗ) từ hoạt động kinh doanh",income_statement!$A:$A,0),MATCH(C$23,income_statement!$B$1:$XFD$1,0)),"")</f>
        <v/>
      </c>
      <c r="D48" s="18">
        <f>IFERROR(INDEX(income_statement!$B:$XFD,MATCH("Lãi/(lỗ) từ hoạt động kinh doanh",income_statement!$A:$A,0),MATCH(D$23,income_statement!$B$1:$XFD$1,0)),"")</f>
        <v/>
      </c>
      <c r="E48" s="18">
        <f>IFERROR(INDEX(income_statement!$B:$XFD,MATCH("Lãi/(lỗ) từ hoạt động kinh doanh",income_statement!$A:$A,0),MATCH(E$23,income_statement!$B$1:$XFD$1,0)),"")</f>
        <v/>
      </c>
      <c r="F48" s="18">
        <f>IFERROR(INDEX(income_statement!$B:$XFD,MATCH("Lãi/(lỗ) từ hoạt động kinh doanh",income_statement!$A:$A,0),MATCH(F$23,income_statement!$B$1:$XFD$1,0)),"")</f>
        <v/>
      </c>
      <c r="G48" s="18">
        <f>IFERROR(INDEX(income_statement!$B:$XFD,MATCH("Lãi/(lỗ) từ hoạt động kinh doanh",income_statement!$A:$A,0),MATCH(G$23,income_statement!$B$1:$XFD$1,0)),"")</f>
        <v/>
      </c>
      <c r="H48" s="18">
        <f>IFERROR(INDEX(income_statement!$B:$XFD,MATCH("Lãi/(lỗ) từ hoạt động kinh doanh",income_statement!$A:$A,0),MATCH(H$23,income_statement!$B$1:$XFD$1,0)),"")</f>
        <v/>
      </c>
      <c r="I48" s="18">
        <f>IFERROR(INDEX(income_statement!$B:$XFD,MATCH("Lãi/(lỗ) từ hoạt động kinh doanh",income_statement!$A:$A,0),MATCH(I$23,income_statement!$B$1:$XFD$1,0)),"")</f>
        <v/>
      </c>
    </row>
    <row r="49">
      <c r="A49" s="17" t="inlineStr">
        <is>
          <t>Chi phí lãi vay</t>
        </is>
      </c>
      <c r="B49" s="18">
        <f>IFERROR(INDEX(income_statement!$B:$XFD,MATCH("Chi phí lãi vay",income_statement!$A:$A,0),MATCH(B$23,income_statement!$B$1:$XFD$1,0)),"")</f>
        <v/>
      </c>
      <c r="C49" s="18">
        <f>IFERROR(INDEX(income_statement!$B:$XFD,MATCH("Chi phí lãi vay",income_statement!$A:$A,0),MATCH(C$23,income_statement!$B$1:$XFD$1,0)),"")</f>
        <v/>
      </c>
      <c r="D49" s="18">
        <f>IFERROR(INDEX(income_statement!$B:$XFD,MATCH("Chi phí lãi vay",income_statement!$A:$A,0),MATCH(D$23,income_statement!$B$1:$XFD$1,0)),"")</f>
        <v/>
      </c>
      <c r="E49" s="18">
        <f>IFERROR(INDEX(income_statement!$B:$XFD,MATCH("Chi phí lãi vay",income_statement!$A:$A,0),MATCH(E$23,income_statement!$B$1:$XFD$1,0)),"")</f>
        <v/>
      </c>
      <c r="F49" s="18">
        <f>IFERROR(INDEX(income_statement!$B:$XFD,MATCH("Chi phí lãi vay",income_statement!$A:$A,0),MATCH(F$23,income_statement!$B$1:$XFD$1,0)),"")</f>
        <v/>
      </c>
      <c r="G49" s="18">
        <f>IFERROR(INDEX(income_statement!$B:$XFD,MATCH("Chi phí lãi vay",income_statement!$A:$A,0),MATCH(G$23,income_statement!$B$1:$XFD$1,0)),"")</f>
        <v/>
      </c>
      <c r="H49" s="18">
        <f>IFERROR(INDEX(income_statement!$B:$XFD,MATCH("Chi phí lãi vay",income_statement!$A:$A,0),MATCH(H$23,income_statement!$B$1:$XFD$1,0)),"")</f>
        <v/>
      </c>
      <c r="I49" s="18">
        <f>IFERROR(INDEX(income_statement!$B:$XFD,MATCH("Chi phí lãi vay",income_statement!$A:$A,0),MATCH(I$23,income_statement!$B$1:$XFD$1,0)),"")</f>
        <v/>
      </c>
    </row>
    <row r="50">
      <c r="A50" s="15" t="inlineStr">
        <is>
          <t>Lãi/(lỗ) thuần sau thuế</t>
        </is>
      </c>
      <c r="B50" s="19">
        <f>IFERROR(INDEX(income_statement!$B:$XFD,MATCH("Lãi/(lỗ) thuần sau thuế",income_statement!$A:$A,0),MATCH(B$23,income_statement!$B$1:$XFD$1,0)),"")</f>
        <v/>
      </c>
      <c r="C50" s="19">
        <f>IFERROR(INDEX(income_statement!$B:$XFD,MATCH("Lãi/(lỗ) thuần sau thuế",income_statement!$A:$A,0),MATCH(C$23,income_statement!$B$1:$XFD$1,0)),"")</f>
        <v/>
      </c>
      <c r="D50" s="19">
        <f>IFERROR(INDEX(income_statement!$B:$XFD,MATCH("Lãi/(lỗ) thuần sau thuế",income_statement!$A:$A,0),MATCH(D$23,income_statement!$B$1:$XFD$1,0)),"")</f>
        <v/>
      </c>
      <c r="E50" s="19">
        <f>IFERROR(INDEX(income_statement!$B:$XFD,MATCH("Lãi/(lỗ) thuần sau thuế",income_statement!$A:$A,0),MATCH(E$23,income_statement!$B$1:$XFD$1,0)),"")</f>
        <v/>
      </c>
      <c r="F50" s="19">
        <f>IFERROR(INDEX(income_statement!$B:$XFD,MATCH("Lãi/(lỗ) thuần sau thuế",income_statement!$A:$A,0),MATCH(F$23,income_statement!$B$1:$XFD$1,0)),"")</f>
        <v/>
      </c>
      <c r="G50" s="19">
        <f>IFERROR(INDEX(income_statement!$B:$XFD,MATCH("Lãi/(lỗ) thuần sau thuế",income_statement!$A:$A,0),MATCH(G$23,income_statement!$B$1:$XFD$1,0)),"")</f>
        <v/>
      </c>
      <c r="H50" s="19">
        <f>IFERROR(INDEX(income_statement!$B:$XFD,MATCH("Lãi/(lỗ) thuần sau thuế",income_statement!$A:$A,0),MATCH(H$23,income_statement!$B$1:$XFD$1,0)),"")</f>
        <v/>
      </c>
      <c r="I50" s="19">
        <f>IFERROR(INDEX(income_statement!$B:$XFD,MATCH("Lãi/(lỗ) thuần sau thuế",income_statement!$A:$A,0),MATCH(I$23,income_statement!$B$1:$XFD$1,0)),"")</f>
        <v/>
      </c>
      <c r="J50" s="19" t="n">
        <v>9200000000000</v>
      </c>
    </row>
    <row r="51">
      <c r="A51" s="15" t="inlineStr">
        <is>
          <t>Lợi nhuận của Cổ đông của Công ty mẹ</t>
        </is>
      </c>
      <c r="B51" s="19">
        <f>IFERROR(INDEX(income_statement!$B:$XFD,MATCH("Lợi nhuận của Cổ đông của Công ty mẹ",income_statement!$A:$A,0),MATCH(B$23,income_statement!$B$1:$XFD$1,0)),"")</f>
        <v/>
      </c>
      <c r="C51" s="19">
        <f>IFERROR(INDEX(income_statement!$B:$XFD,MATCH("Lợi nhuận của Cổ đông của Công ty mẹ",income_statement!$A:$A,0),MATCH(C$23,income_statement!$B$1:$XFD$1,0)),"")</f>
        <v/>
      </c>
      <c r="D51" s="19">
        <f>IFERROR(INDEX(income_statement!$B:$XFD,MATCH("Lợi nhuận của Cổ đông của Công ty mẹ",income_statement!$A:$A,0),MATCH(D$23,income_statement!$B$1:$XFD$1,0)),"")</f>
        <v/>
      </c>
      <c r="E51" s="19">
        <f>IFERROR(INDEX(income_statement!$B:$XFD,MATCH("Lợi nhuận của Cổ đông của Công ty mẹ",income_statement!$A:$A,0),MATCH(E$23,income_statement!$B$1:$XFD$1,0)),"")</f>
        <v/>
      </c>
      <c r="F51" s="19">
        <f>IFERROR(INDEX(income_statement!$B:$XFD,MATCH("Lợi nhuận của Cổ đông của Công ty mẹ",income_statement!$A:$A,0),MATCH(F$23,income_statement!$B$1:$XFD$1,0)),"")</f>
        <v/>
      </c>
      <c r="G51" s="19">
        <f>IFERROR(INDEX(income_statement!$B:$XFD,MATCH("Lợi nhuận của Cổ đông của Công ty mẹ",income_statement!$A:$A,0),MATCH(G$23,income_statement!$B$1:$XFD$1,0)),"")</f>
        <v/>
      </c>
      <c r="H51" s="19">
        <f>IFERROR(INDEX(income_statement!$B:$XFD,MATCH("Lợi nhuận của Cổ đông của Công ty mẹ",income_statement!$A:$A,0),MATCH(H$23,income_statement!$B$1:$XFD$1,0)),"")</f>
        <v/>
      </c>
      <c r="I51" s="19">
        <f>IFERROR(INDEX(income_statement!$B:$XFD,MATCH("Lợi nhuận của Cổ đông của Công ty mẹ",income_statement!$A:$A,0),MATCH(I$23,income_statement!$B$1:$XFD$1,0)),"")</f>
        <v/>
      </c>
      <c r="J51" s="19" t="n">
        <v>9200000000000</v>
      </c>
    </row>
    <row r="52">
      <c r="A52" s="15" t="inlineStr">
        <is>
          <t>Lưu chuyển tiền tệ</t>
        </is>
      </c>
      <c r="B52" s="25" t="n"/>
      <c r="C52" s="25" t="n"/>
      <c r="D52" s="25" t="n"/>
      <c r="E52" s="25" t="n"/>
      <c r="F52" s="25" t="n"/>
      <c r="G52" s="25" t="n"/>
      <c r="H52" s="25" t="n"/>
      <c r="I52" s="25" t="n"/>
    </row>
    <row r="53">
      <c r="A53" s="17" t="inlineStr">
        <is>
          <t>Khấu hao TSCĐ và BĐSĐT</t>
        </is>
      </c>
      <c r="B53" s="18">
        <f>IFERROR(INDEX(cash_flow!$B:$XFD,MATCH("Khấu hao TSCĐ và BĐSĐT",cash_flow!$A:$A,0),MATCH(B$23,cash_flow!$B$1:$XFD$1,0)),"")</f>
        <v/>
      </c>
      <c r="C53" s="18">
        <f>IFERROR(INDEX(cash_flow!$B:$XFD,MATCH("Khấu hao TSCĐ và BĐSĐT",cash_flow!$A:$A,0),MATCH(C$23,cash_flow!$B$1:$XFD$1,0)),"")</f>
        <v/>
      </c>
      <c r="D53" s="18">
        <f>IFERROR(INDEX(cash_flow!$B:$XFD,MATCH("Khấu hao TSCĐ và BĐSĐT",cash_flow!$A:$A,0),MATCH(D$23,cash_flow!$B$1:$XFD$1,0)),"")</f>
        <v/>
      </c>
      <c r="E53" s="18">
        <f>IFERROR(INDEX(cash_flow!$B:$XFD,MATCH("Khấu hao TSCĐ và BĐSĐT",cash_flow!$A:$A,0),MATCH(E$23,cash_flow!$B$1:$XFD$1,0)),"")</f>
        <v/>
      </c>
      <c r="F53" s="18">
        <f>IFERROR(INDEX(cash_flow!$B:$XFD,MATCH("Khấu hao TSCĐ và BĐSĐT",cash_flow!$A:$A,0),MATCH(F$23,cash_flow!$B$1:$XFD$1,0)),"")</f>
        <v/>
      </c>
      <c r="G53" s="18">
        <f>IFERROR(INDEX(cash_flow!$B:$XFD,MATCH("Khấu hao TSCĐ và BĐSĐT",cash_flow!$A:$A,0),MATCH(G$23,cash_flow!$B$1:$XFD$1,0)),"")</f>
        <v/>
      </c>
      <c r="H53" s="18">
        <f>IFERROR(INDEX(cash_flow!$B:$XFD,MATCH("Khấu hao TSCĐ và BĐSĐT",cash_flow!$A:$A,0),MATCH(H$23,cash_flow!$B$1:$XFD$1,0)),"")</f>
        <v/>
      </c>
      <c r="I53" s="18">
        <f>IFERROR(INDEX(cash_flow!$B:$XFD,MATCH("Khấu hao TSCĐ và BĐSĐT",cash_flow!$A:$A,0),MATCH(I$23,cash_flow!$B$1:$XFD$1,0)),"")</f>
        <v/>
      </c>
    </row>
    <row r="54">
      <c r="A54" s="17" t="inlineStr">
        <is>
          <t>Tiền chi để mua sắm, xây dựng TSCĐ và các tài sản dài hạn khác</t>
        </is>
      </c>
      <c r="B54" s="18">
        <f>IFERROR(INDEX(cash_flow!$B:$XFD,MATCH("Tiền chi để mua sắm, xây dựng TSCĐ và các tài sản dài hạn khác",cash_flow!$A:$A,0),MATCH(B$23,cash_flow!$B$1:$XFD$1,0)),"")</f>
        <v/>
      </c>
      <c r="C54" s="18">
        <f>IFERROR(INDEX(cash_flow!$B:$XFD,MATCH("Tiền chi để mua sắm, xây dựng TSCĐ và các tài sản dài hạn khác",cash_flow!$A:$A,0),MATCH(C$23,cash_flow!$B$1:$XFD$1,0)),"")</f>
        <v/>
      </c>
      <c r="D54" s="18">
        <f>IFERROR(INDEX(cash_flow!$B:$XFD,MATCH("Tiền chi để mua sắm, xây dựng TSCĐ và các tài sản dài hạn khác",cash_flow!$A:$A,0),MATCH(D$23,cash_flow!$B$1:$XFD$1,0)),"")</f>
        <v/>
      </c>
      <c r="E54" s="18">
        <f>IFERROR(INDEX(cash_flow!$B:$XFD,MATCH("Tiền chi để mua sắm, xây dựng TSCĐ và các tài sản dài hạn khác",cash_flow!$A:$A,0),MATCH(E$23,cash_flow!$B$1:$XFD$1,0)),"")</f>
        <v/>
      </c>
      <c r="F54" s="18">
        <f>IFERROR(INDEX(cash_flow!$B:$XFD,MATCH("Tiền chi để mua sắm, xây dựng TSCĐ và các tài sản dài hạn khác",cash_flow!$A:$A,0),MATCH(F$23,cash_flow!$B$1:$XFD$1,0)),"")</f>
        <v/>
      </c>
      <c r="G54" s="18">
        <f>IFERROR(INDEX(cash_flow!$B:$XFD,MATCH("Tiền chi để mua sắm, xây dựng TSCĐ và các tài sản dài hạn khác",cash_flow!$A:$A,0),MATCH(G$23,cash_flow!$B$1:$XFD$1,0)),"")</f>
        <v/>
      </c>
      <c r="H54" s="18">
        <f>IFERROR(INDEX(cash_flow!$B:$XFD,MATCH("Tiền chi để mua sắm, xây dựng TSCĐ và các tài sản dài hạn khác",cash_flow!$A:$A,0),MATCH(H$23,cash_flow!$B$1:$XFD$1,0)),"")</f>
        <v/>
      </c>
      <c r="I54" s="18">
        <f>IFERROR(INDEX(cash_flow!$B:$XFD,MATCH("Tiền chi để mua sắm, xây dựng TSCĐ và các tài sản dài hạn khác",cash_flow!$A:$A,0),MATCH(I$23,cash_flow!$B$1:$XFD$1,0)),"")</f>
        <v/>
      </c>
    </row>
    <row r="55">
      <c r="A55" s="17" t="inlineStr">
        <is>
          <t>Lưu chuyển tiền tệ ròng từ các hoạt động sản xuất kinh doanh</t>
        </is>
      </c>
      <c r="B55" s="18">
        <f>IFERROR(INDEX(cash_flow!$B:$XFD,MATCH("Lưu chuyển tiền tệ ròng từ các hoạt động sản xuất kinh doanh",cash_flow!$A:$A,0),MATCH(B$23,cash_flow!$B$1:$XFD$1,0)),"")</f>
        <v/>
      </c>
      <c r="C55" s="18">
        <f>IFERROR(INDEX(cash_flow!$B:$XFD,MATCH("Lưu chuyển tiền tệ ròng từ các hoạt động sản xuất kinh doanh",cash_flow!$A:$A,0),MATCH(C$23,cash_flow!$B$1:$XFD$1,0)),"")</f>
        <v/>
      </c>
      <c r="D55" s="18">
        <f>IFERROR(INDEX(cash_flow!$B:$XFD,MATCH("Lưu chuyển tiền tệ ròng từ các hoạt động sản xuất kinh doanh",cash_flow!$A:$A,0),MATCH(D$23,cash_flow!$B$1:$XFD$1,0)),"")</f>
        <v/>
      </c>
      <c r="E55" s="18">
        <f>IFERROR(INDEX(cash_flow!$B:$XFD,MATCH("Lưu chuyển tiền tệ ròng từ các hoạt động sản xuất kinh doanh",cash_flow!$A:$A,0),MATCH(E$23,cash_flow!$B$1:$XFD$1,0)),"")</f>
        <v/>
      </c>
      <c r="F55" s="18">
        <f>IFERROR(INDEX(cash_flow!$B:$XFD,MATCH("Lưu chuyển tiền tệ ròng từ các hoạt động sản xuất kinh doanh",cash_flow!$A:$A,0),MATCH(F$23,cash_flow!$B$1:$XFD$1,0)),"")</f>
        <v/>
      </c>
      <c r="G55" s="18">
        <f>IFERROR(INDEX(cash_flow!$B:$XFD,MATCH("Lưu chuyển tiền tệ ròng từ các hoạt động sản xuất kinh doanh",cash_flow!$A:$A,0),MATCH(G$23,cash_flow!$B$1:$XFD$1,0)),"")</f>
        <v/>
      </c>
      <c r="H55" s="18">
        <f>IFERROR(INDEX(cash_flow!$B:$XFD,MATCH("Lưu chuyển tiền tệ ròng từ các hoạt động sản xuất kinh doanh",cash_flow!$A:$A,0),MATCH(H$23,cash_flow!$B$1:$XFD$1,0)),"")</f>
        <v/>
      </c>
      <c r="I55" s="18">
        <f>IFERROR(INDEX(cash_flow!$B:$XFD,MATCH("Lưu chuyển tiền tệ ròng từ các hoạt động sản xuất kinh doanh",cash_flow!$A:$A,0),MATCH(I$23,cash_flow!$B$1:$XFD$1,0)),"")</f>
        <v/>
      </c>
    </row>
    <row r="59">
      <c r="A59" s="26" t="inlineStr">
        <is>
          <t>CHỈ SỐ THÊM</t>
        </is>
      </c>
      <c r="B59" s="16" t="n">
        <v>2018</v>
      </c>
      <c r="C59" s="16" t="n">
        <v>2019</v>
      </c>
      <c r="D59" s="16" t="n">
        <v>2020</v>
      </c>
      <c r="E59" s="16" t="n">
        <v>2021</v>
      </c>
      <c r="F59" s="16" t="n">
        <v>2022</v>
      </c>
      <c r="G59" s="16" t="n">
        <v>2023</v>
      </c>
      <c r="H59" s="16" t="n">
        <v>2024</v>
      </c>
      <c r="I59" s="16" t="n">
        <v>2025</v>
      </c>
    </row>
    <row r="60">
      <c r="A60" s="26" t="inlineStr">
        <is>
          <t>Khả năng sinh lời &amp; hiệu quả sử dụng vốn</t>
        </is>
      </c>
      <c r="B60" s="25" t="n"/>
      <c r="C60" s="25" t="n"/>
      <c r="D60" s="25" t="n"/>
      <c r="E60" s="25" t="n"/>
      <c r="F60" s="25" t="n"/>
      <c r="G60" s="25" t="n"/>
      <c r="H60" s="25" t="n"/>
      <c r="I60" s="25" t="n"/>
    </row>
    <row r="61">
      <c r="A61" s="25" t="inlineStr">
        <is>
          <t>ROCE</t>
        </is>
      </c>
      <c r="B61" s="27">
        <f>IFERROR(B$63/(B$31-B$35),"n/a")</f>
        <v/>
      </c>
      <c r="C61" s="27">
        <f>IFERROR(C$63/(C$31-C$35),"n/a")</f>
        <v/>
      </c>
      <c r="D61" s="27">
        <f>IFERROR(D$63/(D$31-D$35),"n/a")</f>
        <v/>
      </c>
      <c r="E61" s="27">
        <f>IFERROR(E$63/(E$31-E$35),"n/a")</f>
        <v/>
      </c>
      <c r="F61" s="27">
        <f>IFERROR(F$63/(F$31-F$35),"n/a")</f>
        <v/>
      </c>
      <c r="G61" s="27">
        <f>IFERROR(G$63/(G$31-G$35),"n/a")</f>
        <v/>
      </c>
      <c r="H61" s="27">
        <f>IFERROR(H$63/(H$31-H$35),"n/a")</f>
        <v/>
      </c>
      <c r="I61" s="27">
        <f>IFERROR(I$63/(I$31-I$35),"n/a")</f>
        <v/>
      </c>
    </row>
    <row r="62">
      <c r="A62" s="25" t="inlineStr">
        <is>
          <t>CROIC</t>
        </is>
      </c>
      <c r="B62" s="27">
        <f>IFERROR(B$67/(B$31-B$35),"n/a")</f>
        <v/>
      </c>
      <c r="C62" s="27">
        <f>IFERROR(C$67/(C$31-C$35),"n/a")</f>
        <v/>
      </c>
      <c r="D62" s="27">
        <f>IFERROR(D$67/(D$31-D$35),"n/a")</f>
        <v/>
      </c>
      <c r="E62" s="27">
        <f>IFERROR(E$67/(E$31-E$35),"n/a")</f>
        <v/>
      </c>
      <c r="F62" s="27">
        <f>IFERROR(F$67/(F$31-F$35),"n/a")</f>
        <v/>
      </c>
      <c r="G62" s="27">
        <f>IFERROR(G$67/(G$31-G$35),"n/a")</f>
        <v/>
      </c>
      <c r="H62" s="27">
        <f>IFERROR(H$67/(H$31-H$35),"n/a")</f>
        <v/>
      </c>
      <c r="I62" s="27">
        <f>IFERROR(I$67/(I$31-I$35),"n/a")</f>
        <v/>
      </c>
    </row>
    <row r="63">
      <c r="A63" s="25" t="inlineStr">
        <is>
          <t>EBIT</t>
        </is>
      </c>
      <c r="B63" s="28">
        <f>IFERROR(B$48+ABS(B$49),"n/a")</f>
        <v/>
      </c>
      <c r="C63" s="28">
        <f>IFERROR(C$48+ABS(C$49),"n/a")</f>
        <v/>
      </c>
      <c r="D63" s="28">
        <f>IFERROR(D$48+ABS(D$49),"n/a")</f>
        <v/>
      </c>
      <c r="E63" s="28">
        <f>IFERROR(E$48+ABS(E$49),"n/a")</f>
        <v/>
      </c>
      <c r="F63" s="28">
        <f>IFERROR(F$48+ABS(F$49),"n/a")</f>
        <v/>
      </c>
      <c r="G63" s="28">
        <f>IFERROR(G$48+ABS(G$49),"n/a")</f>
        <v/>
      </c>
      <c r="H63" s="28">
        <f>IFERROR(H$48+ABS(H$49),"n/a")</f>
        <v/>
      </c>
      <c r="I63" s="28">
        <f>IFERROR(I$48+ABS(I$49),"n/a")</f>
        <v/>
      </c>
    </row>
    <row r="64">
      <c r="A64" s="25" t="inlineStr">
        <is>
          <t>EBIT/DT</t>
        </is>
      </c>
      <c r="B64" s="27">
        <f>IFERROR(B$63/B$43,"n/a")</f>
        <v/>
      </c>
      <c r="C64" s="27">
        <f>IFERROR(C$63/C$43,"n/a")</f>
        <v/>
      </c>
      <c r="D64" s="27">
        <f>IFERROR(D$63/D$43,"n/a")</f>
        <v/>
      </c>
      <c r="E64" s="27">
        <f>IFERROR(E$63/E$43,"n/a")</f>
        <v/>
      </c>
      <c r="F64" s="27">
        <f>IFERROR(F$63/F$43,"n/a")</f>
        <v/>
      </c>
      <c r="G64" s="27">
        <f>IFERROR(G$63/G$43,"n/a")</f>
        <v/>
      </c>
      <c r="H64" s="27">
        <f>IFERROR(H$63/H$43,"n/a")</f>
        <v/>
      </c>
      <c r="I64" s="27">
        <f>IFERROR(I$63/I$43,"n/a")</f>
        <v/>
      </c>
    </row>
    <row r="65">
      <c r="A65" s="25" t="inlineStr">
        <is>
          <t>DT/TS</t>
        </is>
      </c>
      <c r="B65" s="27">
        <f>IFERROR(B$43/B$31,"n/a")</f>
        <v/>
      </c>
      <c r="C65" s="27">
        <f>IFERROR(C$43/C$31,"n/a")</f>
        <v/>
      </c>
      <c r="D65" s="27">
        <f>IFERROR(D$43/D$31,"n/a")</f>
        <v/>
      </c>
      <c r="E65" s="27">
        <f>IFERROR(E$43/E$31,"n/a")</f>
        <v/>
      </c>
      <c r="F65" s="27">
        <f>IFERROR(F$43/F$31,"n/a")</f>
        <v/>
      </c>
      <c r="G65" s="27">
        <f>IFERROR(G$43/G$31,"n/a")</f>
        <v/>
      </c>
      <c r="H65" s="27">
        <f>IFERROR(H$43/H$31,"n/a")</f>
        <v/>
      </c>
      <c r="I65" s="27">
        <f>IFERROR(I$43/I$31,"n/a")</f>
        <v/>
      </c>
    </row>
    <row r="66">
      <c r="A66" s="26" t="inlineStr">
        <is>
          <t>Dòng tiền &amp; tái đầu tư</t>
        </is>
      </c>
      <c r="B66" s="25" t="n"/>
      <c r="C66" s="25" t="n"/>
      <c r="D66" s="25" t="n"/>
      <c r="E66" s="25" t="n"/>
      <c r="F66" s="25" t="n"/>
      <c r="G66" s="25" t="n"/>
      <c r="H66" s="25" t="n"/>
      <c r="I66" s="25" t="n"/>
    </row>
    <row r="67">
      <c r="A67" s="25" t="inlineStr">
        <is>
          <t>FCF</t>
        </is>
      </c>
      <c r="B67" s="28">
        <f>IFERROR(B$55-ABS(B$54),"n/a")</f>
        <v/>
      </c>
      <c r="C67" s="28">
        <f>IFERROR(C$55-ABS(C$54),"n/a")</f>
        <v/>
      </c>
      <c r="D67" s="28">
        <f>IFERROR(D$55-ABS(D$54),"n/a")</f>
        <v/>
      </c>
      <c r="E67" s="28">
        <f>IFERROR(E$55-ABS(E$54),"n/a")</f>
        <v/>
      </c>
      <c r="F67" s="28">
        <f>IFERROR(F$55-ABS(F$54),"n/a")</f>
        <v/>
      </c>
      <c r="G67" s="28">
        <f>IFERROR(G$55-ABS(G$54),"n/a")</f>
        <v/>
      </c>
      <c r="H67" s="28">
        <f>IFERROR(H$55-ABS(H$54),"n/a")</f>
        <v/>
      </c>
      <c r="I67" s="28">
        <f>IFERROR(I$55-ABS(I$54),"n/a")</f>
        <v/>
      </c>
    </row>
    <row r="68">
      <c r="A68" s="25" t="inlineStr">
        <is>
          <t>FCF/DT</t>
        </is>
      </c>
      <c r="B68" s="27">
        <f>IFERROR(B$67/B$43,"n/a")</f>
        <v/>
      </c>
      <c r="C68" s="27">
        <f>IFERROR(C$67/C$43,"n/a")</f>
        <v/>
      </c>
      <c r="D68" s="27">
        <f>IFERROR(D$67/D$43,"n/a")</f>
        <v/>
      </c>
      <c r="E68" s="27">
        <f>IFERROR(E$67/E$43,"n/a")</f>
        <v/>
      </c>
      <c r="F68" s="27">
        <f>IFERROR(F$67/F$43,"n/a")</f>
        <v/>
      </c>
      <c r="G68" s="27">
        <f>IFERROR(G$67/G$43,"n/a")</f>
        <v/>
      </c>
      <c r="H68" s="27">
        <f>IFERROR(H$67/H$43,"n/a")</f>
        <v/>
      </c>
      <c r="I68" s="27">
        <f>IFERROR(I$67/I$43,"n/a")</f>
        <v/>
      </c>
    </row>
    <row r="69">
      <c r="A69" s="25" t="inlineStr">
        <is>
          <t>FCF/Nợ ngắn hạn</t>
        </is>
      </c>
      <c r="B69" s="27">
        <f>IFERROR(B$67/B$35,"n/a")</f>
        <v/>
      </c>
      <c r="C69" s="27">
        <f>IFERROR(C$67/C$35,"n/a")</f>
        <v/>
      </c>
      <c r="D69" s="27">
        <f>IFERROR(D$67/D$35,"n/a")</f>
        <v/>
      </c>
      <c r="E69" s="27">
        <f>IFERROR(E$67/E$35,"n/a")</f>
        <v/>
      </c>
      <c r="F69" s="27">
        <f>IFERROR(F$67/F$35,"n/a")</f>
        <v/>
      </c>
      <c r="G69" s="27">
        <f>IFERROR(G$67/G$35,"n/a")</f>
        <v/>
      </c>
      <c r="H69" s="27">
        <f>IFERROR(H$67/H$35,"n/a")</f>
        <v/>
      </c>
      <c r="I69" s="27">
        <f>IFERROR(I$67/I$35,"n/a")</f>
        <v/>
      </c>
    </row>
    <row r="70">
      <c r="A70" s="25" t="inlineStr">
        <is>
          <t>Capex</t>
        </is>
      </c>
      <c r="B70" s="28">
        <f>IFERROR(ABS(B$54),"n/a")</f>
        <v/>
      </c>
      <c r="C70" s="28">
        <f>IFERROR(ABS(C$54),"n/a")</f>
        <v/>
      </c>
      <c r="D70" s="28">
        <f>IFERROR(ABS(D$54),"n/a")</f>
        <v/>
      </c>
      <c r="E70" s="28">
        <f>IFERROR(ABS(E$54),"n/a")</f>
        <v/>
      </c>
      <c r="F70" s="28">
        <f>IFERROR(ABS(F$54),"n/a")</f>
        <v/>
      </c>
      <c r="G70" s="28">
        <f>IFERROR(ABS(G$54),"n/a")</f>
        <v/>
      </c>
      <c r="H70" s="28">
        <f>IFERROR(ABS(H$54),"n/a")</f>
        <v/>
      </c>
      <c r="I70" s="28">
        <f>IFERROR(ABS(I$54),"n/a")</f>
        <v/>
      </c>
    </row>
    <row r="71">
      <c r="A71" s="25" t="inlineStr">
        <is>
          <t>Capex/TS</t>
        </is>
      </c>
      <c r="B71" s="27">
        <f>IFERROR(B$70/B$31,"n/a")</f>
        <v/>
      </c>
      <c r="C71" s="27">
        <f>IFERROR(C$70/C$31,"n/a")</f>
        <v/>
      </c>
      <c r="D71" s="27">
        <f>IFERROR(D$70/D$31,"n/a")</f>
        <v/>
      </c>
      <c r="E71" s="27">
        <f>IFERROR(E$70/E$31,"n/a")</f>
        <v/>
      </c>
      <c r="F71" s="27">
        <f>IFERROR(F$70/F$31,"n/a")</f>
        <v/>
      </c>
      <c r="G71" s="27">
        <f>IFERROR(G$70/G$31,"n/a")</f>
        <v/>
      </c>
      <c r="H71" s="27">
        <f>IFERROR(H$70/H$31,"n/a")</f>
        <v/>
      </c>
      <c r="I71" s="27">
        <f>IFERROR(I$70/I$31,"n/a")</f>
        <v/>
      </c>
    </row>
    <row r="72">
      <c r="A72" s="25" t="inlineStr">
        <is>
          <t>Capex/LNST</t>
        </is>
      </c>
      <c r="B72" s="27">
        <f>IFERROR(B$70/ABS(B$50),"n/a")</f>
        <v/>
      </c>
      <c r="C72" s="27">
        <f>IFERROR(C$70/ABS(C$50),"n/a")</f>
        <v/>
      </c>
      <c r="D72" s="27">
        <f>IFERROR(D$70/ABS(D$50),"n/a")</f>
        <v/>
      </c>
      <c r="E72" s="27">
        <f>IFERROR(E$70/ABS(E$50),"n/a")</f>
        <v/>
      </c>
      <c r="F72" s="27">
        <f>IFERROR(F$70/ABS(F$50),"n/a")</f>
        <v/>
      </c>
      <c r="G72" s="27">
        <f>IFERROR(G$70/ABS(G$50),"n/a")</f>
        <v/>
      </c>
      <c r="H72" s="27">
        <f>IFERROR(H$70/ABS(H$50),"n/a")</f>
        <v/>
      </c>
      <c r="I72" s="27">
        <f>IFERROR(I$70/ABS(I$50),"n/a")</f>
        <v/>
      </c>
    </row>
    <row r="73">
      <c r="A73" s="25" t="inlineStr">
        <is>
          <t>Chi phí khấu hao/Lợi nhuận gộp</t>
        </is>
      </c>
      <c r="B73" s="27">
        <f>IFERROR(ABS(B$53)/B$45,"n/a")</f>
        <v/>
      </c>
      <c r="C73" s="27">
        <f>IFERROR(ABS(C$53)/C$45,"n/a")</f>
        <v/>
      </c>
      <c r="D73" s="27">
        <f>IFERROR(ABS(D$53)/D$45,"n/a")</f>
        <v/>
      </c>
      <c r="E73" s="27">
        <f>IFERROR(ABS(E$53)/E$45,"n/a")</f>
        <v/>
      </c>
      <c r="F73" s="27">
        <f>IFERROR(ABS(F$53)/F$45,"n/a")</f>
        <v/>
      </c>
      <c r="G73" s="27">
        <f>IFERROR(ABS(G$53)/G$45,"n/a")</f>
        <v/>
      </c>
      <c r="H73" s="27">
        <f>IFERROR(ABS(H$53)/H$45,"n/a")</f>
        <v/>
      </c>
      <c r="I73" s="27">
        <f>IFERROR(ABS(I$53)/I$45,"n/a")</f>
        <v/>
      </c>
    </row>
    <row r="74">
      <c r="A74" s="25" t="inlineStr">
        <is>
          <t>EBIT/Chi phí lãi vay</t>
        </is>
      </c>
      <c r="B74" s="29">
        <f>IFERROR(B$63/ABS(B$49),"n/a")</f>
        <v/>
      </c>
      <c r="C74" s="29">
        <f>IFERROR(C$63/ABS(C$49),"n/a")</f>
        <v/>
      </c>
      <c r="D74" s="29">
        <f>IFERROR(D$63/ABS(D$49),"n/a")</f>
        <v/>
      </c>
      <c r="E74" s="29">
        <f>IFERROR(E$63/ABS(E$49),"n/a")</f>
        <v/>
      </c>
      <c r="F74" s="29">
        <f>IFERROR(F$63/ABS(F$49),"n/a")</f>
        <v/>
      </c>
      <c r="G74" s="29">
        <f>IFERROR(G$63/ABS(G$49),"n/a")</f>
        <v/>
      </c>
      <c r="H74" s="29">
        <f>IFERROR(H$63/ABS(H$49),"n/a")</f>
        <v/>
      </c>
      <c r="I74" s="29">
        <f>IFERROR(I$63/ABS(I$49),"n/a")</f>
        <v/>
      </c>
    </row>
    <row r="75">
      <c r="A75" s="26" t="inlineStr">
        <is>
          <t>Vốn lưu động &amp; hiệu quả hoạt động</t>
        </is>
      </c>
      <c r="B75" s="25" t="n"/>
      <c r="C75" s="25" t="n"/>
      <c r="D75" s="25" t="n"/>
      <c r="E75" s="25" t="n"/>
      <c r="F75" s="25" t="n"/>
      <c r="G75" s="25" t="n"/>
      <c r="H75" s="25" t="n"/>
      <c r="I75" s="25" t="n"/>
    </row>
    <row r="76">
      <c r="A76" s="25" t="inlineStr">
        <is>
          <t>Vòng quay tiền mặt</t>
        </is>
      </c>
      <c r="B76" s="30">
        <f>IFERROR(B$17+B$18-B$16,"n/a")</f>
        <v/>
      </c>
      <c r="C76" s="30">
        <f>IFERROR(C$17+C$18-C$16,"n/a")</f>
        <v/>
      </c>
      <c r="D76" s="30">
        <f>IFERROR(D$17+D$18-D$16,"n/a")</f>
        <v/>
      </c>
      <c r="E76" s="30">
        <f>IFERROR(E$17+E$18-E$16,"n/a")</f>
        <v/>
      </c>
      <c r="F76" s="30">
        <f>IFERROR(F$17+F$18-F$16,"n/a")</f>
        <v/>
      </c>
      <c r="G76" s="30">
        <f>IFERROR(G$17+G$18-G$16,"n/a")</f>
        <v/>
      </c>
      <c r="H76" s="30">
        <f>IFERROR(H$17+H$18-H$16,"n/a")</f>
        <v/>
      </c>
      <c r="I76" s="30">
        <f>IFERROR(I$17+I$18-I$16,"n/a")</f>
        <v/>
      </c>
    </row>
    <row r="77">
      <c r="A77" s="25" t="inlineStr">
        <is>
          <t>HTK/DT</t>
        </is>
      </c>
      <c r="B77" s="27">
        <f>IFERROR(B$28/B$43,"n/a")</f>
        <v/>
      </c>
      <c r="C77" s="27">
        <f>IFERROR(C$28/C$43,"n/a")</f>
        <v/>
      </c>
      <c r="D77" s="27">
        <f>IFERROR(D$28/D$43,"n/a")</f>
        <v/>
      </c>
      <c r="E77" s="27">
        <f>IFERROR(E$28/E$43,"n/a")</f>
        <v/>
      </c>
      <c r="F77" s="27">
        <f>IFERROR(F$28/F$43,"n/a")</f>
        <v/>
      </c>
      <c r="G77" s="27">
        <f>IFERROR(G$28/G$43,"n/a")</f>
        <v/>
      </c>
      <c r="H77" s="27">
        <f>IFERROR(H$28/H$43,"n/a")</f>
        <v/>
      </c>
      <c r="I77" s="27">
        <f>IFERROR(I$28/I$43,"n/a")</f>
        <v/>
      </c>
    </row>
    <row r="78">
      <c r="A78" s="25" t="inlineStr">
        <is>
          <t>HTK/TS</t>
        </is>
      </c>
      <c r="B78" s="27">
        <f>IFERROR(B$28/B$31,"n/a")</f>
        <v/>
      </c>
      <c r="C78" s="27">
        <f>IFERROR(C$28/C$31,"n/a")</f>
        <v/>
      </c>
      <c r="D78" s="27">
        <f>IFERROR(D$28/D$31,"n/a")</f>
        <v/>
      </c>
      <c r="E78" s="27">
        <f>IFERROR(E$28/E$31,"n/a")</f>
        <v/>
      </c>
      <c r="F78" s="27">
        <f>IFERROR(F$28/F$31,"n/a")</f>
        <v/>
      </c>
      <c r="G78" s="27">
        <f>IFERROR(G$28/G$31,"n/a")</f>
        <v/>
      </c>
      <c r="H78" s="27">
        <f>IFERROR(H$28/H$31,"n/a")</f>
        <v/>
      </c>
      <c r="I78" s="27">
        <f>IFERROR(I$28/I$31,"n/a")</f>
        <v/>
      </c>
    </row>
    <row r="79">
      <c r="A79" s="25" t="inlineStr">
        <is>
          <t>DT/TS</t>
        </is>
      </c>
      <c r="B79" s="27">
        <f>IFERROR(B$43/B$31,"n/a")</f>
        <v/>
      </c>
      <c r="C79" s="27">
        <f>IFERROR(C$43/C$31,"n/a")</f>
        <v/>
      </c>
      <c r="D79" s="27">
        <f>IFERROR(D$43/D$31,"n/a")</f>
        <v/>
      </c>
      <c r="E79" s="27">
        <f>IFERROR(E$43/E$31,"n/a")</f>
        <v/>
      </c>
      <c r="F79" s="27">
        <f>IFERROR(F$43/F$31,"n/a")</f>
        <v/>
      </c>
      <c r="G79" s="27">
        <f>IFERROR(G$43/G$31,"n/a")</f>
        <v/>
      </c>
      <c r="H79" s="27">
        <f>IFERROR(H$43/H$31,"n/a")</f>
        <v/>
      </c>
      <c r="I79" s="27">
        <f>IFERROR(I$43/I$31,"n/a")</f>
        <v/>
      </c>
    </row>
    <row r="80">
      <c r="A80" s="26" t="inlineStr">
        <is>
          <t>Khả năng thanh toán</t>
        </is>
      </c>
      <c r="B80" s="25" t="n"/>
      <c r="C80" s="25" t="n"/>
      <c r="D80" s="25" t="n"/>
      <c r="E80" s="25" t="n"/>
      <c r="F80" s="25" t="n"/>
      <c r="G80" s="25" t="n"/>
      <c r="H80" s="25" t="n"/>
      <c r="I80" s="25" t="n"/>
    </row>
    <row r="81">
      <c r="A81" s="25" t="inlineStr">
        <is>
          <t>(TS ngắn hạn − HTK)/Nợ ngắn hạn</t>
        </is>
      </c>
      <c r="B81" s="29">
        <f>IFERROR((B$29-B$28)/B$35,"n/a")</f>
        <v/>
      </c>
      <c r="C81" s="29">
        <f>IFERROR((C$29-C$28)/C$35,"n/a")</f>
        <v/>
      </c>
      <c r="D81" s="29">
        <f>IFERROR((D$29-D$28)/D$35,"n/a")</f>
        <v/>
      </c>
      <c r="E81" s="29">
        <f>IFERROR((E$29-E$28)/E$35,"n/a")</f>
        <v/>
      </c>
      <c r="F81" s="29">
        <f>IFERROR((F$29-F$28)/F$35,"n/a")</f>
        <v/>
      </c>
      <c r="G81" s="29">
        <f>IFERROR((G$29-G$28)/G$35,"n/a")</f>
        <v/>
      </c>
      <c r="H81" s="29">
        <f>IFERROR((H$29-H$28)/H$35,"n/a")</f>
        <v/>
      </c>
      <c r="I81" s="29">
        <f>IFERROR((I$29-I$28)/I$35,"n/a")</f>
        <v/>
      </c>
    </row>
    <row r="82">
      <c r="A82" s="25" t="inlineStr">
        <is>
          <t>TS ngắn hạn/Nợ ngắn hạn</t>
        </is>
      </c>
      <c r="B82" s="29">
        <f>IFERROR(B$29/B$35,"n/a")</f>
        <v/>
      </c>
      <c r="C82" s="29">
        <f>IFERROR(C$29/C$35,"n/a")</f>
        <v/>
      </c>
      <c r="D82" s="29">
        <f>IFERROR(D$29/D$35,"n/a")</f>
        <v/>
      </c>
      <c r="E82" s="29">
        <f>IFERROR(E$29/E$35,"n/a")</f>
        <v/>
      </c>
      <c r="F82" s="29">
        <f>IFERROR(F$29/F$35,"n/a")</f>
        <v/>
      </c>
      <c r="G82" s="29">
        <f>IFERROR(G$29/G$35,"n/a")</f>
        <v/>
      </c>
      <c r="H82" s="29">
        <f>IFERROR(H$29/H$35,"n/a")</f>
        <v/>
      </c>
      <c r="I82" s="29">
        <f>IFERROR(I$29/I$35,"n/a")</f>
        <v/>
      </c>
    </row>
    <row r="83">
      <c r="A83" s="26" t="inlineStr">
        <is>
          <t>Tài sản &amp; cơ cấu tài sản</t>
        </is>
      </c>
      <c r="B83" s="25" t="n"/>
      <c r="C83" s="25" t="n"/>
      <c r="D83" s="25" t="n"/>
      <c r="E83" s="25" t="n"/>
      <c r="F83" s="25" t="n"/>
      <c r="G83" s="25" t="n"/>
      <c r="H83" s="25" t="n"/>
      <c r="I83" s="25" t="n"/>
    </row>
    <row r="84">
      <c r="A84" s="25" t="inlineStr">
        <is>
          <t>TSCĐ vô hình</t>
        </is>
      </c>
      <c r="B84" s="28">
        <f>IFERROR(B$30,"n/a")</f>
        <v/>
      </c>
      <c r="C84" s="28">
        <f>IFERROR(C$30,"n/a")</f>
        <v/>
      </c>
      <c r="D84" s="28">
        <f>IFERROR(D$30,"n/a")</f>
        <v/>
      </c>
      <c r="E84" s="28">
        <f>IFERROR(E$30,"n/a")</f>
        <v/>
      </c>
      <c r="F84" s="28">
        <f>IFERROR(F$30,"n/a")</f>
        <v/>
      </c>
      <c r="G84" s="28">
        <f>IFERROR(G$30,"n/a")</f>
        <v/>
      </c>
      <c r="H84" s="28">
        <f>IFERROR(H$30,"n/a")</f>
        <v/>
      </c>
      <c r="I84" s="28">
        <f>IFERROR(I$30,"n/a")</f>
        <v/>
      </c>
    </row>
    <row r="85">
      <c r="A85" s="25" t="inlineStr">
        <is>
          <t>Tài sản vô hình/Giá trị sổ sách</t>
        </is>
      </c>
      <c r="B85" s="27">
        <f>IFERROR(B$30/B$39,"n/a")</f>
        <v/>
      </c>
      <c r="C85" s="27">
        <f>IFERROR(C$30/C$39,"n/a")</f>
        <v/>
      </c>
      <c r="D85" s="27">
        <f>IFERROR(D$30/D$39,"n/a")</f>
        <v/>
      </c>
      <c r="E85" s="27">
        <f>IFERROR(E$30/E$39,"n/a")</f>
        <v/>
      </c>
      <c r="F85" s="27">
        <f>IFERROR(F$30/F$39,"n/a")</f>
        <v/>
      </c>
      <c r="G85" s="27">
        <f>IFERROR(G$30/G$39,"n/a")</f>
        <v/>
      </c>
      <c r="H85" s="27">
        <f>IFERROR(H$30/H$39,"n/a")</f>
        <v/>
      </c>
      <c r="I85" s="27">
        <f>IFERROR(I$30/I$39,"n/a")</f>
        <v/>
      </c>
    </row>
  </sheetData>
  <conditionalFormatting sqref="B6:I6">
    <cfRule type="cellIs" priority="8" operator="greaterThanOrEqual" dxfId="0">
      <formula>0.3</formula>
    </cfRule>
    <cfRule type="cellIs" priority="9" operator="lessThanOrEqual" dxfId="1">
      <formula>0.1</formula>
    </cfRule>
    <cfRule type="cellIs" priority="10" operator="between" dxfId="2">
      <formula>0.1</formula>
      <formula>0.3</formula>
    </cfRule>
  </conditionalFormatting>
  <conditionalFormatting sqref="B8:I8 B11:I11">
    <cfRule type="cellIs" priority="6" operator="lessThanOrEqual" dxfId="0">
      <formula>0.5</formula>
    </cfRule>
  </conditionalFormatting>
  <conditionalFormatting sqref="B14:I14">
    <cfRule type="cellIs" priority="4" operator="lessThanOrEqual" dxfId="0">
      <formula>0.3</formula>
    </cfRule>
    <cfRule type="cellIs" priority="5" operator="greaterThanOrEqual" dxfId="1">
      <formula>0.7</formula>
    </cfRule>
  </conditionalFormatting>
  <conditionalFormatting sqref="B19:I19">
    <cfRule type="cellIs" priority="2" operator="notBetween" dxfId="1">
      <formula>0.02</formula>
      <formula>0.3</formula>
    </cfRule>
    <cfRule type="cellIs" priority="3" operator="between" dxfId="0">
      <formula>0.02</formula>
      <formula>0.3</formula>
    </cfRule>
  </conditionalFormatting>
  <conditionalFormatting sqref="B2:J2">
    <cfRule type="cellIs" priority="14" operator="greaterThanOrEqual" dxfId="0">
      <formula>0.15</formula>
    </cfRule>
    <cfRule type="cellIs" priority="15" operator="lessThan" dxfId="1">
      <formula>0.15</formula>
    </cfRule>
  </conditionalFormatting>
  <conditionalFormatting sqref="B4:J5">
    <cfRule type="cellIs" priority="11" operator="lessThan" dxfId="1">
      <formula>0.1</formula>
    </cfRule>
    <cfRule type="cellIs" priority="12" operator="greaterThanOrEqual" dxfId="0">
      <formula>0.15</formula>
    </cfRule>
    <cfRule type="cellIs" priority="13" operator="between" dxfId="2">
      <formula>0.1</formula>
      <formula>0.15</formula>
    </cfRule>
  </conditionalFormatting>
  <conditionalFormatting sqref="B7:J7">
    <cfRule type="cellIs" priority="7" operator="greaterThanOrEqual" dxfId="0">
      <formula>0.1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7.625" customWidth="1" min="1" max="1"/>
    <col width="20" customWidth="1" min="2" max="2"/>
    <col width="17.5" customWidth="1" min="6" max="6"/>
    <col width="7.625" customWidth="1" min="8" max="8"/>
    <col width="12.625" customWidth="1" min="19" max="19"/>
    <col width="12.625" customWidth="1" min="20" max="20"/>
  </cols>
  <sheetData>
    <row r="1" ht="15" customHeight="1">
      <c r="A1" s="25" t="n"/>
      <c r="B1" s="25" t="inlineStr">
        <is>
          <t>Q1/2026</t>
        </is>
      </c>
      <c r="C1" s="25" t="inlineStr">
        <is>
          <t>Q2/2026</t>
        </is>
      </c>
      <c r="D1" s="25" t="inlineStr">
        <is>
          <t>Q3/2026</t>
        </is>
      </c>
      <c r="E1" s="25" t="inlineStr">
        <is>
          <t>Q4/2026</t>
        </is>
      </c>
    </row>
    <row r="2" ht="14.25" customHeight="1">
      <c r="A2" s="25" t="inlineStr">
        <is>
          <t>Số CP</t>
        </is>
      </c>
      <c r="B2" s="31" t="n">
        <v>1475765646</v>
      </c>
      <c r="C2" s="31" t="n">
        <v>1475765646</v>
      </c>
      <c r="D2" s="31" t="n">
        <v>1475765646</v>
      </c>
      <c r="E2" s="31" t="n">
        <v>1475765646</v>
      </c>
    </row>
    <row r="3" ht="14.25" customHeight="1">
      <c r="A3" s="25" t="inlineStr">
        <is>
          <t>Thị giá</t>
        </is>
      </c>
      <c r="B3" s="31" t="n">
        <v>75100</v>
      </c>
      <c r="C3" s="31" t="n">
        <v>75100</v>
      </c>
      <c r="D3" s="31" t="n">
        <v>75100</v>
      </c>
      <c r="E3" s="31" t="n">
        <v>75100</v>
      </c>
    </row>
    <row r="4" ht="14.25" customHeight="1">
      <c r="A4" s="25" t="inlineStr">
        <is>
          <t>Vốn hoá</t>
        </is>
      </c>
      <c r="B4" s="31">
        <f>B2*B3</f>
        <v/>
      </c>
      <c r="C4" s="31">
        <f>C2*C3</f>
        <v/>
      </c>
      <c r="D4" s="31">
        <f>D2*D3</f>
        <v/>
      </c>
      <c r="E4" s="31">
        <f>E2*E3</f>
        <v/>
      </c>
    </row>
    <row r="5" ht="14.25" customHeight="1"/>
    <row r="6" ht="14.25" customHeight="1">
      <c r="A6" s="25" t="inlineStr">
        <is>
          <t>VCSH</t>
        </is>
      </c>
      <c r="B6" s="32" t="n">
        <v>35933000000000</v>
      </c>
      <c r="C6" s="32" t="n">
        <v>36351000000000</v>
      </c>
      <c r="D6" s="32">
        <f>B6*(($E$6/B6)^(2/3))</f>
        <v/>
      </c>
      <c r="E6" s="31">
        <f>chi_so_tai_chinh!J39</f>
        <v/>
      </c>
      <c r="F6" s="33" t="n"/>
      <c r="G6" s="33" t="n"/>
    </row>
    <row r="7" ht="14.25" customHeight="1">
      <c r="A7" s="25" t="inlineStr">
        <is>
          <t>LICĐTS</t>
        </is>
      </c>
      <c r="B7" s="31" t="n">
        <v>619000000000</v>
      </c>
      <c r="C7" s="31" t="n">
        <v>672000000000</v>
      </c>
      <c r="D7" s="31">
        <f>D6*0.02</f>
        <v/>
      </c>
      <c r="E7" s="31">
        <f>E6*0.02</f>
        <v/>
      </c>
      <c r="F7" s="34" t="n"/>
      <c r="G7" s="34" t="n"/>
    </row>
    <row r="8" ht="14.25" customHeight="1">
      <c r="A8" s="25" t="inlineStr">
        <is>
          <t>BV</t>
        </is>
      </c>
      <c r="B8" s="31">
        <f>B6-B7</f>
        <v/>
      </c>
      <c r="C8" s="31">
        <f>C6-C7</f>
        <v/>
      </c>
      <c r="D8" s="31">
        <f>D6-D7</f>
        <v/>
      </c>
      <c r="E8" s="31">
        <f>E6-E7</f>
        <v/>
      </c>
    </row>
    <row r="9" ht="14.25" customHeight="1">
      <c r="A9" s="35" t="inlineStr">
        <is>
          <t>BVPS</t>
        </is>
      </c>
      <c r="B9" s="36">
        <f>B8/B2</f>
        <v/>
      </c>
      <c r="C9" s="36">
        <f>C8/C2</f>
        <v/>
      </c>
      <c r="D9" s="36">
        <f>D8/D2</f>
        <v/>
      </c>
      <c r="E9" s="36">
        <f>E8/E2</f>
        <v/>
      </c>
    </row>
    <row r="10" ht="14.25" customHeight="1">
      <c r="A10" s="35" t="inlineStr">
        <is>
          <t>PB</t>
        </is>
      </c>
      <c r="B10" s="37">
        <f>B3/B9</f>
        <v/>
      </c>
      <c r="C10" s="37">
        <f>C3/C9</f>
        <v/>
      </c>
      <c r="D10" s="37">
        <f>D3/D9</f>
        <v/>
      </c>
      <c r="E10" s="37">
        <f>E3/E9</f>
        <v/>
      </c>
      <c r="H10" s="38" t="n"/>
      <c r="I10" s="38" t="n"/>
      <c r="J10" s="38" t="n"/>
    </row>
    <row r="11" ht="14.25" customHeight="1">
      <c r="H11" s="38" t="n"/>
      <c r="I11" s="38" t="n"/>
      <c r="J11" s="38" t="n"/>
      <c r="K11" s="38" t="n"/>
      <c r="L11" s="38" t="n"/>
    </row>
    <row r="12" ht="14.25" customHeight="1"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</row>
    <row r="13" ht="14.25" customHeight="1">
      <c r="I13" s="38" t="n"/>
      <c r="J13" s="38" t="n"/>
      <c r="K13" s="38" t="n"/>
      <c r="L13" s="38" t="n"/>
      <c r="M13" s="38" t="n"/>
      <c r="N13" s="38" t="n"/>
      <c r="O13" s="38" t="n"/>
      <c r="P13" s="38" t="n"/>
      <c r="Q13" s="38" t="n"/>
      <c r="R13" s="38" t="n"/>
    </row>
    <row r="14" ht="14.25" customHeight="1">
      <c r="I14" s="38" t="n"/>
      <c r="J14" s="38" t="n"/>
      <c r="K14" s="38" t="n"/>
      <c r="L14" s="38" t="n"/>
      <c r="M14" s="38" t="n"/>
      <c r="N14" s="38" t="n"/>
      <c r="O14" s="38" t="n"/>
      <c r="P14" s="38" t="n"/>
      <c r="Q14" s="38" t="n"/>
      <c r="R14" s="3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2026-10-28T04:23:30Z</dcterms:created>
  <dcterms:modified xsi:type="dcterms:W3CDTF">2026-10-28T04:35:59Z</dcterms:modified>
</cp:coreProperties>
</file>
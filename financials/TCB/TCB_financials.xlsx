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balance_sheet" sheetId="1" state="visible" r:id="rId1"/>
    <sheet xmlns:r="http://schemas.openxmlformats.org/officeDocument/2006/relationships" name="income_statement" sheetId="2" state="visible" r:id="rId2"/>
    <sheet xmlns:r="http://schemas.openxmlformats.org/officeDocument/2006/relationships" name="cash_flow" sheetId="3" state="visible" r:id="rId3"/>
    <sheet xmlns:r="http://schemas.openxmlformats.org/officeDocument/2006/relationships" name="chi_so_tai_chinh" sheetId="4" state="visible" r:id="rId4"/>
  </sheets>
  <definedNames/>
  <calcPr calcId="124519" fullCalcOnLoad="1" refMode="A1" iterate="0" iterateCount="100" iterateDelta="0.0001"/>
</workbook>
</file>

<file path=xl/styles.xml><?xml version="1.0" encoding="utf-8"?>
<styleSheet xmlns="http://schemas.openxmlformats.org/spreadsheetml/2006/main">
  <numFmts count="7">
    <numFmt numFmtId="164" formatCode="#,##0;\(#,##0\);\-"/>
    <numFmt numFmtId="165" formatCode="0.0%"/>
    <numFmt numFmtId="166" formatCode="0.00\x"/>
    <numFmt numFmtId="167" formatCode="#,##0&quot; ngày&quot;"/>
    <numFmt numFmtId="168" formatCode="0.00&quot;x&quot;"/>
    <numFmt numFmtId="169" formatCode="#,##0 &quot;ngày&quot;"/>
    <numFmt numFmtId="170" formatCode="#,##0;(#,##0);&quot;-&quot;"/>
  </numFmts>
  <fonts count="27">
    <font>
      <name val="Calibri"/>
      <charset val="1"/>
      <family val="2"/>
      <color theme="1"/>
      <sz val="11"/>
    </font>
    <font>
      <name val="Arial"/>
      <family val="0"/>
      <sz val="10"/>
    </font>
    <font>
      <name val="Arial"/>
      <family val="0"/>
      <sz val="10"/>
    </font>
    <font>
      <name val="Arial"/>
      <family val="0"/>
      <sz val="10"/>
    </font>
    <font>
      <name val="Calibri"/>
      <charset val="1"/>
      <family val="0"/>
      <b val="1"/>
      <color rgb="FFFFFFFF"/>
      <sz val="14"/>
    </font>
    <font>
      <name val="Calibri"/>
      <charset val="1"/>
      <family val="0"/>
      <i val="1"/>
      <color rgb="FF808080"/>
      <sz val="9"/>
    </font>
    <font>
      <name val="Calibri"/>
      <charset val="1"/>
      <family val="0"/>
      <i val="1"/>
      <color rgb="FFC00000"/>
      <sz val="9"/>
    </font>
    <font>
      <name val="Calibri"/>
      <charset val="1"/>
      <family val="0"/>
      <b val="1"/>
      <sz val="11"/>
    </font>
    <font>
      <name val="Calibri"/>
      <charset val="1"/>
      <family val="0"/>
      <sz val="10"/>
    </font>
    <font>
      <name val="Calibri"/>
      <charset val="1"/>
      <family val="0"/>
      <color rgb="FF008000"/>
      <sz val="10"/>
    </font>
    <font>
      <name val="Calibri"/>
      <charset val="1"/>
      <family val="0"/>
      <i val="1"/>
      <color rgb="FF808080"/>
      <sz val="10"/>
    </font>
    <font>
      <name val="Calibri"/>
      <charset val="1"/>
      <family val="0"/>
      <b val="1"/>
      <i val="1"/>
      <sz val="10"/>
    </font>
    <font>
      <name val="Calibri"/>
      <charset val="1"/>
      <family val="0"/>
      <b val="1"/>
      <sz val="10"/>
    </font>
    <font>
      <name val="Calibri"/>
      <charset val="1"/>
      <family val="0"/>
      <color rgb="FF000000"/>
      <sz val="10"/>
    </font>
    <font>
      <name val="Arial"/>
      <family val="2"/>
      <sz val="10"/>
    </font>
    <font>
      <name val="Tahoma"/>
      <b val="1"/>
      <color rgb="00FFFFFF"/>
      <sz val="14"/>
    </font>
    <font>
      <name val="Tahoma"/>
      <i val="1"/>
      <color rgb="00808080"/>
      <sz val="9"/>
    </font>
    <font>
      <name val="Tahoma"/>
      <i val="1"/>
      <color rgb="00C00000"/>
      <sz val="9"/>
    </font>
    <font>
      <name val="Tahoma"/>
      <b val="1"/>
      <sz val="11"/>
    </font>
    <font>
      <name val="Tahoma"/>
      <b val="1"/>
    </font>
    <font>
      <name val="Tahoma"/>
      <b val="1"/>
      <i val="1"/>
      <sz val="10"/>
    </font>
    <font>
      <name val="Tahoma"/>
      <b val="1"/>
      <sz val="10"/>
    </font>
    <font>
      <name val="Tahoma"/>
      <i val="1"/>
      <color rgb="00808080"/>
      <sz val="10"/>
    </font>
    <font>
      <name val="Tahoma"/>
      <color rgb="00000000"/>
      <sz val="10"/>
    </font>
    <font>
      <name val="Tahoma"/>
      <sz val="10"/>
    </font>
    <font>
      <name val="Tahoma"/>
      <color rgb="00008000"/>
      <sz val="10"/>
    </font>
    <font>
      <name val="Tahoma"/>
      <b val="1"/>
      <color rgb="00FFFFFF"/>
    </font>
  </fonts>
  <fills count="6">
    <fill>
      <patternFill/>
    </fill>
    <fill>
      <patternFill patternType="gray125"/>
    </fill>
    <fill>
      <patternFill patternType="solid">
        <fgColor rgb="FF1F4E78"/>
        <bgColor rgb="FF003366"/>
      </patternFill>
    </fill>
    <fill>
      <patternFill patternType="solid">
        <fgColor rgb="FFD9E1F2"/>
        <bgColor rgb="FFCCFFFF"/>
      </patternFill>
    </fill>
    <fill>
      <patternFill patternType="solid">
        <fgColor rgb="001F4E78"/>
      </patternFill>
    </fill>
    <fill>
      <patternFill patternType="solid">
        <fgColor rgb="00D9E1F2"/>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00BFBFBF"/>
      </left>
      <right style="thin">
        <color rgb="00BFBFBF"/>
      </right>
      <top style="thin">
        <color rgb="00BFBFBF"/>
      </top>
      <bottom style="thin">
        <color rgb="00BFBFBF"/>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8">
    <xf numFmtId="0" fontId="0" fillId="0" borderId="0" applyAlignment="1" pivotButton="0" quotePrefix="0" xfId="0">
      <alignment horizontal="general" vertical="bottom"/>
    </xf>
    <xf numFmtId="0" fontId="4" fillId="2" borderId="0" applyAlignment="1" pivotButton="0" quotePrefix="0" xfId="0">
      <alignment horizontal="general" vertical="bottom"/>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3" borderId="0" applyAlignment="1" pivotButton="0" quotePrefix="0" xfId="0">
      <alignment horizontal="general" vertical="bottom"/>
    </xf>
    <xf numFmtId="0" fontId="0" fillId="3" borderId="0" applyAlignment="1" pivotButton="0" quotePrefix="0" xfId="0">
      <alignment horizontal="general" vertical="bottom"/>
    </xf>
    <xf numFmtId="0" fontId="7" fillId="0" borderId="1" applyAlignment="1" pivotButton="0" quotePrefix="0" xfId="0">
      <alignment horizontal="general" vertical="bottom"/>
    </xf>
    <xf numFmtId="1" fontId="7" fillId="0" borderId="1" applyAlignment="1" pivotButton="0" quotePrefix="0" xfId="0">
      <alignment horizontal="center" vertical="bottom"/>
    </xf>
    <xf numFmtId="0" fontId="8" fillId="0" borderId="1" applyAlignment="1" pivotButton="0" quotePrefix="0" xfId="0">
      <alignment horizontal="general" vertical="bottom"/>
    </xf>
    <xf numFmtId="164" fontId="9" fillId="0" borderId="1" applyAlignment="1" pivotButton="0" quotePrefix="0" xfId="0">
      <alignment horizontal="general" vertical="bottom"/>
    </xf>
    <xf numFmtId="0" fontId="10" fillId="0" borderId="1" applyAlignment="1" pivotButton="0" quotePrefix="0" xfId="0">
      <alignment horizontal="general" vertical="bottom"/>
    </xf>
    <xf numFmtId="0" fontId="11" fillId="0" borderId="0" applyAlignment="1" pivotButton="0" quotePrefix="0" xfId="0">
      <alignment horizontal="general" vertical="bottom"/>
    </xf>
    <xf numFmtId="0" fontId="12" fillId="0" borderId="1" applyAlignment="1" pivotButton="0" quotePrefix="0" xfId="0">
      <alignment horizontal="general" vertical="bottom"/>
    </xf>
    <xf numFmtId="165" fontId="13" fillId="0" borderId="1" applyAlignment="1" pivotButton="0" quotePrefix="0" xfId="0">
      <alignment horizontal="general" vertical="bottom"/>
    </xf>
    <xf numFmtId="166" fontId="13" fillId="0" borderId="1" applyAlignment="1" pivotButton="0" quotePrefix="0" xfId="0">
      <alignment horizontal="general" vertical="bottom"/>
    </xf>
    <xf numFmtId="167" fontId="13" fillId="0" borderId="1" applyAlignment="1" pivotButton="0" quotePrefix="0" xfId="0">
      <alignment horizontal="general" vertical="bottom"/>
    </xf>
    <xf numFmtId="0" fontId="0" fillId="0" borderId="0" pivotButton="0" quotePrefix="0" xfId="0"/>
    <xf numFmtId="0" fontId="0" fillId="0" borderId="0" applyAlignment="1" pivotButton="0" quotePrefix="0" xfId="0">
      <alignment horizontal="general" vertical="bottom"/>
    </xf>
    <xf numFmtId="0" fontId="15" fillId="4" borderId="0" pivotButton="0" quotePrefix="0" xfId="0"/>
    <xf numFmtId="0" fontId="0" fillId="4" borderId="0" pivotButton="0" quotePrefix="0" xfId="0"/>
    <xf numFmtId="0" fontId="16" fillId="0" borderId="0" applyAlignment="1" pivotButton="0" quotePrefix="0" xfId="0">
      <alignment vertical="top" wrapText="1"/>
    </xf>
    <xf numFmtId="0" fontId="17" fillId="0" borderId="0" applyAlignment="1" pivotButton="0" quotePrefix="0" xfId="0">
      <alignment vertical="top" wrapText="1"/>
    </xf>
    <xf numFmtId="0" fontId="18" fillId="5" borderId="0" pivotButton="0" quotePrefix="0" xfId="0"/>
    <xf numFmtId="0" fontId="0" fillId="5" borderId="0" pivotButton="0" quotePrefix="0" xfId="0"/>
    <xf numFmtId="0" fontId="19" fillId="0" borderId="2" pivotButton="0" quotePrefix="0" xfId="0"/>
    <xf numFmtId="1" fontId="19" fillId="0" borderId="2" applyAlignment="1" pivotButton="0" quotePrefix="0" xfId="0">
      <alignment horizontal="center"/>
    </xf>
    <xf numFmtId="0" fontId="20" fillId="0" borderId="0" pivotButton="0" quotePrefix="0" xfId="0"/>
    <xf numFmtId="0" fontId="21" fillId="0" borderId="2" pivotButton="0" quotePrefix="0" xfId="0"/>
    <xf numFmtId="0" fontId="22" fillId="0" borderId="2" pivotButton="0" quotePrefix="0" xfId="0"/>
    <xf numFmtId="165" fontId="23" fillId="0" borderId="2" pivotButton="0" quotePrefix="0" xfId="0"/>
    <xf numFmtId="168" fontId="23" fillId="0" borderId="2" pivotButton="0" quotePrefix="0" xfId="0"/>
    <xf numFmtId="0" fontId="24" fillId="0" borderId="2" pivotButton="0" quotePrefix="0" xfId="0"/>
    <xf numFmtId="169" fontId="23" fillId="0" borderId="2" pivotButton="0" quotePrefix="0" xfId="0"/>
    <xf numFmtId="170" fontId="25" fillId="0" borderId="2" pivotButton="0" quotePrefix="0" xfId="0"/>
    <xf numFmtId="0" fontId="26" fillId="4" borderId="2" applyAlignment="1" pivotButton="0" quotePrefix="0" xfId="0">
      <alignment horizontal="left"/>
    </xf>
    <xf numFmtId="0" fontId="26" fillId="4" borderId="2" applyAlignment="1" pivotButton="0" quotePrefix="0" xfId="0">
      <alignment horizontal="center"/>
    </xf>
    <xf numFmtId="0" fontId="24" fillId="0" borderId="2" applyAlignment="1" pivotButton="0" quotePrefix="0" xfId="0">
      <alignment horizontal="general" vertical="bottom"/>
    </xf>
    <xf numFmtId="170" fontId="24" fillId="0" borderId="2"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2">
    <dxf>
      <fill>
        <patternFill patternType="solid">
          <fgColor rgb="00C6E0B4"/>
        </patternFill>
      </fill>
    </dxf>
    <dxf>
      <fill>
        <patternFill patternType="solid">
          <fgColor rgb="00F8CBAD"/>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auto</author>
  </authors>
  <commentList>
    <comment ref="B43" authorId="0" shapeId="0">
      <text>
        <t>Không có khoản mục tương ứng trong báo cáo tài chính của công ty này.</t>
      </text>
    </comment>
    <comment ref="C43" authorId="0" shapeId="0">
      <text>
        <t>Không có khoản mục tương ứng trong báo cáo tài chính của công ty này.</t>
      </text>
    </comment>
    <comment ref="D43" authorId="0" shapeId="0">
      <text>
        <t>Không có khoản mục tương ứng trong báo cáo tài chính của công ty này.</t>
      </text>
    </comment>
    <comment ref="E43" authorId="0" shapeId="0">
      <text>
        <t>Không có khoản mục tương ứng trong báo cáo tài chính của công ty này.</t>
      </text>
    </comment>
    <comment ref="B44" authorId="0" shapeId="0">
      <text>
        <t>Không có khoản mục tương ứng trong báo cáo tài chính của công ty này.</t>
      </text>
    </comment>
    <comment ref="C44" authorId="0" shapeId="0">
      <text>
        <t>Không có khoản mục tương ứng trong báo cáo tài chính của công ty này.</t>
      </text>
    </comment>
    <comment ref="D44" authorId="0" shapeId="0">
      <text>
        <t>Không có khoản mục tương ứng trong báo cáo tài chính của công ty này.</t>
      </text>
    </comment>
    <comment ref="E44" authorId="0" shapeId="0">
      <text>
        <t>Không có khoản mục tương ứng trong báo cáo tài chính của công ty này.</t>
      </text>
    </comment>
    <comment ref="B45" authorId="0" shapeId="0">
      <text>
        <t>Không có khoản mục tương ứng trong báo cáo tài chính của công ty này.</t>
      </text>
    </comment>
    <comment ref="C45" authorId="0" shapeId="0">
      <text>
        <t>Không có khoản mục tương ứng trong báo cáo tài chính của công ty này.</t>
      </text>
    </comment>
    <comment ref="D45" authorId="0" shapeId="0">
      <text>
        <t>Không có khoản mục tương ứng trong báo cáo tài chính của công ty này.</t>
      </text>
    </comment>
    <comment ref="E45" authorId="0" shapeId="0">
      <text>
        <t>Không có khoản mục tương ứng trong báo cáo tài chính của công ty này.</t>
      </text>
    </comment>
    <comment ref="B46" authorId="0" shapeId="0">
      <text>
        <t>Không có khoản mục tương ứng trong báo cáo tài chính của công ty này.</t>
      </text>
    </comment>
    <comment ref="C46" authorId="0" shapeId="0">
      <text>
        <t>Không có khoản mục tương ứng trong báo cáo tài chính của công ty này.</t>
      </text>
    </comment>
    <comment ref="D46" authorId="0" shapeId="0">
      <text>
        <t>Không có khoản mục tương ứng trong báo cáo tài chính của công ty này.</t>
      </text>
    </comment>
    <comment ref="E46" authorId="0" shapeId="0">
      <text>
        <t>Không có khoản mục tương ứng trong báo cáo tài chính của công ty này.</t>
      </text>
    </comment>
    <comment ref="B48" authorId="0" shapeId="0">
      <text>
        <t>Không có khoản mục tương ứng trong báo cáo tài chính của công ty này.</t>
      </text>
    </comment>
    <comment ref="C48" authorId="0" shapeId="0">
      <text>
        <t>Không có khoản mục tương ứng trong báo cáo tài chính của công ty này.</t>
      </text>
    </comment>
    <comment ref="D48" authorId="0" shapeId="0">
      <text>
        <t>Không có khoản mục tương ứng trong báo cáo tài chính của công ty này.</t>
      </text>
    </comment>
    <comment ref="E48" authorId="0" shapeId="0">
      <text>
        <t>Không có khoản mục tương ứng trong báo cáo tài chính của công ty này.</t>
      </text>
    </comment>
    <comment ref="B49" authorId="0" shapeId="0">
      <text>
        <t>Không có khoản mục tương ứng trong báo cáo tài chính của công ty này.</t>
      </text>
    </comment>
    <comment ref="C49" authorId="0" shapeId="0">
      <text>
        <t>Không có khoản mục tương ứng trong báo cáo tài chính của công ty này.</t>
      </text>
    </comment>
    <comment ref="D49" authorId="0" shapeId="0">
      <text>
        <t>Không có khoản mục tương ứng trong báo cáo tài chính của công ty này.</t>
      </text>
    </comment>
    <comment ref="E49" authorId="0" shapeId="0">
      <text>
        <t>Không có khoản mục tương ứng trong báo cáo tài chính của công ty này.</t>
      </text>
    </comment>
    <comment ref="B50" authorId="0" shapeId="0">
      <text>
        <t>Không có khoản mục tương ứng trong báo cáo tài chính của công ty này.</t>
      </text>
    </comment>
    <comment ref="C50" authorId="0" shapeId="0">
      <text>
        <t>Không có khoản mục tương ứng trong báo cáo tài chính của công ty này.</t>
      </text>
    </comment>
    <comment ref="D50" authorId="0" shapeId="0">
      <text>
        <t>Không có khoản mục tương ứng trong báo cáo tài chính của công ty này.</t>
      </text>
    </comment>
    <comment ref="E50" authorId="0" shapeId="0">
      <text>
        <t>Không có khoản mục tương ứng trong báo cáo tài chính của công ty này.</t>
      </text>
    </comment>
    <comment ref="B56" authorId="0" shapeId="0">
      <text>
        <t>Không có khoản mục tương ứng trong báo cáo tài chính của công ty này.</t>
      </text>
    </comment>
    <comment ref="C56" authorId="0" shapeId="0">
      <text>
        <t>Không có khoản mục tương ứng trong báo cáo tài chính của công ty này.</t>
      </text>
    </comment>
    <comment ref="D56" authorId="0" shapeId="0">
      <text>
        <t>Không có khoản mục tương ứng trong báo cáo tài chính của công ty này.</t>
      </text>
    </comment>
    <comment ref="E56" authorId="0" shapeId="0">
      <text>
        <t>Không có khoản mục tương ứng trong báo cáo tài chính của công ty này.</t>
      </text>
    </comment>
    <comment ref="B57" authorId="0" shapeId="0">
      <text>
        <t>Không có khoản mục tương ứng trong báo cáo tài chính của công ty này.</t>
      </text>
    </comment>
    <comment ref="C57" authorId="0" shapeId="0">
      <text>
        <t>Không có khoản mục tương ứng trong báo cáo tài chính của công ty này.</t>
      </text>
    </comment>
    <comment ref="D57" authorId="0" shapeId="0">
      <text>
        <t>Không có khoản mục tương ứng trong báo cáo tài chính của công ty này.</t>
      </text>
    </comment>
    <comment ref="E57" authorId="0" shapeId="0">
      <text>
        <t>Không có khoản mục tương ứng trong báo cáo tài chính của công ty này.</t>
      </text>
    </comment>
    <comment ref="B58" authorId="0" shapeId="0">
      <text>
        <t>Không có khoản mục tương ứng trong báo cáo tài chính của công ty này.</t>
      </text>
    </comment>
    <comment ref="C58" authorId="0" shapeId="0">
      <text>
        <t>Không có khoản mục tương ứng trong báo cáo tài chính của công ty này.</t>
      </text>
    </comment>
    <comment ref="D58" authorId="0" shapeId="0">
      <text>
        <t>Không có khoản mục tương ứng trong báo cáo tài chính của công ty này.</t>
      </text>
    </comment>
    <comment ref="E58" authorId="0" shapeId="0">
      <text>
        <t>Không có khoản mục tương ứng trong báo cáo tài chính của công ty này.</t>
      </text>
    </comment>
  </commentList>
</comment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filterMode="0">
    <outlinePr summaryBelow="1" summaryRight="1"/>
    <pageSetUpPr fitToPage="0"/>
  </sheetPr>
  <dimension ref="A1:E87"/>
  <sheetViews>
    <sheetView showFormulas="0" showGridLines="0" showRowColHeaders="1" showZeros="1" rightToLeft="0" tabSelected="1" showOutlineSymbols="1" defaultGridColor="1" view="normal" topLeftCell="A1" colorId="64" zoomScale="100" zoomScaleNormal="100" zoomScalePageLayoutView="100" workbookViewId="0">
      <pane xSplit="1" ySplit="1" topLeftCell="B2" activePane="bottomRight" state="frozen"/>
      <selection pane="topRight"/>
      <selection pane="bottomLeft"/>
      <selection pane="bottomRight" activeCell="A1" activeCellId="0" sqref="A1"/>
    </sheetView>
  </sheetViews>
  <sheetFormatPr baseColWidth="8" defaultColWidth="8.6796875" defaultRowHeight="15" zeroHeight="0" outlineLevelRow="0"/>
  <cols>
    <col width="42" customWidth="1" style="16" min="1" max="1"/>
    <col width="15" customWidth="1" style="16" min="2" max="2"/>
    <col width="15" customWidth="1" style="16" min="3" max="3"/>
    <col width="15" customWidth="1" style="16" min="4" max="4"/>
    <col width="15" customWidth="1" style="16" min="5" max="5"/>
  </cols>
  <sheetData>
    <row r="1" ht="15" customHeight="1" s="16">
      <c r="A1" s="34" t="inlineStr">
        <is>
          <t>item</t>
        </is>
      </c>
      <c r="B1" s="35" t="inlineStr">
        <is>
          <t>2025</t>
        </is>
      </c>
      <c r="C1" s="35" t="inlineStr">
        <is>
          <t>2024</t>
        </is>
      </c>
      <c r="D1" s="35" t="inlineStr">
        <is>
          <t>2023</t>
        </is>
      </c>
      <c r="E1" s="35" t="inlineStr">
        <is>
          <t>2022</t>
        </is>
      </c>
    </row>
    <row r="2" ht="15" customHeight="1" s="16">
      <c r="A2" s="36" t="inlineStr">
        <is>
          <t>Tiền mặt, vàng bạc, đá quý</t>
        </is>
      </c>
      <c r="B2" s="37" t="n">
        <v>4360821000000</v>
      </c>
      <c r="C2" s="37" t="n">
        <v>3384770000000</v>
      </c>
      <c r="D2" s="37" t="n">
        <v>3620695000000</v>
      </c>
      <c r="E2" s="37" t="n">
        <v>4215721000000</v>
      </c>
    </row>
    <row r="3" ht="15" customHeight="1" s="16">
      <c r="A3" s="36" t="inlineStr">
        <is>
          <t>Tài sản cố định</t>
        </is>
      </c>
      <c r="B3" s="37" t="n">
        <v>12122934000000</v>
      </c>
      <c r="C3" s="37" t="n">
        <v>12466885000000</v>
      </c>
      <c r="D3" s="37" t="n">
        <v>8892697000000</v>
      </c>
      <c r="E3" s="37" t="n">
        <v>8411382000000</v>
      </c>
    </row>
    <row r="4" ht="15" customHeight="1" s="16">
      <c r="A4" s="36" t="inlineStr">
        <is>
          <t>Tài sản cố định hữu hình</t>
        </is>
      </c>
      <c r="B4" s="37" t="n">
        <v>6343732000000</v>
      </c>
      <c r="C4" s="37" t="n">
        <v>6576699000000</v>
      </c>
      <c r="D4" s="37" t="n">
        <v>3527586000000</v>
      </c>
      <c r="E4" s="37" t="n">
        <v>3696812000000</v>
      </c>
    </row>
    <row r="5" ht="15" customHeight="1" s="16">
      <c r="A5" s="36" t="inlineStr">
        <is>
          <t>Nguyên giá TSCĐ hữu hình</t>
        </is>
      </c>
      <c r="B5" s="37" t="n">
        <v>9539276000000</v>
      </c>
      <c r="C5" s="37" t="n">
        <v>9080615000000</v>
      </c>
      <c r="D5" s="37" t="n">
        <v>5492566000000</v>
      </c>
      <c r="E5" s="37" t="n">
        <v>5156346000000</v>
      </c>
    </row>
    <row r="6" ht="15" customHeight="1" s="16">
      <c r="A6" s="36" t="inlineStr">
        <is>
          <t>Hao mòn TSCĐ hữu hình</t>
        </is>
      </c>
      <c r="B6" s="37" t="n">
        <v>-3195544000000</v>
      </c>
      <c r="C6" s="37" t="n">
        <v>-2503916000000</v>
      </c>
      <c r="D6" s="37" t="n">
        <v>-1964980000000</v>
      </c>
      <c r="E6" s="37" t="n">
        <v>-1459534000000</v>
      </c>
    </row>
    <row r="7" ht="15" customHeight="1" s="16">
      <c r="A7" s="36" t="inlineStr">
        <is>
          <t>Tài sản cố định thuê tài chính</t>
        </is>
      </c>
      <c r="B7" s="37" t="n">
        <v>0</v>
      </c>
      <c r="C7" s="37" t="n">
        <v>0</v>
      </c>
      <c r="D7" s="37" t="n">
        <v>0</v>
      </c>
      <c r="E7" s="37" t="n">
        <v>0</v>
      </c>
    </row>
    <row r="8" ht="15" customHeight="1" s="16">
      <c r="A8" s="36" t="inlineStr">
        <is>
          <t>Nguyên giá TSCĐ thuê tài chính</t>
        </is>
      </c>
      <c r="B8" s="37" t="n">
        <v>0</v>
      </c>
      <c r="C8" s="37" t="n">
        <v>0</v>
      </c>
      <c r="D8" s="37" t="n">
        <v>0</v>
      </c>
      <c r="E8" s="37" t="n">
        <v>0</v>
      </c>
    </row>
    <row r="9" ht="15" customHeight="1" s="16">
      <c r="A9" s="36" t="inlineStr">
        <is>
          <t>Hao mòn TSCĐ thuê tài chính</t>
        </is>
      </c>
      <c r="B9" s="37" t="n">
        <v>0</v>
      </c>
      <c r="C9" s="37" t="n">
        <v>0</v>
      </c>
      <c r="D9" s="37" t="n">
        <v>0</v>
      </c>
      <c r="E9" s="37" t="n">
        <v>0</v>
      </c>
    </row>
    <row r="10" ht="15" customHeight="1" s="16">
      <c r="A10" s="36" t="inlineStr">
        <is>
          <t>Tài sản cố định vô hình</t>
        </is>
      </c>
      <c r="B10" s="37" t="n">
        <v>5779202000000</v>
      </c>
      <c r="C10" s="37" t="n">
        <v>5890186000000</v>
      </c>
      <c r="D10" s="37" t="n">
        <v>5365111000000</v>
      </c>
      <c r="E10" s="37" t="n">
        <v>4714570000000</v>
      </c>
    </row>
    <row r="11" ht="15" customHeight="1" s="16">
      <c r="A11" s="36" t="inlineStr">
        <is>
          <t>Nguyên giá TSCĐ vô hình</t>
        </is>
      </c>
      <c r="B11" s="37" t="n">
        <v>9535997000000</v>
      </c>
      <c r="C11" s="37" t="n">
        <v>8485022000000</v>
      </c>
      <c r="D11" s="37" t="n">
        <v>7198784000000</v>
      </c>
      <c r="E11" s="37" t="n">
        <v>5913538000000</v>
      </c>
    </row>
    <row r="12" ht="15" customHeight="1" s="16">
      <c r="A12" s="36" t="inlineStr">
        <is>
          <t>Hao mòn TSCĐ vô hình</t>
        </is>
      </c>
      <c r="B12" s="37" t="n">
        <v>-3756795000000</v>
      </c>
      <c r="C12" s="37" t="n">
        <v>-2594836000000</v>
      </c>
      <c r="D12" s="37" t="n">
        <v>-1833673000000</v>
      </c>
      <c r="E12" s="37" t="n">
        <v>-1198968000000</v>
      </c>
    </row>
    <row r="13" ht="15" customHeight="1" s="16">
      <c r="A13" s="36" t="inlineStr">
        <is>
          <t>Bất động sản đầu tư</t>
        </is>
      </c>
      <c r="B13" s="37" t="n">
        <v>0</v>
      </c>
      <c r="C13" s="37" t="n">
        <v>0</v>
      </c>
      <c r="D13" s="37" t="n">
        <v>0</v>
      </c>
      <c r="E13" s="37" t="n">
        <v>1053124000000</v>
      </c>
    </row>
    <row r="14" ht="15" customHeight="1" s="16">
      <c r="A14" s="36" t="inlineStr">
        <is>
          <t>Nguyên giá bất động sản đầu tư</t>
        </is>
      </c>
      <c r="B14" s="37" t="n">
        <v>0</v>
      </c>
      <c r="C14" s="37" t="n">
        <v>0</v>
      </c>
      <c r="D14" s="37" t="n">
        <v>0</v>
      </c>
      <c r="E14" s="37" t="n">
        <v>1435699000000</v>
      </c>
    </row>
    <row r="15" ht="15" customHeight="1" s="16">
      <c r="A15" s="36" t="inlineStr">
        <is>
          <t>Hao mòn bất động sản đầu tư</t>
        </is>
      </c>
      <c r="B15" s="37" t="n">
        <v>0</v>
      </c>
      <c r="C15" s="37" t="n">
        <v>0</v>
      </c>
      <c r="D15" s="37" t="n">
        <v>0</v>
      </c>
      <c r="E15" s="37" t="n">
        <v>-382575000000</v>
      </c>
    </row>
    <row r="16" ht="15" customHeight="1" s="16">
      <c r="A16" s="36" t="inlineStr">
        <is>
          <t>Góp vốn, đầu tư dài hạn</t>
        </is>
      </c>
      <c r="B16" s="37" t="n">
        <v>3246622000000</v>
      </c>
      <c r="C16" s="37" t="n">
        <v>3102523000000</v>
      </c>
      <c r="D16" s="37" t="n">
        <v>3046245000000</v>
      </c>
      <c r="E16" s="37" t="n">
        <v>12813000000</v>
      </c>
    </row>
    <row r="17" ht="15" customHeight="1" s="16">
      <c r="A17" s="36" t="inlineStr">
        <is>
          <t>Đầu tư vào công ty con</t>
        </is>
      </c>
      <c r="B17" s="37" t="n">
        <v>0</v>
      </c>
      <c r="C17" s="37" t="n">
        <v>0</v>
      </c>
      <c r="D17" s="37" t="n">
        <v>0</v>
      </c>
      <c r="E17" s="37" t="n">
        <v>0</v>
      </c>
    </row>
    <row r="18" ht="15" customHeight="1" s="16">
      <c r="A18" s="36" t="inlineStr">
        <is>
          <t>Đầu tư vào công ty liên doanh</t>
        </is>
      </c>
      <c r="B18" s="37" t="n">
        <v>32263000000</v>
      </c>
      <c r="C18" s="37" t="n">
        <v>0</v>
      </c>
      <c r="D18" s="37" t="n">
        <v>0</v>
      </c>
      <c r="E18" s="37" t="n">
        <v>0</v>
      </c>
    </row>
    <row r="19" ht="15" customHeight="1" s="16">
      <c r="A19" s="36" t="inlineStr">
        <is>
          <t>Đầu tư dài hạn khác</t>
        </is>
      </c>
      <c r="B19" s="37" t="n">
        <v>3215508000000</v>
      </c>
      <c r="C19" s="37" t="n">
        <v>3103672000000</v>
      </c>
      <c r="D19" s="37" t="n">
        <v>3047394000000</v>
      </c>
      <c r="E19" s="37" t="n">
        <v>13962000000</v>
      </c>
    </row>
    <row r="20" ht="15" customHeight="1" s="16">
      <c r="A20" s="36" t="inlineStr">
        <is>
          <t>Dự phòng giảm giá đầu tư dài hạn</t>
        </is>
      </c>
      <c r="B20" s="37" t="n">
        <v>-1149000000</v>
      </c>
      <c r="C20" s="37" t="n">
        <v>-1149000000</v>
      </c>
      <c r="D20" s="37" t="n">
        <v>-1149000000</v>
      </c>
      <c r="E20" s="37" t="n">
        <v>-1149000000</v>
      </c>
    </row>
    <row r="21" ht="15" customHeight="1" s="16">
      <c r="A21" s="36" t="inlineStr">
        <is>
          <t>TỔNG TÀI SẢN</t>
        </is>
      </c>
      <c r="B21" s="37" t="n">
        <v>1192344137000000</v>
      </c>
      <c r="C21" s="37" t="n">
        <v>978798549000000</v>
      </c>
      <c r="D21" s="37" t="n">
        <v>849482012000000</v>
      </c>
      <c r="E21" s="37" t="n">
        <v>699032544000000</v>
      </c>
    </row>
    <row r="22" ht="15" customHeight="1" s="16">
      <c r="A22" s="36" t="inlineStr">
        <is>
          <t>TỔNG NỢ PHẢI TRẢ</t>
        </is>
      </c>
      <c r="B22" s="37" t="n">
        <v>1012842695000000</v>
      </c>
      <c r="C22" s="37" t="n">
        <v>830858928000000</v>
      </c>
      <c r="D22" s="37" t="n">
        <v>717865947000000</v>
      </c>
      <c r="E22" s="37" t="n">
        <v>585607578000000</v>
      </c>
    </row>
    <row r="23" ht="15" customHeight="1" s="16">
      <c r="A23" s="36" t="inlineStr">
        <is>
          <t>VỐN CHỦ SỞ HỮU</t>
        </is>
      </c>
      <c r="B23" s="37" t="n">
        <v>179501442000000</v>
      </c>
      <c r="C23" s="37" t="n">
        <v>147939621000000</v>
      </c>
      <c r="D23" s="37" t="n">
        <v>131616065000000</v>
      </c>
      <c r="E23" s="37" t="n">
        <v>113424966000000</v>
      </c>
    </row>
    <row r="24" ht="15" customHeight="1" s="16">
      <c r="A24" s="36" t="inlineStr">
        <is>
          <t>Vốn điều lệ</t>
        </is>
      </c>
      <c r="B24" s="37" t="n">
        <v>70862404000000</v>
      </c>
      <c r="C24" s="37" t="n">
        <v>70648517000000</v>
      </c>
      <c r="D24" s="37" t="n">
        <v>35225108000000</v>
      </c>
      <c r="E24" s="37" t="n">
        <v>35172385000000</v>
      </c>
    </row>
    <row r="25" ht="15" customHeight="1" s="16">
      <c r="A25" s="36" t="inlineStr">
        <is>
          <t>Thặng dư vốn cổ phần</t>
        </is>
      </c>
      <c r="B25" s="37" t="n">
        <v>-124000000</v>
      </c>
      <c r="C25" s="37" t="n">
        <v>-59000000</v>
      </c>
      <c r="D25" s="37" t="n">
        <v>476356000000</v>
      </c>
      <c r="E25" s="37" t="n">
        <v>476415000000</v>
      </c>
    </row>
    <row r="26" ht="15" customHeight="1" s="16">
      <c r="A26" s="36" t="inlineStr">
        <is>
          <t>Vốn khác</t>
        </is>
      </c>
      <c r="B26" s="37" t="n">
        <v>7764086000000</v>
      </c>
      <c r="C26" s="37" t="n">
        <v>7764086000000</v>
      </c>
      <c r="D26" s="37" t="n">
        <v>555997000000</v>
      </c>
      <c r="E26" s="37" t="n">
        <v>555997000000</v>
      </c>
    </row>
    <row r="27" ht="15" customHeight="1" s="16">
      <c r="A27" s="36" t="inlineStr">
        <is>
          <t>Cổ phiếu Quỹ</t>
        </is>
      </c>
      <c r="B27" s="37" t="n">
        <v>0</v>
      </c>
      <c r="C27" s="37" t="n">
        <v>0</v>
      </c>
      <c r="D27" s="37" t="n">
        <v>0</v>
      </c>
      <c r="E27" s="37" t="n">
        <v>0</v>
      </c>
    </row>
    <row r="28" ht="15" customHeight="1" s="16">
      <c r="A28" s="36" t="inlineStr">
        <is>
          <t>Chênh lệch đánh giá lại tài sản</t>
        </is>
      </c>
      <c r="B28" s="37" t="n">
        <v>0</v>
      </c>
      <c r="C28" s="37" t="n">
        <v>0</v>
      </c>
      <c r="D28" s="37" t="n">
        <v>0</v>
      </c>
      <c r="E28" s="37" t="n">
        <v>0</v>
      </c>
    </row>
    <row r="29" ht="15" customHeight="1" s="16">
      <c r="A29" s="36" t="inlineStr">
        <is>
          <t>Chênh lệch tỷ giá hối đoái</t>
        </is>
      </c>
      <c r="B29" s="37" t="n">
        <v>0</v>
      </c>
      <c r="C29" s="37" t="n">
        <v>0</v>
      </c>
      <c r="D29" s="37" t="n">
        <v>0</v>
      </c>
      <c r="E29" s="37" t="n">
        <v>0</v>
      </c>
    </row>
    <row r="30" ht="15" customHeight="1" s="16">
      <c r="A30" s="36" t="inlineStr">
        <is>
          <t>Lợi nhuận chưa phân phối</t>
        </is>
      </c>
      <c r="B30" s="37" t="n">
        <v>62773576000000</v>
      </c>
      <c r="C30" s="37" t="n">
        <v>42219306000000</v>
      </c>
      <c r="D30" s="37" t="n">
        <v>49013144000000</v>
      </c>
      <c r="E30" s="37" t="n">
        <v>64482685000000</v>
      </c>
    </row>
    <row r="31" ht="15" customHeight="1" s="16">
      <c r="A31" s="36" t="inlineStr">
        <is>
          <t>Lợi ích của cổ đông thiểu số (trước 2015)</t>
        </is>
      </c>
      <c r="B31" s="37" t="n">
        <v>0</v>
      </c>
      <c r="C31" s="37" t="n">
        <v>0</v>
      </c>
      <c r="D31" s="37" t="n">
        <v>0</v>
      </c>
      <c r="E31" s="37" t="n">
        <v>0</v>
      </c>
    </row>
    <row r="32" ht="15" customHeight="1" s="16">
      <c r="A32" s="36" t="inlineStr">
        <is>
          <t>NỢ PHẢI TRẢ VÀ VỐN CHỦ SỞ HỮU</t>
        </is>
      </c>
      <c r="B32" s="37" t="n">
        <v>1192344137000000</v>
      </c>
      <c r="C32" s="37" t="n">
        <v>978798549000000</v>
      </c>
      <c r="D32" s="37" t="n">
        <v>849482012000000</v>
      </c>
      <c r="E32" s="37" t="n">
        <v>699032544000000</v>
      </c>
    </row>
    <row r="33" ht="15" customHeight="1" s="16">
      <c r="A33" s="36" t="inlineStr">
        <is>
          <t>Tiền gửi tại Ngân hàng nhà nước Việt Nam</t>
        </is>
      </c>
      <c r="B33" s="37" t="n">
        <v>82162772000000</v>
      </c>
      <c r="C33" s="37" t="n">
        <v>54353153000000</v>
      </c>
      <c r="D33" s="37" t="n">
        <v>27140592000000</v>
      </c>
      <c r="E33" s="37" t="n">
        <v>11475590000000</v>
      </c>
    </row>
    <row r="34" ht="15" customHeight="1" s="16">
      <c r="A34" s="36" t="inlineStr">
        <is>
          <t>Tiền gửi tại các TCTD khác và cho vay các TCTD khác</t>
        </is>
      </c>
      <c r="B34" s="37" t="n">
        <v>114958312000000</v>
      </c>
      <c r="C34" s="37" t="n">
        <v>84590474000000</v>
      </c>
      <c r="D34" s="37" t="n">
        <v>104072320000000</v>
      </c>
      <c r="E34" s="37" t="n">
        <v>82873754000000</v>
      </c>
    </row>
    <row r="35" ht="15" customHeight="1" s="16">
      <c r="A35" s="36" t="inlineStr">
        <is>
          <t>Chứng khoán kinh doanh</t>
        </is>
      </c>
      <c r="B35" s="37" t="n">
        <v>4815777000000</v>
      </c>
      <c r="C35" s="37" t="n">
        <v>9000644000000</v>
      </c>
      <c r="D35" s="37" t="n">
        <v>4432778000000</v>
      </c>
      <c r="E35" s="37" t="n">
        <v>961034000000</v>
      </c>
    </row>
    <row r="36" ht="15" customHeight="1" s="16">
      <c r="A36" s="36" t="inlineStr">
        <is>
          <t>Chứng khoán kinh doanh</t>
        </is>
      </c>
      <c r="B36" s="37" t="n">
        <v>4816831000000</v>
      </c>
      <c r="C36" s="37" t="n">
        <v>9000895000000</v>
      </c>
      <c r="D36" s="37" t="n">
        <v>4432778000000</v>
      </c>
      <c r="E36" s="37" t="n">
        <v>961034000000</v>
      </c>
    </row>
    <row r="37" ht="15" customHeight="1" s="16">
      <c r="A37" s="36" t="inlineStr">
        <is>
          <t>Dự phòng giảm giá chứng khoán kinh doanh</t>
        </is>
      </c>
      <c r="B37" s="37" t="n">
        <v>-1054000000</v>
      </c>
      <c r="C37" s="37" t="n">
        <v>-251000000</v>
      </c>
      <c r="D37" s="37" t="n">
        <v>0</v>
      </c>
      <c r="E37" s="37" t="n">
        <v>0</v>
      </c>
    </row>
    <row r="38" ht="15" customHeight="1" s="16">
      <c r="A38" s="36" t="inlineStr">
        <is>
          <t>Các công cụ tài chính phái sinh và các tài sản tài chính khác</t>
        </is>
      </c>
      <c r="B38" s="37" t="n">
        <v>0</v>
      </c>
      <c r="C38" s="37" t="n">
        <v>0</v>
      </c>
      <c r="D38" s="37" t="n">
        <v>143611000000</v>
      </c>
      <c r="E38" s="37" t="n">
        <v>0</v>
      </c>
    </row>
    <row r="39" ht="15" customHeight="1" s="16">
      <c r="A39" s="36" t="inlineStr">
        <is>
          <t>Cho vay khách hàng</t>
        </is>
      </c>
      <c r="B39" s="37" t="n">
        <v>757118751000000</v>
      </c>
      <c r="C39" s="37" t="n">
        <v>623634271000000</v>
      </c>
      <c r="D39" s="37" t="n">
        <v>512513672000000</v>
      </c>
      <c r="E39" s="37" t="n">
        <v>415752256000000</v>
      </c>
    </row>
    <row r="40" ht="15" customHeight="1" s="16">
      <c r="A40" s="36" t="inlineStr">
        <is>
          <t>Cho vay khách hàng</t>
        </is>
      </c>
      <c r="B40" s="37" t="n">
        <v>767617129000000</v>
      </c>
      <c r="C40" s="37" t="n">
        <v>631724964000000</v>
      </c>
      <c r="D40" s="37" t="n">
        <v>518641568000000</v>
      </c>
      <c r="E40" s="37" t="n">
        <v>420523705000000</v>
      </c>
    </row>
    <row r="41" ht="15" customHeight="1" s="16">
      <c r="A41" s="36" t="inlineStr">
        <is>
          <t>Dự phòng rủi ro cho vay khách hàng</t>
        </is>
      </c>
      <c r="B41" s="37" t="n">
        <v>-10498378000000</v>
      </c>
      <c r="C41" s="37" t="n">
        <v>-8090693000000</v>
      </c>
      <c r="D41" s="37" t="n">
        <v>-6127896000000</v>
      </c>
      <c r="E41" s="37" t="n">
        <v>-4771449000000</v>
      </c>
    </row>
    <row r="42" ht="15" customHeight="1" s="16">
      <c r="A42" s="36" t="inlineStr">
        <is>
          <t>Chứng khoán đầu tư</t>
        </is>
      </c>
      <c r="B42" s="37" t="n">
        <v>145526404000000</v>
      </c>
      <c r="C42" s="37" t="n">
        <v>148623636000000</v>
      </c>
      <c r="D42" s="37" t="n">
        <v>104993945000000</v>
      </c>
      <c r="E42" s="37" t="n">
        <v>103651920000000</v>
      </c>
    </row>
    <row r="43" ht="15" customHeight="1" s="16">
      <c r="A43" s="36" t="inlineStr">
        <is>
          <t>Chứng khoán đầu tư sẵn sàng để bán</t>
        </is>
      </c>
      <c r="B43" s="37" t="n">
        <v>145942288000000</v>
      </c>
      <c r="C43" s="37" t="n">
        <v>142202792000000</v>
      </c>
      <c r="D43" s="37" t="n">
        <v>105356248000000</v>
      </c>
      <c r="E43" s="37" t="n">
        <v>104031921000000</v>
      </c>
    </row>
    <row r="44" ht="15" customHeight="1" s="16">
      <c r="A44" s="36" t="inlineStr">
        <is>
          <t>Chứng khoán đầu tư giữ đến ngày đáo hạn</t>
        </is>
      </c>
      <c r="B44" s="37" t="n">
        <v>0</v>
      </c>
      <c r="C44" s="37" t="n">
        <v>6900000000000</v>
      </c>
      <c r="D44" s="37" t="n">
        <v>0</v>
      </c>
      <c r="E44" s="37" t="n">
        <v>0</v>
      </c>
    </row>
    <row r="45" ht="15" customHeight="1" s="16">
      <c r="A45" s="36" t="inlineStr">
        <is>
          <t>Dự phòng giảm giá chứng khoán đầu tư</t>
        </is>
      </c>
      <c r="B45" s="37" t="n">
        <v>-415884000000</v>
      </c>
      <c r="C45" s="37" t="n">
        <v>-479156000000</v>
      </c>
      <c r="D45" s="37" t="n">
        <v>-362303000000</v>
      </c>
      <c r="E45" s="37" t="n">
        <v>-380001000000</v>
      </c>
    </row>
    <row r="46" ht="15" customHeight="1" s="16">
      <c r="A46" s="36" t="inlineStr">
        <is>
          <t>Tài sản Có khác</t>
        </is>
      </c>
      <c r="B46" s="37" t="n">
        <v>68001097000000</v>
      </c>
      <c r="C46" s="37" t="n">
        <v>39500565000000</v>
      </c>
      <c r="D46" s="37" t="n">
        <v>80543424000000</v>
      </c>
      <c r="E46" s="37" t="n">
        <v>70517225000000</v>
      </c>
    </row>
    <row r="47" ht="15" customHeight="1" s="16">
      <c r="A47" s="36" t="inlineStr">
        <is>
          <t>Các khoản nợ chính phủ và NHNN Việt Nam</t>
        </is>
      </c>
      <c r="B47" s="37" t="n">
        <v>4323867000000</v>
      </c>
      <c r="C47" s="37" t="n">
        <v>11531000000</v>
      </c>
      <c r="D47" s="37" t="n">
        <v>131000000</v>
      </c>
      <c r="E47" s="37" t="n">
        <v>7826000000</v>
      </c>
    </row>
    <row r="48" ht="15" customHeight="1" s="16">
      <c r="A48" s="36" t="inlineStr">
        <is>
          <t>Tiền gửi và vay các Tổ chức tín dụng khác</t>
        </is>
      </c>
      <c r="B48" s="37" t="n">
        <v>144982976000000</v>
      </c>
      <c r="C48" s="37" t="n">
        <v>132239088000000</v>
      </c>
      <c r="D48" s="37" t="n">
        <v>153173002000000</v>
      </c>
      <c r="E48" s="37" t="n">
        <v>167562969000000</v>
      </c>
    </row>
    <row r="49" ht="15" customHeight="1" s="16">
      <c r="A49" s="36" t="inlineStr">
        <is>
          <t>Tiền gửi của khách hàng</t>
        </is>
      </c>
      <c r="B49" s="37" t="n">
        <v>618911535000000</v>
      </c>
      <c r="C49" s="37" t="n">
        <v>533392350000000</v>
      </c>
      <c r="D49" s="37" t="n">
        <v>454660779000000</v>
      </c>
      <c r="E49" s="37" t="n">
        <v>358403785000000</v>
      </c>
    </row>
    <row r="50" ht="15" customHeight="1" s="16">
      <c r="A50" s="36" t="inlineStr">
        <is>
          <t>Các công cụ tài chính phái sinh và các khoản nợ tài chính khác</t>
        </is>
      </c>
      <c r="B50" s="37" t="n">
        <v>2416947000000</v>
      </c>
      <c r="C50" s="37" t="n">
        <v>931231000000</v>
      </c>
      <c r="D50" s="37" t="n">
        <v>0</v>
      </c>
      <c r="E50" s="37" t="n">
        <v>1851213000000</v>
      </c>
    </row>
    <row r="51" ht="15" customHeight="1" s="16">
      <c r="A51" s="36" t="inlineStr">
        <is>
          <t>Vốn tài trợ, uỷ thác đầu tư của Chính phủ và các tổ chức tín dụng khác</t>
        </is>
      </c>
      <c r="B51" s="37" t="n">
        <v>0</v>
      </c>
      <c r="C51" s="37" t="n">
        <v>0</v>
      </c>
      <c r="D51" s="37" t="n">
        <v>0</v>
      </c>
      <c r="E51" s="37" t="n">
        <v>0</v>
      </c>
    </row>
    <row r="52" ht="15" customHeight="1" s="16">
      <c r="A52" s="36" t="inlineStr">
        <is>
          <t>Phát hành giấy tờ có giá</t>
        </is>
      </c>
      <c r="B52" s="37" t="n">
        <v>215330128000000</v>
      </c>
      <c r="C52" s="37" t="n">
        <v>140422321000000</v>
      </c>
      <c r="D52" s="37" t="n">
        <v>84703300000000</v>
      </c>
      <c r="E52" s="37" t="n">
        <v>34006619000000</v>
      </c>
    </row>
    <row r="53" ht="15" customHeight="1" s="16">
      <c r="A53" s="36" t="inlineStr">
        <is>
          <t>Các khoản nợ khác</t>
        </is>
      </c>
      <c r="B53" s="37" t="n">
        <v>26877242000000</v>
      </c>
      <c r="C53" s="37" t="n">
        <v>23862407000000</v>
      </c>
      <c r="D53" s="37" t="n">
        <v>25328735000000</v>
      </c>
      <c r="E53" s="37" t="n">
        <v>23775166000000</v>
      </c>
    </row>
    <row r="54" ht="15" customHeight="1" s="16">
      <c r="A54" s="36" t="inlineStr">
        <is>
          <t>Vốn của tổ chức tín dụng</t>
        </is>
      </c>
      <c r="B54" s="37" t="n">
        <v>78626366000000</v>
      </c>
      <c r="C54" s="37" t="n">
        <v>78412544000000</v>
      </c>
      <c r="D54" s="37" t="n">
        <v>36257461000000</v>
      </c>
      <c r="E54" s="37" t="n">
        <v>36204797000000</v>
      </c>
    </row>
    <row r="55" ht="15" customHeight="1" s="16">
      <c r="A55" s="36" t="inlineStr">
        <is>
          <t>Vốn đầu tư XDCB</t>
        </is>
      </c>
      <c r="B55" s="37" t="n">
        <v>0</v>
      </c>
      <c r="C55" s="37" t="n">
        <v>0</v>
      </c>
      <c r="D55" s="37" t="n">
        <v>0</v>
      </c>
      <c r="E55" s="37" t="n">
        <v>0</v>
      </c>
    </row>
    <row r="56" ht="15" customHeight="1" s="16">
      <c r="A56" s="36" t="inlineStr">
        <is>
          <t>Cổ phiếu ưu đãi</t>
        </is>
      </c>
      <c r="B56" s="37" t="n">
        <v>0</v>
      </c>
      <c r="C56" s="37" t="n">
        <v>0</v>
      </c>
      <c r="D56" s="37" t="n">
        <v>0</v>
      </c>
      <c r="E56" s="37" t="n">
        <v>0</v>
      </c>
    </row>
    <row r="57" ht="15" customHeight="1" s="16">
      <c r="A57" s="36" t="inlineStr">
        <is>
          <t>Quỹ của tổ chức tín dụng</t>
        </is>
      </c>
      <c r="B57" s="37" t="n">
        <v>28644562000000</v>
      </c>
      <c r="C57" s="37" t="n">
        <v>24787305000000</v>
      </c>
      <c r="D57" s="37" t="n">
        <v>45028627000000</v>
      </c>
      <c r="E57" s="37" t="n">
        <v>11608569000000</v>
      </c>
    </row>
    <row r="58" ht="15" customHeight="1" s="16">
      <c r="A58" s="36" t="inlineStr">
        <is>
          <t>Bảo lãnh khác</t>
        </is>
      </c>
      <c r="B58" s="37" t="n">
        <v>122225620000000</v>
      </c>
      <c r="C58" s="37" t="n">
        <v>58558478000000</v>
      </c>
      <c r="D58" s="37" t="n">
        <v>57648065000000</v>
      </c>
      <c r="E58" s="37" t="n">
        <v>44870251000000</v>
      </c>
    </row>
    <row r="59" ht="15" customHeight="1" s="16">
      <c r="A59" s="36" t="inlineStr">
        <is>
          <t>Cam kết giao dịch hối đoái</t>
        </is>
      </c>
      <c r="B59" s="37" t="n">
        <v>14965995000000</v>
      </c>
      <c r="C59" s="37" t="n">
        <v>11507947000000</v>
      </c>
      <c r="D59" s="37" t="n">
        <v>14935065000000</v>
      </c>
      <c r="E59" s="37" t="n">
        <v>13253457000000</v>
      </c>
    </row>
    <row r="60" ht="15" customHeight="1" s="16">
      <c r="A60" s="36" t="inlineStr">
        <is>
          <t>Cam kết mua ngoại tệ</t>
        </is>
      </c>
      <c r="B60" s="37" t="n">
        <v>6372664000000</v>
      </c>
      <c r="C60" s="37" t="n">
        <v>3062641000000</v>
      </c>
      <c r="D60" s="37" t="n">
        <v>4593012000000</v>
      </c>
      <c r="E60" s="37" t="n">
        <v>2450745000000</v>
      </c>
    </row>
    <row r="61" ht="15" customHeight="1" s="16">
      <c r="A61" s="36" t="inlineStr">
        <is>
          <t>Cam kết bán ngoại tệ</t>
        </is>
      </c>
      <c r="B61" s="37" t="n">
        <v>7295512000000</v>
      </c>
      <c r="C61" s="37" t="n">
        <v>3511618000000</v>
      </c>
      <c r="D61" s="37" t="n">
        <v>4415918000000</v>
      </c>
      <c r="E61" s="37" t="n">
        <v>1361969000000</v>
      </c>
    </row>
    <row r="62" ht="15" customHeight="1" s="16">
      <c r="A62" s="36" t="inlineStr">
        <is>
          <t>Cam kết giao dịch hoán đổi</t>
        </is>
      </c>
      <c r="B62" s="37" t="n">
        <v>403653327000000</v>
      </c>
      <c r="C62" s="37" t="n">
        <v>262819403000000</v>
      </c>
      <c r="D62" s="37" t="n">
        <v>341592612000000</v>
      </c>
      <c r="E62" s="37" t="n">
        <v>356308029000000</v>
      </c>
    </row>
    <row r="63" ht="15" customHeight="1" s="16">
      <c r="A63" s="36" t="inlineStr">
        <is>
          <t>Cam kết giao dịch tương lai</t>
        </is>
      </c>
      <c r="B63" s="37" t="n">
        <v>0</v>
      </c>
      <c r="C63" s="37" t="n">
        <v>0</v>
      </c>
      <c r="D63" s="37" t="n">
        <v>0</v>
      </c>
      <c r="E63" s="37" t="n">
        <v>0</v>
      </c>
    </row>
    <row r="64" ht="15" customHeight="1" s="16">
      <c r="A64" s="36" t="inlineStr">
        <is>
          <t>Cam kết cho vay không hủy ngang</t>
        </is>
      </c>
      <c r="B64" s="37" t="n">
        <v>0</v>
      </c>
      <c r="C64" s="37" t="n">
        <v>0</v>
      </c>
      <c r="D64" s="37" t="n">
        <v>0</v>
      </c>
      <c r="E64" s="37" t="n">
        <v>0</v>
      </c>
    </row>
    <row r="65" ht="15" customHeight="1" s="16">
      <c r="A65" s="36" t="inlineStr">
        <is>
          <t>Cam kết trong nghiệp vụ L/C</t>
        </is>
      </c>
      <c r="B65" s="37" t="n">
        <v>64314200000000</v>
      </c>
      <c r="C65" s="37" t="n">
        <v>38065747000000</v>
      </c>
      <c r="D65" s="37" t="n">
        <v>67845653000000</v>
      </c>
      <c r="E65" s="37" t="n">
        <v>64666942000000</v>
      </c>
    </row>
    <row r="66" ht="15" customHeight="1" s="16">
      <c r="A66" s="36" t="inlineStr">
        <is>
          <t>Cam kết khác</t>
        </is>
      </c>
      <c r="B66" s="37" t="n">
        <v>182638941000000</v>
      </c>
      <c r="C66" s="37" t="n">
        <v>213069830000000</v>
      </c>
      <c r="D66" s="37" t="n">
        <v>176065387000000</v>
      </c>
      <c r="E66" s="37" t="n">
        <v>449697675000000</v>
      </c>
    </row>
    <row r="67" ht="15" customHeight="1" s="16">
      <c r="A67" s="36" t="inlineStr">
        <is>
          <t>Lợi ích của cổ đông thiểu số</t>
        </is>
      </c>
      <c r="B67" s="37" t="n">
        <v>9456938000000</v>
      </c>
      <c r="C67" s="37" t="n">
        <v>2520466000000</v>
      </c>
      <c r="D67" s="37" t="n">
        <v>1316833000000</v>
      </c>
      <c r="E67" s="37" t="n">
        <v>1128915000000</v>
      </c>
    </row>
    <row r="68" ht="15" customHeight="1" s="16">
      <c r="A68" s="36" t="inlineStr">
        <is>
          <t>Tiền gửi tại các TCTD khác</t>
        </is>
      </c>
      <c r="B68" s="37" t="n">
        <v>108143393000000</v>
      </c>
      <c r="C68" s="37" t="n">
        <v>74887085000000</v>
      </c>
      <c r="D68" s="37" t="n">
        <v>80126897000000</v>
      </c>
      <c r="E68" s="37" t="n">
        <v>69925143000000</v>
      </c>
    </row>
    <row r="69" ht="15" customHeight="1" s="16">
      <c r="A69" s="36" t="inlineStr">
        <is>
          <t>Cho vay các TCTD khác</t>
        </is>
      </c>
      <c r="B69" s="37" t="n">
        <v>6996069000000</v>
      </c>
      <c r="C69" s="37" t="n">
        <v>9884539000000</v>
      </c>
      <c r="D69" s="37" t="n">
        <v>24046523000000</v>
      </c>
      <c r="E69" s="37" t="n">
        <v>13049711000000</v>
      </c>
    </row>
    <row r="70" ht="15" customHeight="1" s="16">
      <c r="A70" s="36" t="inlineStr">
        <is>
          <t>Dự phòng rủi ro</t>
        </is>
      </c>
      <c r="B70" s="37" t="n">
        <v>-181150000000</v>
      </c>
      <c r="C70" s="37" t="n">
        <v>-181150000000</v>
      </c>
      <c r="D70" s="37" t="n">
        <v>-101100000000</v>
      </c>
      <c r="E70" s="37" t="n">
        <v>-101100000000</v>
      </c>
    </row>
    <row r="71" ht="15" customHeight="1" s="16">
      <c r="A71" s="36" t="inlineStr">
        <is>
          <t>Hoạt động mua nợ</t>
        </is>
      </c>
      <c r="B71" s="37" t="n">
        <v>30647000000</v>
      </c>
      <c r="C71" s="37" t="n">
        <v>141628000000</v>
      </c>
      <c r="D71" s="37" t="n">
        <v>82033000000</v>
      </c>
      <c r="E71" s="37" t="n">
        <v>107725000000</v>
      </c>
    </row>
    <row r="72" ht="15" customHeight="1" s="16">
      <c r="A72" s="36" t="inlineStr">
        <is>
          <t>Mua nợ</t>
        </is>
      </c>
      <c r="B72" s="37" t="n">
        <v>32561000000</v>
      </c>
      <c r="C72" s="37" t="n">
        <v>144380000000</v>
      </c>
      <c r="D72" s="37" t="n">
        <v>84335000000</v>
      </c>
      <c r="E72" s="37" t="n">
        <v>110221000000</v>
      </c>
    </row>
    <row r="73" ht="15" customHeight="1" s="16">
      <c r="A73" s="36" t="inlineStr">
        <is>
          <t>Dự phòng rủi ro hoạt động mua nợ</t>
        </is>
      </c>
      <c r="B73" s="37" t="n">
        <v>-1914000000</v>
      </c>
      <c r="C73" s="37" t="n">
        <v>-2752000000</v>
      </c>
      <c r="D73" s="37" t="n">
        <v>-2302000000</v>
      </c>
      <c r="E73" s="37" t="n">
        <v>-2496000000</v>
      </c>
    </row>
    <row r="74" ht="15" customHeight="1" s="16">
      <c r="A74" s="36" t="inlineStr">
        <is>
          <t>Các khoản phải thu</t>
        </is>
      </c>
      <c r="B74" s="37" t="n">
        <v>56111402000000</v>
      </c>
      <c r="C74" s="37" t="n">
        <v>29540943000000</v>
      </c>
      <c r="D74" s="37" t="n">
        <v>69834157000000</v>
      </c>
      <c r="E74" s="37" t="n">
        <v>61609133000000</v>
      </c>
    </row>
    <row r="75" ht="15" customHeight="1" s="16">
      <c r="A75" s="36" t="inlineStr">
        <is>
          <t>Các khoản lãi và phí phải thu</t>
        </is>
      </c>
      <c r="B75" s="37" t="n">
        <v>9787070000000</v>
      </c>
      <c r="C75" s="37" t="n">
        <v>8125964000000</v>
      </c>
      <c r="D75" s="37" t="n">
        <v>9681140000000</v>
      </c>
      <c r="E75" s="37" t="n">
        <v>8028730000000</v>
      </c>
    </row>
    <row r="76" ht="15" customHeight="1" s="16">
      <c r="A76" s="36" t="inlineStr">
        <is>
          <t>Tài sản thuế TNDN hoãn lại</t>
        </is>
      </c>
      <c r="B76" s="37" t="n">
        <v>40487000000</v>
      </c>
      <c r="C76" s="37" t="n">
        <v>79856000000</v>
      </c>
      <c r="D76" s="37" t="n">
        <v>70409000000</v>
      </c>
      <c r="E76" s="37" t="n">
        <v>61050000000</v>
      </c>
    </row>
    <row r="77" ht="15" customHeight="1" s="16">
      <c r="A77" s="36" t="inlineStr">
        <is>
          <t>Tài sản Có khác</t>
        </is>
      </c>
      <c r="B77" s="37" t="n">
        <v>2070439000000</v>
      </c>
      <c r="C77" s="37" t="n">
        <v>1818676000000</v>
      </c>
      <c r="D77" s="37" t="n">
        <v>1650584000000</v>
      </c>
      <c r="E77" s="37" t="n">
        <v>1616735000000</v>
      </c>
    </row>
    <row r="78" ht="15" customHeight="1" s="16">
      <c r="A78" s="36" t="inlineStr">
        <is>
          <t>Trong đó: Lợi thế thương mại</t>
        </is>
      </c>
      <c r="B78" s="37" t="n">
        <v>0</v>
      </c>
      <c r="C78" s="37" t="n">
        <v>0</v>
      </c>
      <c r="D78" s="37" t="n">
        <v>0</v>
      </c>
      <c r="E78" s="37" t="n">
        <v>0</v>
      </c>
    </row>
    <row r="79" ht="15" customHeight="1" s="16">
      <c r="A79" s="36" t="inlineStr">
        <is>
          <t>Các khoản dự phòng rủi ro cho các tài sản Có nội bảng khác</t>
        </is>
      </c>
      <c r="B79" s="37" t="n">
        <v>-8301000000</v>
      </c>
      <c r="C79" s="37" t="n">
        <v>-64874000000</v>
      </c>
      <c r="D79" s="37" t="n">
        <v>-692866000000</v>
      </c>
      <c r="E79" s="37" t="n">
        <v>-798423000000</v>
      </c>
    </row>
    <row r="80" ht="15" customHeight="1" s="16">
      <c r="A80" s="36" t="inlineStr">
        <is>
          <t>Tiền gửi của các tổ chức tín dụng khác</t>
        </is>
      </c>
      <c r="B80" s="37" t="n">
        <v>83014313000000</v>
      </c>
      <c r="C80" s="37" t="n">
        <v>72210834000000</v>
      </c>
      <c r="D80" s="37" t="n">
        <v>50619678000000</v>
      </c>
      <c r="E80" s="37" t="n">
        <v>61293738000000</v>
      </c>
    </row>
    <row r="81" ht="15" customHeight="1" s="16">
      <c r="A81" s="36" t="inlineStr">
        <is>
          <t>Vay các tổ chức tín dụng khác</t>
        </is>
      </c>
      <c r="B81" s="37" t="n">
        <v>61968663000000</v>
      </c>
      <c r="C81" s="37" t="n">
        <v>60028254000000</v>
      </c>
      <c r="D81" s="37" t="n">
        <v>102553324000000</v>
      </c>
      <c r="E81" s="37" t="n">
        <v>106269231000000</v>
      </c>
    </row>
    <row r="82" ht="15" customHeight="1" s="16">
      <c r="A82" s="36" t="inlineStr">
        <is>
          <t>Các khoản lãi, phí phải trả</t>
        </is>
      </c>
      <c r="B82" s="37" t="n">
        <v>9448719000000</v>
      </c>
      <c r="C82" s="37" t="n">
        <v>7281567000000</v>
      </c>
      <c r="D82" s="37" t="n">
        <v>9418750000000</v>
      </c>
      <c r="E82" s="37" t="n">
        <v>6144022000000</v>
      </c>
    </row>
    <row r="83" ht="15" customHeight="1" s="16">
      <c r="A83" s="36" t="inlineStr">
        <is>
          <t>Thuế TNDN hoãn lại phải trả</t>
        </is>
      </c>
      <c r="B83" s="37" t="n">
        <v>0</v>
      </c>
      <c r="C83" s="37" t="n">
        <v>0</v>
      </c>
      <c r="D83" s="37" t="n">
        <v>0</v>
      </c>
      <c r="E83" s="37" t="n">
        <v>0</v>
      </c>
    </row>
    <row r="84" ht="15" customHeight="1" s="16">
      <c r="A84" s="36" t="inlineStr">
        <is>
          <t>Các khoản phải trả và công nợ khác</t>
        </is>
      </c>
      <c r="B84" s="37" t="n">
        <v>17428523000000</v>
      </c>
      <c r="C84" s="37" t="n">
        <v>16580840000000</v>
      </c>
      <c r="D84" s="37" t="n">
        <v>15909985000000</v>
      </c>
      <c r="E84" s="37" t="n">
        <v>17631144000000</v>
      </c>
    </row>
    <row r="85" ht="15" customHeight="1" s="16">
      <c r="A85" s="36" t="inlineStr">
        <is>
          <t>Dự phòng rủi ro khác</t>
        </is>
      </c>
      <c r="B85" s="37" t="n">
        <v>0</v>
      </c>
      <c r="C85" s="37" t="n">
        <v>0</v>
      </c>
      <c r="D85" s="37" t="n">
        <v>0</v>
      </c>
      <c r="E85" s="37" t="n">
        <v>0</v>
      </c>
    </row>
    <row r="86" ht="15" customHeight="1" s="16">
      <c r="A86" s="36" t="inlineStr">
        <is>
          <t>Vốn Góp liên doanh</t>
        </is>
      </c>
      <c r="B86" s="37" t="n">
        <v>0</v>
      </c>
      <c r="C86" s="37" t="n">
        <v>0</v>
      </c>
      <c r="D86" s="37" t="n">
        <v>0</v>
      </c>
      <c r="E86" s="37" t="n">
        <v>0</v>
      </c>
    </row>
    <row r="87" ht="15" customHeight="1" s="16">
      <c r="A87" s="36" t="inlineStr">
        <is>
          <t>Đầu tư vào công ty liên kết</t>
        </is>
      </c>
      <c r="B87" s="37" t="n">
        <v>32263000000</v>
      </c>
      <c r="C87" s="37" t="n">
        <v>0</v>
      </c>
      <c r="D87" s="37" t="n">
        <v>0</v>
      </c>
      <c r="E87" s="37" t="n">
        <v>0</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E27"/>
  <sheetViews>
    <sheetView showFormulas="0" showGridLines="0"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Right"/>
      <selection pane="bottomLeft"/>
      <selection pane="bottomRight" activeCell="A1" activeCellId="0" sqref="A1"/>
    </sheetView>
  </sheetViews>
  <sheetFormatPr baseColWidth="8" defaultColWidth="8.6796875" defaultRowHeight="15" zeroHeight="0" outlineLevelRow="0"/>
  <cols>
    <col width="42" customWidth="1" style="16" min="1" max="1"/>
    <col width="15" customWidth="1" style="16" min="2" max="2"/>
    <col width="15" customWidth="1" style="16" min="3" max="3"/>
    <col width="15" customWidth="1" style="16" min="4" max="4"/>
    <col width="15" customWidth="1" style="16" min="5" max="5"/>
  </cols>
  <sheetData>
    <row r="1" ht="15" customHeight="1" s="16">
      <c r="A1" s="34" t="inlineStr">
        <is>
          <t>item</t>
        </is>
      </c>
      <c r="B1" s="35" t="inlineStr">
        <is>
          <t>2025</t>
        </is>
      </c>
      <c r="C1" s="35" t="inlineStr">
        <is>
          <t>2024</t>
        </is>
      </c>
      <c r="D1" s="35" t="inlineStr">
        <is>
          <t>2023</t>
        </is>
      </c>
      <c r="E1" s="35" t="inlineStr">
        <is>
          <t>2022</t>
        </is>
      </c>
    </row>
    <row r="2" ht="15" customHeight="1" s="16">
      <c r="A2" s="36" t="inlineStr">
        <is>
          <t>Tổng lợi nhuận/lỗ trước thuế</t>
        </is>
      </c>
      <c r="B2" s="37" t="n">
        <v>32538066000000</v>
      </c>
      <c r="C2" s="37" t="n">
        <v>27538368000000</v>
      </c>
      <c r="D2" s="37" t="n">
        <v>22888228000000</v>
      </c>
      <c r="E2" s="37" t="n">
        <v>25567768000000</v>
      </c>
    </row>
    <row r="3" ht="15" customHeight="1" s="16">
      <c r="A3" s="36" t="inlineStr">
        <is>
          <t>Chi phí thuế TNDN hiện hành</t>
        </is>
      </c>
      <c r="B3" s="37" t="n">
        <v>-6544225000000</v>
      </c>
      <c r="C3" s="37" t="n">
        <v>-5787711000000</v>
      </c>
      <c r="D3" s="37" t="n">
        <v>-4706721000000</v>
      </c>
      <c r="E3" s="37" t="n">
        <v>-5174932000000</v>
      </c>
    </row>
    <row r="4" ht="15" customHeight="1" s="16">
      <c r="A4" s="36" t="inlineStr">
        <is>
          <t>Chi phí thuế TNDN hoãn lại</t>
        </is>
      </c>
      <c r="B4" s="37" t="n">
        <v>-39369000000</v>
      </c>
      <c r="C4" s="37" t="n">
        <v>9447000000</v>
      </c>
      <c r="D4" s="37" t="n">
        <v>9359000000</v>
      </c>
      <c r="E4" s="37" t="n">
        <v>43590000000</v>
      </c>
    </row>
    <row r="5" ht="15" customHeight="1" s="16">
      <c r="A5" s="36" t="inlineStr">
        <is>
          <t>Chi phí thuế thu nhập doanh nghiệp</t>
        </is>
      </c>
      <c r="B5" s="37" t="n">
        <v>-6583594000000</v>
      </c>
      <c r="C5" s="37" t="n">
        <v>-5778264000000</v>
      </c>
      <c r="D5" s="37" t="n">
        <v>-4697362000000</v>
      </c>
      <c r="E5" s="37" t="n">
        <v>-5131342000000</v>
      </c>
    </row>
    <row r="6" ht="15" customHeight="1" s="16">
      <c r="A6" s="36" t="inlineStr">
        <is>
          <t>Lợi nhuận sau thuế</t>
        </is>
      </c>
      <c r="B6" s="37" t="n">
        <v>25954472000000</v>
      </c>
      <c r="C6" s="37" t="n">
        <v>21760104000000</v>
      </c>
      <c r="D6" s="37" t="n">
        <v>18190866000000</v>
      </c>
      <c r="E6" s="37" t="n">
        <v>20436426000000</v>
      </c>
    </row>
    <row r="7" ht="15" customHeight="1" s="16">
      <c r="A7" s="36" t="inlineStr">
        <is>
          <t>Lợi ích của cổ đông thiểu số</t>
        </is>
      </c>
      <c r="B7" s="37" t="n">
        <v>-664242000000</v>
      </c>
      <c r="C7" s="37" t="n">
        <v>-237176000000</v>
      </c>
      <c r="D7" s="37" t="n">
        <v>-187064000000</v>
      </c>
      <c r="E7" s="37" t="n">
        <v>-286049000000</v>
      </c>
    </row>
    <row r="8" ht="15" customHeight="1" s="16">
      <c r="A8" s="36" t="inlineStr">
        <is>
          <t>Cổ đông của Công ty mẹ</t>
        </is>
      </c>
      <c r="B8" s="37" t="n">
        <v>25290230000000</v>
      </c>
      <c r="C8" s="37" t="n">
        <v>21522928000000</v>
      </c>
      <c r="D8" s="37" t="n">
        <v>18003802000000</v>
      </c>
      <c r="E8" s="37" t="n">
        <v>20150377000000</v>
      </c>
    </row>
    <row r="9" ht="15" customHeight="1" s="16">
      <c r="A9" s="36" t="inlineStr">
        <is>
          <t>Lãi cơ bản trên cổ phiếu (VND)</t>
        </is>
      </c>
      <c r="B9" s="37" t="n">
        <v>3572</v>
      </c>
      <c r="C9" s="37" t="n">
        <v>3049</v>
      </c>
      <c r="D9" s="37" t="n">
        <v>2549</v>
      </c>
      <c r="E9" s="37" t="n">
        <v>5725</v>
      </c>
    </row>
    <row r="10" ht="15" customHeight="1" s="16">
      <c r="A10" s="36" t="inlineStr">
        <is>
          <t>Lãi trên cổ phiếu pha loãng (VND)</t>
        </is>
      </c>
      <c r="B10" s="37" t="n">
        <v>0</v>
      </c>
      <c r="C10" s="37" t="n">
        <v>0</v>
      </c>
      <c r="D10" s="37" t="n">
        <v>0</v>
      </c>
      <c r="E10" s="37" t="n">
        <v>0</v>
      </c>
    </row>
    <row r="11" ht="15" customHeight="1" s="16">
      <c r="A11" s="36" t="inlineStr">
        <is>
          <t>Thu nhập lãi và các khoản thu nhập tương tự</t>
        </is>
      </c>
      <c r="B11" s="37" t="n">
        <v>68017450000000</v>
      </c>
      <c r="C11" s="37" t="n">
        <v>60089462000000</v>
      </c>
      <c r="D11" s="37" t="n">
        <v>56707759000000</v>
      </c>
      <c r="E11" s="37" t="n">
        <v>44752636000000</v>
      </c>
    </row>
    <row r="12" ht="15" customHeight="1" s="16">
      <c r="A12" s="36" t="inlineStr">
        <is>
          <t>Chi phí lãi và các chi phí tương tự</t>
        </is>
      </c>
      <c r="B12" s="37" t="n">
        <v>-29862359000000</v>
      </c>
      <c r="C12" s="37" t="n">
        <v>-24581499000000</v>
      </c>
      <c r="D12" s="37" t="n">
        <v>-29016639000000</v>
      </c>
      <c r="E12" s="37" t="n">
        <v>-14462861000000</v>
      </c>
    </row>
    <row r="13" ht="15" customHeight="1" s="16">
      <c r="A13" s="36" t="inlineStr">
        <is>
          <t>Thu nhập lãi thuần</t>
        </is>
      </c>
      <c r="B13" s="37" t="n">
        <v>38155091000000</v>
      </c>
      <c r="C13" s="37" t="n">
        <v>35507963000000</v>
      </c>
      <c r="D13" s="37" t="n">
        <v>27691120000000</v>
      </c>
      <c r="E13" s="37" t="n">
        <v>30289775000000</v>
      </c>
    </row>
    <row r="14" ht="15" customHeight="1" s="16">
      <c r="A14" s="36" t="inlineStr">
        <is>
          <t>Thu nhập từ dịch vụ</t>
        </is>
      </c>
      <c r="B14" s="37" t="n">
        <v>12526963000000</v>
      </c>
      <c r="C14" s="37" t="n">
        <v>10961642000000</v>
      </c>
      <c r="D14" s="37" t="n">
        <v>11378085000000</v>
      </c>
      <c r="E14" s="37" t="n">
        <v>10840337000000</v>
      </c>
    </row>
    <row r="15" ht="15" customHeight="1" s="16">
      <c r="A15" s="36" t="inlineStr">
        <is>
          <t>Chi phí dịch vụ</t>
        </is>
      </c>
      <c r="B15" s="37" t="n">
        <v>-3754968000000</v>
      </c>
      <c r="C15" s="37" t="n">
        <v>-2919394000000</v>
      </c>
      <c r="D15" s="37" t="n">
        <v>-2663188000000</v>
      </c>
      <c r="E15" s="37" t="n">
        <v>-2687732000000</v>
      </c>
    </row>
    <row r="16" ht="15" customHeight="1" s="16">
      <c r="A16" s="36" t="inlineStr">
        <is>
          <t>Lãi/Lỗ thuần từ hoạt động dịch vụ</t>
        </is>
      </c>
      <c r="B16" s="37" t="n">
        <v>8771995000000</v>
      </c>
      <c r="C16" s="37" t="n">
        <v>8042248000000</v>
      </c>
      <c r="D16" s="37" t="n">
        <v>8714897000000</v>
      </c>
      <c r="E16" s="37" t="n">
        <v>8152605000000</v>
      </c>
    </row>
    <row r="17" ht="15" customHeight="1" s="16">
      <c r="A17" s="36" t="inlineStr">
        <is>
          <t>Lãi/(lỗ) thuần từ hoạt động kinh doanh ngoại hối và vàng</t>
        </is>
      </c>
      <c r="B17" s="37" t="n">
        <v>1642201000000</v>
      </c>
      <c r="C17" s="37" t="n">
        <v>592556000000</v>
      </c>
      <c r="D17" s="37" t="n">
        <v>195750000000</v>
      </c>
      <c r="E17" s="37" t="n">
        <v>-275063000000</v>
      </c>
    </row>
    <row r="18" ht="15" customHeight="1" s="16">
      <c r="A18" s="36" t="inlineStr">
        <is>
          <t>Lãi/(lỗ) thuần từ mua bán chứng khoán kinh doanh</t>
        </is>
      </c>
      <c r="B18" s="37" t="n">
        <v>51974000000</v>
      </c>
      <c r="C18" s="37" t="n">
        <v>81301000000</v>
      </c>
      <c r="D18" s="37" t="n">
        <v>64620000000</v>
      </c>
      <c r="E18" s="37" t="n">
        <v>-241845000000</v>
      </c>
    </row>
    <row r="19" ht="15" customHeight="1" s="16">
      <c r="A19" s="36" t="inlineStr">
        <is>
          <t>Lãi/(lỗ) thuần từ mua bán chứng khoán đầu tư</t>
        </is>
      </c>
      <c r="B19" s="37" t="n">
        <v>2846321000000</v>
      </c>
      <c r="C19" s="37" t="n">
        <v>2359057000000</v>
      </c>
      <c r="D19" s="37" t="n">
        <v>925833000000</v>
      </c>
      <c r="E19" s="37" t="n">
        <v>425553000000</v>
      </c>
    </row>
    <row r="20" ht="15" customHeight="1" s="16">
      <c r="A20" s="36" t="inlineStr">
        <is>
          <t>Thu nhập khác</t>
        </is>
      </c>
      <c r="B20" s="37" t="n">
        <v>6426334000000</v>
      </c>
      <c r="C20" s="37" t="n">
        <v>9324928000000</v>
      </c>
      <c r="D20" s="37" t="n">
        <v>6459694000000</v>
      </c>
      <c r="E20" s="37" t="n">
        <v>4499949000000</v>
      </c>
    </row>
    <row r="21" ht="15" customHeight="1" s="16">
      <c r="A21" s="36" t="inlineStr">
        <is>
          <t>Chi phí khác</t>
        </is>
      </c>
      <c r="B21" s="37" t="n">
        <v>-4541992000000</v>
      </c>
      <c r="C21" s="37" t="n">
        <v>-8982217000000</v>
      </c>
      <c r="D21" s="37" t="n">
        <v>-4025578000000</v>
      </c>
      <c r="E21" s="37" t="n">
        <v>-2332574000000</v>
      </c>
    </row>
    <row r="22" ht="15" customHeight="1" s="16">
      <c r="A22" s="36" t="inlineStr">
        <is>
          <t>Lãi/(lỗ) thuần từ hoạt động khác</t>
        </is>
      </c>
      <c r="B22" s="37" t="n">
        <v>1884342000000</v>
      </c>
      <c r="C22" s="37" t="n">
        <v>342711000000</v>
      </c>
      <c r="D22" s="37" t="n">
        <v>2434116000000</v>
      </c>
      <c r="E22" s="37" t="n">
        <v>2167375000000</v>
      </c>
    </row>
    <row r="23" ht="15" customHeight="1" s="16">
      <c r="A23" s="36" t="inlineStr">
        <is>
          <t>Thu nhập từ cổ tức</t>
        </is>
      </c>
      <c r="B23" s="37" t="n">
        <v>39201000000</v>
      </c>
      <c r="C23" s="37" t="n">
        <v>64561000000</v>
      </c>
      <c r="D23" s="37" t="n">
        <v>34756000000</v>
      </c>
      <c r="E23" s="37" t="n">
        <v>8791000000</v>
      </c>
    </row>
    <row r="24" ht="15" customHeight="1" s="16">
      <c r="A24" s="36" t="inlineStr">
        <is>
          <t>Tổng thu nhập hoạt động</t>
        </is>
      </c>
      <c r="B24" s="37" t="n">
        <v>53391125000000</v>
      </c>
      <c r="C24" s="37" t="n">
        <v>46990397000000</v>
      </c>
      <c r="D24" s="37" t="n">
        <v>40061092000000</v>
      </c>
      <c r="E24" s="37" t="n">
        <v>40527191000000</v>
      </c>
    </row>
    <row r="25" ht="15" customHeight="1" s="16">
      <c r="A25" s="36" t="inlineStr">
        <is>
          <t>Chi phí quản lý doanh nghiệp</t>
        </is>
      </c>
      <c r="B25" s="37" t="n">
        <v>-16432434000000</v>
      </c>
      <c r="C25" s="37" t="n">
        <v>-15369735000000</v>
      </c>
      <c r="D25" s="37" t="n">
        <v>-13251796000000</v>
      </c>
      <c r="E25" s="37" t="n">
        <v>-13023129000000</v>
      </c>
    </row>
    <row r="26" ht="15" customHeight="1" s="16">
      <c r="A26" s="36" t="inlineStr">
        <is>
          <t>Lợi nhuận thuần hoạt động trước khi trích lập dự phòng tổn thất tín dụng</t>
        </is>
      </c>
      <c r="B26" s="37" t="n">
        <v>36958691000000</v>
      </c>
      <c r="C26" s="37" t="n">
        <v>31620662000000</v>
      </c>
      <c r="D26" s="37" t="n">
        <v>26809296000000</v>
      </c>
      <c r="E26" s="37" t="n">
        <v>27504062000000</v>
      </c>
    </row>
    <row r="27" ht="15" customHeight="1" s="16">
      <c r="A27" s="36" t="inlineStr">
        <is>
          <t>Trích lập dự phòng tổn thất tín dụng</t>
        </is>
      </c>
      <c r="B27" s="37" t="n">
        <v>-4420625000000</v>
      </c>
      <c r="C27" s="37" t="n">
        <v>-4082294000000</v>
      </c>
      <c r="D27" s="37" t="n">
        <v>-3921068000000</v>
      </c>
      <c r="E27" s="37" t="n">
        <v>-1936294000000</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E53"/>
  <sheetViews>
    <sheetView showFormulas="0" showGridLines="0"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Right"/>
      <selection pane="bottomLeft"/>
      <selection pane="bottomRight" activeCell="A1" activeCellId="0" sqref="A1"/>
    </sheetView>
  </sheetViews>
  <sheetFormatPr baseColWidth="8" defaultColWidth="8.6796875" defaultRowHeight="15" zeroHeight="0" outlineLevelRow="0"/>
  <cols>
    <col width="42" customWidth="1" style="16" min="1" max="1"/>
    <col width="15" customWidth="1" style="16" min="2" max="2"/>
    <col width="15" customWidth="1" style="16" min="3" max="3"/>
    <col width="15" customWidth="1" style="16" min="4" max="4"/>
    <col width="15" customWidth="1" style="16" min="5" max="5"/>
  </cols>
  <sheetData>
    <row r="1" ht="15" customHeight="1" s="16">
      <c r="A1" s="34" t="inlineStr">
        <is>
          <t>item</t>
        </is>
      </c>
      <c r="B1" s="35" t="inlineStr">
        <is>
          <t>2025</t>
        </is>
      </c>
      <c r="C1" s="35" t="inlineStr">
        <is>
          <t>2024</t>
        </is>
      </c>
      <c r="D1" s="35" t="inlineStr">
        <is>
          <t>2023</t>
        </is>
      </c>
      <c r="E1" s="35" t="inlineStr">
        <is>
          <t>2022</t>
        </is>
      </c>
    </row>
    <row r="2" ht="15" customHeight="1" s="16">
      <c r="A2" s="36" t="inlineStr">
        <is>
          <t>Lưu chuyển tiền thuần từ hoạt động kinh doanh trước những thay đổi về tài sản và vốn lưu động</t>
        </is>
      </c>
      <c r="B2" s="37" t="n">
        <v>33290586000000</v>
      </c>
      <c r="C2" s="37" t="n">
        <v>31037437000000</v>
      </c>
      <c r="D2" s="37" t="n">
        <v>24938816000000</v>
      </c>
      <c r="E2" s="37" t="n">
        <v>29013569000000</v>
      </c>
    </row>
    <row r="3" ht="15" customHeight="1" s="16">
      <c r="A3" s="36" t="inlineStr">
        <is>
          <t>Thuế thu nhập doanh nghiệp đã trả</t>
        </is>
      </c>
      <c r="B3" s="37" t="n">
        <v>0</v>
      </c>
      <c r="C3" s="37" t="n">
        <v>0</v>
      </c>
      <c r="D3" s="37" t="n">
        <v>0</v>
      </c>
      <c r="E3" s="37" t="n">
        <v>0</v>
      </c>
    </row>
    <row r="4" ht="15" customHeight="1" s="16">
      <c r="A4" s="36" t="inlineStr">
        <is>
          <t>Lưu chuyển tiền thuần từ các hoạt động sản xuất kinh doanh</t>
        </is>
      </c>
      <c r="B4" s="37" t="n">
        <v>39923618000000</v>
      </c>
      <c r="C4" s="37" t="n">
        <v>42376555000000</v>
      </c>
      <c r="D4" s="37" t="n">
        <v>12053287000000</v>
      </c>
      <c r="E4" s="37" t="n">
        <v>55468501000000</v>
      </c>
    </row>
    <row r="5" ht="15" customHeight="1" s="16">
      <c r="A5" s="36" t="inlineStr">
        <is>
          <t>Mua sắm TSCĐ</t>
        </is>
      </c>
      <c r="B5" s="37" t="n">
        <v>-657030000000</v>
      </c>
      <c r="C5" s="37" t="n">
        <v>-1618886000000</v>
      </c>
      <c r="D5" s="37" t="n">
        <v>-1232358000000</v>
      </c>
      <c r="E5" s="37" t="n">
        <v>-1110111000000</v>
      </c>
    </row>
    <row r="6" ht="15" customHeight="1" s="16">
      <c r="A6" s="36" t="inlineStr">
        <is>
          <t>Tiền thu được từ thanh lý, nhượng bán tài sản cố định</t>
        </is>
      </c>
      <c r="B6" s="37" t="n">
        <v>3503000000</v>
      </c>
      <c r="C6" s="37" t="n">
        <v>1741528000000</v>
      </c>
      <c r="D6" s="37" t="n">
        <v>22156000000</v>
      </c>
      <c r="E6" s="37" t="n">
        <v>44111000000</v>
      </c>
    </row>
    <row r="7" ht="15" customHeight="1" s="16">
      <c r="A7" s="36" t="inlineStr">
        <is>
          <t>Tiền chi đầu tư, góp vốn vào các đơn vị khác</t>
        </is>
      </c>
      <c r="B7" s="37" t="n">
        <v>-199836000000</v>
      </c>
      <c r="C7" s="37" t="n">
        <v>-56278000000</v>
      </c>
      <c r="D7" s="37" t="n">
        <v>-3033432000000</v>
      </c>
      <c r="E7" s="37" t="n">
        <v>0</v>
      </c>
    </row>
    <row r="8" ht="15" customHeight="1" s="16">
      <c r="A8" s="36" t="inlineStr">
        <is>
          <t>Tiền thu từ đầu tư, góp vốn vào các đơn vị khác</t>
        </is>
      </c>
      <c r="B8" s="37" t="n">
        <v>0</v>
      </c>
      <c r="C8" s="37" t="n">
        <v>0</v>
      </c>
      <c r="D8" s="37" t="n">
        <v>0</v>
      </c>
      <c r="E8" s="37" t="n">
        <v>0</v>
      </c>
    </row>
    <row r="9" ht="15" customHeight="1" s="16">
      <c r="A9" s="36" t="inlineStr">
        <is>
          <t>Tiền thu cổ tức và lợi nhuận được chia từ các khoản đầu tư góp vốn dài hạn</t>
        </is>
      </c>
      <c r="B9" s="37" t="n">
        <v>39938000000</v>
      </c>
      <c r="C9" s="37" t="n">
        <v>64561000000</v>
      </c>
      <c r="D9" s="37" t="n">
        <v>34756000000</v>
      </c>
      <c r="E9" s="37" t="n">
        <v>8776000000</v>
      </c>
    </row>
    <row r="10" ht="15" customHeight="1" s="16">
      <c r="A10" s="36" t="inlineStr">
        <is>
          <t>Lưu chuyển tiền thuần từ hoạt động đầu tư</t>
        </is>
      </c>
      <c r="B10" s="37" t="n">
        <v>-816440000000</v>
      </c>
      <c r="C10" s="37" t="n">
        <v>-382599000000</v>
      </c>
      <c r="D10" s="37" t="n">
        <v>-2912466000000</v>
      </c>
      <c r="E10" s="37" t="n">
        <v>-1057275000000</v>
      </c>
    </row>
    <row r="11" ht="15" customHeight="1" s="16">
      <c r="A11" s="36" t="inlineStr">
        <is>
          <t>Tăng vốn cổ phần từ góp vốn và/hoặc phát hành cổ phiếu</t>
        </is>
      </c>
      <c r="B11" s="37" t="n">
        <v>12320661000000</v>
      </c>
      <c r="C11" s="37" t="n">
        <v>200495000000</v>
      </c>
      <c r="D11" s="37" t="n">
        <v>52664000000</v>
      </c>
      <c r="E11" s="37" t="n">
        <v>65072000000</v>
      </c>
    </row>
    <row r="12" ht="15" customHeight="1" s="16">
      <c r="A12" s="36" t="inlineStr">
        <is>
          <t>Cổ tức trả cho cổ đông, lợi nhuận đã chia</t>
        </is>
      </c>
      <c r="B12" s="37" t="n">
        <v>-7084911000000</v>
      </c>
      <c r="C12" s="37" t="n">
        <v>-5210255000000</v>
      </c>
      <c r="D12" s="37" t="n">
        <v>854000000</v>
      </c>
      <c r="E12" s="37" t="n">
        <v>-74648000000</v>
      </c>
    </row>
    <row r="13" ht="15" customHeight="1" s="16">
      <c r="A13" s="36" t="inlineStr">
        <is>
          <t>Lưu chuyển tiền thuần trong kỳ</t>
        </is>
      </c>
      <c r="B13" s="37" t="n">
        <v>5235750000000</v>
      </c>
      <c r="C13" s="37" t="n">
        <v>-5009760000000</v>
      </c>
      <c r="D13" s="37" t="n">
        <v>53518000000</v>
      </c>
      <c r="E13" s="37" t="n">
        <v>-709576000000</v>
      </c>
    </row>
    <row r="14" ht="15" customHeight="1" s="16">
      <c r="A14" s="36" t="inlineStr">
        <is>
          <t>Tiền và các khoản tương đương tiền tài thời điểm đầu kỳ</t>
        </is>
      </c>
      <c r="B14" s="37" t="n">
        <v>147484415000000</v>
      </c>
      <c r="C14" s="37" t="n">
        <v>110500219000000</v>
      </c>
      <c r="D14" s="37" t="n">
        <v>101305880000000</v>
      </c>
      <c r="E14" s="37" t="n">
        <v>47604230000000</v>
      </c>
    </row>
    <row r="15" ht="15" customHeight="1" s="16">
      <c r="A15" s="36" t="inlineStr">
        <is>
          <t>Điều chỉnh ảnh hưởng của thay đổi tỷ giá</t>
        </is>
      </c>
      <c r="B15" s="37" t="n">
        <v>0</v>
      </c>
      <c r="C15" s="37" t="n">
        <v>0</v>
      </c>
      <c r="D15" s="37" t="n">
        <v>0</v>
      </c>
      <c r="E15" s="37" t="n">
        <v>0</v>
      </c>
    </row>
    <row r="16" ht="15" customHeight="1" s="16">
      <c r="A16" s="36" t="inlineStr">
        <is>
          <t>Tiền và các khoản tương đương tiền tại thời điểm cuối kỳ</t>
        </is>
      </c>
      <c r="B16" s="37" t="n">
        <v>191827343000000</v>
      </c>
      <c r="C16" s="37" t="n">
        <v>147484415000000</v>
      </c>
      <c r="D16" s="37" t="n">
        <v>110500219000000</v>
      </c>
      <c r="E16" s="37" t="n">
        <v>101305880000000</v>
      </c>
    </row>
    <row r="17" ht="15" customHeight="1" s="16">
      <c r="A17" s="36" t="inlineStr">
        <is>
          <t>Tiền thuế thu nhập thực nộp trong kỳ</t>
        </is>
      </c>
      <c r="B17" s="37" t="n">
        <v>-7177741000000</v>
      </c>
      <c r="C17" s="37" t="n">
        <v>-4089321000000</v>
      </c>
      <c r="D17" s="37" t="n">
        <v>-5048936000000</v>
      </c>
      <c r="E17" s="37" t="n">
        <v>-2301394000000</v>
      </c>
    </row>
    <row r="18" ht="15" customHeight="1" s="16">
      <c r="A18" s="36" t="inlineStr">
        <is>
          <t>Tiền gửi tại NHNN</t>
        </is>
      </c>
      <c r="B18" s="37" t="n">
        <v>0</v>
      </c>
      <c r="C18" s="37" t="n">
        <v>0</v>
      </c>
      <c r="D18" s="37" t="n">
        <v>0</v>
      </c>
      <c r="E18" s="37" t="n">
        <v>0</v>
      </c>
    </row>
    <row r="19" ht="15" customHeight="1" s="16">
      <c r="A19" s="36" t="inlineStr">
        <is>
          <t>Tăng/giảm các khoản tiền gửi và cho vay các tổ chức tín dụng khác</t>
        </is>
      </c>
      <c r="B19" s="37" t="n">
        <v>1553157000000</v>
      </c>
      <c r="C19" s="37" t="n">
        <v>12721924000000</v>
      </c>
      <c r="D19" s="37" t="n">
        <v>-12287858000000</v>
      </c>
      <c r="E19" s="37" t="n">
        <v>18490986000000</v>
      </c>
    </row>
    <row r="20" ht="15" customHeight="1" s="16">
      <c r="A20" s="36" t="inlineStr">
        <is>
          <t>Tăng/giảm các khoản về kinh doanh chứng khoán</t>
        </is>
      </c>
      <c r="B20" s="37" t="n">
        <v>-9019169000000</v>
      </c>
      <c r="C20" s="37" t="n">
        <v>-31627229000000</v>
      </c>
      <c r="D20" s="37" t="n">
        <v>-19582416000000</v>
      </c>
      <c r="E20" s="37" t="n">
        <v>13920515000000</v>
      </c>
    </row>
    <row r="21" ht="15" customHeight="1" s="16">
      <c r="A21" s="36" t="inlineStr">
        <is>
          <t>Tăng/giảm các công cụ tài chính phái sinh và các tài sản tài chính khác</t>
        </is>
      </c>
      <c r="B21" s="37" t="n">
        <v>0</v>
      </c>
      <c r="C21" s="37" t="n">
        <v>143611000000</v>
      </c>
      <c r="D21" s="37" t="n">
        <v>-143611000000</v>
      </c>
      <c r="E21" s="37" t="n">
        <v>293768000000</v>
      </c>
    </row>
    <row r="22" ht="15" customHeight="1" s="16">
      <c r="A22" s="36" t="inlineStr">
        <is>
          <t>Tăng/giảm các khoản cho vay khách hàng</t>
        </is>
      </c>
      <c r="B22" s="37" t="n">
        <v>-135892165000000</v>
      </c>
      <c r="C22" s="37" t="n">
        <v>-113083396000000</v>
      </c>
      <c r="D22" s="37" t="n">
        <v>-98117863000000</v>
      </c>
      <c r="E22" s="37" t="n">
        <v>-73182461000000</v>
      </c>
    </row>
    <row r="23" ht="15" customHeight="1" s="16">
      <c r="A23" s="36" t="inlineStr">
        <is>
          <t>(Tăng)/Giảm lãi, phí phải thu</t>
        </is>
      </c>
      <c r="B23" s="37" t="n">
        <v>0</v>
      </c>
      <c r="C23" s="37" t="n">
        <v>0</v>
      </c>
      <c r="D23" s="37" t="n">
        <v>0</v>
      </c>
      <c r="E23" s="37" t="n">
        <v>0</v>
      </c>
    </row>
    <row r="24" ht="15" customHeight="1" s="16">
      <c r="A24" s="36" t="inlineStr">
        <is>
          <t>Tăng/giảm nguồn dự phòng để bù đắp tổn thất các khoản</t>
        </is>
      </c>
      <c r="B24" s="37" t="n">
        <v>-2072791000000</v>
      </c>
      <c r="C24" s="37" t="n">
        <v>-2670781000000</v>
      </c>
      <c r="D24" s="37" t="n">
        <v>-2667877000000</v>
      </c>
      <c r="E24" s="37" t="n">
        <v>-683006000000</v>
      </c>
    </row>
    <row r="25" ht="15" customHeight="1" s="16">
      <c r="A25" s="36" t="inlineStr">
        <is>
          <t>Tăng/giảm khác về tài sản hoạt động</t>
        </is>
      </c>
      <c r="B25" s="37" t="n">
        <v>-29615168000000</v>
      </c>
      <c r="C25" s="37" t="n">
        <v>34701809000000</v>
      </c>
      <c r="D25" s="37" t="n">
        <v>-9317279000000</v>
      </c>
      <c r="E25" s="37" t="n">
        <v>-36029613000000</v>
      </c>
    </row>
    <row r="26" ht="15" customHeight="1" s="16">
      <c r="A26" s="36" t="inlineStr">
        <is>
          <t>Tăng/(Giảm) các khoản nợ chính phủ và NHNN</t>
        </is>
      </c>
      <c r="B26" s="37" t="n">
        <v>4306722000000</v>
      </c>
      <c r="C26" s="37" t="n">
        <v>0</v>
      </c>
      <c r="D26" s="37" t="n">
        <v>0</v>
      </c>
      <c r="E26" s="37" t="n">
        <v>0</v>
      </c>
    </row>
    <row r="27" ht="15" customHeight="1" s="16">
      <c r="A27" s="36" t="inlineStr">
        <is>
          <t>Tăng/(Giảm) các khoản tiền gửi và vay các TCTD khác</t>
        </is>
      </c>
      <c r="B27" s="37" t="n">
        <v>12743888000000</v>
      </c>
      <c r="C27" s="37" t="n">
        <v>-20933914000000</v>
      </c>
      <c r="D27" s="37" t="n">
        <v>-14389967000000</v>
      </c>
      <c r="E27" s="37" t="n">
        <v>55104278000000</v>
      </c>
    </row>
    <row r="28" ht="15" customHeight="1" s="16">
      <c r="A28" s="36" t="inlineStr">
        <is>
          <t>Tăng/(Giảm) tiền gửi của khách hàng</t>
        </is>
      </c>
      <c r="B28" s="37" t="n">
        <v>85524799000000</v>
      </c>
      <c r="C28" s="37" t="n">
        <v>78742971000000</v>
      </c>
      <c r="D28" s="37" t="n">
        <v>96249299000000</v>
      </c>
      <c r="E28" s="37" t="n">
        <v>43658244000000</v>
      </c>
    </row>
    <row r="29" ht="15" customHeight="1" s="16">
      <c r="A29" s="36" t="inlineStr">
        <is>
          <t>Tăng/(Giảm) các công cụ tài chính phái sinh và các khoản nợ tài chính khác</t>
        </is>
      </c>
      <c r="B29" s="37" t="n">
        <v>1485716000000</v>
      </c>
      <c r="C29" s="37" t="n">
        <v>931231000000</v>
      </c>
      <c r="D29" s="37" t="n">
        <v>-1851213000000</v>
      </c>
      <c r="E29" s="37" t="n">
        <v>1851213000000</v>
      </c>
    </row>
    <row r="30" ht="15" customHeight="1" s="16">
      <c r="A30" s="36" t="inlineStr">
        <is>
          <t>Tăng/(Giảm) vốn tài trợ, uỷ thác đầu tư của chính phủ và các TCTD khác</t>
        </is>
      </c>
      <c r="B30" s="37" t="n">
        <v>0</v>
      </c>
      <c r="C30" s="37" t="n">
        <v>0</v>
      </c>
      <c r="D30" s="37" t="n">
        <v>0</v>
      </c>
      <c r="E30" s="37" t="n">
        <v>0</v>
      </c>
    </row>
    <row r="31" ht="15" customHeight="1" s="16">
      <c r="A31" s="36" t="inlineStr">
        <is>
          <t>Tăng/(Giảm) phát hành giấy tờ có giá</t>
        </is>
      </c>
      <c r="B31" s="37" t="n">
        <v>74907807000000</v>
      </c>
      <c r="C31" s="37" t="n">
        <v>55719021000000</v>
      </c>
      <c r="D31" s="37" t="n">
        <v>50696681000000</v>
      </c>
      <c r="E31" s="37" t="n">
        <v>1026795000000</v>
      </c>
    </row>
    <row r="32" ht="15" customHeight="1" s="16">
      <c r="A32" s="36" t="inlineStr">
        <is>
          <t>Tăng/(Giảm) lãi, phí phải trả</t>
        </is>
      </c>
      <c r="B32" s="37" t="n">
        <v>0</v>
      </c>
      <c r="C32" s="37" t="n">
        <v>0</v>
      </c>
      <c r="D32" s="37" t="n">
        <v>0</v>
      </c>
      <c r="E32" s="37" t="n">
        <v>0</v>
      </c>
    </row>
    <row r="33" ht="15" customHeight="1" s="16">
      <c r="A33" s="36" t="inlineStr">
        <is>
          <t>Tăng/(Giảm) khác về công nợ hoạt động</t>
        </is>
      </c>
      <c r="B33" s="37" t="n">
        <v>2712170000000</v>
      </c>
      <c r="C33" s="37" t="n">
        <v>-3303550000000</v>
      </c>
      <c r="D33" s="37" t="n">
        <v>-1468412000000</v>
      </c>
      <c r="E33" s="37" t="n">
        <v>2009069000000</v>
      </c>
    </row>
    <row r="34" ht="15" customHeight="1" s="16">
      <c r="A34" s="36" t="inlineStr">
        <is>
          <t>Lưu chuyển tiền thuần từ hoạt động kinh doanh trước thuế thu nhập DN</t>
        </is>
      </c>
      <c r="B34" s="37" t="n">
        <v>39925552000000</v>
      </c>
      <c r="C34" s="37" t="n">
        <v>42379134000000</v>
      </c>
      <c r="D34" s="37" t="n">
        <v>12058300000000</v>
      </c>
      <c r="E34" s="37" t="n">
        <v>55473357000000</v>
      </c>
    </row>
    <row r="35" ht="15" customHeight="1" s="16">
      <c r="A35" s="36" t="inlineStr">
        <is>
          <t>Chi từ các quỹ của TCTD</t>
        </is>
      </c>
      <c r="B35" s="37" t="n">
        <v>-1934000000</v>
      </c>
      <c r="C35" s="37" t="n">
        <v>-2579000000</v>
      </c>
      <c r="D35" s="37" t="n">
        <v>-5013000000</v>
      </c>
      <c r="E35" s="37" t="n">
        <v>-4856000000</v>
      </c>
    </row>
    <row r="36" ht="15" customHeight="1" s="16">
      <c r="A36" s="36" t="inlineStr">
        <is>
          <t>Thu được từ nợ khó đòi</t>
        </is>
      </c>
      <c r="B36" s="37" t="n">
        <v>0</v>
      </c>
      <c r="C36" s="37" t="n">
        <v>0</v>
      </c>
      <c r="D36" s="37" t="n">
        <v>0</v>
      </c>
      <c r="E36" s="37" t="n">
        <v>0</v>
      </c>
    </row>
    <row r="37" ht="15" customHeight="1" s="16">
      <c r="A37" s="36" t="inlineStr">
        <is>
          <t>Tiền chi từ thanh lý, nhượng bán TSCĐ</t>
        </is>
      </c>
      <c r="B37" s="37" t="n">
        <v>-3015000000</v>
      </c>
      <c r="C37" s="37" t="n">
        <v>-1249743000000</v>
      </c>
      <c r="D37" s="37" t="n">
        <v>-35000000</v>
      </c>
      <c r="E37" s="37" t="n">
        <v>-51000000</v>
      </c>
    </row>
    <row r="38" ht="15" customHeight="1" s="16">
      <c r="A38" s="36" t="inlineStr">
        <is>
          <t>Mua sắm Bất động sản đầu tư</t>
        </is>
      </c>
      <c r="B38" s="37" t="n">
        <v>0</v>
      </c>
      <c r="C38" s="37" t="n">
        <v>0</v>
      </c>
      <c r="D38" s="37" t="n">
        <v>0</v>
      </c>
      <c r="E38" s="37" t="n">
        <v>0</v>
      </c>
    </row>
    <row r="39" ht="15" customHeight="1" s="16">
      <c r="A39" s="36" t="inlineStr">
        <is>
          <t>Tiền thu từ bán, thanh lý bất động sản đầu tư</t>
        </is>
      </c>
      <c r="B39" s="37" t="n">
        <v>0</v>
      </c>
      <c r="C39" s="37" t="n">
        <v>736219000000</v>
      </c>
      <c r="D39" s="37" t="n">
        <v>1296447000000</v>
      </c>
      <c r="E39" s="37" t="n">
        <v>0</v>
      </c>
    </row>
    <row r="40" ht="15" customHeight="1" s="16">
      <c r="A40" s="36" t="inlineStr">
        <is>
          <t>Tiền chi ra do bán, thanh lý bất động sản đầu tư</t>
        </is>
      </c>
      <c r="B40" s="37" t="n">
        <v>0</v>
      </c>
      <c r="C40" s="37" t="n">
        <v>0</v>
      </c>
      <c r="D40" s="37" t="n">
        <v>0</v>
      </c>
      <c r="E40" s="37" t="n">
        <v>0</v>
      </c>
    </row>
    <row r="41" ht="15" customHeight="1" s="16">
      <c r="A41" s="36" t="inlineStr">
        <is>
          <t>Tiền thu từ phát hành giấy tờ có giá dài hạn đủ điều kiện tính vào vốn tự có và các khoản vốn vay dài hạn khác</t>
        </is>
      </c>
      <c r="B41" s="37" t="n">
        <v>0</v>
      </c>
      <c r="C41" s="37" t="n">
        <v>0</v>
      </c>
      <c r="D41" s="37" t="n">
        <v>0</v>
      </c>
      <c r="E41" s="37" t="n">
        <v>0</v>
      </c>
    </row>
    <row r="42" ht="15" customHeight="1" s="16">
      <c r="A42" s="36" t="inlineStr">
        <is>
          <t>Tiền chi thanh toán giấy tờ có giá dài hạn đủ điều kiện tính vào vốn tự có và các khoản vốn vay dài hạn khác</t>
        </is>
      </c>
      <c r="B42" s="37" t="n">
        <v>0</v>
      </c>
      <c r="C42" s="37" t="n">
        <v>0</v>
      </c>
      <c r="D42" s="37" t="n">
        <v>0</v>
      </c>
      <c r="E42" s="37" t="n">
        <v>-700000000000</v>
      </c>
    </row>
    <row r="43" ht="15" customHeight="1" s="16">
      <c r="A43" s="36" t="inlineStr">
        <is>
          <t>Tiền chi ra mua cổ phiếu quỹ</t>
        </is>
      </c>
      <c r="B43" s="37" t="n">
        <v>0</v>
      </c>
      <c r="C43" s="37" t="n">
        <v>0</v>
      </c>
      <c r="D43" s="37" t="n">
        <v>0</v>
      </c>
      <c r="E43" s="37" t="n">
        <v>0</v>
      </c>
    </row>
    <row r="44" ht="15" customHeight="1" s="16">
      <c r="A44" s="36" t="inlineStr">
        <is>
          <t>Tiền thu được do bán cổ phiếu quỹ</t>
        </is>
      </c>
      <c r="B44" s="37" t="n">
        <v>0</v>
      </c>
      <c r="C44" s="37" t="n">
        <v>0</v>
      </c>
      <c r="D44" s="37" t="n">
        <v>0</v>
      </c>
      <c r="E44" s="37" t="n">
        <v>0</v>
      </c>
    </row>
    <row r="45" ht="15" customHeight="1" s="16">
      <c r="A45" s="36" t="inlineStr">
        <is>
          <t>Thu nhập lãi và các khoản thu nhập tương tự nhận được</t>
        </is>
      </c>
      <c r="B45" s="37" t="n">
        <v>67231128000000</v>
      </c>
      <c r="C45" s="37" t="n">
        <v>61748921000000</v>
      </c>
      <c r="D45" s="37" t="n">
        <v>53749365000000</v>
      </c>
      <c r="E45" s="37" t="n">
        <v>43558389000000</v>
      </c>
    </row>
    <row r="46" ht="15" customHeight="1" s="16">
      <c r="A46" s="36" t="inlineStr">
        <is>
          <t>Chi phí lãi và các chi phí tương tự đã trả</t>
        </is>
      </c>
      <c r="B46" s="37" t="n">
        <v>-27761618000000</v>
      </c>
      <c r="C46" s="37" t="n">
        <v>-26124464000000</v>
      </c>
      <c r="D46" s="37" t="n">
        <v>-25941911000000</v>
      </c>
      <c r="E46" s="37" t="n">
        <v>-12185090000000</v>
      </c>
    </row>
    <row r="47" ht="15" customHeight="1" s="16">
      <c r="A47" s="36" t="inlineStr">
        <is>
          <t>Thu nhập từ hoạt động dịch vụ nhận được</t>
        </is>
      </c>
      <c r="B47" s="37" t="n">
        <v>8396946000000</v>
      </c>
      <c r="C47" s="37" t="n">
        <v>7679933000000</v>
      </c>
      <c r="D47" s="37" t="n">
        <v>9134752000000</v>
      </c>
      <c r="E47" s="37" t="n">
        <v>8076844000000</v>
      </c>
    </row>
    <row r="48" ht="15" customHeight="1" s="16">
      <c r="A48" s="36" t="inlineStr">
        <is>
          <t>Thu nhập thuần từ hoạt động kinh doanh ngoại hối và vàng</t>
        </is>
      </c>
      <c r="B48" s="37" t="n">
        <v>0</v>
      </c>
      <c r="C48" s="37" t="n">
        <v>0</v>
      </c>
      <c r="D48" s="37" t="n">
        <v>0</v>
      </c>
      <c r="E48" s="37" t="n">
        <v>0</v>
      </c>
    </row>
    <row r="49" ht="15" customHeight="1" s="16">
      <c r="A49" s="36" t="inlineStr">
        <is>
          <t>Thu nhập từ hoạt động kinh doanh chứng khoán</t>
        </is>
      </c>
      <c r="B49" s="37" t="n">
        <v>4478027000000</v>
      </c>
      <c r="C49" s="37" t="n">
        <v>3150018000000</v>
      </c>
      <c r="D49" s="37" t="n">
        <v>1168505000000</v>
      </c>
      <c r="E49" s="37" t="n">
        <v>-420995000000</v>
      </c>
    </row>
    <row r="50" ht="15" customHeight="1" s="16">
      <c r="A50" s="36" t="inlineStr">
        <is>
          <t>Thu nhập khác</t>
        </is>
      </c>
      <c r="B50" s="37" t="n">
        <v>96244000000</v>
      </c>
      <c r="C50" s="37" t="n">
        <v>-2359679000000</v>
      </c>
      <c r="D50" s="37" t="n">
        <v>1384616000000</v>
      </c>
      <c r="E50" s="37" t="n">
        <v>605946000000</v>
      </c>
    </row>
    <row r="51" ht="15" customHeight="1" s="16">
      <c r="A51" s="36" t="inlineStr">
        <is>
          <t>Tiền chi trả cho nhân viên và hoạt động quản lý, cộng cụ</t>
        </is>
      </c>
      <c r="B51" s="37" t="n">
        <v>-13326686000000</v>
      </c>
      <c r="C51" s="37" t="n">
        <v>-10106171000000</v>
      </c>
      <c r="D51" s="37" t="n">
        <v>-10339365000000</v>
      </c>
      <c r="E51" s="37" t="n">
        <v>-9631184000000</v>
      </c>
    </row>
    <row r="52" ht="15" customHeight="1" s="16">
      <c r="A52" s="36" t="inlineStr">
        <is>
          <t>Tiền thu các khoản nợ đã được xử lý, xóa, bù đắp bằng nguồn rủi ro</t>
        </is>
      </c>
      <c r="B52" s="37" t="n">
        <v>1354286000000</v>
      </c>
      <c r="C52" s="37" t="n">
        <v>1138200000000</v>
      </c>
      <c r="D52" s="37" t="n">
        <v>831790000000</v>
      </c>
      <c r="E52" s="37" t="n">
        <v>1311053000000</v>
      </c>
    </row>
    <row r="53" ht="15" customHeight="1" s="16">
      <c r="A53" s="36" t="inlineStr">
        <is>
          <t>Chênh lệch số tiền thực thu/thực chi từ hoạt động kinh doanh</t>
        </is>
      </c>
      <c r="B53" s="37" t="n">
        <v>4478027000000</v>
      </c>
      <c r="C53" s="37" t="n">
        <v>3150018000000</v>
      </c>
      <c r="D53" s="37" t="n">
        <v>1168505000000</v>
      </c>
      <c r="E53" s="37" t="n">
        <v>-420995000000</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E59"/>
  <sheetViews>
    <sheetView showGridLines="0" workbookViewId="0">
      <pane xSplit="1" ySplit="6" topLeftCell="B7" activePane="bottomRight" state="frozen"/>
      <selection pane="topRight" activeCell="A1" sqref="A1"/>
      <selection pane="bottomLeft" activeCell="A1" sqref="A1"/>
      <selection pane="bottomRight" activeCell="A1" sqref="A1"/>
    </sheetView>
  </sheetViews>
  <sheetFormatPr baseColWidth="8" defaultRowHeight="15"/>
  <cols>
    <col width="42" customWidth="1" style="16" min="1" max="1"/>
    <col width="14" customWidth="1" style="16" min="2" max="2"/>
    <col width="14" customWidth="1" style="16" min="3" max="3"/>
    <col width="14" customWidth="1" style="16" min="4" max="4"/>
    <col width="14" customWidth="1" style="16" min="5" max="5"/>
    <col width="3" customWidth="1" style="16" min="6" max="6"/>
  </cols>
  <sheetData>
    <row r="1" ht="22" customHeight="1" s="16">
      <c r="A1" s="18" t="inlineStr">
        <is>
          <t>CHỈ SỐ TÀI CHÍNH — TCB</t>
        </is>
      </c>
    </row>
    <row r="2" ht="42" customHeight="1" s="16">
      <c r="A2" s="20" t="inlineStr">
        <is>
          <t>Khối "CHỈ SỐ TÀI CHÍNH" tính bằng công thức từ khối "DỮ LIỆU TRÍCH XUẤT" bên dưới, không phải số nhập tay. Khối "DỮ LIỆU TRÍCH XUẤT" được dò tự động theo TÊN khoản mục (đúng theo tên gốc trong báo cáo) và theo NĂM từ 3 sheet balance_sheet / income_statement — không tham chiếu ô cố định. Có thể sửa nhãn khoản mục ở cột A khối này nếu công ty đổi tên dòng; công thức sẽ tự dò lại. Các năm được xếp tăng dần từ trái sang phải.</t>
        </is>
      </c>
    </row>
    <row r="3" ht="42" customHeight="1" s="16">
      <c r="A3" s="21" t="inlineStr">
        <is>
          <t>Lưu ý: Đây là tổ chức tín dụng: báo cáo tài chính không có khái niệm hàng tồn kho / giá vốn hàng bán / phải thu-phải trả thương mại, và không tách vay ngắn hạn - dài hạn trên bảng cân đối. Các chỉ tiêu tương ứng hiển thị "n/a". Doanh thu dùng "Tổng thu nhập hoạt động" thay cho "Doanh thu thuần"; ROA/Biên lợi nhuận ròng dùng lợi nhuận sau thuế toàn ngân hàng.</t>
        </is>
      </c>
    </row>
    <row r="5">
      <c r="A5" s="22" t="inlineStr">
        <is>
          <t>I. CHỈ SỐ TÀI CHÍNH</t>
        </is>
      </c>
      <c r="B5" s="23" t="n"/>
      <c r="C5" s="23" t="n"/>
      <c r="D5" s="23" t="n"/>
      <c r="E5" s="23" t="n"/>
    </row>
    <row r="6">
      <c r="A6" s="24" t="inlineStr">
        <is>
          <t>Chỉ tiêu</t>
        </is>
      </c>
      <c r="B6" s="25">
        <f>'balance_sheet'!E1</f>
        <v/>
      </c>
      <c r="C6" s="25">
        <f>'balance_sheet'!D1</f>
        <v/>
      </c>
      <c r="D6" s="25">
        <f>'balance_sheet'!C1</f>
        <v/>
      </c>
      <c r="E6" s="25">
        <f>'balance_sheet'!B1</f>
        <v/>
      </c>
    </row>
    <row r="7">
      <c r="A7" s="26" t="inlineStr">
        <is>
          <t>1. Khả năng sinh lời</t>
        </is>
      </c>
    </row>
    <row r="8">
      <c r="A8" s="27" t="inlineStr">
        <is>
          <t>ROE (LNST CĐ Cty mẹ / VCSH bình quân)</t>
        </is>
      </c>
      <c r="B8" s="28" t="inlineStr">
        <is>
          <t>n/a</t>
        </is>
      </c>
      <c r="C8" s="29">
        <f>IFERROR(C$55/((C$40+B$40)/2),"n/a")</f>
        <v/>
      </c>
      <c r="D8" s="29">
        <f>IFERROR(D$55/((D$40+C$40)/2),"n/a")</f>
        <v/>
      </c>
      <c r="E8" s="29">
        <f>IFERROR(E$55/((E$40+D$40)/2),"n/a")</f>
        <v/>
      </c>
    </row>
    <row r="9">
      <c r="A9" s="27" t="inlineStr">
        <is>
          <t>ROA (LNST / Tổng tài sản bình quân)</t>
        </is>
      </c>
      <c r="B9" s="28" t="inlineStr">
        <is>
          <t>n/a</t>
        </is>
      </c>
      <c r="C9" s="29">
        <f>IFERROR(C$54/((C$41+B$41)/2),"n/a")</f>
        <v/>
      </c>
      <c r="D9" s="29">
        <f>IFERROR(D$54/((D$41+C$41)/2),"n/a")</f>
        <v/>
      </c>
      <c r="E9" s="29">
        <f>IFERROR(E$54/((E$41+D$41)/2),"n/a")</f>
        <v/>
      </c>
    </row>
    <row r="10">
      <c r="A10" s="27" t="inlineStr">
        <is>
          <t>Tăng trưởng LN Cổ đông Cty mẹ</t>
        </is>
      </c>
      <c r="B10" s="28" t="inlineStr">
        <is>
          <t>n/a</t>
        </is>
      </c>
      <c r="C10" s="29">
        <f>IFERROR((C$55-B$55)/ABS(B$55),"n/a")</f>
        <v/>
      </c>
      <c r="D10" s="29">
        <f>IFERROR((D$55-C$55)/ABS(C$55),"n/a")</f>
        <v/>
      </c>
      <c r="E10" s="29">
        <f>IFERROR((E$55-D$55)/ABS(D$55),"n/a")</f>
        <v/>
      </c>
    </row>
    <row r="11">
      <c r="A11" s="27" t="inlineStr">
        <is>
          <t>Tăng trưởng Doanh thu thuần</t>
        </is>
      </c>
      <c r="B11" s="28" t="inlineStr">
        <is>
          <t>n/a</t>
        </is>
      </c>
      <c r="C11" s="29">
        <f>IFERROR((C$47-B$47)/ABS(B$47),"n/a")</f>
        <v/>
      </c>
      <c r="D11" s="29">
        <f>IFERROR((D$47-C$47)/ABS(C$47),"n/a")</f>
        <v/>
      </c>
      <c r="E11" s="29">
        <f>IFERROR((E$47-D$47)/ABS(D$47),"n/a")</f>
        <v/>
      </c>
    </row>
    <row r="13">
      <c r="A13" s="26" t="inlineStr">
        <is>
          <t>2. Biên lợi nhuận</t>
        </is>
      </c>
    </row>
    <row r="14">
      <c r="A14" s="27" t="inlineStr">
        <is>
          <t>Biên lợi nhuận gộp</t>
        </is>
      </c>
      <c r="B14" s="29">
        <f>IFERROR(B$49/B$47,"n/a")</f>
        <v/>
      </c>
      <c r="C14" s="29">
        <f>IFERROR(C$49/C$47,"n/a")</f>
        <v/>
      </c>
      <c r="D14" s="29">
        <f>IFERROR(D$49/D$47,"n/a")</f>
        <v/>
      </c>
      <c r="E14" s="29">
        <f>IFERROR(E$49/E$47,"n/a")</f>
        <v/>
      </c>
    </row>
    <row r="15">
      <c r="A15" s="27" t="inlineStr">
        <is>
          <t>Biên lợi nhuận ròng</t>
        </is>
      </c>
      <c r="B15" s="29">
        <f>IFERROR(B$54/B$47,"n/a")</f>
        <v/>
      </c>
      <c r="C15" s="29">
        <f>IFERROR(C$54/C$47,"n/a")</f>
        <v/>
      </c>
      <c r="D15" s="29">
        <f>IFERROR(D$54/D$47,"n/a")</f>
        <v/>
      </c>
      <c r="E15" s="29">
        <f>IFERROR(E$54/E$47,"n/a")</f>
        <v/>
      </c>
    </row>
    <row r="17">
      <c r="A17" s="26" t="inlineStr">
        <is>
          <t>3. Đòn bẩy tài chính</t>
        </is>
      </c>
    </row>
    <row r="18">
      <c r="A18" s="27" t="inlineStr">
        <is>
          <t>D/E (Nợ vay / Vốn chủ sở hữu)</t>
        </is>
      </c>
      <c r="B18" s="30">
        <f>IFERROR((B$45+B$46)/B$40,"n/a")</f>
        <v/>
      </c>
      <c r="C18" s="30">
        <f>IFERROR((C$45+C$46)/C$40,"n/a")</f>
        <v/>
      </c>
      <c r="D18" s="30">
        <f>IFERROR((D$45+D$46)/D$40,"n/a")</f>
        <v/>
      </c>
      <c r="E18" s="30">
        <f>IFERROR((E$45+E$46)/E$40,"n/a")</f>
        <v/>
      </c>
    </row>
    <row r="19">
      <c r="A19" s="31" t="inlineStr">
        <is>
          <t xml:space="preserve">     - Nợ vay dài hạn/Vốn chủ sở hữu</t>
        </is>
      </c>
      <c r="B19" s="30">
        <f>IFERROR(B$46/B$40,"n/a")</f>
        <v/>
      </c>
      <c r="C19" s="30">
        <f>IFERROR(C$46/C$40,"n/a")</f>
        <v/>
      </c>
      <c r="D19" s="30">
        <f>IFERROR(D$46/D$40,"n/a")</f>
        <v/>
      </c>
      <c r="E19" s="30">
        <f>IFERROR(E$46/E$40,"n/a")</f>
        <v/>
      </c>
    </row>
    <row r="20">
      <c r="A20" s="31" t="inlineStr">
        <is>
          <t xml:space="preserve">     - Nợ vay ngắn hạn/Vốn chủ sở hữu</t>
        </is>
      </c>
      <c r="B20" s="30">
        <f>IFERROR(B$45/B$40,"n/a")</f>
        <v/>
      </c>
      <c r="C20" s="30">
        <f>IFERROR(C$45/C$40,"n/a")</f>
        <v/>
      </c>
      <c r="D20" s="30">
        <f>IFERROR(D$45/D$40,"n/a")</f>
        <v/>
      </c>
      <c r="E20" s="30">
        <f>IFERROR(E$45/E$40,"n/a")</f>
        <v/>
      </c>
    </row>
    <row r="21">
      <c r="A21" s="27" t="inlineStr">
        <is>
          <t>Nợ phải trả/Vốn chủ sở hữu</t>
        </is>
      </c>
      <c r="B21" s="30">
        <f>IFERROR(B$42/B$40,"n/a")</f>
        <v/>
      </c>
      <c r="C21" s="30">
        <f>IFERROR(C$42/C$40,"n/a")</f>
        <v/>
      </c>
      <c r="D21" s="30">
        <f>IFERROR(D$42/D$40,"n/a")</f>
        <v/>
      </c>
      <c r="E21" s="30">
        <f>IFERROR(E$42/E$40,"n/a")</f>
        <v/>
      </c>
    </row>
    <row r="22">
      <c r="A22" s="31" t="inlineStr">
        <is>
          <t xml:space="preserve">     - Nợ dài hạn/Vốn chủ sở hữu</t>
        </is>
      </c>
      <c r="B22" s="30">
        <f>IFERROR(B$44/B$40,"n/a")</f>
        <v/>
      </c>
      <c r="C22" s="30">
        <f>IFERROR(C$44/C$40,"n/a")</f>
        <v/>
      </c>
      <c r="D22" s="30">
        <f>IFERROR(D$44/D$40,"n/a")</f>
        <v/>
      </c>
      <c r="E22" s="30">
        <f>IFERROR(E$44/E$40,"n/a")</f>
        <v/>
      </c>
    </row>
    <row r="23">
      <c r="A23" s="31" t="inlineStr">
        <is>
          <t xml:space="preserve">     - Nợ ngắn hạn/Vốn chủ sở hữu</t>
        </is>
      </c>
      <c r="B23" s="30">
        <f>IFERROR(B$43/B$40,"n/a")</f>
        <v/>
      </c>
      <c r="C23" s="30">
        <f>IFERROR(C$43/C$40,"n/a")</f>
        <v/>
      </c>
      <c r="D23" s="30">
        <f>IFERROR(D$43/D$40,"n/a")</f>
        <v/>
      </c>
      <c r="E23" s="30">
        <f>IFERROR(E$43/E$40,"n/a")</f>
        <v/>
      </c>
    </row>
    <row r="25">
      <c r="A25" s="26" t="inlineStr">
        <is>
          <t>4. Chi phí &amp; khả năng trả lãi</t>
        </is>
      </c>
    </row>
    <row r="26">
      <c r="A26" s="27" t="inlineStr">
        <is>
          <t>Chi phí bán hàng, quản lý/LN gộp</t>
        </is>
      </c>
      <c r="B26" s="29">
        <f>IFERROR((ABS(B$50)+ABS(B$51))/B$49,"n/a")</f>
        <v/>
      </c>
      <c r="C26" s="29">
        <f>IFERROR((ABS(C$50)+ABS(C$51))/C$49,"n/a")</f>
        <v/>
      </c>
      <c r="D26" s="29">
        <f>IFERROR((ABS(D$50)+ABS(D$51))/D$49,"n/a")</f>
        <v/>
      </c>
      <c r="E26" s="29">
        <f>IFERROR((ABS(E$50)+ABS(E$51))/E$49,"n/a")</f>
        <v/>
      </c>
    </row>
    <row r="27">
      <c r="A27" s="27" t="inlineStr">
        <is>
          <t>Chi phí lãi vay/LN từ hoạt động kinh doanh</t>
        </is>
      </c>
      <c r="B27" s="29">
        <f>IFERROR(ABS(B$53)/B$52,"n/a")</f>
        <v/>
      </c>
      <c r="C27" s="29">
        <f>IFERROR(ABS(C$53)/C$52,"n/a")</f>
        <v/>
      </c>
      <c r="D27" s="29">
        <f>IFERROR(ABS(D$53)/D$52,"n/a")</f>
        <v/>
      </c>
      <c r="E27" s="29">
        <f>IFERROR(ABS(E$53)/E$52,"n/a")</f>
        <v/>
      </c>
    </row>
    <row r="29">
      <c r="A29" s="26" t="inlineStr">
        <is>
          <t>5. Chu kỳ hoạt động vốn lưu động</t>
        </is>
      </c>
    </row>
    <row r="30">
      <c r="A30" s="27" t="inlineStr">
        <is>
          <t>Số ngày phải trả (DPO)</t>
        </is>
      </c>
      <c r="B30" s="28" t="inlineStr">
        <is>
          <t>n/a</t>
        </is>
      </c>
      <c r="C30" s="32">
        <f>IFERROR(((C$57+B$57)/2)/ABS(C$48)*365,"n/a")</f>
        <v/>
      </c>
      <c r="D30" s="32">
        <f>IFERROR(((D$57+C$57)/2)/ABS(D$48)*365,"n/a")</f>
        <v/>
      </c>
      <c r="E30" s="32">
        <f>IFERROR(((E$57+D$57)/2)/ABS(E$48)*365,"n/a")</f>
        <v/>
      </c>
    </row>
    <row r="31">
      <c r="A31" s="27" t="inlineStr">
        <is>
          <t>Số ngày phải thu (DSO)</t>
        </is>
      </c>
      <c r="B31" s="28" t="inlineStr">
        <is>
          <t>n/a</t>
        </is>
      </c>
      <c r="C31" s="32">
        <f>IFERROR(((C$56+B$56)/2)/C$47*365,"n/a")</f>
        <v/>
      </c>
      <c r="D31" s="32">
        <f>IFERROR(((D$56+C$56)/2)/D$47*365,"n/a")</f>
        <v/>
      </c>
      <c r="E31" s="32">
        <f>IFERROR(((E$56+D$56)/2)/E$47*365,"n/a")</f>
        <v/>
      </c>
    </row>
    <row r="32">
      <c r="A32" s="27" t="inlineStr">
        <is>
          <t>Số ngày tồn kho (DIO)</t>
        </is>
      </c>
      <c r="B32" s="28" t="inlineStr">
        <is>
          <t>n/a</t>
        </is>
      </c>
      <c r="C32" s="32">
        <f>IFERROR(((C$58+B$58)/2)/ABS(C$48)*365,"n/a")</f>
        <v/>
      </c>
      <c r="D32" s="32">
        <f>IFERROR(((D$58+C$58)/2)/ABS(D$48)*365,"n/a")</f>
        <v/>
      </c>
      <c r="E32" s="32">
        <f>IFERROR(((E$58+D$58)/2)/ABS(E$48)*365,"n/a")</f>
        <v/>
      </c>
    </row>
    <row r="34">
      <c r="A34" s="26" t="inlineStr">
        <is>
          <t>6. Cơ cấu tài sản</t>
        </is>
      </c>
    </row>
    <row r="35">
      <c r="A35" s="27" t="inlineStr">
        <is>
          <t>Tiền và tương đương tiền/Tài sản</t>
        </is>
      </c>
      <c r="B35" s="29">
        <f>IFERROR(B$59/B$41,"n/a")</f>
        <v/>
      </c>
      <c r="C35" s="29">
        <f>IFERROR(C$59/C$41,"n/a")</f>
        <v/>
      </c>
      <c r="D35" s="29">
        <f>IFERROR(D$59/D$41,"n/a")</f>
        <v/>
      </c>
      <c r="E35" s="29">
        <f>IFERROR(E$59/E$41,"n/a")</f>
        <v/>
      </c>
    </row>
    <row r="36">
      <c r="A36" s="27" t="inlineStr">
        <is>
          <t>Hàng tồn kho/Tài sản</t>
        </is>
      </c>
      <c r="B36" s="29">
        <f>IFERROR(B$58/B$41,"n/a")</f>
        <v/>
      </c>
      <c r="C36" s="29">
        <f>IFERROR(C$58/C$41,"n/a")</f>
        <v/>
      </c>
      <c r="D36" s="29">
        <f>IFERROR(D$58/D$41,"n/a")</f>
        <v/>
      </c>
      <c r="E36" s="29">
        <f>IFERROR(E$58/E$41,"n/a")</f>
        <v/>
      </c>
    </row>
    <row r="38">
      <c r="A38" s="22" t="inlineStr">
        <is>
          <t>II. DỮ LIỆU TRÍCH XUẤT (tự động dò theo tên khoản mục)</t>
        </is>
      </c>
      <c r="B38" s="23" t="n"/>
      <c r="C38" s="23" t="n"/>
      <c r="D38" s="23" t="n"/>
      <c r="E38" s="23" t="n"/>
    </row>
    <row r="39">
      <c r="A39" s="24" t="inlineStr">
        <is>
          <t>Khoản mục</t>
        </is>
      </c>
      <c r="B39" s="25">
        <f>'balance_sheet'!E1</f>
        <v/>
      </c>
      <c r="C39" s="25">
        <f>'balance_sheet'!D1</f>
        <v/>
      </c>
      <c r="D39" s="25">
        <f>'balance_sheet'!C1</f>
        <v/>
      </c>
      <c r="E39" s="25">
        <f>'balance_sheet'!B1</f>
        <v/>
      </c>
    </row>
    <row r="40">
      <c r="A40" s="31" t="inlineStr">
        <is>
          <t>VỐN CHỦ SỞ HỮU</t>
        </is>
      </c>
      <c r="B40" s="33">
        <f>IFERROR(INDEX(balance_sheet!$B:$E,MATCH("VỐN CHỦ SỞ HỮU",balance_sheet!$A:$A,0),MATCH(B$39,balance_sheet!$B$1:$E$1,0)),"")</f>
        <v/>
      </c>
      <c r="C40" s="33">
        <f>IFERROR(INDEX(balance_sheet!$B:$E,MATCH("VỐN CHỦ SỞ HỮU",balance_sheet!$A:$A,0),MATCH(C$39,balance_sheet!$B$1:$E$1,0)),"")</f>
        <v/>
      </c>
      <c r="D40" s="33">
        <f>IFERROR(INDEX(balance_sheet!$B:$E,MATCH("VỐN CHỦ SỞ HỮU",balance_sheet!$A:$A,0),MATCH(D$39,balance_sheet!$B$1:$E$1,0)),"")</f>
        <v/>
      </c>
      <c r="E40" s="33">
        <f>IFERROR(INDEX(balance_sheet!$B:$E,MATCH("VỐN CHỦ SỞ HỮU",balance_sheet!$A:$A,0),MATCH(E$39,balance_sheet!$B$1:$E$1,0)),"")</f>
        <v/>
      </c>
    </row>
    <row r="41">
      <c r="A41" s="31" t="inlineStr">
        <is>
          <t>TỔNG TÀI SẢN</t>
        </is>
      </c>
      <c r="B41" s="33">
        <f>IFERROR(INDEX(balance_sheet!$B:$E,MATCH("TỔNG TÀI SẢN",balance_sheet!$A:$A,0),MATCH(B$39,balance_sheet!$B$1:$E$1,0)),"")</f>
        <v/>
      </c>
      <c r="C41" s="33">
        <f>IFERROR(INDEX(balance_sheet!$B:$E,MATCH("TỔNG TÀI SẢN",balance_sheet!$A:$A,0),MATCH(C$39,balance_sheet!$B$1:$E$1,0)),"")</f>
        <v/>
      </c>
      <c r="D41" s="33">
        <f>IFERROR(INDEX(balance_sheet!$B:$E,MATCH("TỔNG TÀI SẢN",balance_sheet!$A:$A,0),MATCH(D$39,balance_sheet!$B$1:$E$1,0)),"")</f>
        <v/>
      </c>
      <c r="E41" s="33">
        <f>IFERROR(INDEX(balance_sheet!$B:$E,MATCH("TỔNG TÀI SẢN",balance_sheet!$A:$A,0),MATCH(E$39,balance_sheet!$B$1:$E$1,0)),"")</f>
        <v/>
      </c>
    </row>
    <row r="42">
      <c r="A42" s="31" t="inlineStr">
        <is>
          <t>TỔNG NỢ PHẢI TRẢ</t>
        </is>
      </c>
      <c r="B42" s="33">
        <f>IFERROR(INDEX(balance_sheet!$B:$E,MATCH("TỔNG NỢ PHẢI TRẢ",balance_sheet!$A:$A,0),MATCH(B$39,balance_sheet!$B$1:$E$1,0)),"")</f>
        <v/>
      </c>
      <c r="C42" s="33">
        <f>IFERROR(INDEX(balance_sheet!$B:$E,MATCH("TỔNG NỢ PHẢI TRẢ",balance_sheet!$A:$A,0),MATCH(C$39,balance_sheet!$B$1:$E$1,0)),"")</f>
        <v/>
      </c>
      <c r="D42" s="33">
        <f>IFERROR(INDEX(balance_sheet!$B:$E,MATCH("TỔNG NỢ PHẢI TRẢ",balance_sheet!$A:$A,0),MATCH(D$39,balance_sheet!$B$1:$E$1,0)),"")</f>
        <v/>
      </c>
      <c r="E42" s="33">
        <f>IFERROR(INDEX(balance_sheet!$B:$E,MATCH("TỔNG NỢ PHẢI TRẢ",balance_sheet!$A:$A,0),MATCH(E$39,balance_sheet!$B$1:$E$1,0)),"")</f>
        <v/>
      </c>
    </row>
    <row r="43">
      <c r="A43" s="31" t="inlineStr">
        <is>
          <t>Nợ ngắn hạn</t>
        </is>
      </c>
      <c r="B43" s="28" t="inlineStr">
        <is>
          <t>n/a</t>
        </is>
      </c>
      <c r="C43" s="28" t="inlineStr">
        <is>
          <t>n/a</t>
        </is>
      </c>
      <c r="D43" s="28" t="inlineStr">
        <is>
          <t>n/a</t>
        </is>
      </c>
      <c r="E43" s="28" t="inlineStr">
        <is>
          <t>n/a</t>
        </is>
      </c>
    </row>
    <row r="44">
      <c r="A44" s="31" t="inlineStr">
        <is>
          <t>Nợ dài hạn</t>
        </is>
      </c>
      <c r="B44" s="28" t="inlineStr">
        <is>
          <t>n/a</t>
        </is>
      </c>
      <c r="C44" s="28" t="inlineStr">
        <is>
          <t>n/a</t>
        </is>
      </c>
      <c r="D44" s="28" t="inlineStr">
        <is>
          <t>n/a</t>
        </is>
      </c>
      <c r="E44" s="28" t="inlineStr">
        <is>
          <t>n/a</t>
        </is>
      </c>
    </row>
    <row r="45">
      <c r="A45" s="31" t="inlineStr">
        <is>
          <t>Vay và nợ thuê tài chính ngắn hạn</t>
        </is>
      </c>
      <c r="B45" s="28" t="inlineStr">
        <is>
          <t>n/a</t>
        </is>
      </c>
      <c r="C45" s="28" t="inlineStr">
        <is>
          <t>n/a</t>
        </is>
      </c>
      <c r="D45" s="28" t="inlineStr">
        <is>
          <t>n/a</t>
        </is>
      </c>
      <c r="E45" s="28" t="inlineStr">
        <is>
          <t>n/a</t>
        </is>
      </c>
    </row>
    <row r="46">
      <c r="A46" s="31" t="inlineStr">
        <is>
          <t>Vay và nợ thuê tài chính dài hạn</t>
        </is>
      </c>
      <c r="B46" s="28" t="inlineStr">
        <is>
          <t>n/a</t>
        </is>
      </c>
      <c r="C46" s="28" t="inlineStr">
        <is>
          <t>n/a</t>
        </is>
      </c>
      <c r="D46" s="28" t="inlineStr">
        <is>
          <t>n/a</t>
        </is>
      </c>
      <c r="E46" s="28" t="inlineStr">
        <is>
          <t>n/a</t>
        </is>
      </c>
    </row>
    <row r="47">
      <c r="A47" s="31" t="inlineStr">
        <is>
          <t>Tổng thu nhập hoạt động</t>
        </is>
      </c>
      <c r="B47" s="33">
        <f>IFERROR(INDEX(income_statement!$B:$E,MATCH("Tổng thu nhập hoạt động",income_statement!$A:$A,0),MATCH(B$39,income_statement!$B$1:$E$1,0)),"")</f>
        <v/>
      </c>
      <c r="C47" s="33">
        <f>IFERROR(INDEX(income_statement!$B:$E,MATCH("Tổng thu nhập hoạt động",income_statement!$A:$A,0),MATCH(C$39,income_statement!$B$1:$E$1,0)),"")</f>
        <v/>
      </c>
      <c r="D47" s="33">
        <f>IFERROR(INDEX(income_statement!$B:$E,MATCH("Tổng thu nhập hoạt động",income_statement!$A:$A,0),MATCH(D$39,income_statement!$B$1:$E$1,0)),"")</f>
        <v/>
      </c>
      <c r="E47" s="33">
        <f>IFERROR(INDEX(income_statement!$B:$E,MATCH("Tổng thu nhập hoạt động",income_statement!$A:$A,0),MATCH(E$39,income_statement!$B$1:$E$1,0)),"")</f>
        <v/>
      </c>
    </row>
    <row r="48">
      <c r="A48" s="31" t="inlineStr">
        <is>
          <t>Giá vốn hàng bán / Chi phí hoạt động</t>
        </is>
      </c>
      <c r="B48" s="28" t="inlineStr">
        <is>
          <t>n/a</t>
        </is>
      </c>
      <c r="C48" s="28" t="inlineStr">
        <is>
          <t>n/a</t>
        </is>
      </c>
      <c r="D48" s="28" t="inlineStr">
        <is>
          <t>n/a</t>
        </is>
      </c>
      <c r="E48" s="28" t="inlineStr">
        <is>
          <t>n/a</t>
        </is>
      </c>
    </row>
    <row r="49">
      <c r="A49" s="31" t="inlineStr">
        <is>
          <t>Lợi nhuận gộp</t>
        </is>
      </c>
      <c r="B49" s="28" t="inlineStr">
        <is>
          <t>n/a</t>
        </is>
      </c>
      <c r="C49" s="28" t="inlineStr">
        <is>
          <t>n/a</t>
        </is>
      </c>
      <c r="D49" s="28" t="inlineStr">
        <is>
          <t>n/a</t>
        </is>
      </c>
      <c r="E49" s="28" t="inlineStr">
        <is>
          <t>n/a</t>
        </is>
      </c>
    </row>
    <row r="50">
      <c r="A50" s="31" t="inlineStr">
        <is>
          <t>Chi phí bán hàng</t>
        </is>
      </c>
      <c r="B50" s="28" t="inlineStr">
        <is>
          <t>n/a</t>
        </is>
      </c>
      <c r="C50" s="28" t="inlineStr">
        <is>
          <t>n/a</t>
        </is>
      </c>
      <c r="D50" s="28" t="inlineStr">
        <is>
          <t>n/a</t>
        </is>
      </c>
      <c r="E50" s="28" t="inlineStr">
        <is>
          <t>n/a</t>
        </is>
      </c>
    </row>
    <row r="51">
      <c r="A51" s="31" t="inlineStr">
        <is>
          <t>Chi phí quản lý doanh nghiệp</t>
        </is>
      </c>
      <c r="B51" s="33">
        <f>IFERROR(INDEX(income_statement!$B:$E,MATCH("Chi phí quản lý doanh nghiệp",income_statement!$A:$A,0),MATCH(B$39,income_statement!$B$1:$E$1,0)),"")</f>
        <v/>
      </c>
      <c r="C51" s="33">
        <f>IFERROR(INDEX(income_statement!$B:$E,MATCH("Chi phí quản lý doanh nghiệp",income_statement!$A:$A,0),MATCH(C$39,income_statement!$B$1:$E$1,0)),"")</f>
        <v/>
      </c>
      <c r="D51" s="33">
        <f>IFERROR(INDEX(income_statement!$B:$E,MATCH("Chi phí quản lý doanh nghiệp",income_statement!$A:$A,0),MATCH(D$39,income_statement!$B$1:$E$1,0)),"")</f>
        <v/>
      </c>
      <c r="E51" s="33">
        <f>IFERROR(INDEX(income_statement!$B:$E,MATCH("Chi phí quản lý doanh nghiệp",income_statement!$A:$A,0),MATCH(E$39,income_statement!$B$1:$E$1,0)),"")</f>
        <v/>
      </c>
    </row>
    <row r="52">
      <c r="A52" s="31" t="inlineStr">
        <is>
          <t>Lợi nhuận thuần hoạt động trước khi trích lập dự phòng tổn thất tín dụng</t>
        </is>
      </c>
      <c r="B52" s="33">
        <f>IFERROR(INDEX(income_statement!$B:$E,MATCH("Lợi nhuận thuần hoạt động trước khi trích lập dự phòng tổn thất tín dụng",income_statement!$A:$A,0),MATCH(B$39,income_statement!$B$1:$E$1,0)),"")</f>
        <v/>
      </c>
      <c r="C52" s="33">
        <f>IFERROR(INDEX(income_statement!$B:$E,MATCH("Lợi nhuận thuần hoạt động trước khi trích lập dự phòng tổn thất tín dụng",income_statement!$A:$A,0),MATCH(C$39,income_statement!$B$1:$E$1,0)),"")</f>
        <v/>
      </c>
      <c r="D52" s="33">
        <f>IFERROR(INDEX(income_statement!$B:$E,MATCH("Lợi nhuận thuần hoạt động trước khi trích lập dự phòng tổn thất tín dụng",income_statement!$A:$A,0),MATCH(D$39,income_statement!$B$1:$E$1,0)),"")</f>
        <v/>
      </c>
      <c r="E52" s="33">
        <f>IFERROR(INDEX(income_statement!$B:$E,MATCH("Lợi nhuận thuần hoạt động trước khi trích lập dự phòng tổn thất tín dụng",income_statement!$A:$A,0),MATCH(E$39,income_statement!$B$1:$E$1,0)),"")</f>
        <v/>
      </c>
    </row>
    <row r="53">
      <c r="A53" s="31" t="inlineStr">
        <is>
          <t>Chi phí lãi và các chi phí tương tự</t>
        </is>
      </c>
      <c r="B53" s="33">
        <f>IFERROR(INDEX(income_statement!$B:$E,MATCH("Chi phí lãi và các chi phí tương tự",income_statement!$A:$A,0),MATCH(B$39,income_statement!$B$1:$E$1,0)),"")</f>
        <v/>
      </c>
      <c r="C53" s="33">
        <f>IFERROR(INDEX(income_statement!$B:$E,MATCH("Chi phí lãi và các chi phí tương tự",income_statement!$A:$A,0),MATCH(C$39,income_statement!$B$1:$E$1,0)),"")</f>
        <v/>
      </c>
      <c r="D53" s="33">
        <f>IFERROR(INDEX(income_statement!$B:$E,MATCH("Chi phí lãi và các chi phí tương tự",income_statement!$A:$A,0),MATCH(D$39,income_statement!$B$1:$E$1,0)),"")</f>
        <v/>
      </c>
      <c r="E53" s="33">
        <f>IFERROR(INDEX(income_statement!$B:$E,MATCH("Chi phí lãi và các chi phí tương tự",income_statement!$A:$A,0),MATCH(E$39,income_statement!$B$1:$E$1,0)),"")</f>
        <v/>
      </c>
    </row>
    <row r="54">
      <c r="A54" s="31" t="inlineStr">
        <is>
          <t>Lợi nhuận sau thuế</t>
        </is>
      </c>
      <c r="B54" s="33">
        <f>IFERROR(INDEX(income_statement!$B:$E,MATCH("Lợi nhuận sau thuế",income_statement!$A:$A,0),MATCH(B$39,income_statement!$B$1:$E$1,0)),"")</f>
        <v/>
      </c>
      <c r="C54" s="33">
        <f>IFERROR(INDEX(income_statement!$B:$E,MATCH("Lợi nhuận sau thuế",income_statement!$A:$A,0),MATCH(C$39,income_statement!$B$1:$E$1,0)),"")</f>
        <v/>
      </c>
      <c r="D54" s="33">
        <f>IFERROR(INDEX(income_statement!$B:$E,MATCH("Lợi nhuận sau thuế",income_statement!$A:$A,0),MATCH(D$39,income_statement!$B$1:$E$1,0)),"")</f>
        <v/>
      </c>
      <c r="E54" s="33">
        <f>IFERROR(INDEX(income_statement!$B:$E,MATCH("Lợi nhuận sau thuế",income_statement!$A:$A,0),MATCH(E$39,income_statement!$B$1:$E$1,0)),"")</f>
        <v/>
      </c>
    </row>
    <row r="55">
      <c r="A55" s="31" t="inlineStr">
        <is>
          <t>Cổ đông của Công ty mẹ</t>
        </is>
      </c>
      <c r="B55" s="33">
        <f>IFERROR(INDEX(income_statement!$B:$E,MATCH("Cổ đông của Công ty mẹ",income_statement!$A:$A,0),MATCH(B$39,income_statement!$B$1:$E$1,0)),"")</f>
        <v/>
      </c>
      <c r="C55" s="33">
        <f>IFERROR(INDEX(income_statement!$B:$E,MATCH("Cổ đông của Công ty mẹ",income_statement!$A:$A,0),MATCH(C$39,income_statement!$B$1:$E$1,0)),"")</f>
        <v/>
      </c>
      <c r="D55" s="33">
        <f>IFERROR(INDEX(income_statement!$B:$E,MATCH("Cổ đông của Công ty mẹ",income_statement!$A:$A,0),MATCH(D$39,income_statement!$B$1:$E$1,0)),"")</f>
        <v/>
      </c>
      <c r="E55" s="33">
        <f>IFERROR(INDEX(income_statement!$B:$E,MATCH("Cổ đông của Công ty mẹ",income_statement!$A:$A,0),MATCH(E$39,income_statement!$B$1:$E$1,0)),"")</f>
        <v/>
      </c>
    </row>
    <row r="56">
      <c r="A56" s="31" t="inlineStr">
        <is>
          <t>Phải thu khách hàng</t>
        </is>
      </c>
      <c r="B56" s="28" t="inlineStr">
        <is>
          <t>n/a</t>
        </is>
      </c>
      <c r="C56" s="28" t="inlineStr">
        <is>
          <t>n/a</t>
        </is>
      </c>
      <c r="D56" s="28" t="inlineStr">
        <is>
          <t>n/a</t>
        </is>
      </c>
      <c r="E56" s="28" t="inlineStr">
        <is>
          <t>n/a</t>
        </is>
      </c>
    </row>
    <row r="57">
      <c r="A57" s="31" t="inlineStr">
        <is>
          <t>Phải trả người bán</t>
        </is>
      </c>
      <c r="B57" s="28" t="inlineStr">
        <is>
          <t>n/a</t>
        </is>
      </c>
      <c r="C57" s="28" t="inlineStr">
        <is>
          <t>n/a</t>
        </is>
      </c>
      <c r="D57" s="28" t="inlineStr">
        <is>
          <t>n/a</t>
        </is>
      </c>
      <c r="E57" s="28" t="inlineStr">
        <is>
          <t>n/a</t>
        </is>
      </c>
    </row>
    <row r="58">
      <c r="A58" s="31" t="inlineStr">
        <is>
          <t>Hàng tồn kho, ròng</t>
        </is>
      </c>
      <c r="B58" s="28" t="inlineStr">
        <is>
          <t>n/a</t>
        </is>
      </c>
      <c r="C58" s="28" t="inlineStr">
        <is>
          <t>n/a</t>
        </is>
      </c>
      <c r="D58" s="28" t="inlineStr">
        <is>
          <t>n/a</t>
        </is>
      </c>
      <c r="E58" s="28" t="inlineStr">
        <is>
          <t>n/a</t>
        </is>
      </c>
    </row>
    <row r="59">
      <c r="A59" s="31" t="inlineStr">
        <is>
          <t>Tiền mặt, vàng bạc, đá quý</t>
        </is>
      </c>
      <c r="B59" s="33">
        <f>IFERROR(INDEX(balance_sheet!$B:$E,MATCH("Tiền mặt, vàng bạc, đá quý",balance_sheet!$A:$A,0),MATCH(B$39,balance_sheet!$B$1:$E$1,0)),"")</f>
        <v/>
      </c>
      <c r="C59" s="33">
        <f>IFERROR(INDEX(balance_sheet!$B:$E,MATCH("Tiền mặt, vàng bạc, đá quý",balance_sheet!$A:$A,0),MATCH(C$39,balance_sheet!$B$1:$E$1,0)),"")</f>
        <v/>
      </c>
      <c r="D59" s="33">
        <f>IFERROR(INDEX(balance_sheet!$B:$E,MATCH("Tiền mặt, vàng bạc, đá quý",balance_sheet!$A:$A,0),MATCH(D$39,balance_sheet!$B$1:$E$1,0)),"")</f>
        <v/>
      </c>
      <c r="E59" s="33">
        <f>IFERROR(INDEX(balance_sheet!$B:$E,MATCH("Tiền mặt, vàng bạc, đá quý",balance_sheet!$A:$A,0),MATCH(E$39,balance_sheet!$B$1:$E$1,0)),"")</f>
        <v/>
      </c>
    </row>
  </sheetData>
  <mergeCells count="3">
    <mergeCell ref="A2:E2"/>
    <mergeCell ref="A1:E1"/>
    <mergeCell ref="A3:E3"/>
  </mergeCells>
  <conditionalFormatting sqref="B8:E8">
    <cfRule type="cellIs" priority="1" operator="greaterThan" dxfId="0">
      <formula>0</formula>
    </cfRule>
    <cfRule type="cellIs" priority="2" operator="lessThan" dxfId="1">
      <formula>0</formula>
    </cfRule>
  </conditionalFormatting>
  <conditionalFormatting sqref="B9:E9">
    <cfRule type="cellIs" priority="3" operator="greaterThan" dxfId="0">
      <formula>0</formula>
    </cfRule>
    <cfRule type="cellIs" priority="4" operator="lessThan" dxfId="1">
      <formula>0</formula>
    </cfRule>
  </conditionalFormatting>
  <conditionalFormatting sqref="B10:E10">
    <cfRule type="cellIs" priority="5" operator="greaterThan" dxfId="0">
      <formula>0</formula>
    </cfRule>
    <cfRule type="cellIs" priority="6" operator="lessThan" dxfId="1">
      <formula>0</formula>
    </cfRule>
  </conditionalFormatting>
  <conditionalFormatting sqref="B11:E11">
    <cfRule type="cellIs" priority="7" operator="greaterThan" dxfId="0">
      <formula>0</formula>
    </cfRule>
    <cfRule type="cellIs" priority="8" operator="lessThan" dxfId="1">
      <formula>0</formula>
    </cfRule>
  </conditionalFormatting>
  <conditionalFormatting sqref="B14:E14">
    <cfRule type="cellIs" priority="9" operator="greaterThan" dxfId="0">
      <formula>0</formula>
    </cfRule>
    <cfRule type="cellIs" priority="10" operator="lessThan" dxfId="1">
      <formula>0</formula>
    </cfRule>
  </conditionalFormatting>
  <conditionalFormatting sqref="B15:E15">
    <cfRule type="cellIs" priority="11" operator="greaterThan" dxfId="0">
      <formula>0</formula>
    </cfRule>
    <cfRule type="cellIs" priority="12" operator="lessThan" dxfId="1">
      <formula>0</formula>
    </cfRule>
  </conditionalFormatting>
  <conditionalFormatting sqref="B18:E18">
    <cfRule type="cellIs" priority="13" operator="greaterThan" dxfId="1">
      <formula>1</formula>
    </cfRule>
    <cfRule type="cellIs" priority="14" operator="lessThan" dxfId="0">
      <formula>0.3</formula>
    </cfRule>
  </conditionalFormatting>
  <conditionalFormatting sqref="B21:E21">
    <cfRule type="cellIs" priority="15" operator="greaterThan" dxfId="1">
      <formula>1</formula>
    </cfRule>
    <cfRule type="cellIs" priority="16" operator="lessThan" dxfId="0">
      <formula>0.3</formula>
    </cfRule>
  </conditionalFormatting>
  <conditionalFormatting sqref="B27:E27">
    <cfRule type="cellIs" priority="17" operator="greaterThan" dxfId="1">
      <formula>0.5</formula>
    </cfRule>
    <cfRule type="cellIs" priority="18" operator="lessThan" dxfId="0">
      <formula>0.15</formula>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2026-08-17T09:26:11Z</dcterms:created>
  <dcterms:modified xmlns:dcterms="http://purl.org/dc/terms/" xmlns:xsi="http://www.w3.org/2001/XMLSchema-instance" xsi:type="dcterms:W3CDTF">2026-08-18T09:34:10Z</dcterms:modified>
  <cp:revision>0</cp:revision>
</cp:coreProperties>
</file>
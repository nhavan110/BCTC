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3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Tiền mặt, vàng bạc, đá quý</t>
        </is>
      </c>
      <c r="B2" s="4" t="n">
        <v>2606467000000</v>
      </c>
      <c r="C2" s="4" t="n">
        <v>4820627000000</v>
      </c>
      <c r="D2" s="4" t="n">
        <v>3663615000000</v>
      </c>
      <c r="E2" s="4" t="n">
        <v>3578643000000</v>
      </c>
      <c r="F2" s="4" t="n">
        <v>4215721000000</v>
      </c>
      <c r="G2" s="4" t="n">
        <v>3620695000000</v>
      </c>
      <c r="H2" s="4" t="n">
        <v>3384770000000</v>
      </c>
      <c r="I2" s="4" t="n">
        <v>4360821000000</v>
      </c>
    </row>
    <row r="3">
      <c r="A3" s="3" t="inlineStr">
        <is>
          <t>Tài sản cố định</t>
        </is>
      </c>
      <c r="B3" s="4" t="n">
        <v>1718596000000</v>
      </c>
      <c r="C3" s="4" t="n">
        <v>3207777000000</v>
      </c>
      <c r="D3" s="4" t="n">
        <v>4613423000000</v>
      </c>
      <c r="E3" s="4" t="n">
        <v>7224481000000</v>
      </c>
      <c r="F3" s="4" t="n">
        <v>8411382000000</v>
      </c>
      <c r="G3" s="4" t="n">
        <v>8892697000000</v>
      </c>
      <c r="H3" s="4" t="n">
        <v>12466885000000</v>
      </c>
      <c r="I3" s="4" t="n">
        <v>12122934000000</v>
      </c>
    </row>
    <row r="4">
      <c r="A4" s="3" t="inlineStr">
        <is>
          <t>Tài sản cố định hữu hình</t>
        </is>
      </c>
      <c r="B4" s="4" t="n">
        <v>788016000000</v>
      </c>
      <c r="C4" s="4" t="n">
        <v>793484000000</v>
      </c>
      <c r="D4" s="4" t="n">
        <v>1470942000000</v>
      </c>
      <c r="E4" s="4" t="n">
        <v>3628732000000</v>
      </c>
      <c r="F4" s="4" t="n">
        <v>3696812000000</v>
      </c>
      <c r="G4" s="4" t="n">
        <v>3527586000000</v>
      </c>
      <c r="H4" s="4" t="n">
        <v>6576699000000</v>
      </c>
      <c r="I4" s="4" t="n">
        <v>6343732000000</v>
      </c>
    </row>
    <row r="5">
      <c r="A5" s="3" t="inlineStr">
        <is>
          <t>Nguyên giá TSCĐ hữu hình</t>
        </is>
      </c>
      <c r="B5" s="4" t="n">
        <v>1835272000000</v>
      </c>
      <c r="C5" s="4" t="n">
        <v>1761468000000</v>
      </c>
      <c r="D5" s="4" t="n">
        <v>2416349000000</v>
      </c>
      <c r="E5" s="4" t="n">
        <v>4824092000000</v>
      </c>
      <c r="F5" s="4" t="n">
        <v>5156346000000</v>
      </c>
      <c r="G5" s="4" t="n">
        <v>5492566000000</v>
      </c>
      <c r="H5" s="4" t="n">
        <v>9080615000000</v>
      </c>
      <c r="I5" s="4" t="n">
        <v>9539276000000</v>
      </c>
    </row>
    <row r="6">
      <c r="A6" s="3" t="inlineStr">
        <is>
          <t>Hao mòn TSCĐ hữu hình</t>
        </is>
      </c>
      <c r="B6" s="4" t="n">
        <v>-1047256000000</v>
      </c>
      <c r="C6" s="4" t="n">
        <v>-967984000000</v>
      </c>
      <c r="D6" s="4" t="n">
        <v>-945407000000</v>
      </c>
      <c r="E6" s="4" t="n">
        <v>-1195360000000</v>
      </c>
      <c r="F6" s="4" t="n">
        <v>-1459534000000</v>
      </c>
      <c r="G6" s="4" t="n">
        <v>-1964980000000</v>
      </c>
      <c r="H6" s="4" t="n">
        <v>-2503916000000</v>
      </c>
      <c r="I6" s="4" t="n">
        <v>-3195544000000</v>
      </c>
    </row>
    <row r="7">
      <c r="A7" s="3" t="inlineStr">
        <is>
          <t>Tài sản cố định thuê tài chính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Nguyên giá TSCĐ thuê tài chính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Hao mòn TSCĐ thuê tài chính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Tài sản cố định vô hình</t>
        </is>
      </c>
      <c r="B10" s="4" t="n">
        <v>930580000000</v>
      </c>
      <c r="C10" s="4" t="n">
        <v>2414293000000</v>
      </c>
      <c r="D10" s="4" t="n">
        <v>3142481000000</v>
      </c>
      <c r="E10" s="4" t="n">
        <v>3595749000000</v>
      </c>
      <c r="F10" s="4" t="n">
        <v>4714570000000</v>
      </c>
      <c r="G10" s="4" t="n">
        <v>5365111000000</v>
      </c>
      <c r="H10" s="4" t="n">
        <v>5890186000000</v>
      </c>
      <c r="I10" s="4" t="n">
        <v>5779202000000</v>
      </c>
    </row>
    <row r="11">
      <c r="A11" s="3" t="inlineStr">
        <is>
          <t>Nguyên giá TSCĐ vô hình</t>
        </is>
      </c>
      <c r="B11" s="4" t="n">
        <v>1540037000000</v>
      </c>
      <c r="C11" s="4" t="n">
        <v>3086148000000</v>
      </c>
      <c r="D11" s="4" t="n">
        <v>3923203000000</v>
      </c>
      <c r="E11" s="4" t="n">
        <v>4541141000000</v>
      </c>
      <c r="F11" s="4" t="n">
        <v>5913538000000</v>
      </c>
      <c r="G11" s="4" t="n">
        <v>7198784000000</v>
      </c>
      <c r="H11" s="4" t="n">
        <v>8485022000000</v>
      </c>
      <c r="I11" s="4" t="n">
        <v>9535997000000</v>
      </c>
    </row>
    <row r="12">
      <c r="A12" s="3" t="inlineStr">
        <is>
          <t>Hao mòn TSCĐ vô hình</t>
        </is>
      </c>
      <c r="B12" s="4" t="n">
        <v>-609457000000</v>
      </c>
      <c r="C12" s="4" t="n">
        <v>-671855000000</v>
      </c>
      <c r="D12" s="4" t="n">
        <v>-780722000000</v>
      </c>
      <c r="E12" s="4" t="n">
        <v>-945392000000</v>
      </c>
      <c r="F12" s="4" t="n">
        <v>-1198968000000</v>
      </c>
      <c r="G12" s="4" t="n">
        <v>-1833673000000</v>
      </c>
      <c r="H12" s="4" t="n">
        <v>-2594836000000</v>
      </c>
      <c r="I12" s="4" t="n">
        <v>-3756795000000</v>
      </c>
    </row>
    <row r="13">
      <c r="A13" s="3" t="inlineStr">
        <is>
          <t>Bất động sản đầu tư</t>
        </is>
      </c>
      <c r="B13" s="4" t="n">
        <v>1196324000000</v>
      </c>
      <c r="C13" s="4" t="n">
        <v>1160524000000</v>
      </c>
      <c r="D13" s="4" t="n">
        <v>1124724000000</v>
      </c>
      <c r="E13" s="4" t="n">
        <v>1088924000000</v>
      </c>
      <c r="F13" s="4" t="n">
        <v>1053124000000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Nguyên giá bất động sản đầu tư</t>
        </is>
      </c>
      <c r="B14" s="4" t="n">
        <v>1435699000000</v>
      </c>
      <c r="C14" s="4" t="n">
        <v>1435699000000</v>
      </c>
      <c r="D14" s="4" t="n">
        <v>1435699000000</v>
      </c>
      <c r="E14" s="4" t="n">
        <v>1435699000000</v>
      </c>
      <c r="F14" s="4" t="n">
        <v>1435699000000</v>
      </c>
      <c r="G14" s="4" t="n">
        <v>0</v>
      </c>
      <c r="H14" s="4" t="n">
        <v>0</v>
      </c>
      <c r="I14" s="4" t="n">
        <v>0</v>
      </c>
    </row>
    <row r="15">
      <c r="A15" s="3" t="inlineStr">
        <is>
          <t>Hao mòn bất động sản đầu tư</t>
        </is>
      </c>
      <c r="B15" s="4" t="n">
        <v>-239375000000</v>
      </c>
      <c r="C15" s="4" t="n">
        <v>-275175000000</v>
      </c>
      <c r="D15" s="4" t="n">
        <v>-310975000000</v>
      </c>
      <c r="E15" s="4" t="n">
        <v>-346775000000</v>
      </c>
      <c r="F15" s="4" t="n">
        <v>-382575000000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Góp vốn, đầu tư dài hạn</t>
        </is>
      </c>
      <c r="B16" s="4" t="n">
        <v>12223000000</v>
      </c>
      <c r="C16" s="4" t="n">
        <v>12223000000</v>
      </c>
      <c r="D16" s="4" t="n">
        <v>11806000000</v>
      </c>
      <c r="E16" s="4" t="n">
        <v>12813000000</v>
      </c>
      <c r="F16" s="4" t="n">
        <v>12813000000</v>
      </c>
      <c r="G16" s="4" t="n">
        <v>3046245000000</v>
      </c>
      <c r="H16" s="4" t="n">
        <v>3102523000000</v>
      </c>
      <c r="I16" s="4" t="n">
        <v>3246622000000</v>
      </c>
    </row>
    <row r="17">
      <c r="A17" s="3" t="inlineStr">
        <is>
          <t>Đầu tư vào công ty con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Đầu tư vào công ty liên doanh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32263000000</v>
      </c>
    </row>
    <row r="19">
      <c r="A19" s="3" t="inlineStr">
        <is>
          <t>Đầu tư dài hạn khác</t>
        </is>
      </c>
      <c r="B19" s="4" t="n">
        <v>12883000000</v>
      </c>
      <c r="C19" s="4" t="n">
        <v>12883000000</v>
      </c>
      <c r="D19" s="4" t="n">
        <v>12466000000</v>
      </c>
      <c r="E19" s="4" t="n">
        <v>13962000000</v>
      </c>
      <c r="F19" s="4" t="n">
        <v>13962000000</v>
      </c>
      <c r="G19" s="4" t="n">
        <v>3047394000000</v>
      </c>
      <c r="H19" s="4" t="n">
        <v>3103672000000</v>
      </c>
      <c r="I19" s="4" t="n">
        <v>3215508000000</v>
      </c>
    </row>
    <row r="20">
      <c r="A20" s="3" t="inlineStr">
        <is>
          <t>Dự phòng giảm giá đầu tư dài hạn</t>
        </is>
      </c>
      <c r="B20" s="4" t="n">
        <v>-660000000</v>
      </c>
      <c r="C20" s="4" t="n">
        <v>-660000000</v>
      </c>
      <c r="D20" s="4" t="n">
        <v>-660000000</v>
      </c>
      <c r="E20" s="4" t="n">
        <v>-1149000000</v>
      </c>
      <c r="F20" s="4" t="n">
        <v>-1149000000</v>
      </c>
      <c r="G20" s="4" t="n">
        <v>-1149000000</v>
      </c>
      <c r="H20" s="4" t="n">
        <v>-1149000000</v>
      </c>
      <c r="I20" s="4" t="n">
        <v>-1149000000</v>
      </c>
    </row>
    <row r="21">
      <c r="A21" s="3" t="inlineStr">
        <is>
          <t>TỔNG TÀI SẢN</t>
        </is>
      </c>
      <c r="B21" s="4" t="n">
        <v>320988941000000</v>
      </c>
      <c r="C21" s="4" t="n">
        <v>383699461000000</v>
      </c>
      <c r="D21" s="4" t="n">
        <v>439602933000000</v>
      </c>
      <c r="E21" s="4" t="n">
        <v>568728950000000</v>
      </c>
      <c r="F21" s="4" t="n">
        <v>699032544000000</v>
      </c>
      <c r="G21" s="4" t="n">
        <v>849482012000000</v>
      </c>
      <c r="H21" s="4" t="n">
        <v>978798549000000</v>
      </c>
      <c r="I21" s="4" t="n">
        <v>1192344137000000</v>
      </c>
    </row>
    <row r="22">
      <c r="A22" s="3" t="inlineStr">
        <is>
          <t>TỔNG NỢ PHẢI TRẢ</t>
        </is>
      </c>
      <c r="B22" s="4" t="n">
        <v>269206236000000</v>
      </c>
      <c r="C22" s="4" t="n">
        <v>321626694000000</v>
      </c>
      <c r="D22" s="4" t="n">
        <v>364988147000000</v>
      </c>
      <c r="E22" s="4" t="n">
        <v>475687478000000</v>
      </c>
      <c r="F22" s="4" t="n">
        <v>585607578000000</v>
      </c>
      <c r="G22" s="4" t="n">
        <v>717865947000000</v>
      </c>
      <c r="H22" s="4" t="n">
        <v>830858928000000</v>
      </c>
      <c r="I22" s="4" t="n">
        <v>1012842695000000</v>
      </c>
    </row>
    <row r="23">
      <c r="A23" s="3" t="inlineStr">
        <is>
          <t>VỐN CHỦ SỞ HỮU</t>
        </is>
      </c>
      <c r="B23" s="4" t="n">
        <v>51782705000000</v>
      </c>
      <c r="C23" s="4" t="n">
        <v>62072767000000</v>
      </c>
      <c r="D23" s="4" t="n">
        <v>74614786000000</v>
      </c>
      <c r="E23" s="4" t="n">
        <v>93041472000000</v>
      </c>
      <c r="F23" s="4" t="n">
        <v>113424966000000</v>
      </c>
      <c r="G23" s="4" t="n">
        <v>131616065000000</v>
      </c>
      <c r="H23" s="4" t="n">
        <v>147939621000000</v>
      </c>
      <c r="I23" s="4" t="n">
        <v>179501442000000</v>
      </c>
    </row>
    <row r="24">
      <c r="A24" s="3" t="inlineStr">
        <is>
          <t>Vốn điều lệ</t>
        </is>
      </c>
      <c r="B24" s="4" t="n">
        <v>34965922000000</v>
      </c>
      <c r="C24" s="4" t="n">
        <v>35001400000000</v>
      </c>
      <c r="D24" s="4" t="n">
        <v>35049062000000</v>
      </c>
      <c r="E24" s="4" t="n">
        <v>35109148000000</v>
      </c>
      <c r="F24" s="4" t="n">
        <v>35172385000000</v>
      </c>
      <c r="G24" s="4" t="n">
        <v>35225108000000</v>
      </c>
      <c r="H24" s="4" t="n">
        <v>70648517000000</v>
      </c>
      <c r="I24" s="4" t="n">
        <v>70862404000000</v>
      </c>
    </row>
    <row r="25">
      <c r="A25" s="3" t="inlineStr">
        <is>
          <t>Thặng dư vốn cổ phần</t>
        </is>
      </c>
      <c r="B25" s="4" t="n">
        <v>476617000000</v>
      </c>
      <c r="C25" s="4" t="n">
        <v>476567000000</v>
      </c>
      <c r="D25" s="4" t="n">
        <v>476507000000</v>
      </c>
      <c r="E25" s="4" t="n">
        <v>476474000000</v>
      </c>
      <c r="F25" s="4" t="n">
        <v>476415000000</v>
      </c>
      <c r="G25" s="4" t="n">
        <v>476356000000</v>
      </c>
      <c r="H25" s="4" t="n">
        <v>-59000000</v>
      </c>
      <c r="I25" s="4" t="n">
        <v>-124000000</v>
      </c>
    </row>
    <row r="26">
      <c r="A26" s="3" t="inlineStr">
        <is>
          <t>Vốn khác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555997000000</v>
      </c>
      <c r="G26" s="4" t="n">
        <v>555997000000</v>
      </c>
      <c r="H26" s="4" t="n">
        <v>7764086000000</v>
      </c>
      <c r="I26" s="4" t="n">
        <v>7764086000000</v>
      </c>
    </row>
    <row r="27">
      <c r="A27" s="3" t="inlineStr">
        <is>
          <t>Cổ phiếu Quỹ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Chênh lệch đánh giá lại tài sản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Chênh lệch tỷ giá hối đoái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Lợi nhuận chưa phân phối</t>
        </is>
      </c>
      <c r="B30" s="4" t="n">
        <v>12403003000000</v>
      </c>
      <c r="C30" s="4" t="n">
        <v>21131391000000</v>
      </c>
      <c r="D30" s="4" t="n">
        <v>31815705000000</v>
      </c>
      <c r="E30" s="4" t="n">
        <v>47453056000000</v>
      </c>
      <c r="F30" s="4" t="n">
        <v>64482685000000</v>
      </c>
      <c r="G30" s="4" t="n">
        <v>49013144000000</v>
      </c>
      <c r="H30" s="4" t="n">
        <v>42219306000000</v>
      </c>
      <c r="I30" s="4" t="n">
        <v>62773576000000</v>
      </c>
    </row>
    <row r="31">
      <c r="A31" s="3" t="inlineStr">
        <is>
          <t>Lợi ích của cổ đông thiểu số (trước 2015)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NỢ PHẢI TRẢ VÀ VỐN CHỦ SỞ HỮU</t>
        </is>
      </c>
      <c r="B32" s="4" t="n">
        <v>320988941000000</v>
      </c>
      <c r="C32" s="4" t="n">
        <v>383699461000000</v>
      </c>
      <c r="D32" s="4" t="n">
        <v>439602933000000</v>
      </c>
      <c r="E32" s="4" t="n">
        <v>568728950000000</v>
      </c>
      <c r="F32" s="4" t="n">
        <v>699032544000000</v>
      </c>
      <c r="G32" s="4" t="n">
        <v>849482012000000</v>
      </c>
      <c r="H32" s="4" t="n">
        <v>978798549000000</v>
      </c>
      <c r="I32" s="4" t="n">
        <v>1192344137000000</v>
      </c>
    </row>
    <row r="33">
      <c r="A33" s="3" t="inlineStr">
        <is>
          <t>Tiền gửi tại Ngân hàng nhà nước Việt Nam</t>
        </is>
      </c>
      <c r="B33" s="4" t="n">
        <v>10555483000000</v>
      </c>
      <c r="C33" s="4" t="n">
        <v>3192256000000</v>
      </c>
      <c r="D33" s="4" t="n">
        <v>10253324000000</v>
      </c>
      <c r="E33" s="4" t="n">
        <v>4908529000000</v>
      </c>
      <c r="F33" s="4" t="n">
        <v>11475590000000</v>
      </c>
      <c r="G33" s="4" t="n">
        <v>27140592000000</v>
      </c>
      <c r="H33" s="4" t="n">
        <v>54353153000000</v>
      </c>
      <c r="I33" s="4" t="n">
        <v>82162772000000</v>
      </c>
    </row>
    <row r="34">
      <c r="A34" s="3" t="inlineStr">
        <is>
          <t>Tiền gửi tại các TCTD khác và cho vay các TCTD khác</t>
        </is>
      </c>
      <c r="B34" s="4" t="n">
        <v>35559363000000</v>
      </c>
      <c r="C34" s="4" t="n">
        <v>47990224000000</v>
      </c>
      <c r="D34" s="4" t="n">
        <v>28994954000000</v>
      </c>
      <c r="E34" s="4" t="n">
        <v>70515258000000</v>
      </c>
      <c r="F34" s="4" t="n">
        <v>82873754000000</v>
      </c>
      <c r="G34" s="4" t="n">
        <v>104072320000000</v>
      </c>
      <c r="H34" s="4" t="n">
        <v>84590474000000</v>
      </c>
      <c r="I34" s="4" t="n">
        <v>114958312000000</v>
      </c>
    </row>
    <row r="35">
      <c r="A35" s="3" t="inlineStr">
        <is>
          <t>Chứng khoán kinh doanh</t>
        </is>
      </c>
      <c r="B35" s="4" t="n">
        <v>7583090000000</v>
      </c>
      <c r="C35" s="4" t="n">
        <v>10052963000000</v>
      </c>
      <c r="D35" s="4" t="n">
        <v>8357447000000</v>
      </c>
      <c r="E35" s="4" t="n">
        <v>5074479000000</v>
      </c>
      <c r="F35" s="4" t="n">
        <v>961034000000</v>
      </c>
      <c r="G35" s="4" t="n">
        <v>4432778000000</v>
      </c>
      <c r="H35" s="4" t="n">
        <v>9000895000000</v>
      </c>
      <c r="I35" s="4" t="n">
        <v>4816831000000</v>
      </c>
    </row>
    <row r="36">
      <c r="A36" s="3" t="inlineStr">
        <is>
          <t>Chứng khoán kinh doanh</t>
        </is>
      </c>
      <c r="B36" s="4" t="inlineStr"/>
      <c r="C36" s="4" t="inlineStr"/>
      <c r="D36" s="4" t="inlineStr"/>
      <c r="E36" s="4" t="inlineStr"/>
      <c r="F36" s="4" t="n">
        <v>961034000000</v>
      </c>
      <c r="G36" s="4" t="n">
        <v>4432778000000</v>
      </c>
      <c r="H36" s="4" t="n">
        <v>9000895000000</v>
      </c>
      <c r="I36" s="4" t="n">
        <v>4816831000000</v>
      </c>
    </row>
    <row r="37">
      <c r="A37" s="3" t="inlineStr">
        <is>
          <t>Dự phòng giảm giá chứng khoán kinh doanh</t>
        </is>
      </c>
      <c r="B37" s="4" t="n">
        <v>-10861000000</v>
      </c>
      <c r="C37" s="4" t="n">
        <v>-11407000000</v>
      </c>
      <c r="D37" s="4" t="n">
        <v>-9871000000</v>
      </c>
      <c r="E37" s="4" t="n">
        <v>-3667000000</v>
      </c>
      <c r="F37" s="4" t="n">
        <v>0</v>
      </c>
      <c r="G37" s="4" t="n">
        <v>0</v>
      </c>
      <c r="H37" s="4" t="n">
        <v>-251000000</v>
      </c>
      <c r="I37" s="4" t="n">
        <v>-1054000000</v>
      </c>
    </row>
    <row r="38">
      <c r="A38" s="3" t="inlineStr">
        <is>
          <t>Các công cụ tài chính phái sinh và các tài sản tài chính khác</t>
        </is>
      </c>
      <c r="B38" s="4" t="n">
        <v>0</v>
      </c>
      <c r="C38" s="4" t="n">
        <v>0</v>
      </c>
      <c r="D38" s="4" t="n">
        <v>0</v>
      </c>
      <c r="E38" s="4" t="n">
        <v>293768000000</v>
      </c>
      <c r="F38" s="4" t="n">
        <v>0</v>
      </c>
      <c r="G38" s="4" t="n">
        <v>143611000000</v>
      </c>
      <c r="H38" s="4" t="n">
        <v>0</v>
      </c>
      <c r="I38" s="4" t="n">
        <v>0</v>
      </c>
    </row>
    <row r="39">
      <c r="A39" s="3" t="inlineStr">
        <is>
          <t>Cho vay khách hàng</t>
        </is>
      </c>
      <c r="B39" s="4" t="n">
        <v>159939217000000</v>
      </c>
      <c r="C39" s="4" t="n">
        <v>230802027000000</v>
      </c>
      <c r="D39" s="4" t="n">
        <v>277524615000000</v>
      </c>
      <c r="E39" s="4" t="n">
        <v>347341244000000</v>
      </c>
      <c r="F39" s="4" t="n">
        <v>420523705000000</v>
      </c>
      <c r="G39" s="4" t="n">
        <v>518641568000000</v>
      </c>
      <c r="H39" s="4" t="n">
        <v>631724964000000</v>
      </c>
      <c r="I39" s="4" t="n">
        <v>767617129000000</v>
      </c>
    </row>
    <row r="40">
      <c r="A40" s="3" t="inlineStr">
        <is>
          <t>Cho vay khách hàng</t>
        </is>
      </c>
      <c r="B40" s="4" t="inlineStr"/>
      <c r="C40" s="4" t="inlineStr"/>
      <c r="D40" s="4" t="inlineStr"/>
      <c r="E40" s="4" t="inlineStr"/>
      <c r="F40" s="4" t="n">
        <v>420523705000000</v>
      </c>
      <c r="G40" s="4" t="n">
        <v>518641568000000</v>
      </c>
      <c r="H40" s="4" t="n">
        <v>631724964000000</v>
      </c>
      <c r="I40" s="4" t="n">
        <v>767617129000000</v>
      </c>
    </row>
    <row r="41">
      <c r="A41" s="3" t="inlineStr">
        <is>
          <t>Dự phòng rủi ro cho vay khách hàng</t>
        </is>
      </c>
      <c r="B41" s="4" t="n">
        <v>-2385114000000</v>
      </c>
      <c r="C41" s="4" t="n">
        <v>-2916744000000</v>
      </c>
      <c r="D41" s="4" t="n">
        <v>-2214248000000</v>
      </c>
      <c r="E41" s="4" t="n">
        <v>-3735663000000</v>
      </c>
      <c r="F41" s="4" t="n">
        <v>-4771449000000</v>
      </c>
      <c r="G41" s="4" t="n">
        <v>-6127896000000</v>
      </c>
      <c r="H41" s="4" t="n">
        <v>-8090693000000</v>
      </c>
      <c r="I41" s="4" t="n">
        <v>-10498378000000</v>
      </c>
    </row>
    <row r="42">
      <c r="A42" s="3" t="inlineStr">
        <is>
          <t>Chứng khoán đầu tư</t>
        </is>
      </c>
      <c r="B42" s="4" t="n">
        <v>86512348000000</v>
      </c>
      <c r="C42" s="4" t="n">
        <v>66054597000000</v>
      </c>
      <c r="D42" s="4" t="n">
        <v>84447241000000</v>
      </c>
      <c r="E42" s="4" t="n">
        <v>97586088000000</v>
      </c>
      <c r="F42" s="4" t="n">
        <v>103651920000000</v>
      </c>
      <c r="G42" s="4" t="n">
        <v>104993945000000</v>
      </c>
      <c r="H42" s="4" t="n">
        <v>148623636000000</v>
      </c>
      <c r="I42" s="4" t="n">
        <v>145526404000000</v>
      </c>
    </row>
    <row r="43">
      <c r="A43" s="3" t="inlineStr">
        <is>
          <t>Chứng khoán đầu tư sẵn sàng để bán</t>
        </is>
      </c>
      <c r="B43" s="4" t="n">
        <v>66625261000000</v>
      </c>
      <c r="C43" s="4" t="n">
        <v>66158709000000</v>
      </c>
      <c r="D43" s="4" t="n">
        <v>84632952000000</v>
      </c>
      <c r="E43" s="4" t="n">
        <v>98092062000000</v>
      </c>
      <c r="F43" s="4" t="n">
        <v>104031921000000</v>
      </c>
      <c r="G43" s="4" t="n">
        <v>105356248000000</v>
      </c>
      <c r="H43" s="4" t="n">
        <v>142202792000000</v>
      </c>
      <c r="I43" s="4" t="n">
        <v>145942288000000</v>
      </c>
    </row>
    <row r="44">
      <c r="A44" s="3" t="inlineStr">
        <is>
          <t>Chứng khoán đầu tư giữ đến ngày đáo hạn</t>
        </is>
      </c>
      <c r="B44" s="4" t="n">
        <v>20236200000000</v>
      </c>
      <c r="C44" s="4" t="n">
        <v>202006000000</v>
      </c>
      <c r="D44" s="4" t="n">
        <v>200000000000</v>
      </c>
      <c r="E44" s="4" t="n">
        <v>200000000000</v>
      </c>
      <c r="F44" s="4" t="n">
        <v>0</v>
      </c>
      <c r="G44" s="4" t="n">
        <v>0</v>
      </c>
      <c r="H44" s="4" t="n">
        <v>6900000000000</v>
      </c>
      <c r="I44" s="4" t="n">
        <v>0</v>
      </c>
    </row>
    <row r="45">
      <c r="A45" s="3" t="inlineStr">
        <is>
          <t>Dự phòng giảm giá chứng khoán đầu tư</t>
        </is>
      </c>
      <c r="B45" s="4" t="n">
        <v>-349113000000</v>
      </c>
      <c r="C45" s="4" t="n">
        <v>-306118000000</v>
      </c>
      <c r="D45" s="4" t="n">
        <v>-385711000000</v>
      </c>
      <c r="E45" s="4" t="n">
        <v>-705974000000</v>
      </c>
      <c r="F45" s="4" t="n">
        <v>-380001000000</v>
      </c>
      <c r="G45" s="4" t="n">
        <v>-362303000000</v>
      </c>
      <c r="H45" s="4" t="n">
        <v>-479156000000</v>
      </c>
      <c r="I45" s="4" t="n">
        <v>-415884000000</v>
      </c>
    </row>
    <row r="46">
      <c r="A46" s="3" t="inlineStr">
        <is>
          <t>Tài sản Có khác</t>
        </is>
      </c>
      <c r="B46" s="4" t="n">
        <v>717481000000</v>
      </c>
      <c r="C46" s="4" t="n">
        <v>1055475000000</v>
      </c>
      <c r="D46" s="4" t="n">
        <v>1268562000000</v>
      </c>
      <c r="E46" s="4" t="n">
        <v>1448617000000</v>
      </c>
      <c r="F46" s="4" t="n">
        <v>1616735000000</v>
      </c>
      <c r="G46" s="4" t="n">
        <v>1650584000000</v>
      </c>
      <c r="H46" s="4" t="n">
        <v>1818676000000</v>
      </c>
      <c r="I46" s="4" t="n">
        <v>2070439000000</v>
      </c>
    </row>
    <row r="47">
      <c r="A47" s="3" t="inlineStr">
        <is>
          <t>Các khoản nợ chính phủ và NHNN Việt Nam</t>
        </is>
      </c>
      <c r="B47" s="4" t="n">
        <v>6025027000000</v>
      </c>
      <c r="C47" s="4" t="n">
        <v>0</v>
      </c>
      <c r="D47" s="4" t="n">
        <v>0</v>
      </c>
      <c r="E47" s="4" t="n">
        <v>842000000</v>
      </c>
      <c r="F47" s="4" t="n">
        <v>7826000000</v>
      </c>
      <c r="G47" s="4" t="n">
        <v>131000000</v>
      </c>
      <c r="H47" s="4" t="n">
        <v>11531000000</v>
      </c>
      <c r="I47" s="4" t="n">
        <v>4323867000000</v>
      </c>
    </row>
    <row r="48">
      <c r="A48" s="3" t="inlineStr">
        <is>
          <t>Tiền gửi và vay các Tổ chức tín dụng khác</t>
        </is>
      </c>
      <c r="B48" s="4" t="n">
        <v>36425560000000</v>
      </c>
      <c r="C48" s="4" t="n">
        <v>61266635000000</v>
      </c>
      <c r="D48" s="4" t="n">
        <v>47484812000000</v>
      </c>
      <c r="E48" s="4" t="n">
        <v>112458691000000</v>
      </c>
      <c r="F48" s="4" t="n">
        <v>167562969000000</v>
      </c>
      <c r="G48" s="4" t="n">
        <v>153173002000000</v>
      </c>
      <c r="H48" s="4" t="n">
        <v>132239088000000</v>
      </c>
      <c r="I48" s="4" t="n">
        <v>144982976000000</v>
      </c>
    </row>
    <row r="49">
      <c r="A49" s="3" t="inlineStr">
        <is>
          <t>Tiền gửi của khách hàng</t>
        </is>
      </c>
      <c r="B49" s="4" t="n">
        <v>201414532000000</v>
      </c>
      <c r="C49" s="4" t="n">
        <v>231296761000000</v>
      </c>
      <c r="D49" s="4" t="n">
        <v>277458651000000</v>
      </c>
      <c r="E49" s="4" t="n">
        <v>314752525000000</v>
      </c>
      <c r="F49" s="4" t="n">
        <v>358403785000000</v>
      </c>
      <c r="G49" s="4" t="n">
        <v>454660779000000</v>
      </c>
      <c r="H49" s="4" t="n">
        <v>533392350000000</v>
      </c>
      <c r="I49" s="4" t="n">
        <v>618911535000000</v>
      </c>
    </row>
    <row r="50">
      <c r="A50" s="3" t="inlineStr">
        <is>
          <t>Các công cụ tài chính phái sinh và các khoản nợ tài chính khác</t>
        </is>
      </c>
      <c r="B50" s="4" t="n">
        <v>310313000000</v>
      </c>
      <c r="C50" s="4" t="n">
        <v>434008000000</v>
      </c>
      <c r="D50" s="4" t="n">
        <v>266926000000</v>
      </c>
      <c r="E50" s="4" t="n">
        <v>0</v>
      </c>
      <c r="F50" s="4" t="n">
        <v>1851213000000</v>
      </c>
      <c r="G50" s="4" t="n">
        <v>0</v>
      </c>
      <c r="H50" s="4" t="n">
        <v>931231000000</v>
      </c>
      <c r="I50" s="4" t="n">
        <v>2416947000000</v>
      </c>
    </row>
    <row r="51">
      <c r="A51" s="3" t="inlineStr">
        <is>
          <t>Vốn tài trợ, uỷ thác đầu tư của Chính phủ và các tổ chức tín dụng khác</t>
        </is>
      </c>
      <c r="B51" s="4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</row>
    <row r="52">
      <c r="A52" s="3" t="inlineStr">
        <is>
          <t>Phát hành giấy tờ có giá</t>
        </is>
      </c>
      <c r="B52" s="4" t="n">
        <v>13177959000000</v>
      </c>
      <c r="C52" s="4" t="n">
        <v>17460634000000</v>
      </c>
      <c r="D52" s="4" t="n">
        <v>27899640000000</v>
      </c>
      <c r="E52" s="4" t="n">
        <v>33679824000000</v>
      </c>
      <c r="F52" s="4" t="n">
        <v>34006619000000</v>
      </c>
      <c r="G52" s="4" t="n">
        <v>84703300000000</v>
      </c>
      <c r="H52" s="4" t="n">
        <v>140422321000000</v>
      </c>
      <c r="I52" s="4" t="n">
        <v>215330128000000</v>
      </c>
    </row>
    <row r="53">
      <c r="A53" s="3" t="inlineStr">
        <is>
          <t>Các khoản nợ khác</t>
        </is>
      </c>
      <c r="B53" s="4" t="n">
        <v>11852845000000</v>
      </c>
      <c r="C53" s="4" t="n">
        <v>11168656000000</v>
      </c>
      <c r="D53" s="4" t="n">
        <v>11878118000000</v>
      </c>
      <c r="E53" s="4" t="n">
        <v>14795596000000</v>
      </c>
      <c r="F53" s="4" t="n">
        <v>23775166000000</v>
      </c>
      <c r="G53" s="4" t="n">
        <v>25328735000000</v>
      </c>
      <c r="H53" s="4" t="n">
        <v>23862407000000</v>
      </c>
      <c r="I53" s="4" t="n">
        <v>26877242000000</v>
      </c>
    </row>
    <row r="54">
      <c r="A54" s="3" t="inlineStr">
        <is>
          <t>Vốn của tổ chức tín dụng</t>
        </is>
      </c>
      <c r="B54" s="4" t="n">
        <v>35442539000000</v>
      </c>
      <c r="C54" s="4" t="n">
        <v>35477967000000</v>
      </c>
      <c r="D54" s="4" t="n">
        <v>35525569000000</v>
      </c>
      <c r="E54" s="4" t="n">
        <v>35585622000000</v>
      </c>
      <c r="F54" s="4" t="n">
        <v>36204797000000</v>
      </c>
      <c r="G54" s="4" t="n">
        <v>36257461000000</v>
      </c>
      <c r="H54" s="4" t="n">
        <v>78412544000000</v>
      </c>
      <c r="I54" s="4" t="n">
        <v>78626366000000</v>
      </c>
    </row>
    <row r="55">
      <c r="A55" s="3" t="inlineStr">
        <is>
          <t>Vốn đầu tư XDCB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Cổ phiếu ưu đãi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Quỹ của tổ chức tín dụng</t>
        </is>
      </c>
      <c r="B57" s="4" t="n">
        <v>3867846000000</v>
      </c>
      <c r="C57" s="4" t="n">
        <v>5172684000000</v>
      </c>
      <c r="D57" s="4" t="n">
        <v>6789643000000</v>
      </c>
      <c r="E57" s="4" t="n">
        <v>9155896000000</v>
      </c>
      <c r="F57" s="4" t="n">
        <v>11608569000000</v>
      </c>
      <c r="G57" s="4" t="n">
        <v>45028627000000</v>
      </c>
      <c r="H57" s="4" t="n">
        <v>24787305000000</v>
      </c>
      <c r="I57" s="4" t="n">
        <v>28644562000000</v>
      </c>
    </row>
    <row r="58">
      <c r="A58" s="3" t="inlineStr">
        <is>
          <t>Bảo lãnh khác</t>
        </is>
      </c>
      <c r="B58" s="4" t="n">
        <v>19043774000000</v>
      </c>
      <c r="C58" s="4" t="n">
        <v>22285888000000</v>
      </c>
      <c r="D58" s="4" t="n">
        <v>21121837000000</v>
      </c>
      <c r="E58" s="4" t="n">
        <v>30068017000000</v>
      </c>
      <c r="F58" s="4" t="n">
        <v>44870251000000</v>
      </c>
      <c r="G58" s="4" t="n">
        <v>57648065000000</v>
      </c>
      <c r="H58" s="4" t="n">
        <v>58558478000000</v>
      </c>
      <c r="I58" s="4" t="n">
        <v>122225620000000</v>
      </c>
    </row>
    <row r="59">
      <c r="A59" s="3" t="inlineStr">
        <is>
          <t>Cam kết giao dịch hối đoái</t>
        </is>
      </c>
      <c r="B59" s="4" t="n">
        <v>38509000000</v>
      </c>
      <c r="C59" s="4" t="n">
        <v>38509000000</v>
      </c>
      <c r="D59" s="4" t="n">
        <v>34868000000</v>
      </c>
      <c r="E59" s="4" t="n">
        <v>56682000000</v>
      </c>
      <c r="F59" s="4" t="n">
        <v>13253457000000</v>
      </c>
      <c r="G59" s="4" t="n">
        <v>14935065000000</v>
      </c>
      <c r="H59" s="4" t="n">
        <v>11507947000000</v>
      </c>
      <c r="I59" s="4" t="n">
        <v>14965995000000</v>
      </c>
    </row>
    <row r="60">
      <c r="A60" s="3" t="inlineStr">
        <is>
          <t>Cam kết mua ngoại tệ</t>
        </is>
      </c>
      <c r="B60" s="4" t="n">
        <v>3305927000000</v>
      </c>
      <c r="C60" s="4" t="n">
        <v>1108119000000</v>
      </c>
      <c r="D60" s="4" t="n">
        <v>1605493000000</v>
      </c>
      <c r="E60" s="4" t="n">
        <v>1147456000000</v>
      </c>
      <c r="F60" s="4" t="n">
        <v>2450745000000</v>
      </c>
      <c r="G60" s="4" t="n">
        <v>4593012000000</v>
      </c>
      <c r="H60" s="4" t="n">
        <v>3062641000000</v>
      </c>
      <c r="I60" s="4" t="n">
        <v>6372664000000</v>
      </c>
    </row>
    <row r="61">
      <c r="A61" s="3" t="inlineStr">
        <is>
          <t>Cam kết bán ngoại tệ</t>
        </is>
      </c>
      <c r="B61" s="4" t="n">
        <v>7472531000000</v>
      </c>
      <c r="C61" s="4" t="n">
        <v>5611861000000</v>
      </c>
      <c r="D61" s="4" t="n">
        <v>3004364000000</v>
      </c>
      <c r="E61" s="4" t="n">
        <v>3155974000000</v>
      </c>
      <c r="F61" s="4" t="n">
        <v>1361969000000</v>
      </c>
      <c r="G61" s="4" t="n">
        <v>4415918000000</v>
      </c>
      <c r="H61" s="4" t="n">
        <v>3511618000000</v>
      </c>
      <c r="I61" s="4" t="n">
        <v>7295512000000</v>
      </c>
    </row>
    <row r="62">
      <c r="A62" s="3" t="inlineStr">
        <is>
          <t>Cam kết giao dịch hoán đổi</t>
        </is>
      </c>
      <c r="B62" s="4" t="n">
        <v>149821837000000</v>
      </c>
      <c r="C62" s="4" t="n">
        <v>221756824000000</v>
      </c>
      <c r="D62" s="4" t="n">
        <v>181340703000000</v>
      </c>
      <c r="E62" s="4" t="n">
        <v>275039014000000</v>
      </c>
      <c r="F62" s="4" t="n">
        <v>356308029000000</v>
      </c>
      <c r="G62" s="4" t="n">
        <v>341592612000000</v>
      </c>
      <c r="H62" s="4" t="n">
        <v>262819403000000</v>
      </c>
      <c r="I62" s="4" t="n">
        <v>403653327000000</v>
      </c>
    </row>
    <row r="63">
      <c r="A63" s="3" t="inlineStr">
        <is>
          <t>Cam kết giao dịch tương lai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Cam kết cho vay không hủy ngang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Cam kết trong nghiệp vụ L/C</t>
        </is>
      </c>
      <c r="B65" s="4" t="n">
        <v>12163321000000</v>
      </c>
      <c r="C65" s="4" t="n">
        <v>21909553000000</v>
      </c>
      <c r="D65" s="4" t="n">
        <v>30880187000000</v>
      </c>
      <c r="E65" s="4" t="n">
        <v>47054297000000</v>
      </c>
      <c r="F65" s="4" t="n">
        <v>64666942000000</v>
      </c>
      <c r="G65" s="4" t="n">
        <v>67845653000000</v>
      </c>
      <c r="H65" s="4" t="n">
        <v>38065747000000</v>
      </c>
      <c r="I65" s="4" t="n">
        <v>64314200000000</v>
      </c>
    </row>
    <row r="66">
      <c r="A66" s="3" t="inlineStr">
        <is>
          <t>Cam kết khác</t>
        </is>
      </c>
      <c r="B66" s="4" t="n">
        <v>210068172000000</v>
      </c>
      <c r="C66" s="4" t="n">
        <v>260721927000000</v>
      </c>
      <c r="D66" s="4" t="n">
        <v>302318864000000</v>
      </c>
      <c r="E66" s="4" t="n">
        <v>358478746000000</v>
      </c>
      <c r="F66" s="4" t="n">
        <v>449697675000000</v>
      </c>
      <c r="G66" s="4" t="n">
        <v>176065387000000</v>
      </c>
      <c r="H66" s="4" t="n">
        <v>213069830000000</v>
      </c>
      <c r="I66" s="4" t="n">
        <v>182638941000000</v>
      </c>
    </row>
    <row r="67">
      <c r="A67" s="3" t="inlineStr">
        <is>
          <t>Lợi ích của cổ đông thiểu số</t>
        </is>
      </c>
      <c r="B67" s="4" t="n">
        <v>69317000000</v>
      </c>
      <c r="C67" s="4" t="n">
        <v>290725000000</v>
      </c>
      <c r="D67" s="4" t="n">
        <v>483869000000</v>
      </c>
      <c r="E67" s="4" t="n">
        <v>846898000000</v>
      </c>
      <c r="F67" s="4" t="n">
        <v>1128915000000</v>
      </c>
      <c r="G67" s="4" t="n">
        <v>1316833000000</v>
      </c>
      <c r="H67" s="4" t="n">
        <v>2520466000000</v>
      </c>
      <c r="I67" s="4" t="n">
        <v>9456938000000</v>
      </c>
    </row>
    <row r="68">
      <c r="A68" s="3" t="inlineStr">
        <is>
          <t>Tiền gửi tại các TCTD khác</t>
        </is>
      </c>
      <c r="B68" s="4" t="n">
        <v>24169512000000</v>
      </c>
      <c r="C68" s="4" t="n">
        <v>38596420000000</v>
      </c>
      <c r="D68" s="4" t="n">
        <v>21112630000000</v>
      </c>
      <c r="E68" s="4" t="n">
        <v>39450727000000</v>
      </c>
      <c r="F68" s="4" t="n">
        <v>69925143000000</v>
      </c>
      <c r="G68" s="4" t="n">
        <v>80126897000000</v>
      </c>
      <c r="H68" s="4" t="n">
        <v>74887085000000</v>
      </c>
      <c r="I68" s="4" t="n">
        <v>108143393000000</v>
      </c>
    </row>
    <row r="69">
      <c r="A69" s="3" t="inlineStr">
        <is>
          <t>Cho vay các TCTD khác</t>
        </is>
      </c>
      <c r="B69" s="4" t="n">
        <v>11389851000000</v>
      </c>
      <c r="C69" s="4" t="n">
        <v>9393804000000</v>
      </c>
      <c r="D69" s="4" t="n">
        <v>7882324000000</v>
      </c>
      <c r="E69" s="4" t="n">
        <v>31064531000000</v>
      </c>
      <c r="F69" s="4" t="n">
        <v>13049711000000</v>
      </c>
      <c r="G69" s="4" t="n">
        <v>24046523000000</v>
      </c>
      <c r="H69" s="4" t="n">
        <v>9884539000000</v>
      </c>
      <c r="I69" s="4" t="n">
        <v>6996069000000</v>
      </c>
    </row>
    <row r="70">
      <c r="A70" s="3" t="inlineStr">
        <is>
          <t>Dự phòng rủi ro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-101100000000</v>
      </c>
      <c r="G70" s="4" t="n">
        <v>-101100000000</v>
      </c>
      <c r="H70" s="4" t="n">
        <v>-181150000000</v>
      </c>
      <c r="I70" s="4" t="n">
        <v>-181150000000</v>
      </c>
    </row>
    <row r="71">
      <c r="A71" s="3" t="inlineStr">
        <is>
          <t>Hoạt động mua nợ</t>
        </is>
      </c>
      <c r="B71" s="4" t="n">
        <v>0</v>
      </c>
      <c r="C71" s="4" t="n">
        <v>0</v>
      </c>
      <c r="D71" s="4" t="n">
        <v>0</v>
      </c>
      <c r="E71" s="4" t="n">
        <v>133418000000</v>
      </c>
      <c r="F71" s="4" t="n">
        <v>107725000000</v>
      </c>
      <c r="G71" s="4" t="n">
        <v>82033000000</v>
      </c>
      <c r="H71" s="4" t="n">
        <v>141628000000</v>
      </c>
      <c r="I71" s="4" t="n">
        <v>30647000000</v>
      </c>
    </row>
    <row r="72">
      <c r="A72" s="3" t="inlineStr">
        <is>
          <t>Mua nợ</t>
        </is>
      </c>
      <c r="B72" s="4" t="n">
        <v>1682000000</v>
      </c>
      <c r="C72" s="4" t="n">
        <v>1682000000</v>
      </c>
      <c r="D72" s="4" t="n">
        <v>1682000000</v>
      </c>
      <c r="E72" s="4" t="n">
        <v>136108000000</v>
      </c>
      <c r="F72" s="4" t="n">
        <v>110221000000</v>
      </c>
      <c r="G72" s="4" t="n">
        <v>84335000000</v>
      </c>
      <c r="H72" s="4" t="n">
        <v>144380000000</v>
      </c>
      <c r="I72" s="4" t="n">
        <v>32561000000</v>
      </c>
    </row>
    <row r="73">
      <c r="A73" s="3" t="inlineStr">
        <is>
          <t>Dự phòng rủi ro hoạt động mua nợ</t>
        </is>
      </c>
      <c r="B73" s="4" t="n">
        <v>-1682000000</v>
      </c>
      <c r="C73" s="4" t="n">
        <v>-1682000000</v>
      </c>
      <c r="D73" s="4" t="n">
        <v>-1682000000</v>
      </c>
      <c r="E73" s="4" t="n">
        <v>-2690000000</v>
      </c>
      <c r="F73" s="4" t="n">
        <v>-2496000000</v>
      </c>
      <c r="G73" s="4" t="n">
        <v>-2302000000</v>
      </c>
      <c r="H73" s="4" t="n">
        <v>-2752000000</v>
      </c>
      <c r="I73" s="4" t="n">
        <v>-1914000000</v>
      </c>
    </row>
    <row r="74">
      <c r="A74" s="3" t="inlineStr">
        <is>
          <t>Các khoản phải thu</t>
        </is>
      </c>
      <c r="B74" s="4" t="n">
        <v>11322256000000</v>
      </c>
      <c r="C74" s="4" t="n">
        <v>12954103000000</v>
      </c>
      <c r="D74" s="4" t="n">
        <v>16572411000000</v>
      </c>
      <c r="E74" s="4" t="n">
        <v>28117180000000</v>
      </c>
      <c r="F74" s="4" t="n">
        <v>61609133000000</v>
      </c>
      <c r="G74" s="4" t="n">
        <v>69834157000000</v>
      </c>
      <c r="H74" s="4" t="n">
        <v>29540943000000</v>
      </c>
      <c r="I74" s="4" t="n">
        <v>56111402000000</v>
      </c>
    </row>
    <row r="75">
      <c r="A75" s="3" t="inlineStr">
        <is>
          <t>Các khoản lãi và phí phải thu</t>
        </is>
      </c>
      <c r="B75" s="4" t="n">
        <v>5737907000000</v>
      </c>
      <c r="C75" s="4" t="n">
        <v>5553724000000</v>
      </c>
      <c r="D75" s="4" t="n">
        <v>5184822000000</v>
      </c>
      <c r="E75" s="4" t="n">
        <v>5807801000000</v>
      </c>
      <c r="F75" s="4" t="n">
        <v>8028730000000</v>
      </c>
      <c r="G75" s="4" t="n">
        <v>9681140000000</v>
      </c>
      <c r="H75" s="4" t="n">
        <v>8125964000000</v>
      </c>
      <c r="I75" s="4" t="n">
        <v>9787070000000</v>
      </c>
    </row>
    <row r="76">
      <c r="A76" s="3" t="inlineStr">
        <is>
          <t>Tài sản thuế TNDN hoãn lại</t>
        </is>
      </c>
      <c r="B76" s="4" t="n">
        <v>0</v>
      </c>
      <c r="C76" s="4" t="n">
        <v>0</v>
      </c>
      <c r="D76" s="4" t="n">
        <v>0</v>
      </c>
      <c r="E76" s="4" t="n">
        <v>17460000000</v>
      </c>
      <c r="F76" s="4" t="n">
        <v>61050000000</v>
      </c>
      <c r="G76" s="4" t="n">
        <v>70409000000</v>
      </c>
      <c r="H76" s="4" t="n">
        <v>79856000000</v>
      </c>
      <c r="I76" s="4" t="n">
        <v>40487000000</v>
      </c>
    </row>
    <row r="77">
      <c r="A77" s="3" t="inlineStr">
        <is>
          <t>Tài sản Có khác</t>
        </is>
      </c>
      <c r="B77" s="4" t="inlineStr"/>
      <c r="C77" s="4" t="inlineStr"/>
      <c r="D77" s="4" t="inlineStr"/>
      <c r="E77" s="4" t="inlineStr"/>
      <c r="F77" s="4" t="n">
        <v>1616735000000</v>
      </c>
      <c r="G77" s="4" t="n">
        <v>1650584000000</v>
      </c>
      <c r="H77" s="4" t="n">
        <v>1818676000000</v>
      </c>
      <c r="I77" s="4" t="n">
        <v>2070439000000</v>
      </c>
    </row>
    <row r="78">
      <c r="A78" s="3" t="inlineStr">
        <is>
          <t>Trong đó: Lợi thế thương mại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Các khoản dự phòng rủi ro cho các tài sản Có nội bảng khác</t>
        </is>
      </c>
      <c r="B79" s="4" t="n">
        <v>-75839000000</v>
      </c>
      <c r="C79" s="4" t="n">
        <v>-228908000000</v>
      </c>
      <c r="D79" s="4" t="n">
        <v>-189892000000</v>
      </c>
      <c r="E79" s="4" t="n">
        <v>-680423000000</v>
      </c>
      <c r="F79" s="4" t="n">
        <v>-798423000000</v>
      </c>
      <c r="G79" s="4" t="n">
        <v>-692866000000</v>
      </c>
      <c r="H79" s="4" t="n">
        <v>-64874000000</v>
      </c>
      <c r="I79" s="4" t="n">
        <v>-8301000000</v>
      </c>
    </row>
    <row r="80">
      <c r="A80" s="3" t="inlineStr">
        <is>
          <t>Tiền gửi của các tổ chức tín dụng khác</t>
        </is>
      </c>
      <c r="B80" s="4" t="n">
        <v>28973455000000</v>
      </c>
      <c r="C80" s="4" t="n">
        <v>38632337000000</v>
      </c>
      <c r="D80" s="4" t="n">
        <v>21232089000000</v>
      </c>
      <c r="E80" s="4" t="n">
        <v>45606142000000</v>
      </c>
      <c r="F80" s="4" t="n">
        <v>61293738000000</v>
      </c>
      <c r="G80" s="4" t="n">
        <v>50619678000000</v>
      </c>
      <c r="H80" s="4" t="n">
        <v>72210834000000</v>
      </c>
      <c r="I80" s="4" t="n">
        <v>83014313000000</v>
      </c>
    </row>
    <row r="81">
      <c r="A81" s="3" t="inlineStr">
        <is>
          <t>Vay các tổ chức tín dụng khác</t>
        </is>
      </c>
      <c r="B81" s="4" t="n">
        <v>7452105000000</v>
      </c>
      <c r="C81" s="4" t="n">
        <v>22634298000000</v>
      </c>
      <c r="D81" s="4" t="n">
        <v>26252723000000</v>
      </c>
      <c r="E81" s="4" t="n">
        <v>66852549000000</v>
      </c>
      <c r="F81" s="4" t="n">
        <v>106269231000000</v>
      </c>
      <c r="G81" s="4" t="n">
        <v>102553324000000</v>
      </c>
      <c r="H81" s="4" t="n">
        <v>60028254000000</v>
      </c>
      <c r="I81" s="4" t="n">
        <v>61968663000000</v>
      </c>
    </row>
    <row r="82">
      <c r="A82" s="3" t="inlineStr">
        <is>
          <t>Các khoản lãi, phí phải trả</t>
        </is>
      </c>
      <c r="B82" s="4" t="n">
        <v>3424068000000</v>
      </c>
      <c r="C82" s="4" t="n">
        <v>3479310000000</v>
      </c>
      <c r="D82" s="4" t="n">
        <v>3252009000000</v>
      </c>
      <c r="E82" s="4" t="n">
        <v>3121881000000</v>
      </c>
      <c r="F82" s="4" t="n">
        <v>6144022000000</v>
      </c>
      <c r="G82" s="4" t="n">
        <v>9418750000000</v>
      </c>
      <c r="H82" s="4" t="n">
        <v>7281567000000</v>
      </c>
      <c r="I82" s="4" t="n">
        <v>9448719000000</v>
      </c>
    </row>
    <row r="83">
      <c r="A83" s="3" t="inlineStr">
        <is>
          <t>Thuế TNDN hoãn lại phải trả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Các khoản phải trả và công nợ khác</t>
        </is>
      </c>
      <c r="B84" s="4" t="n">
        <v>8428777000000</v>
      </c>
      <c r="C84" s="4" t="n">
        <v>7689346000000</v>
      </c>
      <c r="D84" s="4" t="n">
        <v>8626109000000</v>
      </c>
      <c r="E84" s="4" t="n">
        <v>11673715000000</v>
      </c>
      <c r="F84" s="4" t="n">
        <v>17631144000000</v>
      </c>
      <c r="G84" s="4" t="n">
        <v>15909985000000</v>
      </c>
      <c r="H84" s="4" t="n">
        <v>16580840000000</v>
      </c>
      <c r="I84" s="4" t="n">
        <v>17428523000000</v>
      </c>
    </row>
    <row r="85">
      <c r="A85" s="3" t="inlineStr">
        <is>
          <t>Dự phòng rủi ro khác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Vốn Góp liên doanh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Đầu tư vào công ty liên kết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32263000000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Tổng lợi nhuận/lỗ trước thuế</t>
        </is>
      </c>
      <c r="B2" s="4" t="n">
        <v>10661016000000</v>
      </c>
      <c r="C2" s="4" t="n">
        <v>12838268000000</v>
      </c>
      <c r="D2" s="4" t="n">
        <v>15800296000000</v>
      </c>
      <c r="E2" s="4" t="n">
        <v>23238293000000</v>
      </c>
      <c r="F2" s="4" t="n">
        <v>25567768000000</v>
      </c>
      <c r="G2" s="4" t="n">
        <v>22888228000000</v>
      </c>
      <c r="H2" s="4" t="n">
        <v>27538368000000</v>
      </c>
      <c r="I2" s="4" t="n">
        <v>32538066000000</v>
      </c>
    </row>
    <row r="3">
      <c r="A3" s="3" t="inlineStr">
        <is>
          <t>Chi phí thuế TNDN hiện hành</t>
        </is>
      </c>
      <c r="B3" s="4" t="n">
        <v>-2185246000000</v>
      </c>
      <c r="C3" s="4" t="n">
        <v>-2612059000000</v>
      </c>
      <c r="D3" s="4" t="n">
        <v>-3217829000000</v>
      </c>
      <c r="E3" s="4" t="n">
        <v>-4840371000000</v>
      </c>
      <c r="F3" s="4" t="n">
        <v>-5174932000000</v>
      </c>
      <c r="G3" s="4" t="n">
        <v>-4706721000000</v>
      </c>
      <c r="H3" s="4" t="n">
        <v>-5787711000000</v>
      </c>
      <c r="I3" s="4" t="n">
        <v>-6544225000000</v>
      </c>
    </row>
    <row r="4">
      <c r="A4" s="3" t="inlineStr">
        <is>
          <t>Chi phí thuế TNDN hoãn lại</t>
        </is>
      </c>
      <c r="B4" s="4" t="n">
        <v>-1773000000</v>
      </c>
      <c r="C4" s="4" t="n">
        <v>0</v>
      </c>
      <c r="D4" s="4" t="n">
        <v>0</v>
      </c>
      <c r="E4" s="4" t="n">
        <v>17460000000</v>
      </c>
      <c r="F4" s="4" t="n">
        <v>43590000000</v>
      </c>
      <c r="G4" s="4" t="n">
        <v>9359000000</v>
      </c>
      <c r="H4" s="4" t="n">
        <v>9447000000</v>
      </c>
      <c r="I4" s="4" t="n">
        <v>-39369000000</v>
      </c>
    </row>
    <row r="5">
      <c r="A5" s="3" t="inlineStr">
        <is>
          <t>Chi phí thuế thu nhập doanh nghiệp</t>
        </is>
      </c>
      <c r="B5" s="4" t="n">
        <v>-2187019000000</v>
      </c>
      <c r="C5" s="4" t="n">
        <v>-2612059000000</v>
      </c>
      <c r="D5" s="4" t="n">
        <v>-3217829000000</v>
      </c>
      <c r="E5" s="4" t="n">
        <v>-4822911000000</v>
      </c>
      <c r="F5" s="4" t="n">
        <v>-5131342000000</v>
      </c>
      <c r="G5" s="4" t="n">
        <v>-4697362000000</v>
      </c>
      <c r="H5" s="4" t="n">
        <v>-5778264000000</v>
      </c>
      <c r="I5" s="4" t="n">
        <v>-6583594000000</v>
      </c>
    </row>
    <row r="6">
      <c r="A6" s="3" t="inlineStr">
        <is>
          <t>Lợi nhuận sau thuế</t>
        </is>
      </c>
      <c r="B6" s="4" t="n">
        <v>8473997000000</v>
      </c>
      <c r="C6" s="4" t="n">
        <v>10226209000000</v>
      </c>
      <c r="D6" s="4" t="n">
        <v>12582467000000</v>
      </c>
      <c r="E6" s="4" t="n">
        <v>18415382000000</v>
      </c>
      <c r="F6" s="4" t="n">
        <v>20436426000000</v>
      </c>
      <c r="G6" s="4" t="n">
        <v>18190866000000</v>
      </c>
      <c r="H6" s="4" t="n">
        <v>21760104000000</v>
      </c>
      <c r="I6" s="4" t="n">
        <v>25954472000000</v>
      </c>
    </row>
    <row r="7">
      <c r="A7" s="3" t="inlineStr">
        <is>
          <t>Lợi ích của cổ đông thiểu số</t>
        </is>
      </c>
      <c r="B7" s="4" t="n">
        <v>-11222000000</v>
      </c>
      <c r="C7" s="4" t="n">
        <v>-151070000000</v>
      </c>
      <c r="D7" s="4" t="n">
        <v>-257476000000</v>
      </c>
      <c r="E7" s="4" t="n">
        <v>-363132000000</v>
      </c>
      <c r="F7" s="4" t="n">
        <v>-286049000000</v>
      </c>
      <c r="G7" s="4" t="n">
        <v>-187064000000</v>
      </c>
      <c r="H7" s="4" t="n">
        <v>-237176000000</v>
      </c>
      <c r="I7" s="4" t="n">
        <v>-664242000000</v>
      </c>
    </row>
    <row r="8">
      <c r="A8" s="3" t="inlineStr">
        <is>
          <t>Cổ đông của Công ty mẹ</t>
        </is>
      </c>
      <c r="B8" s="4" t="n">
        <v>8462775000000</v>
      </c>
      <c r="C8" s="4" t="n">
        <v>10075139000000</v>
      </c>
      <c r="D8" s="4" t="n">
        <v>12324991000000</v>
      </c>
      <c r="E8" s="4" t="n">
        <v>18052250000000</v>
      </c>
      <c r="F8" s="4" t="n">
        <v>20150377000000</v>
      </c>
      <c r="G8" s="4" t="n">
        <v>18003802000000</v>
      </c>
      <c r="H8" s="4" t="n">
        <v>21522928000000</v>
      </c>
      <c r="I8" s="4" t="n">
        <v>25290230000000</v>
      </c>
    </row>
    <row r="9">
      <c r="A9" s="3" t="inlineStr">
        <is>
          <t>Lãi cơ bản trên cổ phiếu (VND)</t>
        </is>
      </c>
      <c r="B9" s="4" t="n">
        <v>3816</v>
      </c>
      <c r="C9" s="4" t="n">
        <v>2871</v>
      </c>
      <c r="D9" s="4" t="n">
        <v>3515</v>
      </c>
      <c r="E9" s="4" t="n">
        <v>5137</v>
      </c>
      <c r="F9" s="4" t="n">
        <v>5725</v>
      </c>
      <c r="G9" s="4" t="n">
        <v>2549</v>
      </c>
      <c r="H9" s="4" t="n">
        <v>3049</v>
      </c>
      <c r="I9" s="4" t="n">
        <v>3572</v>
      </c>
    </row>
    <row r="10">
      <c r="A10" s="3" t="inlineStr">
        <is>
          <t>Lãi trên cổ phiếu pha loãng (VND)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</row>
    <row r="11">
      <c r="A11" s="3" t="inlineStr">
        <is>
          <t>Thu nhập lãi và các khoản thu nhập tương tự</t>
        </is>
      </c>
      <c r="B11" s="4" t="n">
        <v>21413626000000</v>
      </c>
      <c r="C11" s="4" t="n">
        <v>25016341000000</v>
      </c>
      <c r="D11" s="4" t="n">
        <v>29001912000000</v>
      </c>
      <c r="E11" s="4" t="n">
        <v>35503251000000</v>
      </c>
      <c r="F11" s="4" t="n">
        <v>44752636000000</v>
      </c>
      <c r="G11" s="4" t="n">
        <v>56707759000000</v>
      </c>
      <c r="H11" s="4" t="n">
        <v>60089462000000</v>
      </c>
      <c r="I11" s="4" t="n">
        <v>68017450000000</v>
      </c>
    </row>
    <row r="12">
      <c r="A12" s="3" t="inlineStr">
        <is>
          <t>Chi phí lãi và các chi phí tương tự</t>
        </is>
      </c>
      <c r="B12" s="4" t="n">
        <v>-10023687000000</v>
      </c>
      <c r="C12" s="4" t="n">
        <v>-10758497000000</v>
      </c>
      <c r="D12" s="4" t="n">
        <v>-10250703000000</v>
      </c>
      <c r="E12" s="4" t="n">
        <v>-8804638000000</v>
      </c>
      <c r="F12" s="4" t="n">
        <v>-14462861000000</v>
      </c>
      <c r="G12" s="4" t="n">
        <v>-29016639000000</v>
      </c>
      <c r="H12" s="4" t="n">
        <v>-24581499000000</v>
      </c>
      <c r="I12" s="4" t="n">
        <v>-29862359000000</v>
      </c>
    </row>
    <row r="13">
      <c r="A13" s="3" t="inlineStr">
        <is>
          <t>Thu nhập lãi thuần</t>
        </is>
      </c>
      <c r="B13" s="4" t="n">
        <v>11389939000000</v>
      </c>
      <c r="C13" s="4" t="n">
        <v>14257844000000</v>
      </c>
      <c r="D13" s="4" t="n">
        <v>18751209000000</v>
      </c>
      <c r="E13" s="4" t="n">
        <v>26698613000000</v>
      </c>
      <c r="F13" s="4" t="n">
        <v>30289775000000</v>
      </c>
      <c r="G13" s="4" t="n">
        <v>27691120000000</v>
      </c>
      <c r="H13" s="4" t="n">
        <v>35507963000000</v>
      </c>
      <c r="I13" s="4" t="n">
        <v>38155091000000</v>
      </c>
    </row>
    <row r="14">
      <c r="A14" s="3" t="inlineStr">
        <is>
          <t>Thu nhập từ dịch vụ</t>
        </is>
      </c>
      <c r="B14" s="4" t="n">
        <v>4188317000000</v>
      </c>
      <c r="C14" s="4" t="n">
        <v>4884408000000</v>
      </c>
      <c r="D14" s="4" t="n">
        <v>6048443000000</v>
      </c>
      <c r="E14" s="4" t="n">
        <v>8239494000000</v>
      </c>
      <c r="F14" s="4" t="n">
        <v>10840337000000</v>
      </c>
      <c r="G14" s="4" t="n">
        <v>11378085000000</v>
      </c>
      <c r="H14" s="4" t="n">
        <v>10961642000000</v>
      </c>
      <c r="I14" s="4" t="n">
        <v>12526963000000</v>
      </c>
    </row>
    <row r="15">
      <c r="A15" s="3" t="inlineStr">
        <is>
          <t>Chi phí dịch vụ</t>
        </is>
      </c>
      <c r="B15" s="4" t="n">
        <v>-915737000000</v>
      </c>
      <c r="C15" s="4" t="n">
        <v>-1631055000000</v>
      </c>
      <c r="D15" s="4" t="n">
        <v>-1859665000000</v>
      </c>
      <c r="E15" s="4" t="n">
        <v>-1857254000000</v>
      </c>
      <c r="F15" s="4" t="n">
        <v>-2687732000000</v>
      </c>
      <c r="G15" s="4" t="n">
        <v>-2663188000000</v>
      </c>
      <c r="H15" s="4" t="n">
        <v>-2919394000000</v>
      </c>
      <c r="I15" s="4" t="n">
        <v>-3754968000000</v>
      </c>
    </row>
    <row r="16">
      <c r="A16" s="3" t="inlineStr">
        <is>
          <t>Lãi/Lỗ thuần từ hoạt động dịch vụ</t>
        </is>
      </c>
      <c r="B16" s="4" t="n">
        <v>3272580000000</v>
      </c>
      <c r="C16" s="4" t="n">
        <v>3253353000000</v>
      </c>
      <c r="D16" s="4" t="n">
        <v>4188778000000</v>
      </c>
      <c r="E16" s="4" t="n">
        <v>6382240000000</v>
      </c>
      <c r="F16" s="4" t="n">
        <v>8152605000000</v>
      </c>
      <c r="G16" s="4" t="n">
        <v>8714897000000</v>
      </c>
      <c r="H16" s="4" t="n">
        <v>8042248000000</v>
      </c>
      <c r="I16" s="4" t="n">
        <v>8771995000000</v>
      </c>
    </row>
    <row r="17">
      <c r="A17" s="3" t="inlineStr">
        <is>
          <t>Lãi/(lỗ) thuần từ hoạt động kinh doanh ngoại hối và vàng</t>
        </is>
      </c>
      <c r="B17" s="4" t="n">
        <v>233751000000</v>
      </c>
      <c r="C17" s="4" t="n">
        <v>104581000000</v>
      </c>
      <c r="D17" s="4" t="n">
        <v>745000000</v>
      </c>
      <c r="E17" s="4" t="n">
        <v>231416000000</v>
      </c>
      <c r="F17" s="4" t="n">
        <v>-275063000000</v>
      </c>
      <c r="G17" s="4" t="n">
        <v>195750000000</v>
      </c>
      <c r="H17" s="4" t="n">
        <v>592556000000</v>
      </c>
      <c r="I17" s="4" t="n">
        <v>1642201000000</v>
      </c>
    </row>
    <row r="18">
      <c r="A18" s="3" t="inlineStr">
        <is>
          <t>Lãi/(lỗ) thuần từ mua bán chứng khoán kinh doanh</t>
        </is>
      </c>
      <c r="B18" s="4" t="n">
        <v>168433000000</v>
      </c>
      <c r="C18" s="4" t="n">
        <v>397664000000</v>
      </c>
      <c r="D18" s="4" t="n">
        <v>321397000000</v>
      </c>
      <c r="E18" s="4" t="n">
        <v>152305000000</v>
      </c>
      <c r="F18" s="4" t="n">
        <v>-241845000000</v>
      </c>
      <c r="G18" s="4" t="n">
        <v>64620000000</v>
      </c>
      <c r="H18" s="4" t="n">
        <v>81301000000</v>
      </c>
      <c r="I18" s="4" t="n">
        <v>51974000000</v>
      </c>
    </row>
    <row r="19">
      <c r="A19" s="3" t="inlineStr">
        <is>
          <t>Lãi/(lỗ) thuần từ mua bán chứng khoán đầu tư</t>
        </is>
      </c>
      <c r="B19" s="4" t="n">
        <v>756585000000</v>
      </c>
      <c r="C19" s="4" t="n">
        <v>1243759000000</v>
      </c>
      <c r="D19" s="4" t="n">
        <v>1496997000000</v>
      </c>
      <c r="E19" s="4" t="n">
        <v>1804408000000</v>
      </c>
      <c r="F19" s="4" t="n">
        <v>425553000000</v>
      </c>
      <c r="G19" s="4" t="n">
        <v>925833000000</v>
      </c>
      <c r="H19" s="4" t="n">
        <v>2359057000000</v>
      </c>
      <c r="I19" s="4" t="n">
        <v>2846321000000</v>
      </c>
    </row>
    <row r="20">
      <c r="A20" s="3" t="inlineStr">
        <is>
          <t>Thu nhập khác</t>
        </is>
      </c>
      <c r="B20" s="4" t="n">
        <v>3147169000000</v>
      </c>
      <c r="C20" s="4" t="n">
        <v>4425079000000</v>
      </c>
      <c r="D20" s="4" t="n">
        <v>5460013000000</v>
      </c>
      <c r="E20" s="4" t="n">
        <v>4343731000000</v>
      </c>
      <c r="F20" s="4" t="n">
        <v>4499949000000</v>
      </c>
      <c r="G20" s="4" t="n">
        <v>6459694000000</v>
      </c>
      <c r="H20" s="4" t="n">
        <v>9324928000000</v>
      </c>
      <c r="I20" s="4" t="n">
        <v>6426334000000</v>
      </c>
    </row>
    <row r="21">
      <c r="A21" s="3" t="inlineStr">
        <is>
          <t>Chi phí khác</t>
        </is>
      </c>
      <c r="B21" s="4" t="n">
        <v>-1513392000000</v>
      </c>
      <c r="C21" s="4" t="n">
        <v>-2618351000000</v>
      </c>
      <c r="D21" s="4" t="n">
        <v>-3180804000000</v>
      </c>
      <c r="E21" s="4" t="n">
        <v>-2540485000000</v>
      </c>
      <c r="F21" s="4" t="n">
        <v>-2332574000000</v>
      </c>
      <c r="G21" s="4" t="n">
        <v>-4025578000000</v>
      </c>
      <c r="H21" s="4" t="n">
        <v>-8982217000000</v>
      </c>
      <c r="I21" s="4" t="n">
        <v>-4541992000000</v>
      </c>
    </row>
    <row r="22">
      <c r="A22" s="3" t="inlineStr">
        <is>
          <t>Lãi/(lỗ) thuần từ hoạt động khác</t>
        </is>
      </c>
      <c r="B22" s="4" t="n">
        <v>1633777000000</v>
      </c>
      <c r="C22" s="4" t="n">
        <v>1806728000000</v>
      </c>
      <c r="D22" s="4" t="n">
        <v>2279209000000</v>
      </c>
      <c r="E22" s="4" t="n">
        <v>1803246000000</v>
      </c>
      <c r="F22" s="4" t="n">
        <v>2167375000000</v>
      </c>
      <c r="G22" s="4" t="n">
        <v>2434116000000</v>
      </c>
      <c r="H22" s="4" t="n">
        <v>342711000000</v>
      </c>
      <c r="I22" s="4" t="n">
        <v>1884342000000</v>
      </c>
    </row>
    <row r="23">
      <c r="A23" s="3" t="inlineStr">
        <is>
          <t>Thu nhập từ cổ tức</t>
        </is>
      </c>
      <c r="B23" s="4" t="n">
        <v>894703000000</v>
      </c>
      <c r="C23" s="4" t="n">
        <v>4216000000</v>
      </c>
      <c r="D23" s="4" t="n">
        <v>4191000000</v>
      </c>
      <c r="E23" s="4" t="n">
        <v>4063000000</v>
      </c>
      <c r="F23" s="4" t="n">
        <v>8791000000</v>
      </c>
      <c r="G23" s="4" t="n">
        <v>34756000000</v>
      </c>
      <c r="H23" s="4" t="n">
        <v>64561000000</v>
      </c>
      <c r="I23" s="4" t="n">
        <v>39201000000</v>
      </c>
    </row>
    <row r="24">
      <c r="A24" s="3" t="inlineStr">
        <is>
          <t>Tổng thu nhập hoạt động</t>
        </is>
      </c>
      <c r="B24" s="4" t="n">
        <v>18349768000000</v>
      </c>
      <c r="C24" s="4" t="n">
        <v>21068145000000</v>
      </c>
      <c r="D24" s="4" t="n">
        <v>27042526000000</v>
      </c>
      <c r="E24" s="4" t="n">
        <v>37076291000000</v>
      </c>
      <c r="F24" s="4" t="n">
        <v>40527191000000</v>
      </c>
      <c r="G24" s="4" t="n">
        <v>40061092000000</v>
      </c>
      <c r="H24" s="4" t="n">
        <v>46990397000000</v>
      </c>
      <c r="I24" s="4" t="n">
        <v>53391125000000</v>
      </c>
    </row>
    <row r="25">
      <c r="A25" s="3" t="inlineStr">
        <is>
          <t>Chi phí quản lý doanh nghiệp</t>
        </is>
      </c>
      <c r="B25" s="4" t="n">
        <v>-5842507000000</v>
      </c>
      <c r="C25" s="4" t="n">
        <v>-7312509000000</v>
      </c>
      <c r="D25" s="4" t="n">
        <v>-8631195000000</v>
      </c>
      <c r="E25" s="4" t="n">
        <v>-11173395000000</v>
      </c>
      <c r="F25" s="4" t="n">
        <v>-13023129000000</v>
      </c>
      <c r="G25" s="4" t="n">
        <v>-13251796000000</v>
      </c>
      <c r="H25" s="4" t="n">
        <v>-15369735000000</v>
      </c>
      <c r="I25" s="4" t="n">
        <v>-16432434000000</v>
      </c>
    </row>
    <row r="26">
      <c r="A26" s="3" t="inlineStr">
        <is>
          <t>Lợi nhuận thuần hoạt động trước khi trích lập dự phòng tổn thất tín dụng</t>
        </is>
      </c>
      <c r="B26" s="4" t="n">
        <v>12507261000000</v>
      </c>
      <c r="C26" s="4" t="n">
        <v>13755636000000</v>
      </c>
      <c r="D26" s="4" t="n">
        <v>18411331000000</v>
      </c>
      <c r="E26" s="4" t="n">
        <v>25902896000000</v>
      </c>
      <c r="F26" s="4" t="n">
        <v>27504062000000</v>
      </c>
      <c r="G26" s="4" t="n">
        <v>26809296000000</v>
      </c>
      <c r="H26" s="4" t="n">
        <v>31620662000000</v>
      </c>
      <c r="I26" s="4" t="n">
        <v>36958691000000</v>
      </c>
    </row>
    <row r="27">
      <c r="A27" s="3" t="inlineStr">
        <is>
          <t>Trích lập dự phòng tổn thất tín dụng</t>
        </is>
      </c>
      <c r="B27" s="4" t="n">
        <v>-1846245000000</v>
      </c>
      <c r="C27" s="4" t="n">
        <v>-917368000000</v>
      </c>
      <c r="D27" s="4" t="n">
        <v>-2611035000000</v>
      </c>
      <c r="E27" s="4" t="n">
        <v>-2664603000000</v>
      </c>
      <c r="F27" s="4" t="n">
        <v>-1936294000000</v>
      </c>
      <c r="G27" s="4" t="n">
        <v>-3921068000000</v>
      </c>
      <c r="H27" s="4" t="n">
        <v>-4082294000000</v>
      </c>
      <c r="I27" s="4" t="n">
        <v>-4420625000000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Lưu chuyển tiền thuần từ hoạt động kinh doanh trước những thay đổi về tài sản và vốn lưu động</t>
        </is>
      </c>
      <c r="B2" s="4" t="n">
        <v>9926403000000</v>
      </c>
      <c r="C2" s="4" t="n">
        <v>13007909000000</v>
      </c>
      <c r="D2" s="4" t="n">
        <v>17631283000000</v>
      </c>
      <c r="E2" s="4" t="n">
        <v>23061616000000</v>
      </c>
      <c r="F2" s="4" t="n">
        <v>29013569000000</v>
      </c>
      <c r="G2" s="4" t="n">
        <v>24938816000000</v>
      </c>
      <c r="H2" s="4" t="n">
        <v>31037437000000</v>
      </c>
      <c r="I2" s="4" t="n">
        <v>33290586000000</v>
      </c>
    </row>
    <row r="3">
      <c r="A3" s="3" t="inlineStr">
        <is>
          <t>Thuế thu nhập doanh nghiệp đã trả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Lưu chuyển tiền thuần từ các hoạt động sản xuất kinh doanh</t>
        </is>
      </c>
      <c r="B4" s="4" t="n">
        <v>298932000000</v>
      </c>
      <c r="C4" s="4" t="n">
        <v>12631802000000</v>
      </c>
      <c r="D4" s="4" t="n">
        <v>-10088467000000</v>
      </c>
      <c r="E4" s="4" t="n">
        <v>12828221000000</v>
      </c>
      <c r="F4" s="4" t="n">
        <v>55468501000000</v>
      </c>
      <c r="G4" s="4" t="n">
        <v>12053287000000</v>
      </c>
      <c r="H4" s="4" t="n">
        <v>42376555000000</v>
      </c>
      <c r="I4" s="4" t="n">
        <v>39923618000000</v>
      </c>
    </row>
    <row r="5">
      <c r="A5" s="3" t="inlineStr">
        <is>
          <t>Mua sắm TSCĐ</t>
        </is>
      </c>
      <c r="B5" s="4" t="n">
        <v>-401574000000</v>
      </c>
      <c r="C5" s="4" t="n">
        <v>-257620000000</v>
      </c>
      <c r="D5" s="4" t="n">
        <v>-665860000000</v>
      </c>
      <c r="E5" s="4" t="n">
        <v>-939995000000</v>
      </c>
      <c r="F5" s="4" t="n">
        <v>-1110111000000</v>
      </c>
      <c r="G5" s="4" t="n">
        <v>-1232358000000</v>
      </c>
      <c r="H5" s="4" t="n">
        <v>-1618886000000</v>
      </c>
      <c r="I5" s="4" t="n">
        <v>-657030000000</v>
      </c>
    </row>
    <row r="6">
      <c r="A6" s="3" t="inlineStr">
        <is>
          <t>Tiền thu được từ thanh lý, nhượng bán tài sản cố định</t>
        </is>
      </c>
      <c r="B6" s="4" t="n">
        <v>6097000000</v>
      </c>
      <c r="C6" s="4" t="n">
        <v>31428000000</v>
      </c>
      <c r="D6" s="4" t="n">
        <v>6837000000</v>
      </c>
      <c r="E6" s="4" t="n">
        <v>57506000000</v>
      </c>
      <c r="F6" s="4" t="n">
        <v>44111000000</v>
      </c>
      <c r="G6" s="4" t="n">
        <v>22156000000</v>
      </c>
      <c r="H6" s="4" t="n">
        <v>1741528000000</v>
      </c>
      <c r="I6" s="4" t="n">
        <v>3503000000</v>
      </c>
    </row>
    <row r="7">
      <c r="A7" s="3" t="inlineStr">
        <is>
          <t>Tiền chi đầu tư, góp vốn vào các đơn vị khác</t>
        </is>
      </c>
      <c r="B7" s="4" t="n">
        <v>-799000000</v>
      </c>
      <c r="C7" s="4" t="n">
        <v>0</v>
      </c>
      <c r="D7" s="4" t="n">
        <v>0</v>
      </c>
      <c r="E7" s="4" t="n">
        <v>-1497000000</v>
      </c>
      <c r="F7" s="4" t="n">
        <v>0</v>
      </c>
      <c r="G7" s="4" t="n">
        <v>-3033432000000</v>
      </c>
      <c r="H7" s="4" t="n">
        <v>-56278000000</v>
      </c>
      <c r="I7" s="4" t="n">
        <v>-199836000000</v>
      </c>
    </row>
    <row r="8">
      <c r="A8" s="3" t="inlineStr">
        <is>
          <t>Tiền thu từ đầu tư, góp vốn vào các đơn vị khác</t>
        </is>
      </c>
      <c r="B8" s="4" t="n">
        <v>915560000000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Tiền thu cổ tức và lợi nhuận được chia từ các khoản đầu tư góp vốn dài hạn</t>
        </is>
      </c>
      <c r="B9" s="4" t="n">
        <v>275000000</v>
      </c>
      <c r="C9" s="4" t="n">
        <v>4216000000</v>
      </c>
      <c r="D9" s="4" t="n">
        <v>4191000000</v>
      </c>
      <c r="E9" s="4" t="n">
        <v>4043000000</v>
      </c>
      <c r="F9" s="4" t="n">
        <v>8776000000</v>
      </c>
      <c r="G9" s="4" t="n">
        <v>34756000000</v>
      </c>
      <c r="H9" s="4" t="n">
        <v>64561000000</v>
      </c>
      <c r="I9" s="4" t="n">
        <v>39938000000</v>
      </c>
    </row>
    <row r="10">
      <c r="A10" s="3" t="inlineStr">
        <is>
          <t>Lưu chuyển tiền thuần từ hoạt động đầu tư</t>
        </is>
      </c>
      <c r="B10" s="4" t="n">
        <v>519470000000</v>
      </c>
      <c r="C10" s="4" t="n">
        <v>-222244000000</v>
      </c>
      <c r="D10" s="4" t="n">
        <v>-655391000000</v>
      </c>
      <c r="E10" s="4" t="n">
        <v>-879943000000</v>
      </c>
      <c r="F10" s="4" t="n">
        <v>-1057275000000</v>
      </c>
      <c r="G10" s="4" t="n">
        <v>-2912466000000</v>
      </c>
      <c r="H10" s="4" t="n">
        <v>-382599000000</v>
      </c>
      <c r="I10" s="4" t="n">
        <v>-816440000000</v>
      </c>
    </row>
    <row r="11">
      <c r="A11" s="3" t="inlineStr">
        <is>
          <t>Tăng vốn cổ phần từ góp vốn và/hoặc phát hành cổ phiếu</t>
        </is>
      </c>
      <c r="B11" s="4" t="n">
        <v>0</v>
      </c>
      <c r="C11" s="4" t="n">
        <v>35428000000</v>
      </c>
      <c r="D11" s="4" t="n">
        <v>47602000000</v>
      </c>
      <c r="E11" s="4" t="n">
        <v>60053000000</v>
      </c>
      <c r="F11" s="4" t="n">
        <v>65072000000</v>
      </c>
      <c r="G11" s="4" t="n">
        <v>52664000000</v>
      </c>
      <c r="H11" s="4" t="n">
        <v>200495000000</v>
      </c>
      <c r="I11" s="4" t="n">
        <v>12320661000000</v>
      </c>
    </row>
    <row r="12">
      <c r="A12" s="3" t="inlineStr">
        <is>
          <t>Cổ tức trả cho cổ đông, lợi nhuận đã chia</t>
        </is>
      </c>
      <c r="B12" s="4" t="n">
        <v>0</v>
      </c>
      <c r="C12" s="4" t="n">
        <v>0</v>
      </c>
      <c r="D12" s="4" t="n">
        <v>-65086000000</v>
      </c>
      <c r="E12" s="4" t="n">
        <v>0</v>
      </c>
      <c r="F12" s="4" t="n">
        <v>-74648000000</v>
      </c>
      <c r="G12" s="4" t="n">
        <v>854000000</v>
      </c>
      <c r="H12" s="4" t="n">
        <v>-5210255000000</v>
      </c>
      <c r="I12" s="4" t="n">
        <v>-7084911000000</v>
      </c>
    </row>
    <row r="13">
      <c r="A13" s="3" t="inlineStr">
        <is>
          <t>Lưu chuyển tiền thuần trong kỳ</t>
        </is>
      </c>
      <c r="B13" s="4" t="n">
        <v>13699378000000</v>
      </c>
      <c r="C13" s="4" t="n">
        <v>-3094234000000</v>
      </c>
      <c r="D13" s="4" t="n">
        <v>-174546000000</v>
      </c>
      <c r="E13" s="4" t="n">
        <v>60053000000</v>
      </c>
      <c r="F13" s="4" t="n">
        <v>-709576000000</v>
      </c>
      <c r="G13" s="4" t="n">
        <v>53518000000</v>
      </c>
      <c r="H13" s="4" t="n">
        <v>-5009760000000</v>
      </c>
      <c r="I13" s="4" t="n">
        <v>5235750000000</v>
      </c>
    </row>
    <row r="14">
      <c r="A14" s="3" t="inlineStr">
        <is>
          <t>Tiền và các khoản tương đương tiền tài thời điểm đầu kỳ</t>
        </is>
      </c>
      <c r="B14" s="4" t="n">
        <v>22681199000000</v>
      </c>
      <c r="C14" s="4" t="n">
        <v>37198979000000</v>
      </c>
      <c r="D14" s="4" t="n">
        <v>46514303000000</v>
      </c>
      <c r="E14" s="4" t="n">
        <v>35595899000000</v>
      </c>
      <c r="F14" s="4" t="n">
        <v>47604230000000</v>
      </c>
      <c r="G14" s="4" t="n">
        <v>101305880000000</v>
      </c>
      <c r="H14" s="4" t="n">
        <v>110500219000000</v>
      </c>
      <c r="I14" s="4" t="n">
        <v>147484415000000</v>
      </c>
    </row>
    <row r="15">
      <c r="A15" s="3" t="inlineStr">
        <is>
          <t>Điều chỉnh ảnh hưởng của thay đổi tỷ giá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Tiền và các khoản tương đương tiền tại thời điểm cuối kỳ</t>
        </is>
      </c>
      <c r="B16" s="4" t="n">
        <v>37198979000000</v>
      </c>
      <c r="C16" s="4" t="n">
        <v>46514303000000</v>
      </c>
      <c r="D16" s="4" t="n">
        <v>35595899000000</v>
      </c>
      <c r="E16" s="4" t="n">
        <v>47604230000000</v>
      </c>
      <c r="F16" s="4" t="n">
        <v>101305880000000</v>
      </c>
      <c r="G16" s="4" t="n">
        <v>110500219000000</v>
      </c>
      <c r="H16" s="4" t="n">
        <v>147484415000000</v>
      </c>
      <c r="I16" s="4" t="n">
        <v>191827343000000</v>
      </c>
    </row>
    <row r="17">
      <c r="A17" s="3" t="inlineStr">
        <is>
          <t>Tiền thuế thu nhập thực nộp trong kỳ</t>
        </is>
      </c>
      <c r="B17" s="4" t="n">
        <v>-2140758000000</v>
      </c>
      <c r="C17" s="4" t="n">
        <v>-2678919000000</v>
      </c>
      <c r="D17" s="4" t="n">
        <v>-2881901000000</v>
      </c>
      <c r="E17" s="4" t="n">
        <v>-4829911000000</v>
      </c>
      <c r="F17" s="4" t="n">
        <v>-2301394000000</v>
      </c>
      <c r="G17" s="4" t="n">
        <v>-5048936000000</v>
      </c>
      <c r="H17" s="4" t="n">
        <v>-4089321000000</v>
      </c>
      <c r="I17" s="4" t="n">
        <v>-7177741000000</v>
      </c>
    </row>
    <row r="18">
      <c r="A18" s="3" t="inlineStr">
        <is>
          <t>Tiền gửi tại NHNN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Tăng/giảm các khoản tiền gửi và cho vay các tổ chức tín dụng khác</t>
        </is>
      </c>
      <c r="B19" s="4" t="n">
        <v>2576067000000</v>
      </c>
      <c r="C19" s="4" t="n">
        <v>2033530000000</v>
      </c>
      <c r="D19" s="4" t="n">
        <v>1401381000000</v>
      </c>
      <c r="E19" s="4" t="n">
        <v>-23454273000000</v>
      </c>
      <c r="F19" s="4" t="n">
        <v>18490986000000</v>
      </c>
      <c r="G19" s="4" t="n">
        <v>-12287858000000</v>
      </c>
      <c r="H19" s="4" t="n">
        <v>12721924000000</v>
      </c>
      <c r="I19" s="4" t="n">
        <v>1553157000000</v>
      </c>
    </row>
    <row r="20">
      <c r="A20" s="3" t="inlineStr">
        <is>
          <t>Tăng/giảm các khoản về kinh doanh chứng khoán</t>
        </is>
      </c>
      <c r="B20" s="4" t="n">
        <v>-35935551000000</v>
      </c>
      <c r="C20" s="4" t="n">
        <v>18030873000000</v>
      </c>
      <c r="D20" s="4" t="n">
        <v>-16005291000000</v>
      </c>
      <c r="E20" s="4" t="n">
        <v>-10804075000000</v>
      </c>
      <c r="F20" s="4" t="n">
        <v>13920515000000</v>
      </c>
      <c r="G20" s="4" t="n">
        <v>-19582416000000</v>
      </c>
      <c r="H20" s="4" t="n">
        <v>-31627229000000</v>
      </c>
      <c r="I20" s="4" t="n">
        <v>-9019169000000</v>
      </c>
    </row>
    <row r="21">
      <c r="A21" s="3" t="inlineStr">
        <is>
          <t>Tăng/giảm các công cụ tài chính phái sinh và các tài sản tài chính khác</t>
        </is>
      </c>
      <c r="B21" s="4" t="n">
        <v>36292000000</v>
      </c>
      <c r="C21" s="4" t="n">
        <v>0</v>
      </c>
      <c r="D21" s="4" t="n">
        <v>0</v>
      </c>
      <c r="E21" s="4" t="n">
        <v>-293768000000</v>
      </c>
      <c r="F21" s="4" t="n">
        <v>293768000000</v>
      </c>
      <c r="G21" s="4" t="n">
        <v>-143611000000</v>
      </c>
      <c r="H21" s="4" t="n">
        <v>143611000000</v>
      </c>
      <c r="I21" s="4" t="n">
        <v>0</v>
      </c>
    </row>
    <row r="22">
      <c r="A22" s="3" t="inlineStr">
        <is>
          <t>Tăng/giảm các khoản cho vay khách hàng</t>
        </is>
      </c>
      <c r="B22" s="4" t="n">
        <v>909820000000</v>
      </c>
      <c r="C22" s="4" t="n">
        <v>-70862810000000</v>
      </c>
      <c r="D22" s="4" t="n">
        <v>-46722588000000</v>
      </c>
      <c r="E22" s="4" t="n">
        <v>-69816629000000</v>
      </c>
      <c r="F22" s="4" t="n">
        <v>-73182461000000</v>
      </c>
      <c r="G22" s="4" t="n">
        <v>-98117863000000</v>
      </c>
      <c r="H22" s="4" t="n">
        <v>-113083396000000</v>
      </c>
      <c r="I22" s="4" t="n">
        <v>-135892165000000</v>
      </c>
    </row>
    <row r="23">
      <c r="A23" s="3" t="inlineStr">
        <is>
          <t>(Tăng)/Giảm lãi, phí phải thu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Tăng/giảm nguồn dự phòng để bù đắp tổn thất các khoản</t>
        </is>
      </c>
      <c r="B24" s="4" t="n">
        <v>-2553203000000</v>
      </c>
      <c r="C24" s="4" t="n">
        <v>-257259000000</v>
      </c>
      <c r="D24" s="4" t="n">
        <v>-3363570000000</v>
      </c>
      <c r="E24" s="4" t="n">
        <v>-626647000000</v>
      </c>
      <c r="F24" s="4" t="n">
        <v>-683006000000</v>
      </c>
      <c r="G24" s="4" t="n">
        <v>-2667877000000</v>
      </c>
      <c r="H24" s="4" t="n">
        <v>-2670781000000</v>
      </c>
      <c r="I24" s="4" t="n">
        <v>-2072791000000</v>
      </c>
    </row>
    <row r="25">
      <c r="A25" s="3" t="inlineStr">
        <is>
          <t>Tăng/giảm khác về tài sản hoạt động</t>
        </is>
      </c>
      <c r="B25" s="4" t="n">
        <v>-3308223000000</v>
      </c>
      <c r="C25" s="4" t="n">
        <v>-4670454000000</v>
      </c>
      <c r="D25" s="4" t="n">
        <v>-6261043000000</v>
      </c>
      <c r="E25" s="4" t="n">
        <v>-15607626000000</v>
      </c>
      <c r="F25" s="4" t="n">
        <v>-36029613000000</v>
      </c>
      <c r="G25" s="4" t="n">
        <v>-9317279000000</v>
      </c>
      <c r="H25" s="4" t="n">
        <v>34701809000000</v>
      </c>
      <c r="I25" s="4" t="n">
        <v>-29615168000000</v>
      </c>
    </row>
    <row r="26">
      <c r="A26" s="3" t="inlineStr">
        <is>
          <t>Tăng/(Giảm) các khoản nợ chính phủ và NHNN</t>
        </is>
      </c>
      <c r="B26" s="4" t="n">
        <v>4024907000000</v>
      </c>
      <c r="C26" s="4" t="n">
        <v>-4024907000000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4306722000000</v>
      </c>
    </row>
    <row r="27">
      <c r="A27" s="3" t="inlineStr">
        <is>
          <t>Tăng/(Giảm) các khoản tiền gửi và vay các TCTD khác</t>
        </is>
      </c>
      <c r="B27" s="4" t="n">
        <v>-9898265000000</v>
      </c>
      <c r="C27" s="4" t="n">
        <v>24841075000000</v>
      </c>
      <c r="D27" s="4" t="n">
        <v>-13781823000000</v>
      </c>
      <c r="E27" s="4" t="n">
        <v>64973879000000</v>
      </c>
      <c r="F27" s="4" t="n">
        <v>55104278000000</v>
      </c>
      <c r="G27" s="4" t="n">
        <v>-14389967000000</v>
      </c>
      <c r="H27" s="4" t="n">
        <v>-20933914000000</v>
      </c>
      <c r="I27" s="4" t="n">
        <v>12743888000000</v>
      </c>
    </row>
    <row r="28">
      <c r="A28" s="3" t="inlineStr">
        <is>
          <t>Tăng/(Giảm) tiền gửi của khách hàng</t>
        </is>
      </c>
      <c r="B28" s="4" t="n">
        <v>31443819000000</v>
      </c>
      <c r="C28" s="4" t="n">
        <v>27882109000000</v>
      </c>
      <c r="D28" s="4" t="n">
        <v>46161890000000</v>
      </c>
      <c r="E28" s="4" t="n">
        <v>37294716000000</v>
      </c>
      <c r="F28" s="4" t="n">
        <v>43658244000000</v>
      </c>
      <c r="G28" s="4" t="n">
        <v>96249299000000</v>
      </c>
      <c r="H28" s="4" t="n">
        <v>78742971000000</v>
      </c>
      <c r="I28" s="4" t="n">
        <v>85524799000000</v>
      </c>
    </row>
    <row r="29">
      <c r="A29" s="3" t="inlineStr">
        <is>
          <t>Tăng/(Giảm) các công cụ tài chính phái sinh và các khoản nợ tài chính khác</t>
        </is>
      </c>
      <c r="B29" s="4" t="n">
        <v>310313000000</v>
      </c>
      <c r="C29" s="4" t="n">
        <v>123695000000</v>
      </c>
      <c r="D29" s="4" t="n">
        <v>-167082000000</v>
      </c>
      <c r="E29" s="4" t="n">
        <v>-266926000000</v>
      </c>
      <c r="F29" s="4" t="n">
        <v>1851213000000</v>
      </c>
      <c r="G29" s="4" t="n">
        <v>-1851213000000</v>
      </c>
      <c r="H29" s="4" t="n">
        <v>931231000000</v>
      </c>
      <c r="I29" s="4" t="n">
        <v>1485716000000</v>
      </c>
    </row>
    <row r="30">
      <c r="A30" s="3" t="inlineStr">
        <is>
          <t>Tăng/(Giảm) vốn tài trợ, uỷ thác đầu tư của chính phủ và các TCTD khác</t>
        </is>
      </c>
      <c r="B30" s="4" t="n">
        <v>0</v>
      </c>
      <c r="C30" s="4" t="n">
        <v>0</v>
      </c>
      <c r="D30" s="4" t="n">
        <v>0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</row>
    <row r="31">
      <c r="A31" s="3" t="inlineStr">
        <is>
          <t>Tăng/(Giảm) phát hành giấy tờ có giá</t>
        </is>
      </c>
      <c r="B31" s="4" t="n">
        <v>-1762011000000</v>
      </c>
      <c r="C31" s="4" t="n">
        <v>7482675000000</v>
      </c>
      <c r="D31" s="4" t="n">
        <v>10596719000000</v>
      </c>
      <c r="E31" s="4" t="n">
        <v>5780184000000</v>
      </c>
      <c r="F31" s="4" t="n">
        <v>1026795000000</v>
      </c>
      <c r="G31" s="4" t="n">
        <v>50696681000000</v>
      </c>
      <c r="H31" s="4" t="n">
        <v>55719021000000</v>
      </c>
      <c r="I31" s="4" t="n">
        <v>74907807000000</v>
      </c>
    </row>
    <row r="32">
      <c r="A32" s="3" t="inlineStr">
        <is>
          <t>Tăng/(Giảm) lãi, phí phải trả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Tăng/(Giảm) khác về công nợ hoạt động</t>
        </is>
      </c>
      <c r="B33" s="4" t="n">
        <v>4528623000000</v>
      </c>
      <c r="C33" s="4" t="n">
        <v>-944721000000</v>
      </c>
      <c r="D33" s="4" t="n">
        <v>422272000000</v>
      </c>
      <c r="E33" s="4" t="n">
        <v>2598519000000</v>
      </c>
      <c r="F33" s="4" t="n">
        <v>2009069000000</v>
      </c>
      <c r="G33" s="4" t="n">
        <v>-1468412000000</v>
      </c>
      <c r="H33" s="4" t="n">
        <v>-3303550000000</v>
      </c>
      <c r="I33" s="4" t="n">
        <v>2712170000000</v>
      </c>
    </row>
    <row r="34">
      <c r="A34" s="3" t="inlineStr">
        <is>
          <t>Lưu chuyển tiền thuần từ hoạt động kinh doanh trước thuế thu nhập DN</t>
        </is>
      </c>
      <c r="B34" s="4" t="n">
        <v>298991000000</v>
      </c>
      <c r="C34" s="4" t="n">
        <v>12641715000000</v>
      </c>
      <c r="D34" s="4" t="n">
        <v>-10087852000000</v>
      </c>
      <c r="E34" s="4" t="n">
        <v>12838970000000</v>
      </c>
      <c r="F34" s="4" t="n">
        <v>55473357000000</v>
      </c>
      <c r="G34" s="4" t="n">
        <v>12058300000000</v>
      </c>
      <c r="H34" s="4" t="n">
        <v>42379134000000</v>
      </c>
      <c r="I34" s="4" t="n">
        <v>39925552000000</v>
      </c>
    </row>
    <row r="35">
      <c r="A35" s="3" t="inlineStr">
        <is>
          <t>Chi từ các quỹ của TCTD</t>
        </is>
      </c>
      <c r="B35" s="4" t="n">
        <v>-59000000</v>
      </c>
      <c r="C35" s="4" t="n">
        <v>-9913000000</v>
      </c>
      <c r="D35" s="4" t="n">
        <v>-615000000</v>
      </c>
      <c r="E35" s="4" t="n">
        <v>-10749000000</v>
      </c>
      <c r="F35" s="4" t="n">
        <v>-4856000000</v>
      </c>
      <c r="G35" s="4" t="n">
        <v>-5013000000</v>
      </c>
      <c r="H35" s="4" t="n">
        <v>-2579000000</v>
      </c>
      <c r="I35" s="4" t="n">
        <v>-1934000000</v>
      </c>
    </row>
    <row r="36">
      <c r="A36" s="3" t="inlineStr">
        <is>
          <t>Thu được từ nợ khó đòi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chi từ thanh lý, nhượng bán TSCĐ</t>
        </is>
      </c>
      <c r="B37" s="4" t="n">
        <v>-89000000</v>
      </c>
      <c r="C37" s="4" t="n">
        <v>-268000000</v>
      </c>
      <c r="D37" s="4" t="n">
        <v>-559000000</v>
      </c>
      <c r="E37" s="4" t="n">
        <v>0</v>
      </c>
      <c r="F37" s="4" t="n">
        <v>-51000000</v>
      </c>
      <c r="G37" s="4" t="n">
        <v>-35000000</v>
      </c>
      <c r="H37" s="4" t="n">
        <v>-1249743000000</v>
      </c>
      <c r="I37" s="4" t="n">
        <v>-3015000000</v>
      </c>
    </row>
    <row r="38">
      <c r="A38" s="3" t="inlineStr">
        <is>
          <t>Mua sắm Bất động sản đầu tư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Tiền thu từ bán, thanh lý bất động sản đầu tư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1296447000000</v>
      </c>
      <c r="H39" s="4" t="n">
        <v>736219000000</v>
      </c>
      <c r="I39" s="4" t="n">
        <v>0</v>
      </c>
    </row>
    <row r="40">
      <c r="A40" s="3" t="inlineStr">
        <is>
          <t>Tiền chi ra do bán, thanh lý 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thu từ phát hành giấy tờ có giá dài hạn đủ điều kiện tính vào vốn tự có và các khoản vốn vay dài hạn khác</t>
        </is>
      </c>
      <c r="B41" s="4" t="n">
        <v>310000000000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Tiền chi thanh toán giấy tờ có giá dài hạn đủ điều kiện tính vào vốn tự có và các khoản vốn vay dài hạn khác</t>
        </is>
      </c>
      <c r="B42" s="4" t="n">
        <v>-3010000000000</v>
      </c>
      <c r="C42" s="4" t="n">
        <v>-3200000000000</v>
      </c>
      <c r="D42" s="4" t="n">
        <v>-157713000000</v>
      </c>
      <c r="E42" s="4" t="n">
        <v>0</v>
      </c>
      <c r="F42" s="4" t="n">
        <v>-700000000000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Tiền chi ra mua cổ phiếu quỹ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thu được do bán cổ phiếu quỹ</t>
        </is>
      </c>
      <c r="B44" s="4" t="n">
        <v>16399378000000</v>
      </c>
      <c r="C44" s="4" t="n">
        <v>70338000000</v>
      </c>
      <c r="D44" s="4" t="n">
        <v>651000000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Thu nhập lãi và các khoản thu nhập tương tự nhận được</t>
        </is>
      </c>
      <c r="B45" s="4" t="n">
        <v>20445343000000</v>
      </c>
      <c r="C45" s="4" t="n">
        <v>25677175000000</v>
      </c>
      <c r="D45" s="4" t="n">
        <v>28933307000000</v>
      </c>
      <c r="E45" s="4" t="n">
        <v>35224259000000</v>
      </c>
      <c r="F45" s="4" t="n">
        <v>43558389000000</v>
      </c>
      <c r="G45" s="4" t="n">
        <v>53749365000000</v>
      </c>
      <c r="H45" s="4" t="n">
        <v>61748921000000</v>
      </c>
      <c r="I45" s="4" t="n">
        <v>67231128000000</v>
      </c>
    </row>
    <row r="46">
      <c r="A46" s="3" t="inlineStr">
        <is>
          <t>Chi phí lãi và các chi phí tương tự đã trả</t>
        </is>
      </c>
      <c r="B46" s="4" t="n">
        <v>-9797235000000</v>
      </c>
      <c r="C46" s="4" t="n">
        <v>-10865013000000</v>
      </c>
      <c r="D46" s="4" t="n">
        <v>-10155492000000</v>
      </c>
      <c r="E46" s="4" t="n">
        <v>-9042851000000</v>
      </c>
      <c r="F46" s="4" t="n">
        <v>-12185090000000</v>
      </c>
      <c r="G46" s="4" t="n">
        <v>-25941911000000</v>
      </c>
      <c r="H46" s="4" t="n">
        <v>-26124464000000</v>
      </c>
      <c r="I46" s="4" t="n">
        <v>-27761618000000</v>
      </c>
    </row>
    <row r="47">
      <c r="A47" s="3" t="inlineStr">
        <is>
          <t>Thu nhập từ hoạt động dịch vụ nhận được</t>
        </is>
      </c>
      <c r="B47" s="4" t="n">
        <v>2966562000000</v>
      </c>
      <c r="C47" s="4" t="n">
        <v>3170716000000</v>
      </c>
      <c r="D47" s="4" t="n">
        <v>4140309000000</v>
      </c>
      <c r="E47" s="4" t="n">
        <v>5958416000000</v>
      </c>
      <c r="F47" s="4" t="n">
        <v>8076844000000</v>
      </c>
      <c r="G47" s="4" t="n">
        <v>9134752000000</v>
      </c>
      <c r="H47" s="4" t="n">
        <v>7679933000000</v>
      </c>
      <c r="I47" s="4" t="n">
        <v>8396946000000</v>
      </c>
    </row>
    <row r="48">
      <c r="A48" s="3" t="inlineStr">
        <is>
          <t>Thu nhập thuần từ hoạt động kinh doanh ngoại hối và vàng</t>
        </is>
      </c>
      <c r="B48" s="4" t="n">
        <v>0</v>
      </c>
      <c r="C48" s="4" t="n">
        <v>0</v>
      </c>
      <c r="D48" s="4" t="n">
        <v>1897196000000</v>
      </c>
      <c r="E48" s="4" t="n">
        <v>2502188000000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Thu nhập từ hoạt động kinh doanh chứng khoán</t>
        </is>
      </c>
      <c r="B49" s="4" t="n">
        <v>1310321000000</v>
      </c>
      <c r="C49" s="4" t="n">
        <v>1703869000000</v>
      </c>
      <c r="D49" s="4" t="n">
        <v>0</v>
      </c>
      <c r="E49" s="4" t="n">
        <v>0</v>
      </c>
      <c r="F49" s="4" t="n">
        <v>-420995000000</v>
      </c>
      <c r="G49" s="4" t="n">
        <v>1168505000000</v>
      </c>
      <c r="H49" s="4" t="n">
        <v>3150018000000</v>
      </c>
      <c r="I49" s="4" t="n">
        <v>4478027000000</v>
      </c>
    </row>
    <row r="50">
      <c r="A50" s="3" t="inlineStr">
        <is>
          <t>Thu nhập khác</t>
        </is>
      </c>
      <c r="B50" s="4" t="n">
        <v>151294000000</v>
      </c>
      <c r="C50" s="4" t="n">
        <v>485024000000</v>
      </c>
      <c r="D50" s="4" t="n">
        <v>1190483000000</v>
      </c>
      <c r="E50" s="4" t="n">
        <v>816228000000</v>
      </c>
      <c r="F50" s="4" t="n">
        <v>605946000000</v>
      </c>
      <c r="G50" s="4" t="n">
        <v>1384616000000</v>
      </c>
      <c r="H50" s="4" t="n">
        <v>-2359679000000</v>
      </c>
      <c r="I50" s="4" t="n">
        <v>96244000000</v>
      </c>
    </row>
    <row r="51">
      <c r="A51" s="3" t="inlineStr">
        <is>
          <t>Tiền chi trả cho nhân viên và hoạt động quản lý, cộng cụ</t>
        </is>
      </c>
      <c r="B51" s="4" t="n">
        <v>-4432019000000</v>
      </c>
      <c r="C51" s="4" t="n">
        <v>-5565179000000</v>
      </c>
      <c r="D51" s="4" t="n">
        <v>-6752272000000</v>
      </c>
      <c r="E51" s="4" t="n">
        <v>-8687948000000</v>
      </c>
      <c r="F51" s="4" t="n">
        <v>-9631184000000</v>
      </c>
      <c r="G51" s="4" t="n">
        <v>-10339365000000</v>
      </c>
      <c r="H51" s="4" t="n">
        <v>-10106171000000</v>
      </c>
      <c r="I51" s="4" t="n">
        <v>-13326686000000</v>
      </c>
    </row>
    <row r="52">
      <c r="A52" s="3" t="inlineStr">
        <is>
          <t>Tiền thu các khoản nợ đã được xử lý, xóa, bù đắp bằng nguồn rủi ro</t>
        </is>
      </c>
      <c r="B52" s="4" t="n">
        <v>1422895000000</v>
      </c>
      <c r="C52" s="4" t="n">
        <v>1080236000000</v>
      </c>
      <c r="D52" s="4" t="n">
        <v>1259653000000</v>
      </c>
      <c r="E52" s="4" t="n">
        <v>1121235000000</v>
      </c>
      <c r="F52" s="4" t="n">
        <v>1311053000000</v>
      </c>
      <c r="G52" s="4" t="n">
        <v>831790000000</v>
      </c>
      <c r="H52" s="4" t="n">
        <v>1138200000000</v>
      </c>
      <c r="I52" s="4" t="n">
        <v>1354286000000</v>
      </c>
    </row>
    <row r="53">
      <c r="A53" s="3" t="inlineStr">
        <is>
          <t>Chênh lệch số tiền thực thu/thực chi từ hoạt động kinh doanh</t>
        </is>
      </c>
      <c r="B53" s="4" t="n">
        <v>1310321000000</v>
      </c>
      <c r="C53" s="4" t="n">
        <v>1703869000000</v>
      </c>
      <c r="D53" s="4" t="n">
        <v>1897196000000</v>
      </c>
      <c r="E53" s="4" t="n">
        <v>2502188000000</v>
      </c>
      <c r="F53" s="4" t="n">
        <v>-420995000000</v>
      </c>
      <c r="G53" s="4" t="n">
        <v>1168505000000</v>
      </c>
      <c r="H53" s="4" t="n">
        <v>3150018000000</v>
      </c>
      <c r="I53" s="4" t="n">
        <v>4478027000000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TCB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TÀI SẢN</t>
        </is>
      </c>
      <c r="B33" s="16">
        <f>IFERROR(INDEX(balance_sheet!$B:$I,MATCH("TỔNG TÀI SẢN",balance_sheet!$A:$A,0),MATCH(B$31,balance_sheet!$B$1:$I$1,0)),"")</f>
        <v/>
      </c>
      <c r="C33" s="16">
        <f>IFERROR(INDEX(balance_sheet!$B:$I,MATCH("TỔNG TÀI SẢN",balance_sheet!$A:$A,0),MATCH(C$31,balance_sheet!$B$1:$I$1,0)),"")</f>
        <v/>
      </c>
      <c r="D33" s="16">
        <f>IFERROR(INDEX(balance_sheet!$B:$I,MATCH("TỔNG TÀI SẢN",balance_sheet!$A:$A,0),MATCH(D$31,balance_sheet!$B$1:$I$1,0)),"")</f>
        <v/>
      </c>
      <c r="E33" s="16">
        <f>IFERROR(INDEX(balance_sheet!$B:$I,MATCH("TỔNG TÀI SẢN",balance_sheet!$A:$A,0),MATCH(E$31,balance_sheet!$B$1:$I$1,0)),"")</f>
        <v/>
      </c>
      <c r="F33" s="16">
        <f>IFERROR(INDEX(balance_sheet!$B:$I,MATCH("TỔNG TÀI SẢN",balance_sheet!$A:$A,0),MATCH(F$31,balance_sheet!$B$1:$I$1,0)),"")</f>
        <v/>
      </c>
      <c r="G33" s="16">
        <f>IFERROR(INDEX(balance_sheet!$B:$I,MATCH("TỔNG TÀI SẢN",balance_sheet!$A:$A,0),MATCH(G$31,balance_sheet!$B$1:$I$1,0)),"")</f>
        <v/>
      </c>
      <c r="H33" s="16">
        <f>IFERROR(INDEX(balance_sheet!$B:$I,MATCH("TỔNG TÀI SẢN",balance_sheet!$A:$A,0),MATCH(H$31,balance_sheet!$B$1:$I$1,0)),"")</f>
        <v/>
      </c>
      <c r="I33" s="16">
        <f>IFERROR(INDEX(balance_sheet!$B:$I,MATCH("TỔNG TÀI SẢN",balance_sheet!$A:$A,0),MATCH(I$31,balance_sheet!$B$1:$I$1,0)),"")</f>
        <v/>
      </c>
    </row>
    <row r="34">
      <c r="A34" s="3" t="inlineStr">
        <is>
          <t>TỔNG NỢ PHẢI TRẢ</t>
        </is>
      </c>
      <c r="B34" s="16">
        <f>IFERROR(INDEX(balance_sheet!$B:$I,MATCH("TỔNG NỢ PHẢI TRẢ",balance_sheet!$A:$A,0),MATCH(B$31,balance_sheet!$B$1:$I$1,0)),"")</f>
        <v/>
      </c>
      <c r="C34" s="16">
        <f>IFERROR(INDEX(balance_sheet!$B:$I,MATCH("TỔNG NỢ PHẢI TRẢ",balance_sheet!$A:$A,0),MATCH(C$31,balance_sheet!$B$1:$I$1,0)),"")</f>
        <v/>
      </c>
      <c r="D34" s="16">
        <f>IFERROR(INDEX(balance_sheet!$B:$I,MATCH("TỔNG NỢ PHẢI TRẢ",balance_sheet!$A:$A,0),MATCH(D$31,balance_sheet!$B$1:$I$1,0)),"")</f>
        <v/>
      </c>
      <c r="E34" s="16">
        <f>IFERROR(INDEX(balance_sheet!$B:$I,MATCH("TỔNG NỢ PHẢI TRẢ",balance_sheet!$A:$A,0),MATCH(E$31,balance_sheet!$B$1:$I$1,0)),"")</f>
        <v/>
      </c>
      <c r="F34" s="16">
        <f>IFERROR(INDEX(balance_sheet!$B:$I,MATCH("TỔNG NỢ PHẢI TRẢ",balance_sheet!$A:$A,0),MATCH(F$31,balance_sheet!$B$1:$I$1,0)),"")</f>
        <v/>
      </c>
      <c r="G34" s="16">
        <f>IFERROR(INDEX(balance_sheet!$B:$I,MATCH("TỔNG NỢ PHẢI TRẢ",balance_sheet!$A:$A,0),MATCH(G$31,balance_sheet!$B$1:$I$1,0)),"")</f>
        <v/>
      </c>
      <c r="H34" s="16">
        <f>IFERROR(INDEX(balance_sheet!$B:$I,MATCH("TỔNG NỢ PHẢI TRẢ",balance_sheet!$A:$A,0),MATCH(H$31,balance_sheet!$B$1:$I$1,0)),"")</f>
        <v/>
      </c>
      <c r="I34" s="16">
        <f>IFERROR(INDEX(balance_sheet!$B:$I,MATCH("TỔNG NỢ PHẢI TRẢ",balance_sheet!$A:$A,0),MATCH(I$31,balance_sheet!$B$1:$I$1,0)),"")</f>
        <v/>
      </c>
    </row>
    <row r="35">
      <c r="A35" s="3" t="inlineStr">
        <is>
          <t>Nợ ngắn hạn</t>
        </is>
      </c>
      <c r="B35" s="12" t="inlineStr">
        <is>
          <t>n/a</t>
        </is>
      </c>
      <c r="C35" s="12" t="inlineStr">
        <is>
          <t>n/a</t>
        </is>
      </c>
      <c r="D35" s="12" t="inlineStr">
        <is>
          <t>n/a</t>
        </is>
      </c>
      <c r="E35" s="12" t="inlineStr">
        <is>
          <t>n/a</t>
        </is>
      </c>
      <c r="F35" s="12" t="inlineStr">
        <is>
          <t>n/a</t>
        </is>
      </c>
      <c r="G35" s="12" t="inlineStr">
        <is>
          <t>n/a</t>
        </is>
      </c>
      <c r="H35" s="12" t="inlineStr">
        <is>
          <t>n/a</t>
        </is>
      </c>
      <c r="I35" s="12" t="inlineStr">
        <is>
          <t>n/a</t>
        </is>
      </c>
    </row>
    <row r="36">
      <c r="A36" s="3" t="inlineStr">
        <is>
          <t>Nợ dài hạn</t>
        </is>
      </c>
      <c r="B36" s="12" t="inlineStr">
        <is>
          <t>n/a</t>
        </is>
      </c>
      <c r="C36" s="12" t="inlineStr">
        <is>
          <t>n/a</t>
        </is>
      </c>
      <c r="D36" s="12" t="inlineStr">
        <is>
          <t>n/a</t>
        </is>
      </c>
      <c r="E36" s="12" t="inlineStr">
        <is>
          <t>n/a</t>
        </is>
      </c>
      <c r="F36" s="12" t="inlineStr">
        <is>
          <t>n/a</t>
        </is>
      </c>
      <c r="G36" s="12" t="inlineStr">
        <is>
          <t>n/a</t>
        </is>
      </c>
      <c r="H36" s="12" t="inlineStr">
        <is>
          <t>n/a</t>
        </is>
      </c>
      <c r="I36" s="12" t="inlineStr">
        <is>
          <t>n/a</t>
        </is>
      </c>
    </row>
    <row r="37">
      <c r="A37" s="3" t="inlineStr">
        <is>
          <t>Vay và nợ thuê tài chính ngắn hạn</t>
        </is>
      </c>
      <c r="B37" s="12" t="inlineStr">
        <is>
          <t>n/a</t>
        </is>
      </c>
      <c r="C37" s="12" t="inlineStr">
        <is>
          <t>n/a</t>
        </is>
      </c>
      <c r="D37" s="12" t="inlineStr">
        <is>
          <t>n/a</t>
        </is>
      </c>
      <c r="E37" s="12" t="inlineStr">
        <is>
          <t>n/a</t>
        </is>
      </c>
      <c r="F37" s="12" t="inlineStr">
        <is>
          <t>n/a</t>
        </is>
      </c>
      <c r="G37" s="12" t="inlineStr">
        <is>
          <t>n/a</t>
        </is>
      </c>
      <c r="H37" s="12" t="inlineStr">
        <is>
          <t>n/a</t>
        </is>
      </c>
      <c r="I37" s="12" t="inlineStr">
        <is>
          <t>n/a</t>
        </is>
      </c>
    </row>
    <row r="38">
      <c r="A38" s="3" t="inlineStr">
        <is>
          <t>Vay và nợ thuê tài chính dài hạn</t>
        </is>
      </c>
      <c r="B38" s="12" t="inlineStr">
        <is>
          <t>n/a</t>
        </is>
      </c>
      <c r="C38" s="12" t="inlineStr">
        <is>
          <t>n/a</t>
        </is>
      </c>
      <c r="D38" s="12" t="inlineStr">
        <is>
          <t>n/a</t>
        </is>
      </c>
      <c r="E38" s="12" t="inlineStr">
        <is>
          <t>n/a</t>
        </is>
      </c>
      <c r="F38" s="12" t="inlineStr">
        <is>
          <t>n/a</t>
        </is>
      </c>
      <c r="G38" s="12" t="inlineStr">
        <is>
          <t>n/a</t>
        </is>
      </c>
      <c r="H38" s="12" t="inlineStr">
        <is>
          <t>n/a</t>
        </is>
      </c>
      <c r="I38" s="12" t="inlineStr">
        <is>
          <t>n/a</t>
        </is>
      </c>
    </row>
    <row r="39">
      <c r="A39" s="3" t="inlineStr">
        <is>
          <t>Tổng thu nhập hoạt động</t>
        </is>
      </c>
      <c r="B39" s="16">
        <f>IFERROR(INDEX(income_statement!$B:$I,MATCH("Tổng thu nhập hoạt động",income_statement!$A:$A,0),MATCH(B$31,income_statement!$B$1:$I$1,0)),"")</f>
        <v/>
      </c>
      <c r="C39" s="16">
        <f>IFERROR(INDEX(income_statement!$B:$I,MATCH("Tổng thu nhập hoạt động",income_statement!$A:$A,0),MATCH(C$31,income_statement!$B$1:$I$1,0)),"")</f>
        <v/>
      </c>
      <c r="D39" s="16">
        <f>IFERROR(INDEX(income_statement!$B:$I,MATCH("Tổng thu nhập hoạt động",income_statement!$A:$A,0),MATCH(D$31,income_statement!$B$1:$I$1,0)),"")</f>
        <v/>
      </c>
      <c r="E39" s="16">
        <f>IFERROR(INDEX(income_statement!$B:$I,MATCH("Tổng thu nhập hoạt động",income_statement!$A:$A,0),MATCH(E$31,income_statement!$B$1:$I$1,0)),"")</f>
        <v/>
      </c>
      <c r="F39" s="16">
        <f>IFERROR(INDEX(income_statement!$B:$I,MATCH("Tổng thu nhập hoạt động",income_statement!$A:$A,0),MATCH(F$31,income_statement!$B$1:$I$1,0)),"")</f>
        <v/>
      </c>
      <c r="G39" s="16">
        <f>IFERROR(INDEX(income_statement!$B:$I,MATCH("Tổng thu nhập hoạt động",income_statement!$A:$A,0),MATCH(G$31,income_statement!$B$1:$I$1,0)),"")</f>
        <v/>
      </c>
      <c r="H39" s="16">
        <f>IFERROR(INDEX(income_statement!$B:$I,MATCH("Tổng thu nhập hoạt động",income_statement!$A:$A,0),MATCH(H$31,income_statement!$B$1:$I$1,0)),"")</f>
        <v/>
      </c>
      <c r="I39" s="16">
        <f>IFERROR(INDEX(income_statement!$B:$I,MATCH("Tổng thu nhập hoạt động",income_statement!$A:$A,0),MATCH(I$31,income_statement!$B$1:$I$1,0)),"")</f>
        <v/>
      </c>
    </row>
    <row r="40">
      <c r="A40" s="3" t="inlineStr">
        <is>
          <t>Giá vốn hàng bán / Chi phí hoạt động</t>
        </is>
      </c>
      <c r="B40" s="12" t="inlineStr">
        <is>
          <t>n/a</t>
        </is>
      </c>
      <c r="C40" s="12" t="inlineStr">
        <is>
          <t>n/a</t>
        </is>
      </c>
      <c r="D40" s="12" t="inlineStr">
        <is>
          <t>n/a</t>
        </is>
      </c>
      <c r="E40" s="12" t="inlineStr">
        <is>
          <t>n/a</t>
        </is>
      </c>
      <c r="F40" s="12" t="inlineStr">
        <is>
          <t>n/a</t>
        </is>
      </c>
      <c r="G40" s="12" t="inlineStr">
        <is>
          <t>n/a</t>
        </is>
      </c>
      <c r="H40" s="12" t="inlineStr">
        <is>
          <t>n/a</t>
        </is>
      </c>
      <c r="I40" s="12" t="inlineStr">
        <is>
          <t>n/a</t>
        </is>
      </c>
    </row>
    <row r="41">
      <c r="A41" s="3" t="inlineStr">
        <is>
          <t>Lợi nhuận gộp</t>
        </is>
      </c>
      <c r="B41" s="12" t="inlineStr">
        <is>
          <t>n/a</t>
        </is>
      </c>
      <c r="C41" s="12" t="inlineStr">
        <is>
          <t>n/a</t>
        </is>
      </c>
      <c r="D41" s="12" t="inlineStr">
        <is>
          <t>n/a</t>
        </is>
      </c>
      <c r="E41" s="12" t="inlineStr">
        <is>
          <t>n/a</t>
        </is>
      </c>
      <c r="F41" s="12" t="inlineStr">
        <is>
          <t>n/a</t>
        </is>
      </c>
      <c r="G41" s="12" t="inlineStr">
        <is>
          <t>n/a</t>
        </is>
      </c>
      <c r="H41" s="12" t="inlineStr">
        <is>
          <t>n/a</t>
        </is>
      </c>
      <c r="I41" s="12" t="inlineStr">
        <is>
          <t>n/a</t>
        </is>
      </c>
    </row>
    <row r="42">
      <c r="A42" s="3" t="inlineStr">
        <is>
          <t>Chi phí bán hàng</t>
        </is>
      </c>
      <c r="B42" s="12" t="inlineStr">
        <is>
          <t>n/a</t>
        </is>
      </c>
      <c r="C42" s="12" t="inlineStr">
        <is>
          <t>n/a</t>
        </is>
      </c>
      <c r="D42" s="12" t="inlineStr">
        <is>
          <t>n/a</t>
        </is>
      </c>
      <c r="E42" s="12" t="inlineStr">
        <is>
          <t>n/a</t>
        </is>
      </c>
      <c r="F42" s="12" t="inlineStr">
        <is>
          <t>n/a</t>
        </is>
      </c>
      <c r="G42" s="12" t="inlineStr">
        <is>
          <t>n/a</t>
        </is>
      </c>
      <c r="H42" s="12" t="inlineStr">
        <is>
          <t>n/a</t>
        </is>
      </c>
      <c r="I42" s="12" t="inlineStr">
        <is>
          <t>n/a</t>
        </is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Lợi nhuận thuần hoạt động trước khi trích lập dự phòng tổn thất tín dụng</t>
        </is>
      </c>
      <c r="B44" s="16">
        <f>IFERROR(INDEX(income_statement!$B:$I,MATCH("Lợi nhuận thuần hoạt động trước khi trích lập dự phòng tổn thất tín dụng",income_statement!$A:$A,0),MATCH(B$31,income_statement!$B$1:$I$1,0)),"")</f>
        <v/>
      </c>
      <c r="C44" s="16">
        <f>IFERROR(INDEX(income_statement!$B:$I,MATCH("Lợi nhuận thuần hoạt động trước khi trích lập dự phòng tổn thất tín dụng",income_statement!$A:$A,0),MATCH(C$31,income_statement!$B$1:$I$1,0)),"")</f>
        <v/>
      </c>
      <c r="D44" s="16">
        <f>IFERROR(INDEX(income_statement!$B:$I,MATCH("Lợi nhuận thuần hoạt động trước khi trích lập dự phòng tổn thất tín dụng",income_statement!$A:$A,0),MATCH(D$31,income_statement!$B$1:$I$1,0)),"")</f>
        <v/>
      </c>
      <c r="E44" s="16">
        <f>IFERROR(INDEX(income_statement!$B:$I,MATCH("Lợi nhuận thuần hoạt động trước khi trích lập dự phòng tổn thất tín dụng",income_statement!$A:$A,0),MATCH(E$31,income_statement!$B$1:$I$1,0)),"")</f>
        <v/>
      </c>
      <c r="F44" s="16">
        <f>IFERROR(INDEX(income_statement!$B:$I,MATCH("Lợi nhuận thuần hoạt động trước khi trích lập dự phòng tổn thất tín dụng",income_statement!$A:$A,0),MATCH(F$31,income_statement!$B$1:$I$1,0)),"")</f>
        <v/>
      </c>
      <c r="G44" s="16">
        <f>IFERROR(INDEX(income_statement!$B:$I,MATCH("Lợi nhuận thuần hoạt động trước khi trích lập dự phòng tổn thất tín dụng",income_statement!$A:$A,0),MATCH(G$31,income_statement!$B$1:$I$1,0)),"")</f>
        <v/>
      </c>
      <c r="H44" s="16">
        <f>IFERROR(INDEX(income_statement!$B:$I,MATCH("Lợi nhuận thuần hoạt động trước khi trích lập dự phòng tổn thất tín dụng",income_statement!$A:$A,0),MATCH(H$31,income_statement!$B$1:$I$1,0)),"")</f>
        <v/>
      </c>
      <c r="I44" s="16">
        <f>IFERROR(INDEX(income_statement!$B:$I,MATCH("Lợi nhuận thuần hoạt động trước khi trích lập dự phòng tổn thất tín dụng",income_statement!$A:$A,0),MATCH(I$31,income_statement!$B$1:$I$1,0)),"")</f>
        <v/>
      </c>
    </row>
    <row r="45">
      <c r="A45" s="3" t="inlineStr">
        <is>
          <t>Chi phí lãi và các chi phí tương tự</t>
        </is>
      </c>
      <c r="B45" s="16">
        <f>IFERROR(INDEX(income_statement!$B:$I,MATCH("Chi phí lãi và các chi phí tương tự",income_statement!$A:$A,0),MATCH(B$31,income_statement!$B$1:$I$1,0)),"")</f>
        <v/>
      </c>
      <c r="C45" s="16">
        <f>IFERROR(INDEX(income_statement!$B:$I,MATCH("Chi phí lãi và các chi phí tương tự",income_statement!$A:$A,0),MATCH(C$31,income_statement!$B$1:$I$1,0)),"")</f>
        <v/>
      </c>
      <c r="D45" s="16">
        <f>IFERROR(INDEX(income_statement!$B:$I,MATCH("Chi phí lãi và các chi phí tương tự",income_statement!$A:$A,0),MATCH(D$31,income_statement!$B$1:$I$1,0)),"")</f>
        <v/>
      </c>
      <c r="E45" s="16">
        <f>IFERROR(INDEX(income_statement!$B:$I,MATCH("Chi phí lãi và các chi phí tương tự",income_statement!$A:$A,0),MATCH(E$31,income_statement!$B$1:$I$1,0)),"")</f>
        <v/>
      </c>
      <c r="F45" s="16">
        <f>IFERROR(INDEX(income_statement!$B:$I,MATCH("Chi phí lãi và các chi phí tương tự",income_statement!$A:$A,0),MATCH(F$31,income_statement!$B$1:$I$1,0)),"")</f>
        <v/>
      </c>
      <c r="G45" s="16">
        <f>IFERROR(INDEX(income_statement!$B:$I,MATCH("Chi phí lãi và các chi phí tương tự",income_statement!$A:$A,0),MATCH(G$31,income_statement!$B$1:$I$1,0)),"")</f>
        <v/>
      </c>
      <c r="H45" s="16">
        <f>IFERROR(INDEX(income_statement!$B:$I,MATCH("Chi phí lãi và các chi phí tương tự",income_statement!$A:$A,0),MATCH(H$31,income_statement!$B$1:$I$1,0)),"")</f>
        <v/>
      </c>
      <c r="I45" s="16">
        <f>IFERROR(INDEX(income_statement!$B:$I,MATCH("Chi phí lãi và các chi phí tương tự",income_statement!$A:$A,0),MATCH(I$31,income_statement!$B$1:$I$1,0)),"")</f>
        <v/>
      </c>
    </row>
    <row r="46">
      <c r="A46" s="3" t="inlineStr">
        <is>
          <t>Lợi nhuận sau thuế</t>
        </is>
      </c>
      <c r="B46" s="16">
        <f>IFERROR(INDEX(income_statement!$B:$I,MATCH("Lợi nhuận sau thuế",income_statement!$A:$A,0),MATCH(B$31,income_statement!$B$1:$I$1,0)),"")</f>
        <v/>
      </c>
      <c r="C46" s="16">
        <f>IFERROR(INDEX(income_statement!$B:$I,MATCH("Lợi nhuận sau thuế",income_statement!$A:$A,0),MATCH(C$31,income_statement!$B$1:$I$1,0)),"")</f>
        <v/>
      </c>
      <c r="D46" s="16">
        <f>IFERROR(INDEX(income_statement!$B:$I,MATCH("Lợi nhuận sau thuế",income_statement!$A:$A,0),MATCH(D$31,income_statement!$B$1:$I$1,0)),"")</f>
        <v/>
      </c>
      <c r="E46" s="16">
        <f>IFERROR(INDEX(income_statement!$B:$I,MATCH("Lợi nhuận sau thuế",income_statement!$A:$A,0),MATCH(E$31,income_statement!$B$1:$I$1,0)),"")</f>
        <v/>
      </c>
      <c r="F46" s="16">
        <f>IFERROR(INDEX(income_statement!$B:$I,MATCH("Lợi nhuận sau thuế",income_statement!$A:$A,0),MATCH(F$31,income_statement!$B$1:$I$1,0)),"")</f>
        <v/>
      </c>
      <c r="G46" s="16">
        <f>IFERROR(INDEX(income_statement!$B:$I,MATCH("Lợi nhuận sau thuế",income_statement!$A:$A,0),MATCH(G$31,income_statement!$B$1:$I$1,0)),"")</f>
        <v/>
      </c>
      <c r="H46" s="16">
        <f>IFERROR(INDEX(income_statement!$B:$I,MATCH("Lợi nhuận sau thuế",income_statement!$A:$A,0),MATCH(H$31,income_statement!$B$1:$I$1,0)),"")</f>
        <v/>
      </c>
      <c r="I46" s="16">
        <f>IFERROR(INDEX(income_statement!$B:$I,MATCH("Lợi nhuận sau thuế",income_statement!$A:$A,0),MATCH(I$31,income_statement!$B$1:$I$1,0)),"")</f>
        <v/>
      </c>
    </row>
    <row r="47">
      <c r="A47" s="3" t="inlineStr">
        <is>
          <t>Cổ đông của Công ty mẹ</t>
        </is>
      </c>
      <c r="B47" s="16">
        <f>IFERROR(INDEX(income_statement!$B:$I,MATCH("Cổ đông của Công ty mẹ",income_statement!$A:$A,0),MATCH(B$31,income_statement!$B$1:$I$1,0)),"")</f>
        <v/>
      </c>
      <c r="C47" s="16">
        <f>IFERROR(INDEX(income_statement!$B:$I,MATCH("Cổ đông của Công ty mẹ",income_statement!$A:$A,0),MATCH(C$31,income_statement!$B$1:$I$1,0)),"")</f>
        <v/>
      </c>
      <c r="D47" s="16">
        <f>IFERROR(INDEX(income_statement!$B:$I,MATCH("Cổ đông của Công ty mẹ",income_statement!$A:$A,0),MATCH(D$31,income_statement!$B$1:$I$1,0)),"")</f>
        <v/>
      </c>
      <c r="E47" s="16">
        <f>IFERROR(INDEX(income_statement!$B:$I,MATCH("Cổ đông của Công ty mẹ",income_statement!$A:$A,0),MATCH(E$31,income_statement!$B$1:$I$1,0)),"")</f>
        <v/>
      </c>
      <c r="F47" s="16">
        <f>IFERROR(INDEX(income_statement!$B:$I,MATCH("Cổ đông của Công ty mẹ",income_statement!$A:$A,0),MATCH(F$31,income_statement!$B$1:$I$1,0)),"")</f>
        <v/>
      </c>
      <c r="G47" s="16">
        <f>IFERROR(INDEX(income_statement!$B:$I,MATCH("Cổ đông của Công ty mẹ",income_statement!$A:$A,0),MATCH(G$31,income_statement!$B$1:$I$1,0)),"")</f>
        <v/>
      </c>
      <c r="H47" s="16">
        <f>IFERROR(INDEX(income_statement!$B:$I,MATCH("Cổ đông của Công ty mẹ",income_statement!$A:$A,0),MATCH(H$31,income_statement!$B$1:$I$1,0)),"")</f>
        <v/>
      </c>
      <c r="I47" s="16">
        <f>IFERROR(INDEX(income_statement!$B:$I,MATCH("Cổ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2" t="inlineStr">
        <is>
          <t>n/a</t>
        </is>
      </c>
      <c r="C48" s="12" t="inlineStr">
        <is>
          <t>n/a</t>
        </is>
      </c>
      <c r="D48" s="12" t="inlineStr">
        <is>
          <t>n/a</t>
        </is>
      </c>
      <c r="E48" s="12" t="inlineStr">
        <is>
          <t>n/a</t>
        </is>
      </c>
      <c r="F48" s="12" t="inlineStr">
        <is>
          <t>n/a</t>
        </is>
      </c>
      <c r="G48" s="12" t="inlineStr">
        <is>
          <t>n/a</t>
        </is>
      </c>
      <c r="H48" s="12" t="inlineStr">
        <is>
          <t>n/a</t>
        </is>
      </c>
      <c r="I48" s="12" t="inlineStr">
        <is>
          <t>n/a</t>
        </is>
      </c>
    </row>
    <row r="49">
      <c r="A49" s="3" t="inlineStr">
        <is>
          <t>Phải trả người bán</t>
        </is>
      </c>
      <c r="B49" s="12" t="inlineStr">
        <is>
          <t>n/a</t>
        </is>
      </c>
      <c r="C49" s="12" t="inlineStr">
        <is>
          <t>n/a</t>
        </is>
      </c>
      <c r="D49" s="12" t="inlineStr">
        <is>
          <t>n/a</t>
        </is>
      </c>
      <c r="E49" s="12" t="inlineStr">
        <is>
          <t>n/a</t>
        </is>
      </c>
      <c r="F49" s="12" t="inlineStr">
        <is>
          <t>n/a</t>
        </is>
      </c>
      <c r="G49" s="12" t="inlineStr">
        <is>
          <t>n/a</t>
        </is>
      </c>
      <c r="H49" s="12" t="inlineStr">
        <is>
          <t>n/a</t>
        </is>
      </c>
      <c r="I49" s="12" t="inlineStr">
        <is>
          <t>n/a</t>
        </is>
      </c>
    </row>
    <row r="50">
      <c r="A50" s="3" t="inlineStr">
        <is>
          <t>Hàng tồn kho, ròng</t>
        </is>
      </c>
      <c r="B50" s="12" t="inlineStr">
        <is>
          <t>n/a</t>
        </is>
      </c>
      <c r="C50" s="12" t="inlineStr">
        <is>
          <t>n/a</t>
        </is>
      </c>
      <c r="D50" s="12" t="inlineStr">
        <is>
          <t>n/a</t>
        </is>
      </c>
      <c r="E50" s="12" t="inlineStr">
        <is>
          <t>n/a</t>
        </is>
      </c>
      <c r="F50" s="12" t="inlineStr">
        <is>
          <t>n/a</t>
        </is>
      </c>
      <c r="G50" s="12" t="inlineStr">
        <is>
          <t>n/a</t>
        </is>
      </c>
      <c r="H50" s="12" t="inlineStr">
        <is>
          <t>n/a</t>
        </is>
      </c>
      <c r="I50" s="12" t="inlineStr">
        <is>
          <t>n/a</t>
        </is>
      </c>
    </row>
    <row r="51">
      <c r="A51" s="3" t="inlineStr">
        <is>
          <t>Tiền mặt, vàng bạc, đá quý</t>
        </is>
      </c>
      <c r="B51" s="16">
        <f>IFERROR(INDEX(balance_sheet!$B:$I,MATCH("Tiền mặt, vàng bạc, đá quý",balance_sheet!$A:$A,0),MATCH(B$31,balance_sheet!$B$1:$I$1,0)),"")</f>
        <v/>
      </c>
      <c r="C51" s="16">
        <f>IFERROR(INDEX(balance_sheet!$B:$I,MATCH("Tiền mặt, vàng bạc, đá quý",balance_sheet!$A:$A,0),MATCH(C$31,balance_sheet!$B$1:$I$1,0)),"")</f>
        <v/>
      </c>
      <c r="D51" s="16">
        <f>IFERROR(INDEX(balance_sheet!$B:$I,MATCH("Tiền mặt, vàng bạc, đá quý",balance_sheet!$A:$A,0),MATCH(D$31,balance_sheet!$B$1:$I$1,0)),"")</f>
        <v/>
      </c>
      <c r="E51" s="16">
        <f>IFERROR(INDEX(balance_sheet!$B:$I,MATCH("Tiền mặt, vàng bạc, đá quý",balance_sheet!$A:$A,0),MATCH(E$31,balance_sheet!$B$1:$I$1,0)),"")</f>
        <v/>
      </c>
      <c r="F51" s="16">
        <f>IFERROR(INDEX(balance_sheet!$B:$I,MATCH("Tiền mặt, vàng bạc, đá quý",balance_sheet!$A:$A,0),MATCH(F$31,balance_sheet!$B$1:$I$1,0)),"")</f>
        <v/>
      </c>
      <c r="G51" s="16">
        <f>IFERROR(INDEX(balance_sheet!$B:$I,MATCH("Tiền mặt, vàng bạc, đá quý",balance_sheet!$A:$A,0),MATCH(G$31,balance_sheet!$B$1:$I$1,0)),"")</f>
        <v/>
      </c>
      <c r="H51" s="16">
        <f>IFERROR(INDEX(balance_sheet!$B:$I,MATCH("Tiền mặt, vàng bạc, đá quý",balance_sheet!$A:$A,0),MATCH(H$31,balance_sheet!$B$1:$I$1,0)),"")</f>
        <v/>
      </c>
      <c r="I51" s="16">
        <f>IFERROR(INDEX(balance_sheet!$B:$I,MATCH("Tiền mặt, vàng bạc, đá quý",balance_sheet!$A:$A,0),MATCH(I$31,balance_sheet!$B$1:$I$1,0)),"")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2026-08-20T09:18:04Z</dcterms:created>
  <dcterms:modified xsi:type="dcterms:W3CDTF">2026-08-20T09:18:04Z</dcterms:modified>
</cp:coreProperties>
</file>
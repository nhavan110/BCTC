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(* #,##0_);_(* \(#,##0\);_(* &quot;-&quot;??_);_(@_)"/>
    <numFmt numFmtId="166" formatCode="0.0%"/>
  </numFmts>
  <fonts count="16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0" fontId="6" fillId="3" borderId="3" pivotButton="0" quotePrefix="0" xfId="0"/>
    <xf numFmtId="10" fontId="7" fillId="4" borderId="3" pivotButton="0" quotePrefix="0" xfId="0"/>
    <xf numFmtId="9" fontId="7" fillId="4" borderId="3" pivotButton="0" quotePrefix="0" xfId="0"/>
    <xf numFmtId="9" fontId="7" fillId="5" borderId="3" pivotButton="0" quotePrefix="0" xfId="0"/>
    <xf numFmtId="0" fontId="8" fillId="3" borderId="3" pivotButton="0" quotePrefix="0" xfId="0"/>
    <xf numFmtId="10" fontId="7" fillId="3" borderId="3" pivotButton="0" quotePrefix="0" xfId="0"/>
    <xf numFmtId="0" fontId="4" fillId="6" borderId="3" pivotButton="0" quotePrefix="0" xfId="0"/>
    <xf numFmtId="0" fontId="7" fillId="6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3" fontId="4" fillId="0" borderId="3" applyAlignment="1" pivotButton="0" quotePrefix="0" xfId="0">
      <alignment horizontal="center"/>
    </xf>
    <xf numFmtId="3" fontId="7" fillId="0" borderId="0" pivotButton="0" quotePrefix="0" xfId="0"/>
    <xf numFmtId="0" fontId="5" fillId="0" borderId="3" pivotButton="0" quotePrefix="0" xfId="0"/>
    <xf numFmtId="3" fontId="9" fillId="0" borderId="3" pivotButton="0" quotePrefix="0" xfId="0"/>
    <xf numFmtId="3" fontId="10" fillId="0" borderId="3" pivotButton="0" quotePrefix="0" xfId="0"/>
    <xf numFmtId="0" fontId="11" fillId="0" borderId="3" pivotButton="0" quotePrefix="0" xfId="0"/>
    <xf numFmtId="3" fontId="12" fillId="0" borderId="3" pivotButton="0" quotePrefix="0" xfId="0"/>
    <xf numFmtId="3" fontId="11" fillId="0" borderId="0" pivotButton="0" quotePrefix="0" xfId="0"/>
    <xf numFmtId="0" fontId="4" fillId="0" borderId="0" pivotButton="0" quotePrefix="0" xfId="0"/>
    <xf numFmtId="3" fontId="9" fillId="0" borderId="0" pivotButton="0" quotePrefix="0" xfId="0"/>
    <xf numFmtId="3" fontId="13" fillId="0" borderId="3" pivotButton="0" quotePrefix="0" xfId="0"/>
    <xf numFmtId="0" fontId="14" fillId="0" borderId="3" pivotButton="0" quotePrefix="0" xfId="0"/>
    <xf numFmtId="9" fontId="14" fillId="0" borderId="3" pivotButton="0" quotePrefix="0" xfId="0"/>
    <xf numFmtId="3" fontId="15" fillId="0" borderId="0" pivotButton="0" quotePrefix="0" xfId="0"/>
    <xf numFmtId="0" fontId="7" fillId="0" borderId="3" pivotButton="0" quotePrefix="0" xfId="0"/>
    <xf numFmtId="3" fontId="7" fillId="0" borderId="3" pivotButton="0" quotePrefix="0" xfId="0"/>
    <xf numFmtId="165" fontId="7" fillId="0" borderId="0" pivotButton="0" quotePrefix="0" xfId="0"/>
    <xf numFmtId="9" fontId="7" fillId="0" borderId="0" pivotButton="0" quotePrefix="0" xfId="0"/>
    <xf numFmtId="3" fontId="11" fillId="0" borderId="3" pivotButton="0" quotePrefix="0" xfId="0"/>
    <xf numFmtId="0" fontId="11" fillId="0" borderId="0" pivotButton="0" quotePrefix="0" xfId="0"/>
    <xf numFmtId="43" fontId="11" fillId="0" borderId="0" pivotButton="0" quotePrefix="0" xfId="0"/>
    <xf numFmtId="2" fontId="11" fillId="0" borderId="3" pivotButton="0" quotePrefix="0" xfId="0"/>
    <xf numFmtId="166" fontId="11" fillId="0" borderId="0" pivotButton="0" quotePrefix="0" xfId="0"/>
    <xf numFmtId="0" fontId="6" fillId="0" borderId="3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3" fontId="6" fillId="0" borderId="3" applyAlignment="1" pivotButton="0" quotePrefix="0" xfId="0">
      <alignment wrapText="1"/>
    </xf>
    <xf numFmtId="9" fontId="6" fillId="0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70AD47"/>
          <b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60.875" customWidth="1" min="1" max="1"/>
    <col width="17.125" customWidth="1" min="2" max="2"/>
    <col width="10.625" customWidth="1" min="3" max="3"/>
    <col width="20.375" customWidth="1" min="9" max="9"/>
    <col width="19.62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n"/>
      <c r="C2" s="9">
        <f>IFERROR(C$60/AVERAGE(B$48,C$48),"n/a")</f>
        <v/>
      </c>
      <c r="D2" s="9">
        <f>IFERROR(D$60/AVERAGE(C$48,D$48),"n/a")</f>
        <v/>
      </c>
      <c r="E2" s="9">
        <f>IFERROR(E$60/AVERAGE(D$48,E$48),"n/a")</f>
        <v/>
      </c>
      <c r="F2" s="9">
        <f>IFERROR(F$60/AVERAGE(E$48,F$48),"n/a")</f>
        <v/>
      </c>
      <c r="G2" s="9">
        <f>IFERROR(G$60/AVERAGE(F$48,G$48),"n/a")</f>
        <v/>
      </c>
      <c r="H2" s="9">
        <f>IFERROR(H$60/AVERAGE(G$48,H$48),"n/a")</f>
        <v/>
      </c>
      <c r="I2" s="9">
        <f>IFERROR(I$60/AVERAGE(H$48,I$48),"n/a")</f>
        <v/>
      </c>
    </row>
    <row r="3">
      <c r="A3" s="7" t="inlineStr">
        <is>
          <t>Tăng trưởng LNST</t>
        </is>
      </c>
      <c r="B3" s="8" t="n"/>
      <c r="C3" s="10">
        <f>IFERROR((C$60-B$60)/ABS(B$60),"n/a")</f>
        <v/>
      </c>
      <c r="D3" s="10">
        <f>IFERROR((D$60-C$60)/ABS(C$60),"n/a")</f>
        <v/>
      </c>
      <c r="E3" s="10">
        <f>IFERROR((E$60-D$60)/ABS(D$60),"n/a")</f>
        <v/>
      </c>
      <c r="F3" s="10">
        <f>IFERROR((F$60-E$60)/ABS(E$60),"n/a")</f>
        <v/>
      </c>
      <c r="G3" s="10">
        <f>IFERROR((G$60-F$60)/ABS(F$60),"n/a")</f>
        <v/>
      </c>
      <c r="H3" s="10">
        <f>IFERROR((H$60-G$60)/ABS(G$60),"n/a")</f>
        <v/>
      </c>
      <c r="I3" s="10">
        <f>IFERROR((I$60-H$60)/ABS(H$60),"n/a")</f>
        <v/>
      </c>
      <c r="J3" s="10">
        <f>IFERROR((J$60-I$60)/ABS(I$60),"n/a")</f>
        <v/>
      </c>
    </row>
    <row r="4">
      <c r="A4" s="7" t="inlineStr">
        <is>
          <t>Tăng trưởng thu nhập hoạt động</t>
        </is>
      </c>
      <c r="B4" s="8" t="n"/>
      <c r="C4" s="11">
        <f>IFERROR((C$54-B$54)/ABS(B$54),"n/a")</f>
        <v/>
      </c>
      <c r="D4" s="11">
        <f>IFERROR((D$54-C$54)/ABS(C$54),"n/a")</f>
        <v/>
      </c>
      <c r="E4" s="11">
        <f>IFERROR((E$54-D$54)/ABS(D$54),"n/a")</f>
        <v/>
      </c>
      <c r="F4" s="11">
        <f>IFERROR((F$54-E$54)/ABS(E$54),"n/a")</f>
        <v/>
      </c>
      <c r="G4" s="11">
        <f>IFERROR((G$54-F$54)/ABS(F$54),"n/a")</f>
        <v/>
      </c>
      <c r="H4" s="11">
        <f>IFERROR((H$54-G$54)/ABS(G$54),"n/a")</f>
        <v/>
      </c>
      <c r="I4" s="11">
        <f>IFERROR((I$54-H$54)/ABS(H$54),"n/a")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IFERROR(B$54/AVERAGE(B$42,A42),"n/a")</f>
        <v/>
      </c>
      <c r="C6" s="8">
        <f>IFERROR(C$54/AVERAGE(C$42,B42),"n/a")</f>
        <v/>
      </c>
      <c r="D6" s="8">
        <f>IFERROR(D$54/AVERAGE(D$42,C42),"n/a")</f>
        <v/>
      </c>
      <c r="E6" s="8">
        <f>IFERROR(E$54/AVERAGE(E$42,D42),"n/a")</f>
        <v/>
      </c>
      <c r="F6" s="8">
        <f>IFERROR(F$54/AVERAGE(F$42,E42),"n/a")</f>
        <v/>
      </c>
      <c r="G6" s="8">
        <f>IFERROR(G$54/AVERAGE(G$42,F42),"n/a")</f>
        <v/>
      </c>
      <c r="H6" s="8">
        <f>IFERROR(H$54/AVERAGE(H$42,G42),"n/a")</f>
        <v/>
      </c>
      <c r="I6" s="8">
        <f>IFERROR(I$54/AVERAGE(I$42,H42),"n/a")</f>
        <v/>
      </c>
    </row>
    <row r="7">
      <c r="A7" s="7" t="inlineStr">
        <is>
          <t>CASA</t>
        </is>
      </c>
      <c r="B7" s="8" t="n"/>
      <c r="C7" s="8">
        <f>IFERROR((B$45+C$45+B$47+C$47)/(B$44+C$44),"n/a")</f>
        <v/>
      </c>
      <c r="D7" s="8">
        <f>IFERROR((C$45+D$45+C$47+D$47)/(C$44+D$44),"n/a")</f>
        <v/>
      </c>
      <c r="E7" s="8">
        <f>IFERROR((D$45+E$45+D$47+E$47)/(D$44+E$44),"n/a")</f>
        <v/>
      </c>
      <c r="F7" s="8">
        <f>IFERROR((E$45+F$45+E$47+F$47)/(E$44+F$44),"n/a")</f>
        <v/>
      </c>
      <c r="G7" s="8">
        <f>IFERROR((F$45+G$45+F$47+G$47)/(F$44+G$44),"n/a")</f>
        <v/>
      </c>
      <c r="H7" s="8">
        <f>IFERROR((G$45+H$45+G$47+H$47)/(G$44+H$44),"n/a")</f>
        <v/>
      </c>
      <c r="I7" s="8">
        <f>IFERROR((H$45+I$45+H$47+I$47)/(H$44+I$44),"n/a")</f>
        <v/>
      </c>
    </row>
    <row r="8">
      <c r="A8" s="7" t="inlineStr">
        <is>
          <t>NPL</t>
        </is>
      </c>
      <c r="B8" s="8" t="n"/>
      <c r="C8" s="8">
        <f>IFERROR((C$35/#REF!),"n/a")</f>
        <v/>
      </c>
      <c r="D8" s="8">
        <f>IFERROR((D$35/#REF!),"n/a")</f>
        <v/>
      </c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IFERROR(ABS(C$53)/AVERAGE(C$42,B42),"n/a")</f>
        <v/>
      </c>
      <c r="D9" s="13">
        <f>IFERROR(ABS(D$53)/AVERAGE(D$42,C42),"n/a")</f>
        <v/>
      </c>
      <c r="E9" s="13">
        <f>IFERROR(ABS(E$53)/AVERAGE(E$42,D42),"n/a")</f>
        <v/>
      </c>
      <c r="F9" s="13">
        <f>IFERROR(ABS(F$53)/AVERAGE(F$42,E42),"n/a")</f>
        <v/>
      </c>
      <c r="G9" s="13">
        <f>IFERROR(ABS(G$53)/AVERAGE(G$42,F42),"n/a")</f>
        <v/>
      </c>
      <c r="H9" s="13">
        <f>IFERROR(ABS(H$53)/AVERAGE(H$42,G42),"n/a")</f>
        <v/>
      </c>
      <c r="I9" s="13">
        <f>IFERROR(ABS(I$53)/AVERAGE(I$42,H42),"n/a")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IFERROR(ABS(B$57)/B$56,"n/a")</f>
        <v/>
      </c>
      <c r="C15" s="8">
        <f>IFERROR(ABS(C$57)/C$56,"n/a")</f>
        <v/>
      </c>
      <c r="D15" s="8">
        <f>IFERROR(ABS(D$57)/D$56,"n/a")</f>
        <v/>
      </c>
      <c r="E15" s="8">
        <f>IFERROR(ABS(E$57)/E$56,"n/a")</f>
        <v/>
      </c>
      <c r="F15" s="8">
        <f>IFERROR(ABS(F$57)/F$56,"n/a")</f>
        <v/>
      </c>
      <c r="G15" s="8">
        <f>IFERROR(ABS(G$57)/G$56,"n/a")</f>
        <v/>
      </c>
      <c r="H15" s="8">
        <f>IFERROR(ABS(H$57)/H$56,"n/a")</f>
        <v/>
      </c>
      <c r="I15" s="8">
        <f>IFERROR(ABS(I$57)/I$56,"n/a")</f>
        <v/>
      </c>
    </row>
    <row r="16">
      <c r="A16" s="12" t="inlineStr">
        <is>
          <t>VCSH/Tổng tài sản</t>
        </is>
      </c>
      <c r="B16" s="13">
        <f>IFERROR(B$48/B$24,"n/a")</f>
        <v/>
      </c>
      <c r="C16" s="13">
        <f>IFERROR(C$48/C$24,"n/a")</f>
        <v/>
      </c>
      <c r="D16" s="13">
        <f>IFERROR(D$48/D$24,"n/a")</f>
        <v/>
      </c>
      <c r="E16" s="13">
        <f>IFERROR(E$48/E$24,"n/a")</f>
        <v/>
      </c>
      <c r="F16" s="13">
        <f>IFERROR(F$48/F$24,"n/a")</f>
        <v/>
      </c>
      <c r="G16" s="13">
        <f>IFERROR(G$48/G$24,"n/a")</f>
        <v/>
      </c>
      <c r="H16" s="13">
        <f>IFERROR(H$48/H$24,"n/a")</f>
        <v/>
      </c>
      <c r="I16" s="13">
        <f>IFERROR(I$48/I$24,"n/a")</f>
        <v/>
      </c>
    </row>
    <row r="17">
      <c r="A17" s="12" t="inlineStr">
        <is>
          <t>Tỷ lệ lãi và phí phải thu/Thu nhập lãi</t>
        </is>
      </c>
      <c r="B17" s="13">
        <f>IFERROR(B58/B$52,"n/a")</f>
        <v/>
      </c>
      <c r="C17" s="13">
        <f>IFERROR(C58/C$52,"n/a")</f>
        <v/>
      </c>
      <c r="D17" s="13">
        <f>IFERROR(D58/D$52,"n/a")</f>
        <v/>
      </c>
      <c r="E17" s="13">
        <f>IFERROR(E58/E$52,"n/a")</f>
        <v/>
      </c>
      <c r="F17" s="13">
        <f>IFERROR(F58/F$52,"n/a")</f>
        <v/>
      </c>
      <c r="G17" s="13">
        <f>IFERROR(G58/G$52,"n/a")</f>
        <v/>
      </c>
      <c r="H17" s="13">
        <f>IFERROR(H58/H$52,"n/a")</f>
        <v/>
      </c>
      <c r="I17" s="13">
        <f>IFERROR(I58/I$52,"n/a")</f>
        <v/>
      </c>
    </row>
    <row r="18">
      <c r="A18" s="7" t="inlineStr">
        <is>
          <t>Thu nhập ngoài lãi/Thu nhập hoạt động</t>
        </is>
      </c>
      <c r="B18" s="8">
        <f>IFERROR(B$55/B$56,"n/a")</f>
        <v/>
      </c>
      <c r="C18" s="8">
        <f>IFERROR(C$55/C$56,"n/a")</f>
        <v/>
      </c>
      <c r="D18" s="8">
        <f>IFERROR(D$55/D$56,"n/a")</f>
        <v/>
      </c>
      <c r="E18" s="8">
        <f>IFERROR(E$55/E$56,"n/a")</f>
        <v/>
      </c>
      <c r="F18" s="8">
        <f>IFERROR(F$55/F$56,"n/a")</f>
        <v/>
      </c>
      <c r="G18" s="8">
        <f>IFERROR(G$55/G$56,"n/a")</f>
        <v/>
      </c>
      <c r="H18" s="8">
        <f>IFERROR(H$55/H$56,"n/a")</f>
        <v/>
      </c>
      <c r="I18" s="8">
        <f>IFERROR(I$55/I$56,"n/a")</f>
        <v/>
      </c>
    </row>
    <row r="19"/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vay các TCTD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>
        <v>154548000000000</v>
      </c>
      <c r="C30" s="22" t="n">
        <v>225601000000000</v>
      </c>
      <c r="D30" s="22" t="n">
        <v>274424000000000</v>
      </c>
      <c r="E30" s="22" t="n">
        <v>342903000000000</v>
      </c>
      <c r="F30" s="22" t="n">
        <v>399403000000000</v>
      </c>
      <c r="G30" s="22" t="n">
        <v>491584000000000</v>
      </c>
      <c r="H30" s="22" t="n">
        <v>594272000000000</v>
      </c>
      <c r="I30" s="22" t="n">
        <v>711707000000000</v>
      </c>
      <c r="J30" s="19" t="n"/>
    </row>
    <row r="31">
      <c r="A31" s="20" t="inlineStr">
        <is>
          <t>+ Nợ cần chú ý</t>
        </is>
      </c>
      <c r="B31" s="22" t="n">
        <v>2588000000000</v>
      </c>
      <c r="C31" s="22" t="n">
        <v>2123000000000</v>
      </c>
      <c r="D31" s="22" t="n">
        <v>1806000000000</v>
      </c>
      <c r="E31" s="22" t="n">
        <v>2145000000000</v>
      </c>
      <c r="F31" s="22" t="n">
        <v>8733000000000</v>
      </c>
      <c r="G31" s="22" t="n">
        <v>4439000000000</v>
      </c>
      <c r="H31" s="22" t="n">
        <v>4441000000000</v>
      </c>
      <c r="I31" s="22" t="n">
        <v>3852000000000</v>
      </c>
      <c r="J31" s="19" t="n"/>
    </row>
    <row r="32">
      <c r="A32" s="20" t="inlineStr">
        <is>
          <t>+ Nợ dưới tiêu chuẩn</t>
        </is>
      </c>
      <c r="B32" s="22" t="n">
        <v>238000000000</v>
      </c>
      <c r="C32" s="22" t="n">
        <v>218000000000</v>
      </c>
      <c r="D32" s="22" t="n">
        <v>417000000000</v>
      </c>
      <c r="E32" s="22" t="n">
        <v>679000000000</v>
      </c>
      <c r="F32" s="22" t="n">
        <v>902000000000</v>
      </c>
      <c r="G32" s="22" t="n">
        <v>1857000000000</v>
      </c>
      <c r="H32" s="22" t="n">
        <v>1366000000000</v>
      </c>
      <c r="I32" s="22" t="n">
        <v>918000000000</v>
      </c>
      <c r="J32" s="19" t="n"/>
    </row>
    <row r="33">
      <c r="A33" s="20" t="inlineStr">
        <is>
          <t>+ Nợ nghi ngờ</t>
        </is>
      </c>
      <c r="B33" s="22" t="n">
        <v>86000000000</v>
      </c>
      <c r="C33" s="22" t="n">
        <v>31000000000</v>
      </c>
      <c r="D33" s="22" t="n">
        <v>534000000000</v>
      </c>
      <c r="E33" s="22" t="n">
        <v>860000000000</v>
      </c>
      <c r="F33" s="22" t="n">
        <v>1131000000000</v>
      </c>
      <c r="G33" s="22" t="n">
        <v>2762000000000</v>
      </c>
      <c r="H33" s="22" t="n">
        <v>2466000000000</v>
      </c>
      <c r="I33" s="22" t="n">
        <v>1339000000000</v>
      </c>
      <c r="J33" s="19" t="n"/>
    </row>
    <row r="34">
      <c r="A34" s="20" t="inlineStr">
        <is>
          <t>+ Nợ có khả năng mất vốn</t>
        </is>
      </c>
      <c r="B34" s="22" t="n">
        <v>1703000000000</v>
      </c>
      <c r="C34" s="22" t="n">
        <v>2555000000000</v>
      </c>
      <c r="D34" s="22" t="n">
        <v>344000000000</v>
      </c>
      <c r="E34" s="22" t="n">
        <v>755000000000</v>
      </c>
      <c r="F34" s="22" t="n">
        <v>1000000000000</v>
      </c>
      <c r="G34" s="22" t="n">
        <v>1380000000000</v>
      </c>
      <c r="H34" s="22" t="n">
        <v>3270000000000</v>
      </c>
      <c r="I34" s="22" t="n">
        <v>5941000000000</v>
      </c>
      <c r="J34" s="19" t="n"/>
    </row>
    <row r="35">
      <c r="A35" s="23" t="inlineStr">
        <is>
          <t>Nợ xấu</t>
        </is>
      </c>
      <c r="B35" s="24">
        <f>SUM(B32:B34)</f>
        <v/>
      </c>
      <c r="C35" s="24">
        <f>SUM(C32:C34)</f>
        <v/>
      </c>
      <c r="D35" s="24">
        <f>SUM(D32:D34)</f>
        <v/>
      </c>
      <c r="E35" s="24">
        <f>SUM(E32:E34)</f>
        <v/>
      </c>
      <c r="F35" s="24">
        <f>SUM(F32:F34)</f>
        <v/>
      </c>
      <c r="G35" s="24">
        <f>SUM(G32:G34)</f>
        <v/>
      </c>
      <c r="H35" s="24">
        <f>SUM(H32:H34)</f>
        <v/>
      </c>
      <c r="I35" s="24">
        <f>SUM(I32:I34)</f>
        <v/>
      </c>
      <c r="J35" s="25" t="n"/>
    </row>
    <row r="36">
      <c r="A36" s="20" t="inlineStr">
        <is>
          <t>Cho vay KDBĐS</t>
        </is>
      </c>
      <c r="B36" s="22" t="n">
        <v>13555000000000</v>
      </c>
      <c r="C36" s="22" t="n">
        <v>50422000000000</v>
      </c>
      <c r="D36" s="22" t="n">
        <v>91361000000000</v>
      </c>
      <c r="E36" s="22" t="n">
        <v>95613000000000</v>
      </c>
      <c r="F36" s="22" t="n">
        <v>108805000000000</v>
      </c>
      <c r="G36" s="22" t="n">
        <v>176804000000000</v>
      </c>
      <c r="H36" s="22" t="n">
        <v>187100000000000</v>
      </c>
      <c r="I36" s="22" t="n">
        <v>207027000000000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4">
        <f>B25+B26-B27+B28+B29+B38-B39+B40-B41</f>
        <v/>
      </c>
      <c r="C42" s="24">
        <f>C25+C26-C27+C28+C29+C38-C39+C40-C41</f>
        <v/>
      </c>
      <c r="D42" s="24">
        <f>D25+D26-D27+D28+D29+D38-D39+D40-D41</f>
        <v/>
      </c>
      <c r="E42" s="24">
        <f>E25+E26-E27+E28+E29+E38-E39+E40-E41</f>
        <v/>
      </c>
      <c r="F42" s="24">
        <f>F25+F26-F27+F28+F29+F38-F39+F40-F41</f>
        <v/>
      </c>
      <c r="G42" s="24">
        <f>G25+G26-G27+G28+G29+G38-G39+G40-G41</f>
        <v/>
      </c>
      <c r="H42" s="24">
        <f>H25+H26-H27+H28+H29+H38-H39+H40-H41</f>
        <v/>
      </c>
      <c r="I42" s="24">
        <f>I25+I26-I27+I28+I29+I38-I39+I40-I41</f>
        <v/>
      </c>
      <c r="J42" s="19" t="n"/>
    </row>
    <row r="43">
      <c r="A43" s="26" t="inlineStr">
        <is>
          <t>Nguồn vốn</t>
        </is>
      </c>
      <c r="B43" s="27" t="n"/>
      <c r="C43" s="27" t="n"/>
      <c r="D43" s="27" t="n"/>
      <c r="E43" s="27" t="n"/>
      <c r="F43" s="27" t="n"/>
      <c r="G43" s="27" t="n"/>
      <c r="H43" s="27" t="n"/>
      <c r="I43" s="27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>
        <v>54613000000000</v>
      </c>
      <c r="C45" s="22" t="n">
        <v>76053000000000</v>
      </c>
      <c r="D45" s="22" t="n">
        <v>116113000000000</v>
      </c>
      <c r="E45" s="22" t="n">
        <v>147861000000000</v>
      </c>
      <c r="F45" s="22" t="n">
        <v>123079000000000</v>
      </c>
      <c r="G45" s="22" t="n">
        <v>172756000000000</v>
      </c>
      <c r="H45" s="22" t="n">
        <v>191720000000000</v>
      </c>
      <c r="I45" s="22" t="n">
        <v>213415000000000</v>
      </c>
      <c r="J45" s="19" t="n"/>
    </row>
    <row r="46">
      <c r="A46" s="20" t="inlineStr">
        <is>
          <t>+ Tiền gửi có kỳ hạn</t>
        </is>
      </c>
      <c r="B46" s="22" t="n">
        <v>143613000000000</v>
      </c>
      <c r="C46" s="22" t="n">
        <v>151581000000000</v>
      </c>
      <c r="D46" s="22" t="n">
        <v>144128000000000</v>
      </c>
      <c r="E46" s="22" t="n">
        <v>155894000000000</v>
      </c>
      <c r="F46" s="22" t="n">
        <v>225942000000000</v>
      </c>
      <c r="G46" s="22" t="n">
        <v>273187000000000</v>
      </c>
      <c r="H46" s="22" t="n">
        <v>334150000000000</v>
      </c>
      <c r="I46" s="22" t="n">
        <v>396881000000000</v>
      </c>
      <c r="J46" s="19" t="n"/>
    </row>
    <row r="47">
      <c r="A47" s="20" t="inlineStr">
        <is>
          <t>+ Tiền ký quỹ</t>
        </is>
      </c>
      <c r="B47" s="22" t="n">
        <v>319000000000</v>
      </c>
      <c r="C47" s="22" t="n">
        <v>366000000000</v>
      </c>
      <c r="D47" s="22" t="n">
        <v>4987000000000</v>
      </c>
      <c r="E47" s="22" t="n">
        <v>10997000000000</v>
      </c>
      <c r="F47" s="22" t="n">
        <v>9383000000000</v>
      </c>
      <c r="G47" s="22" t="n">
        <v>8718000000000</v>
      </c>
      <c r="H47" s="22" t="n">
        <v>7523000000000</v>
      </c>
      <c r="I47" s="22" t="n">
        <v>8615000000000</v>
      </c>
      <c r="J47" s="19" t="n"/>
    </row>
    <row r="48">
      <c r="A48" s="16" t="inlineStr">
        <is>
          <t>VỐN CHỦ SỞ HỮU</t>
        </is>
      </c>
      <c r="B48" s="28">
        <f>IFERROR(INDEX(balance_sheet!$B:$I,MATCH("VỐN CHỦ SỞ HỮU",balance_sheet!$A:$A,0),MATCH(B$21,balance_sheet!$B$1:$I$1,0)),"")</f>
        <v/>
      </c>
      <c r="C48" s="28">
        <f>IFERROR(INDEX(balance_sheet!$B:$I,MATCH("VỐN CHỦ SỞ HỮU",balance_sheet!$A:$A,0),MATCH(C$21,balance_sheet!$B$1:$I$1,0)),"")</f>
        <v/>
      </c>
      <c r="D48" s="28">
        <f>IFERROR(INDEX(balance_sheet!$B:$I,MATCH("VỐN CHỦ SỞ HỮU",balance_sheet!$A:$A,0),MATCH(D$21,balance_sheet!$B$1:$I$1,0)),"")</f>
        <v/>
      </c>
      <c r="E48" s="28">
        <f>IFERROR(INDEX(balance_sheet!$B:$I,MATCH("VỐN CHỦ SỞ HỮU",balance_sheet!$A:$A,0),MATCH(E$21,balance_sheet!$B$1:$I$1,0)),"")</f>
        <v/>
      </c>
      <c r="F48" s="28">
        <f>IFERROR(INDEX(balance_sheet!$B:$I,MATCH("VỐN CHỦ SỞ HỮU",balance_sheet!$A:$A,0),MATCH(F$21,balance_sheet!$B$1:$I$1,0)),"")</f>
        <v/>
      </c>
      <c r="G48" s="28">
        <f>IFERROR(INDEX(balance_sheet!$B:$I,MATCH("VỐN CHỦ SỞ HỮU",balance_sheet!$A:$A,0),MATCH(G$21,balance_sheet!$B$1:$I$1,0)),"")</f>
        <v/>
      </c>
      <c r="H48" s="28">
        <f>IFERROR(INDEX(balance_sheet!$B:$I,MATCH("VỐN CHỦ SỞ HỮU",balance_sheet!$A:$A,0),MATCH(H$21,balance_sheet!$B$1:$I$1,0)),"")</f>
        <v/>
      </c>
      <c r="I48" s="28">
        <f>IFERROR(INDEX(balance_sheet!$B:$I,MATCH("VỐN CHỦ SỞ HỮU",balance_sheet!$A:$A,0),MATCH(I$21,balance_sheet!$B$1:$I$1,0)),"")</f>
        <v/>
      </c>
      <c r="J48" s="28">
        <f>I48+J60</f>
        <v/>
      </c>
    </row>
    <row r="49">
      <c r="A49" s="29" t="inlineStr">
        <is>
          <t>Tăng VCSH/LN cty mẹ</t>
        </is>
      </c>
      <c r="B49" s="30" t="n"/>
      <c r="C49" s="30">
        <f>(C48-B48)/C60</f>
        <v/>
      </c>
      <c r="D49" s="30">
        <f>(D48-C48)/D60</f>
        <v/>
      </c>
      <c r="E49" s="30">
        <f>(E48-D48)/E60</f>
        <v/>
      </c>
      <c r="F49" s="30">
        <f>(F48-E48)/F60</f>
        <v/>
      </c>
      <c r="G49" s="30">
        <f>(G48-F48)/G60</f>
        <v/>
      </c>
      <c r="H49" s="30">
        <f>(H48-G48)/H60</f>
        <v/>
      </c>
      <c r="I49" s="30">
        <f>(I48-H48)/I60</f>
        <v/>
      </c>
      <c r="J49" s="31" t="n"/>
    </row>
    <row r="50">
      <c r="A50" s="16" t="inlineStr">
        <is>
          <t>Lợi ích của cổ đông thiểu số</t>
        </is>
      </c>
      <c r="B50" s="28">
        <f>IFERROR(INDEX(balance_sheet!$B:$I,MATCH("Lợi ích của cổ đông thiểu số",balance_sheet!$A:$A,0),MATCH(B$21,balance_sheet!$B$1:$I$1,0)),"")</f>
        <v/>
      </c>
      <c r="C50" s="28">
        <f>IFERROR(INDEX(balance_sheet!$B:$I,MATCH("Lợi ích của cổ đông thiểu số",balance_sheet!$A:$A,0),MATCH(C$21,balance_sheet!$B$1:$I$1,0)),"")</f>
        <v/>
      </c>
      <c r="D50" s="28">
        <f>IFERROR(INDEX(balance_sheet!$B:$I,MATCH("Lợi ích của cổ đông thiểu số",balance_sheet!$A:$A,0),MATCH(D$21,balance_sheet!$B$1:$I$1,0)),"")</f>
        <v/>
      </c>
      <c r="E50" s="28">
        <f>IFERROR(INDEX(balance_sheet!$B:$I,MATCH("Lợi ích của cổ đông thiểu số",balance_sheet!$A:$A,0),MATCH(E$21,balance_sheet!$B$1:$I$1,0)),"")</f>
        <v/>
      </c>
      <c r="F50" s="28">
        <f>IFERROR(INDEX(balance_sheet!$B:$I,MATCH("Lợi ích của cổ đông thiểu số",balance_sheet!$A:$A,0),MATCH(F$21,balance_sheet!$B$1:$I$1,0)),"")</f>
        <v/>
      </c>
      <c r="G50" s="28">
        <f>IFERROR(INDEX(balance_sheet!$B:$I,MATCH("Lợi ích của cổ đông thiểu số",balance_sheet!$A:$A,0),MATCH(G$21,balance_sheet!$B$1:$I$1,0)),"")</f>
        <v/>
      </c>
      <c r="H50" s="28">
        <f>IFERROR(INDEX(balance_sheet!$B:$I,MATCH("Lợi ích của cổ đông thiểu số",balance_sheet!$A:$A,0),MATCH(H$21,balance_sheet!$B$1:$I$1,0)),"")</f>
        <v/>
      </c>
      <c r="I50" s="28">
        <f>IFERROR(INDEX(balance_sheet!$B:$I,MATCH("Lợi ích của cổ đông thiểu số",balance_sheet!$A:$A,0),MATCH(I$21,balance_sheet!$B$1:$I$1,0)),"")</f>
        <v/>
      </c>
    </row>
    <row r="51">
      <c r="A51" s="16" t="inlineStr">
        <is>
          <t>Kết quả hoạt động kinh doanh</t>
        </is>
      </c>
      <c r="B51" s="21" t="n"/>
      <c r="C51" s="21" t="n"/>
      <c r="D51" s="21" t="n"/>
      <c r="E51" s="21" t="n"/>
      <c r="F51" s="21" t="n"/>
      <c r="G51" s="21" t="n"/>
      <c r="H51" s="21" t="n"/>
      <c r="I51" s="21" t="n"/>
      <c r="J51" s="19" t="n"/>
    </row>
    <row r="52">
      <c r="A52" s="20" t="inlineStr">
        <is>
          <t>Thu nhập lãi</t>
        </is>
      </c>
      <c r="B52" s="21">
        <f>IFERROR(INDEX(income_statement!$B:$I,MATCH("Thu nhập lãi và các khoản thu nhập tương tự",income_statement!$A:$A,0),MATCH(B$21,income_statement!$B$1:$I$1,0)),"")</f>
        <v/>
      </c>
      <c r="C52" s="21">
        <f>IFERROR(INDEX(income_statement!$B:$I,MATCH("Thu nhập lãi và các khoản thu nhập tương tự",income_statement!$A:$A,0),MATCH(C$21,income_statement!$B$1:$I$1,0)),"")</f>
        <v/>
      </c>
      <c r="D52" s="21">
        <f>IFERROR(INDEX(income_statement!$B:$I,MATCH("Thu nhập lãi và các khoản thu nhập tương tự",income_statement!$A:$A,0),MATCH(D$21,income_statement!$B$1:$I$1,0)),"")</f>
        <v/>
      </c>
      <c r="E52" s="21">
        <f>IFERROR(INDEX(income_statement!$B:$I,MATCH("Thu nhập lãi và các khoản thu nhập tương tự",income_statement!$A:$A,0),MATCH(E$21,income_statement!$B$1:$I$1,0)),"")</f>
        <v/>
      </c>
      <c r="F52" s="21">
        <f>IFERROR(INDEX(income_statement!$B:$I,MATCH("Thu nhập lãi và các khoản thu nhập tương tự",income_statement!$A:$A,0),MATCH(F$21,income_statement!$B$1:$I$1,0)),"")</f>
        <v/>
      </c>
      <c r="G52" s="21">
        <f>IFERROR(INDEX(income_statement!$B:$I,MATCH("Thu nhập lãi và các khoản thu nhập tương tự",income_statement!$A:$A,0),MATCH(G$21,income_statement!$B$1:$I$1,0)),"")</f>
        <v/>
      </c>
      <c r="H52" s="21">
        <f>IFERROR(INDEX(income_statement!$B:$I,MATCH("Thu nhập lãi và các khoản thu nhập tương tự",income_statement!$A:$A,0),MATCH(H$21,income_statement!$B$1:$I$1,0)),"")</f>
        <v/>
      </c>
      <c r="I52" s="21">
        <f>IFERROR(INDEX(income_statement!$B:$I,MATCH("Thu nhập lãi và các khoản thu nhập tương tự",income_statement!$A:$A,0),MATCH(I$21,income_statement!$B$1:$I$1,0)),"")</f>
        <v/>
      </c>
      <c r="J52" s="19" t="n"/>
    </row>
    <row r="53">
      <c r="A53" s="20" t="inlineStr">
        <is>
          <t>Chi phí lãi</t>
        </is>
      </c>
      <c r="B53" s="21">
        <f>IFERROR(INDEX(income_statement!$B:$I,MATCH("Chi phí lãi và các chi phí tương tự",income_statement!$A:$A,0),MATCH(B$21,income_statement!$B$1:$I$1,0)),"")</f>
        <v/>
      </c>
      <c r="C53" s="21">
        <f>IFERROR(INDEX(income_statement!$B:$I,MATCH("Chi phí lãi và các chi phí tương tự",income_statement!$A:$A,0),MATCH(C$21,income_statement!$B$1:$I$1,0)),"")</f>
        <v/>
      </c>
      <c r="D53" s="21">
        <f>IFERROR(INDEX(income_statement!$B:$I,MATCH("Chi phí lãi và các chi phí tương tự",income_statement!$A:$A,0),MATCH(D$21,income_statement!$B$1:$I$1,0)),"")</f>
        <v/>
      </c>
      <c r="E53" s="21">
        <f>IFERROR(INDEX(income_statement!$B:$I,MATCH("Chi phí lãi và các chi phí tương tự",income_statement!$A:$A,0),MATCH(E$21,income_statement!$B$1:$I$1,0)),"")</f>
        <v/>
      </c>
      <c r="F53" s="21">
        <f>IFERROR(INDEX(income_statement!$B:$I,MATCH("Chi phí lãi và các chi phí tương tự",income_statement!$A:$A,0),MATCH(F$21,income_statement!$B$1:$I$1,0)),"")</f>
        <v/>
      </c>
      <c r="G53" s="21">
        <f>IFERROR(INDEX(income_statement!$B:$I,MATCH("Chi phí lãi và các chi phí tương tự",income_statement!$A:$A,0),MATCH(G$21,income_statement!$B$1:$I$1,0)),"")</f>
        <v/>
      </c>
      <c r="H53" s="21">
        <f>IFERROR(INDEX(income_statement!$B:$I,MATCH("Chi phí lãi và các chi phí tương tự",income_statement!$A:$A,0),MATCH(H$21,income_statement!$B$1:$I$1,0)),"")</f>
        <v/>
      </c>
      <c r="I53" s="21">
        <f>IFERROR(INDEX(income_statement!$B:$I,MATCH("Chi phí lãi và các chi phí tương tự",income_statement!$A:$A,0),MATCH(I$21,income_statement!$B$1:$I$1,0)),"")</f>
        <v/>
      </c>
      <c r="J53" s="19" t="n"/>
    </row>
    <row r="54">
      <c r="A54" s="16" t="inlineStr">
        <is>
          <t>Thu nhập lãi thuần</t>
        </is>
      </c>
      <c r="B54" s="28">
        <f>IFERROR(INDEX(income_statement!$B:$I,MATCH("Thu nhập lãi thuần",income_statement!$A:$A,0),MATCH(B$21,income_statement!$B$1:$I$1,0)),"")</f>
        <v/>
      </c>
      <c r="C54" s="28">
        <f>IFERROR(INDEX(income_statement!$B:$I,MATCH("Thu nhập lãi thuần",income_statement!$A:$A,0),MATCH(C$21,income_statement!$B$1:$I$1,0)),"")</f>
        <v/>
      </c>
      <c r="D54" s="28">
        <f>IFERROR(INDEX(income_statement!$B:$I,MATCH("Thu nhập lãi thuần",income_statement!$A:$A,0),MATCH(D$21,income_statement!$B$1:$I$1,0)),"")</f>
        <v/>
      </c>
      <c r="E54" s="28">
        <f>IFERROR(INDEX(income_statement!$B:$I,MATCH("Thu nhập lãi thuần",income_statement!$A:$A,0),MATCH(E$21,income_statement!$B$1:$I$1,0)),"")</f>
        <v/>
      </c>
      <c r="F54" s="28">
        <f>IFERROR(INDEX(income_statement!$B:$I,MATCH("Thu nhập lãi thuần",income_statement!$A:$A,0),MATCH(F$21,income_statement!$B$1:$I$1,0)),"")</f>
        <v/>
      </c>
      <c r="G54" s="28">
        <f>IFERROR(INDEX(income_statement!$B:$I,MATCH("Thu nhập lãi thuần",income_statement!$A:$A,0),MATCH(G$21,income_statement!$B$1:$I$1,0)),"")</f>
        <v/>
      </c>
      <c r="H54" s="28">
        <f>IFERROR(INDEX(income_statement!$B:$I,MATCH("Thu nhập lãi thuần",income_statement!$A:$A,0),MATCH(H$21,income_statement!$B$1:$I$1,0)),"")</f>
        <v/>
      </c>
      <c r="I54" s="28">
        <f>IFERROR(INDEX(income_statement!$B:$I,MATCH("Thu nhập lãi thuần",income_statement!$A:$A,0),MATCH(I$21,income_statement!$B$1:$I$1,0)),"")</f>
        <v/>
      </c>
      <c r="J54" s="28" t="n">
        <v>50000000000000</v>
      </c>
    </row>
    <row r="55">
      <c r="A55" s="20" t="inlineStr">
        <is>
          <t>Thu nhập ngoài lãi</t>
        </is>
      </c>
      <c r="B55" s="24">
        <f>IF(OR(B$56="",B$54=""),"",B$56-B$54)</f>
        <v/>
      </c>
      <c r="C55" s="24">
        <f>IF(OR(C$56="",C$54=""),"",C$56-C$54)</f>
        <v/>
      </c>
      <c r="D55" s="24">
        <f>IF(OR(D$56="",D$54=""),"",D$56-D$54)</f>
        <v/>
      </c>
      <c r="E55" s="24">
        <f>IF(OR(E$56="",E$54=""),"",E$56-E$54)</f>
        <v/>
      </c>
      <c r="F55" s="24">
        <f>IF(OR(F$56="",F$54=""),"",F$56-F$54)</f>
        <v/>
      </c>
      <c r="G55" s="24">
        <f>IF(OR(G$56="",G$54=""),"",G$56-G$54)</f>
        <v/>
      </c>
      <c r="H55" s="24">
        <f>IF(OR(H$56="",H$54=""),"",H$56-H$54)</f>
        <v/>
      </c>
      <c r="I55" s="24">
        <f>IF(OR(I$56="",I$54=""),"",I$56-I$54)</f>
        <v/>
      </c>
      <c r="J55" s="19" t="n"/>
    </row>
    <row r="56">
      <c r="A56" s="20" t="inlineStr">
        <is>
          <t>Tổng thu nhập hoạt động</t>
        </is>
      </c>
      <c r="B56" s="21">
        <f>IFERROR(INDEX(income_statement!$B:$I,MATCH("Tổng thu nhập hoạt động",income_statement!$A:$A,0),MATCH(B$21,income_statement!$B$1:$I$1,0)),"")</f>
        <v/>
      </c>
      <c r="C56" s="21">
        <f>IFERROR(INDEX(income_statement!$B:$I,MATCH("Tổng thu nhập hoạt động",income_statement!$A:$A,0),MATCH(C$21,income_statement!$B$1:$I$1,0)),"")</f>
        <v/>
      </c>
      <c r="D56" s="21">
        <f>IFERROR(INDEX(income_statement!$B:$I,MATCH("Tổng thu nhập hoạt động",income_statement!$A:$A,0),MATCH(D$21,income_statement!$B$1:$I$1,0)),"")</f>
        <v/>
      </c>
      <c r="E56" s="21">
        <f>IFERROR(INDEX(income_statement!$B:$I,MATCH("Tổng thu nhập hoạt động",income_statement!$A:$A,0),MATCH(E$21,income_statement!$B$1:$I$1,0)),"")</f>
        <v/>
      </c>
      <c r="F56" s="21">
        <f>IFERROR(INDEX(income_statement!$B:$I,MATCH("Tổng thu nhập hoạt động",income_statement!$A:$A,0),MATCH(F$21,income_statement!$B$1:$I$1,0)),"")</f>
        <v/>
      </c>
      <c r="G56" s="21">
        <f>IFERROR(INDEX(income_statement!$B:$I,MATCH("Tổng thu nhập hoạt động",income_statement!$A:$A,0),MATCH(G$21,income_statement!$B$1:$I$1,0)),"")</f>
        <v/>
      </c>
      <c r="H56" s="21">
        <f>IFERROR(INDEX(income_statement!$B:$I,MATCH("Tổng thu nhập hoạt động",income_statement!$A:$A,0),MATCH(H$21,income_statement!$B$1:$I$1,0)),"")</f>
        <v/>
      </c>
      <c r="I56" s="21">
        <f>IFERROR(INDEX(income_statement!$B:$I,MATCH("Tổng thu nhập hoạt động",income_statement!$A:$A,0),MATCH(I$21,income_statement!$B$1:$I$1,0)),"")</f>
        <v/>
      </c>
      <c r="J56" s="19" t="n"/>
    </row>
    <row r="57">
      <c r="A57" s="20" t="inlineStr">
        <is>
          <t>Chi phí hoạt động</t>
        </is>
      </c>
      <c r="B57" s="21">
        <f>IFERROR(INDEX(income_statement!$B:$I,MATCH("Chi phí quản lý doanh nghiệp",income_statement!$A:$A,0),MATCH(B$21,income_statement!$B$1:$I$1,0)),"")</f>
        <v/>
      </c>
      <c r="C57" s="21">
        <f>IFERROR(INDEX(income_statement!$B:$I,MATCH("Chi phí quản lý doanh nghiệp",income_statement!$A:$A,0),MATCH(C$21,income_statement!$B$1:$I$1,0)),"")</f>
        <v/>
      </c>
      <c r="D57" s="21">
        <f>IFERROR(INDEX(income_statement!$B:$I,MATCH("Chi phí quản lý doanh nghiệp",income_statement!$A:$A,0),MATCH(D$21,income_statement!$B$1:$I$1,0)),"")</f>
        <v/>
      </c>
      <c r="E57" s="21">
        <f>IFERROR(INDEX(income_statement!$B:$I,MATCH("Chi phí quản lý doanh nghiệp",income_statement!$A:$A,0),MATCH(E$21,income_statement!$B$1:$I$1,0)),"")</f>
        <v/>
      </c>
      <c r="F57" s="21">
        <f>IFERROR(INDEX(income_statement!$B:$I,MATCH("Chi phí quản lý doanh nghiệp",income_statement!$A:$A,0),MATCH(F$21,income_statement!$B$1:$I$1,0)),"")</f>
        <v/>
      </c>
      <c r="G57" s="21">
        <f>IFERROR(INDEX(income_statement!$B:$I,MATCH("Chi phí quản lý doanh nghiệp",income_statement!$A:$A,0),MATCH(G$21,income_statement!$B$1:$I$1,0)),"")</f>
        <v/>
      </c>
      <c r="H57" s="21">
        <f>IFERROR(INDEX(income_statement!$B:$I,MATCH("Chi phí quản lý doanh nghiệp",income_statement!$A:$A,0),MATCH(H$21,income_statement!$B$1:$I$1,0)),"")</f>
        <v/>
      </c>
      <c r="I57" s="21">
        <f>IFERROR(INDEX(income_statement!$B:$I,MATCH("Chi phí quản lý doanh nghiệp",income_statement!$A:$A,0),MATCH(I$21,income_statement!$B$1:$I$1,0)),"")</f>
        <v/>
      </c>
      <c r="J57" s="19" t="n"/>
    </row>
    <row r="58">
      <c r="A58" s="20" t="inlineStr">
        <is>
          <t>Lãi và phí phải thu</t>
        </is>
      </c>
      <c r="B58" s="21">
        <f>IFERROR(INDEX(balance_sheet!$B:$I,MATCH("Các khoản lãi và phí phải thu",balance_sheet!$A:$A,0),MATCH(B$21,balance_sheet!$B$1:$I$1,0)),"")</f>
        <v/>
      </c>
      <c r="C58" s="21">
        <f>IFERROR(INDEX(balance_sheet!$B:$I,MATCH("Các khoản lãi và phí phải thu",balance_sheet!$A:$A,0),MATCH(C$21,balance_sheet!$B$1:$I$1,0)),"")</f>
        <v/>
      </c>
      <c r="D58" s="21">
        <f>IFERROR(INDEX(balance_sheet!$B:$I,MATCH("Các khoản lãi và phí phải thu",balance_sheet!$A:$A,0),MATCH(D$21,balance_sheet!$B$1:$I$1,0)),"")</f>
        <v/>
      </c>
      <c r="E58" s="21">
        <f>IFERROR(INDEX(balance_sheet!$B:$I,MATCH("Các khoản lãi và phí phải thu",balance_sheet!$A:$A,0),MATCH(E$21,balance_sheet!$B$1:$I$1,0)),"")</f>
        <v/>
      </c>
      <c r="F58" s="21">
        <f>IFERROR(INDEX(balance_sheet!$B:$I,MATCH("Các khoản lãi và phí phải thu",balance_sheet!$A:$A,0),MATCH(F$21,balance_sheet!$B$1:$I$1,0)),"")</f>
        <v/>
      </c>
      <c r="G58" s="21">
        <f>IFERROR(INDEX(balance_sheet!$B:$I,MATCH("Các khoản lãi và phí phải thu",balance_sheet!$A:$A,0),MATCH(G$21,balance_sheet!$B$1:$I$1,0)),"")</f>
        <v/>
      </c>
      <c r="H58" s="21">
        <f>IFERROR(INDEX(balance_sheet!$B:$I,MATCH("Các khoản lãi và phí phải thu",balance_sheet!$A:$A,0),MATCH(H$21,balance_sheet!$B$1:$I$1,0)),"")</f>
        <v/>
      </c>
      <c r="I58" s="21">
        <f>IFERROR(INDEX(balance_sheet!$B:$I,MATCH("Các khoản lãi và phí phải thu",balance_sheet!$A:$A,0),MATCH(I$21,balance_sheet!$B$1:$I$1,0)),"")</f>
        <v/>
      </c>
      <c r="J58" s="19" t="n"/>
    </row>
    <row r="59">
      <c r="A59" s="16" t="inlineStr">
        <is>
          <t>LNST</t>
        </is>
      </c>
      <c r="B59" s="28">
        <f>IFERROR(INDEX(income_statement!$B:$I,MATCH("Lợi nhuận sau thuế",income_statement!$A:$A,0),MATCH(B$21,income_statement!$B$1:$I$1,0)),"")</f>
        <v/>
      </c>
      <c r="C59" s="28">
        <f>IFERROR(INDEX(income_statement!$B:$I,MATCH("Lợi nhuận sau thuế",income_statement!$A:$A,0),MATCH(C$21,income_statement!$B$1:$I$1,0)),"")</f>
        <v/>
      </c>
      <c r="D59" s="28">
        <f>IFERROR(INDEX(income_statement!$B:$I,MATCH("Lợi nhuận sau thuế",income_statement!$A:$A,0),MATCH(D$21,income_statement!$B$1:$I$1,0)),"")</f>
        <v/>
      </c>
      <c r="E59" s="28">
        <f>IFERROR(INDEX(income_statement!$B:$I,MATCH("Lợi nhuận sau thuế",income_statement!$A:$A,0),MATCH(E$21,income_statement!$B$1:$I$1,0)),"")</f>
        <v/>
      </c>
      <c r="F59" s="28">
        <f>IFERROR(INDEX(income_statement!$B:$I,MATCH("Lợi nhuận sau thuế",income_statement!$A:$A,0),MATCH(F$21,income_statement!$B$1:$I$1,0)),"")</f>
        <v/>
      </c>
      <c r="G59" s="28">
        <f>IFERROR(INDEX(income_statement!$B:$I,MATCH("Lợi nhuận sau thuế",income_statement!$A:$A,0),MATCH(G$21,income_statement!$B$1:$I$1,0)),"")</f>
        <v/>
      </c>
      <c r="H59" s="28">
        <f>IFERROR(INDEX(income_statement!$B:$I,MATCH("Lợi nhuận sau thuế",income_statement!$A:$A,0),MATCH(H$21,income_statement!$B$1:$I$1,0)),"")</f>
        <v/>
      </c>
      <c r="I59" s="28">
        <f>IFERROR(INDEX(income_statement!$B:$I,MATCH("Lợi nhuận sau thuế",income_statement!$A:$A,0),MATCH(I$21,income_statement!$B$1:$I$1,0)),"")</f>
        <v/>
      </c>
      <c r="J59" s="28" t="n">
        <v>28000000000000</v>
      </c>
    </row>
    <row r="60">
      <c r="A60" s="16" t="inlineStr">
        <is>
          <t>LNST CĐ Công ty mẹ</t>
        </is>
      </c>
      <c r="B60" s="28">
        <f>IFERROR(INDEX(income_statement!$B:$I,MATCH("Cổ đông của Công ty mẹ",income_statement!$A:$A,0),MATCH(B$21,income_statement!$B$1:$I$1,0)),"")</f>
        <v/>
      </c>
      <c r="C60" s="28">
        <f>IFERROR(INDEX(income_statement!$B:$I,MATCH("Cổ đông của Công ty mẹ",income_statement!$A:$A,0),MATCH(C$21,income_statement!$B$1:$I$1,0)),"")</f>
        <v/>
      </c>
      <c r="D60" s="28">
        <f>IFERROR(INDEX(income_statement!$B:$I,MATCH("Cổ đông của Công ty mẹ",income_statement!$A:$A,0),MATCH(D$21,income_statement!$B$1:$I$1,0)),"")</f>
        <v/>
      </c>
      <c r="E60" s="28">
        <f>IFERROR(INDEX(income_statement!$B:$I,MATCH("Cổ đông của Công ty mẹ",income_statement!$A:$A,0),MATCH(E$21,income_statement!$B$1:$I$1,0)),"")</f>
        <v/>
      </c>
      <c r="F60" s="28">
        <f>IFERROR(INDEX(income_statement!$B:$I,MATCH("Cổ đông của Công ty mẹ",income_statement!$A:$A,0),MATCH(F$21,income_statement!$B$1:$I$1,0)),"")</f>
        <v/>
      </c>
      <c r="G60" s="28">
        <f>IFERROR(INDEX(income_statement!$B:$I,MATCH("Cổ đông của Công ty mẹ",income_statement!$A:$A,0),MATCH(G$21,income_statement!$B$1:$I$1,0)),"")</f>
        <v/>
      </c>
      <c r="H60" s="28">
        <f>IFERROR(INDEX(income_statement!$B:$I,MATCH("Cổ đông của Công ty mẹ",income_statement!$A:$A,0),MATCH(H$21,income_statement!$B$1:$I$1,0)),"")</f>
        <v/>
      </c>
      <c r="I60" s="28">
        <f>IFERROR(INDEX(income_statement!$B:$I,MATCH("Cổ đông của Công ty mẹ",income_statement!$A:$A,0),MATCH(I$21,income_statement!$B$1:$I$1,0)),"")</f>
        <v/>
      </c>
      <c r="J60" s="28" t="n">
        <v>28000000000000</v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 J3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7" customWidth="1" min="1" max="1"/>
    <col width="16.125" customWidth="1" min="2" max="2"/>
    <col width="21.75" customWidth="1" min="6" max="6"/>
  </cols>
  <sheetData>
    <row r="1" ht="15" customHeight="1">
      <c r="A1" s="32" t="n"/>
      <c r="B1" s="32" t="inlineStr">
        <is>
          <t>Q1/2026</t>
        </is>
      </c>
      <c r="C1" s="32" t="inlineStr">
        <is>
          <t>Q2/2026</t>
        </is>
      </c>
      <c r="D1" s="32" t="inlineStr">
        <is>
          <t>Q3/2026</t>
        </is>
      </c>
      <c r="E1" s="32" t="inlineStr">
        <is>
          <t>Q4/2026</t>
        </is>
      </c>
    </row>
    <row r="2" ht="14.25" customHeight="1">
      <c r="A2" s="32" t="inlineStr">
        <is>
          <t>Số CP</t>
        </is>
      </c>
      <c r="B2" s="33" t="n">
        <v>7086240414</v>
      </c>
      <c r="C2" s="33" t="n">
        <v>7086240414</v>
      </c>
      <c r="D2" s="33" t="n">
        <v>7086240414</v>
      </c>
      <c r="E2" s="33" t="n">
        <v>7086240414</v>
      </c>
    </row>
    <row r="3" ht="14.25" customHeight="1">
      <c r="A3" s="32" t="inlineStr">
        <is>
          <t>Thị giá</t>
        </is>
      </c>
      <c r="B3" s="33">
        <f>[1]Sheet1!C2</f>
        <v/>
      </c>
      <c r="C3" s="33">
        <f>[1]Sheet1!C2</f>
        <v/>
      </c>
      <c r="D3" s="33">
        <f>[1]Sheet1!C2</f>
        <v/>
      </c>
      <c r="E3" s="33">
        <f>[1]Sheet1!C2</f>
        <v/>
      </c>
    </row>
    <row r="4" ht="14.25" customHeight="1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</row>
    <row r="5" ht="14.25" customHeight="1"/>
    <row r="6" ht="14.25" customHeight="1">
      <c r="A6" s="32" t="inlineStr">
        <is>
          <t>VCSH</t>
        </is>
      </c>
      <c r="B6" s="33" t="n">
        <v>186683000000000</v>
      </c>
      <c r="C6" s="33">
        <f>B$6*(($E$6/$B$6)^(1/3))</f>
        <v/>
      </c>
      <c r="D6" s="33">
        <f>B$6*(($E$6/$B$6)^(2/3))</f>
        <v/>
      </c>
      <c r="E6" s="33">
        <f>chi_so_tai_chinh!J48</f>
        <v/>
      </c>
      <c r="F6" s="34" t="n"/>
      <c r="G6" s="34" t="n"/>
      <c r="H6" s="34" t="n"/>
    </row>
    <row r="7" ht="14.25" customHeight="1">
      <c r="A7" s="32" t="inlineStr">
        <is>
          <t>LICĐKKS</t>
        </is>
      </c>
      <c r="B7" s="33" t="n">
        <v>9787000000000</v>
      </c>
      <c r="C7" s="33">
        <f>C6*0.02</f>
        <v/>
      </c>
      <c r="D7" s="33">
        <f>D6*0.02</f>
        <v/>
      </c>
      <c r="E7" s="33">
        <f>E6*0.02</f>
        <v/>
      </c>
      <c r="F7" s="35" t="n"/>
      <c r="G7" s="35" t="n"/>
      <c r="H7" s="35" t="n"/>
    </row>
    <row r="8" ht="14.25" customHeight="1">
      <c r="A8" s="32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</row>
    <row r="9" ht="14.25" customHeight="1">
      <c r="A9" s="23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7" t="n"/>
      <c r="G9" s="38" t="n"/>
      <c r="H9" s="38" t="n"/>
    </row>
    <row r="10" ht="14.25" customHeight="1">
      <c r="A10" s="23" t="inlineStr">
        <is>
          <t>PB</t>
        </is>
      </c>
      <c r="B10" s="39">
        <f>B3/B9</f>
        <v/>
      </c>
      <c r="C10" s="39">
        <f>C3/C9</f>
        <v/>
      </c>
      <c r="D10" s="39">
        <f>D3/D9</f>
        <v/>
      </c>
      <c r="E10" s="39">
        <f>E3/E9</f>
        <v/>
      </c>
      <c r="F10" s="37" t="n"/>
      <c r="G10" s="37" t="n"/>
      <c r="H10" s="40" t="n"/>
    </row>
    <row r="11" ht="14.25" customHeight="1">
      <c r="E11" s="37" t="n"/>
      <c r="F11" s="37" t="n"/>
      <c r="G11" s="37" t="n"/>
      <c r="H11" s="37" t="n"/>
      <c r="I11" s="37" t="n"/>
    </row>
    <row r="12" ht="14.25" customHeight="1">
      <c r="F12" s="37" t="n"/>
      <c r="H12" s="37" t="n"/>
      <c r="I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 ht="14.25" customHeight="1">
      <c r="F13" s="37" t="n"/>
      <c r="G13" s="37" t="n"/>
      <c r="H13" s="37" t="n"/>
      <c r="I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</row>
    <row r="14" ht="14.25" customHeight="1">
      <c r="F14" s="37" t="n"/>
      <c r="G14" s="37" t="n"/>
      <c r="H14" s="37" t="n"/>
      <c r="I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</row>
    <row r="15" ht="14.25" customHeight="1">
      <c r="F15" s="37" t="n"/>
      <c r="G15" s="37" t="n"/>
    </row>
    <row r="16" ht="14.25" customHeight="1">
      <c r="G16" s="3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18.625" customWidth="1" min="1" max="1"/>
    <col width="11.375" customWidth="1" min="2" max="2"/>
    <col width="12.125" customWidth="1" min="6" max="6"/>
    <col width="8.875" customWidth="1" min="8" max="8"/>
    <col width="12.625" customWidth="1" min="27" max="27"/>
  </cols>
  <sheetData>
    <row r="1">
      <c r="A1" s="41" t="inlineStr">
        <is>
          <t>Chỉ tiêu</t>
        </is>
      </c>
      <c r="B1" s="41" t="n">
        <v>2022</v>
      </c>
      <c r="C1" s="41" t="n">
        <v>2023</v>
      </c>
      <c r="D1" s="41" t="n">
        <v>2024</v>
      </c>
      <c r="E1" s="41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1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1" t="inlineStr">
        <is>
          <t>Lợi nhuận trước thuế thu nhập doanh nghiệp</t>
        </is>
      </c>
      <c r="B3" s="43">
        <f>[2]KQHĐKD!F18*1000</f>
        <v/>
      </c>
      <c r="C3" s="43">
        <f>[2]KQHĐKD!G18*1000</f>
        <v/>
      </c>
      <c r="D3" s="43">
        <f>[2]KQHĐKD!H18*1000</f>
        <v/>
      </c>
      <c r="E3" s="43">
        <f>[2]KQHĐKD!I18*1000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1" t="inlineStr">
        <is>
          <t>%thực hiện</t>
        </is>
      </c>
      <c r="B4" s="44">
        <f>B3/B2</f>
        <v/>
      </c>
      <c r="C4" s="44">
        <f>C3/C2</f>
        <v/>
      </c>
      <c r="D4" s="44">
        <f>D3/D2</f>
        <v/>
      </c>
      <c r="E4" s="44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1" t="inlineStr">
        <is>
          <t>Trung vị %thực hiện LN trước thuế</t>
        </is>
      </c>
      <c r="B6" s="44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1" t="inlineStr">
        <is>
          <t>Tỷ lệ hoàn thành LNTT trên 95%</t>
        </is>
      </c>
      <c r="B8" s="44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2">
      <formula>1</formula>
    </cfRule>
  </conditionalFormatting>
  <conditionalFormatting sqref="B4:E4">
    <cfRule type="cellIs" priority="3" operator="greaterThanOrEqual" dxfId="2">
      <formula>1</formula>
    </cfRule>
  </conditionalFormatting>
  <conditionalFormatting sqref="B8">
    <cfRule type="cellIs" priority="1" operator="greaterThanOrEqual" dxfId="2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2026-09-23T03:38:20Z</dcterms:created>
  <dcterms:modified xsi:type="dcterms:W3CDTF">2026-09-23T03:38:27Z</dcterms:modified>
</cp:coreProperties>
</file>
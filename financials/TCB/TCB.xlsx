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  <sheet name="Dự báo tăng trưởng" sheetId="5" state="visible" r:id="rId5"/>
    <sheet name="Hiệu quả thực hiện kế hoạ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_(* #,##0_);_(* \(#,##0\);_(* &quot;-&quot;??_);_(@_)"/>
    <numFmt numFmtId="166" formatCode="0.0%"/>
  </numFmts>
  <fonts count="15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  <font>
      <name val="Tahoma"/>
      <family val="2"/>
      <b val="1"/>
      <sz val="10"/>
    </font>
    <font>
      <name val="Tahoma"/>
      <family val="2"/>
      <sz val="10"/>
    </font>
    <font>
      <name val="Tahoma"/>
      <family val="2"/>
      <color rgb="FF000000"/>
      <sz val="10"/>
    </font>
    <font>
      <name val="Tahoma"/>
      <family val="2"/>
      <color theme="1"/>
      <sz val="10"/>
    </font>
    <font>
      <name val="Tahoma"/>
      <family val="2"/>
      <i val="1"/>
      <sz val="10"/>
    </font>
    <font>
      <name val="Tahoma"/>
      <family val="2"/>
      <color rgb="FF008000"/>
      <sz val="10"/>
    </font>
    <font>
      <name val="Tahoma"/>
      <family val="2"/>
      <i val="1"/>
      <color rgb="FF808080"/>
      <sz val="10"/>
    </font>
    <font>
      <name val="Tahoma"/>
      <family val="2"/>
      <color rgb="FF7030A0"/>
      <sz val="10"/>
    </font>
    <font>
      <name val="Tahoma"/>
      <family val="2"/>
      <i val="1"/>
      <color rgb="FF7030A0"/>
      <sz val="10"/>
    </font>
    <font>
      <name val="Tahoma"/>
      <family val="2"/>
      <b val="1"/>
      <color rgb="FF008000"/>
      <sz val="10"/>
    </font>
    <font>
      <name val="Tahoma"/>
      <family val="2"/>
      <b val="1"/>
      <color rgb="FF7030A0"/>
      <sz val="10"/>
    </font>
    <font>
      <name val="Tahoma"/>
      <family val="2"/>
      <b val="1"/>
      <color theme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F7CAAC"/>
      </patternFill>
    </fill>
    <fill>
      <patternFill patternType="solid">
        <fgColor theme="5" tint="0.7999816888943144"/>
        <bgColor rgb="FFFBE4D5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3" borderId="2" pivotButton="0" quotePrefix="0" xfId="0"/>
    <xf numFmtId="1" fontId="3" fillId="3" borderId="2" applyAlignment="1" pivotButton="0" quotePrefix="0" xfId="0">
      <alignment horizontal="center"/>
    </xf>
    <xf numFmtId="0" fontId="4" fillId="3" borderId="2" pivotButton="0" quotePrefix="0" xfId="0"/>
    <xf numFmtId="10" fontId="5" fillId="3" borderId="2" pivotButton="0" quotePrefix="0" xfId="0"/>
    <xf numFmtId="10" fontId="6" fillId="4" borderId="2" pivotButton="0" quotePrefix="0" xfId="0"/>
    <xf numFmtId="9" fontId="6" fillId="4" borderId="2" pivotButton="0" quotePrefix="0" xfId="0"/>
    <xf numFmtId="9" fontId="6" fillId="5" borderId="2" pivotButton="0" quotePrefix="0" xfId="0"/>
    <xf numFmtId="0" fontId="7" fillId="3" borderId="2" pivotButton="0" quotePrefix="0" xfId="0"/>
    <xf numFmtId="10" fontId="6" fillId="3" borderId="2" pivotButton="0" quotePrefix="0" xfId="0"/>
    <xf numFmtId="0" fontId="3" fillId="6" borderId="2" pivotButton="0" quotePrefix="0" xfId="0"/>
    <xf numFmtId="0" fontId="6" fillId="6" borderId="2" pivotButton="0" quotePrefix="0" xfId="0"/>
    <xf numFmtId="0" fontId="3" fillId="0" borderId="2" pivotButton="0" quotePrefix="0" xfId="0"/>
    <xf numFmtId="1" fontId="3" fillId="0" borderId="2" applyAlignment="1" pivotButton="0" quotePrefix="0" xfId="0">
      <alignment horizontal="center"/>
    </xf>
    <xf numFmtId="3" fontId="3" fillId="0" borderId="2" applyAlignment="1" pivotButton="0" quotePrefix="0" xfId="0">
      <alignment horizontal="center"/>
    </xf>
    <xf numFmtId="3" fontId="6" fillId="0" borderId="0" pivotButton="0" quotePrefix="0" xfId="0"/>
    <xf numFmtId="0" fontId="4" fillId="0" borderId="2" pivotButton="0" quotePrefix="0" xfId="0"/>
    <xf numFmtId="3" fontId="8" fillId="0" borderId="2" pivotButton="0" quotePrefix="0" xfId="0"/>
    <xf numFmtId="3" fontId="9" fillId="0" borderId="2" pivotButton="0" quotePrefix="0" xfId="0"/>
    <xf numFmtId="0" fontId="10" fillId="0" borderId="2" pivotButton="0" quotePrefix="0" xfId="0"/>
    <xf numFmtId="3" fontId="11" fillId="0" borderId="2" pivotButton="0" quotePrefix="0" xfId="0"/>
    <xf numFmtId="3" fontId="10" fillId="0" borderId="0" pivotButton="0" quotePrefix="0" xfId="0"/>
    <xf numFmtId="0" fontId="3" fillId="0" borderId="0" pivotButton="0" quotePrefix="0" xfId="0"/>
    <xf numFmtId="3" fontId="8" fillId="0" borderId="0" pivotButton="0" quotePrefix="0" xfId="0"/>
    <xf numFmtId="3" fontId="12" fillId="0" borderId="2" pivotButton="0" quotePrefix="0" xfId="0"/>
    <xf numFmtId="0" fontId="13" fillId="0" borderId="2" pivotButton="0" quotePrefix="0" xfId="0"/>
    <xf numFmtId="9" fontId="13" fillId="0" borderId="2" pivotButton="0" quotePrefix="0" xfId="0"/>
    <xf numFmtId="3" fontId="14" fillId="0" borderId="0" pivotButton="0" quotePrefix="0" xfId="0"/>
    <xf numFmtId="0" fontId="6" fillId="0" borderId="2" pivotButton="0" quotePrefix="0" xfId="0"/>
    <xf numFmtId="3" fontId="6" fillId="0" borderId="2" pivotButton="0" quotePrefix="0" xfId="0"/>
    <xf numFmtId="165" fontId="6" fillId="0" borderId="0" pivotButton="0" quotePrefix="0" xfId="0"/>
    <xf numFmtId="9" fontId="6" fillId="0" borderId="0" pivotButton="0" quotePrefix="0" xfId="0"/>
    <xf numFmtId="3" fontId="10" fillId="0" borderId="2" pivotButton="0" quotePrefix="0" xfId="0"/>
    <xf numFmtId="0" fontId="10" fillId="0" borderId="0" pivotButton="0" quotePrefix="0" xfId="0"/>
    <xf numFmtId="43" fontId="10" fillId="0" borderId="0" pivotButton="0" quotePrefix="0" xfId="0"/>
    <xf numFmtId="2" fontId="10" fillId="0" borderId="2" pivotButton="0" quotePrefix="0" xfId="0"/>
    <xf numFmtId="166" fontId="10" fillId="0" borderId="0" pivotButton="0" quotePrefix="0" xfId="0"/>
    <xf numFmtId="0" fontId="5" fillId="0" borderId="2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3" fontId="5" fillId="0" borderId="2" applyAlignment="1" pivotButton="0" quotePrefix="0" xfId="0">
      <alignment wrapText="1"/>
    </xf>
    <xf numFmtId="9" fontId="5" fillId="0" borderId="2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70AD47"/>
          <bgColor rgb="FF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Tiền mặt, vàng bạc, đá quý</t>
        </is>
      </c>
      <c r="B2" s="4" t="n">
        <v>2606467000000</v>
      </c>
      <c r="C2" s="4" t="n">
        <v>4820627000000</v>
      </c>
      <c r="D2" s="4" t="n">
        <v>3663615000000</v>
      </c>
      <c r="E2" s="4" t="n">
        <v>3578643000000</v>
      </c>
      <c r="F2" s="4" t="n">
        <v>4215721000000</v>
      </c>
      <c r="G2" s="4" t="n">
        <v>3620695000000</v>
      </c>
      <c r="H2" s="4" t="n">
        <v>3384770000000</v>
      </c>
      <c r="I2" s="4" t="n">
        <v>4360821000000</v>
      </c>
    </row>
    <row r="3">
      <c r="A3" s="3" t="inlineStr">
        <is>
          <t>Tài sản cố định</t>
        </is>
      </c>
      <c r="B3" s="4" t="n">
        <v>1718596000000</v>
      </c>
      <c r="C3" s="4" t="n">
        <v>3207777000000</v>
      </c>
      <c r="D3" s="4" t="n">
        <v>4613423000000</v>
      </c>
      <c r="E3" s="4" t="n">
        <v>7224481000000</v>
      </c>
      <c r="F3" s="4" t="n">
        <v>8411382000000</v>
      </c>
      <c r="G3" s="4" t="n">
        <v>8892697000000</v>
      </c>
      <c r="H3" s="4" t="n">
        <v>12466885000000</v>
      </c>
      <c r="I3" s="4" t="n">
        <v>12122934000000</v>
      </c>
    </row>
    <row r="4">
      <c r="A4" s="3" t="inlineStr">
        <is>
          <t>Tài sản cố định hữu hình</t>
        </is>
      </c>
      <c r="B4" s="4" t="n">
        <v>788016000000</v>
      </c>
      <c r="C4" s="4" t="n">
        <v>793484000000</v>
      </c>
      <c r="D4" s="4" t="n">
        <v>1470942000000</v>
      </c>
      <c r="E4" s="4" t="n">
        <v>3628732000000</v>
      </c>
      <c r="F4" s="4" t="n">
        <v>3696812000000</v>
      </c>
      <c r="G4" s="4" t="n">
        <v>3527586000000</v>
      </c>
      <c r="H4" s="4" t="n">
        <v>6576699000000</v>
      </c>
      <c r="I4" s="4" t="n">
        <v>6343732000000</v>
      </c>
    </row>
    <row r="5">
      <c r="A5" s="3" t="inlineStr">
        <is>
          <t>Nguyên giá TSCĐ hữu hình</t>
        </is>
      </c>
      <c r="B5" s="4" t="n">
        <v>1835272000000</v>
      </c>
      <c r="C5" s="4" t="n">
        <v>1761468000000</v>
      </c>
      <c r="D5" s="4" t="n">
        <v>2416349000000</v>
      </c>
      <c r="E5" s="4" t="n">
        <v>4824092000000</v>
      </c>
      <c r="F5" s="4" t="n">
        <v>5156346000000</v>
      </c>
      <c r="G5" s="4" t="n">
        <v>5492566000000</v>
      </c>
      <c r="H5" s="4" t="n">
        <v>9080615000000</v>
      </c>
      <c r="I5" s="4" t="n">
        <v>9539276000000</v>
      </c>
    </row>
    <row r="6">
      <c r="A6" s="3" t="inlineStr">
        <is>
          <t>Hao mòn TSCĐ hữu hình</t>
        </is>
      </c>
      <c r="B6" s="4" t="n">
        <v>-1047256000000</v>
      </c>
      <c r="C6" s="4" t="n">
        <v>-967984000000</v>
      </c>
      <c r="D6" s="4" t="n">
        <v>-945407000000</v>
      </c>
      <c r="E6" s="4" t="n">
        <v>-1195360000000</v>
      </c>
      <c r="F6" s="4" t="n">
        <v>-1459534000000</v>
      </c>
      <c r="G6" s="4" t="n">
        <v>-1964980000000</v>
      </c>
      <c r="H6" s="4" t="n">
        <v>-2503916000000</v>
      </c>
      <c r="I6" s="4" t="n">
        <v>-3195544000000</v>
      </c>
    </row>
    <row r="7">
      <c r="A7" s="3" t="inlineStr">
        <is>
          <t>Tài sản cố định thuê tài chính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3" t="inlineStr">
        <is>
          <t>Nguyên giá TSCĐ thuê tài chính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Hao mòn TSCĐ thuê tài chính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Tài sản cố định vô hình</t>
        </is>
      </c>
      <c r="B10" s="4" t="n">
        <v>930580000000</v>
      </c>
      <c r="C10" s="4" t="n">
        <v>2414293000000</v>
      </c>
      <c r="D10" s="4" t="n">
        <v>3142481000000</v>
      </c>
      <c r="E10" s="4" t="n">
        <v>3595749000000</v>
      </c>
      <c r="F10" s="4" t="n">
        <v>4714570000000</v>
      </c>
      <c r="G10" s="4" t="n">
        <v>5365111000000</v>
      </c>
      <c r="H10" s="4" t="n">
        <v>5890186000000</v>
      </c>
      <c r="I10" s="4" t="n">
        <v>5779202000000</v>
      </c>
    </row>
    <row r="11">
      <c r="A11" s="3" t="inlineStr">
        <is>
          <t>Nguyên giá TSCĐ vô hình</t>
        </is>
      </c>
      <c r="B11" s="4" t="n">
        <v>1540037000000</v>
      </c>
      <c r="C11" s="4" t="n">
        <v>3086148000000</v>
      </c>
      <c r="D11" s="4" t="n">
        <v>3923203000000</v>
      </c>
      <c r="E11" s="4" t="n">
        <v>4541141000000</v>
      </c>
      <c r="F11" s="4" t="n">
        <v>5913538000000</v>
      </c>
      <c r="G11" s="4" t="n">
        <v>7198784000000</v>
      </c>
      <c r="H11" s="4" t="n">
        <v>8485022000000</v>
      </c>
      <c r="I11" s="4" t="n">
        <v>9535997000000</v>
      </c>
    </row>
    <row r="12">
      <c r="A12" s="3" t="inlineStr">
        <is>
          <t>Hao mòn TSCĐ vô hình</t>
        </is>
      </c>
      <c r="B12" s="4" t="n">
        <v>-609457000000</v>
      </c>
      <c r="C12" s="4" t="n">
        <v>-671855000000</v>
      </c>
      <c r="D12" s="4" t="n">
        <v>-780722000000</v>
      </c>
      <c r="E12" s="4" t="n">
        <v>-945392000000</v>
      </c>
      <c r="F12" s="4" t="n">
        <v>-1198968000000</v>
      </c>
      <c r="G12" s="4" t="n">
        <v>-1833673000000</v>
      </c>
      <c r="H12" s="4" t="n">
        <v>-2594836000000</v>
      </c>
      <c r="I12" s="4" t="n">
        <v>-3756795000000</v>
      </c>
    </row>
    <row r="13">
      <c r="A13" s="3" t="inlineStr">
        <is>
          <t>Bất động sản đầu tư</t>
        </is>
      </c>
      <c r="B13" s="4" t="n">
        <v>1196324000000</v>
      </c>
      <c r="C13" s="4" t="n">
        <v>1160524000000</v>
      </c>
      <c r="D13" s="4" t="n">
        <v>1124724000000</v>
      </c>
      <c r="E13" s="4" t="n">
        <v>1088924000000</v>
      </c>
      <c r="F13" s="4" t="n">
        <v>1053124000000</v>
      </c>
      <c r="G13" s="4" t="n">
        <v>0</v>
      </c>
      <c r="H13" s="4" t="n">
        <v>0</v>
      </c>
      <c r="I13" s="4" t="n">
        <v>0</v>
      </c>
    </row>
    <row r="14">
      <c r="A14" s="3" t="inlineStr">
        <is>
          <t>Nguyên giá bất động sản đầu tư</t>
        </is>
      </c>
      <c r="B14" s="4" t="n">
        <v>1435699000000</v>
      </c>
      <c r="C14" s="4" t="n">
        <v>1435699000000</v>
      </c>
      <c r="D14" s="4" t="n">
        <v>1435699000000</v>
      </c>
      <c r="E14" s="4" t="n">
        <v>1435699000000</v>
      </c>
      <c r="F14" s="4" t="n">
        <v>1435699000000</v>
      </c>
      <c r="G14" s="4" t="n">
        <v>0</v>
      </c>
      <c r="H14" s="4" t="n">
        <v>0</v>
      </c>
      <c r="I14" s="4" t="n">
        <v>0</v>
      </c>
    </row>
    <row r="15">
      <c r="A15" s="3" t="inlineStr">
        <is>
          <t>Hao mòn bất động sản đầu tư</t>
        </is>
      </c>
      <c r="B15" s="4" t="n">
        <v>-239375000000</v>
      </c>
      <c r="C15" s="4" t="n">
        <v>-275175000000</v>
      </c>
      <c r="D15" s="4" t="n">
        <v>-310975000000</v>
      </c>
      <c r="E15" s="4" t="n">
        <v>-346775000000</v>
      </c>
      <c r="F15" s="4" t="n">
        <v>-382575000000</v>
      </c>
      <c r="G15" s="4" t="n">
        <v>0</v>
      </c>
      <c r="H15" s="4" t="n">
        <v>0</v>
      </c>
      <c r="I15" s="4" t="n">
        <v>0</v>
      </c>
    </row>
    <row r="16">
      <c r="A16" s="3" t="inlineStr">
        <is>
          <t>Góp vốn, đầu tư dài hạn</t>
        </is>
      </c>
      <c r="B16" s="4" t="n">
        <v>12223000000</v>
      </c>
      <c r="C16" s="4" t="n">
        <v>12223000000</v>
      </c>
      <c r="D16" s="4" t="n">
        <v>11806000000</v>
      </c>
      <c r="E16" s="4" t="n">
        <v>12813000000</v>
      </c>
      <c r="F16" s="4" t="n">
        <v>12813000000</v>
      </c>
      <c r="G16" s="4" t="n">
        <v>3046245000000</v>
      </c>
      <c r="H16" s="4" t="n">
        <v>3102523000000</v>
      </c>
      <c r="I16" s="4" t="n">
        <v>3246622000000</v>
      </c>
    </row>
    <row r="17">
      <c r="A17" s="3" t="inlineStr">
        <is>
          <t>Đầu tư vào công ty con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3" t="inlineStr">
        <is>
          <t>Đầu tư vào công ty liên doanh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32263000000</v>
      </c>
    </row>
    <row r="19">
      <c r="A19" s="3" t="inlineStr">
        <is>
          <t>Đầu tư dài hạn khác</t>
        </is>
      </c>
      <c r="B19" s="4" t="n">
        <v>12883000000</v>
      </c>
      <c r="C19" s="4" t="n">
        <v>12883000000</v>
      </c>
      <c r="D19" s="4" t="n">
        <v>12466000000</v>
      </c>
      <c r="E19" s="4" t="n">
        <v>13962000000</v>
      </c>
      <c r="F19" s="4" t="n">
        <v>13962000000</v>
      </c>
      <c r="G19" s="4" t="n">
        <v>3047394000000</v>
      </c>
      <c r="H19" s="4" t="n">
        <v>3103672000000</v>
      </c>
      <c r="I19" s="4" t="n">
        <v>3215508000000</v>
      </c>
    </row>
    <row r="20">
      <c r="A20" s="3" t="inlineStr">
        <is>
          <t>Dự phòng giảm giá đầu tư dài hạn</t>
        </is>
      </c>
      <c r="B20" s="4" t="n">
        <v>-660000000</v>
      </c>
      <c r="C20" s="4" t="n">
        <v>-660000000</v>
      </c>
      <c r="D20" s="4" t="n">
        <v>-660000000</v>
      </c>
      <c r="E20" s="4" t="n">
        <v>-1149000000</v>
      </c>
      <c r="F20" s="4" t="n">
        <v>-1149000000</v>
      </c>
      <c r="G20" s="4" t="n">
        <v>-1149000000</v>
      </c>
      <c r="H20" s="4" t="n">
        <v>-1149000000</v>
      </c>
      <c r="I20" s="4" t="n">
        <v>-1149000000</v>
      </c>
    </row>
    <row r="21">
      <c r="A21" s="3" t="inlineStr">
        <is>
          <t>TỔNG TÀI SẢN</t>
        </is>
      </c>
      <c r="B21" s="4" t="n">
        <v>320988941000000</v>
      </c>
      <c r="C21" s="4" t="n">
        <v>383699461000000</v>
      </c>
      <c r="D21" s="4" t="n">
        <v>439602933000000</v>
      </c>
      <c r="E21" s="4" t="n">
        <v>568728950000000</v>
      </c>
      <c r="F21" s="4" t="n">
        <v>699032544000000</v>
      </c>
      <c r="G21" s="4" t="n">
        <v>849482012000000</v>
      </c>
      <c r="H21" s="4" t="n">
        <v>978798549000000</v>
      </c>
      <c r="I21" s="4" t="n">
        <v>1192344137000000</v>
      </c>
    </row>
    <row r="22">
      <c r="A22" s="3" t="inlineStr">
        <is>
          <t>TỔNG NỢ PHẢI TRẢ</t>
        </is>
      </c>
      <c r="B22" s="4" t="n">
        <v>269206236000000</v>
      </c>
      <c r="C22" s="4" t="n">
        <v>321626694000000</v>
      </c>
      <c r="D22" s="4" t="n">
        <v>364988147000000</v>
      </c>
      <c r="E22" s="4" t="n">
        <v>475687478000000</v>
      </c>
      <c r="F22" s="4" t="n">
        <v>585607578000000</v>
      </c>
      <c r="G22" s="4" t="n">
        <v>717865947000000</v>
      </c>
      <c r="H22" s="4" t="n">
        <v>830858928000000</v>
      </c>
      <c r="I22" s="4" t="n">
        <v>1012842695000000</v>
      </c>
    </row>
    <row r="23">
      <c r="A23" s="3" t="inlineStr">
        <is>
          <t>VỐN CHỦ SỞ HỮU</t>
        </is>
      </c>
      <c r="B23" s="4" t="n">
        <v>51782705000000</v>
      </c>
      <c r="C23" s="4" t="n">
        <v>62072767000000</v>
      </c>
      <c r="D23" s="4" t="n">
        <v>74614786000000</v>
      </c>
      <c r="E23" s="4" t="n">
        <v>93041472000000</v>
      </c>
      <c r="F23" s="4" t="n">
        <v>113424966000000</v>
      </c>
      <c r="G23" s="4" t="n">
        <v>131616065000000</v>
      </c>
      <c r="H23" s="4" t="n">
        <v>147939621000000</v>
      </c>
      <c r="I23" s="4" t="n">
        <v>179501442000000</v>
      </c>
    </row>
    <row r="24">
      <c r="A24" s="3" t="inlineStr">
        <is>
          <t>Vốn điều lệ</t>
        </is>
      </c>
      <c r="B24" s="4" t="n">
        <v>34965922000000</v>
      </c>
      <c r="C24" s="4" t="n">
        <v>35001400000000</v>
      </c>
      <c r="D24" s="4" t="n">
        <v>35049062000000</v>
      </c>
      <c r="E24" s="4" t="n">
        <v>35109148000000</v>
      </c>
      <c r="F24" s="4" t="n">
        <v>35172385000000</v>
      </c>
      <c r="G24" s="4" t="n">
        <v>35225108000000</v>
      </c>
      <c r="H24" s="4" t="n">
        <v>70648517000000</v>
      </c>
      <c r="I24" s="4" t="n">
        <v>70862404000000</v>
      </c>
    </row>
    <row r="25">
      <c r="A25" s="3" t="inlineStr">
        <is>
          <t>Thặng dư vốn cổ phần</t>
        </is>
      </c>
      <c r="B25" s="4" t="n">
        <v>476617000000</v>
      </c>
      <c r="C25" s="4" t="n">
        <v>476567000000</v>
      </c>
      <c r="D25" s="4" t="n">
        <v>476507000000</v>
      </c>
      <c r="E25" s="4" t="n">
        <v>476474000000</v>
      </c>
      <c r="F25" s="4" t="n">
        <v>476415000000</v>
      </c>
      <c r="G25" s="4" t="n">
        <v>476356000000</v>
      </c>
      <c r="H25" s="4" t="n">
        <v>-59000000</v>
      </c>
      <c r="I25" s="4" t="n">
        <v>-124000000</v>
      </c>
    </row>
    <row r="26">
      <c r="A26" s="3" t="inlineStr">
        <is>
          <t>Vốn khác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555997000000</v>
      </c>
      <c r="G26" s="4" t="n">
        <v>555997000000</v>
      </c>
      <c r="H26" s="4" t="n">
        <v>7764086000000</v>
      </c>
      <c r="I26" s="4" t="n">
        <v>7764086000000</v>
      </c>
    </row>
    <row r="27">
      <c r="A27" s="3" t="inlineStr">
        <is>
          <t>Cổ phiếu Quỹ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Chênh lệch đánh giá lại tài sản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</row>
    <row r="29">
      <c r="A29" s="3" t="inlineStr">
        <is>
          <t>Chênh lệch tỷ giá hối đoái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Lợi nhuận chưa phân phối</t>
        </is>
      </c>
      <c r="B30" s="4" t="n">
        <v>12403003000000</v>
      </c>
      <c r="C30" s="4" t="n">
        <v>21131391000000</v>
      </c>
      <c r="D30" s="4" t="n">
        <v>31815705000000</v>
      </c>
      <c r="E30" s="4" t="n">
        <v>47453056000000</v>
      </c>
      <c r="F30" s="4" t="n">
        <v>64482685000000</v>
      </c>
      <c r="G30" s="4" t="n">
        <v>49013144000000</v>
      </c>
      <c r="H30" s="4" t="n">
        <v>42219306000000</v>
      </c>
      <c r="I30" s="4" t="n">
        <v>62773576000000</v>
      </c>
    </row>
    <row r="31">
      <c r="A31" s="3" t="inlineStr">
        <is>
          <t>Lợi ích của cổ đông thiểu số (trước 2015)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</row>
    <row r="32">
      <c r="A32" s="3" t="inlineStr">
        <is>
          <t>NỢ PHẢI TRẢ VÀ VỐN CHỦ SỞ HỮU</t>
        </is>
      </c>
      <c r="B32" s="4" t="n">
        <v>320988941000000</v>
      </c>
      <c r="C32" s="4" t="n">
        <v>383699461000000</v>
      </c>
      <c r="D32" s="4" t="n">
        <v>439602933000000</v>
      </c>
      <c r="E32" s="4" t="n">
        <v>568728950000000</v>
      </c>
      <c r="F32" s="4" t="n">
        <v>699032544000000</v>
      </c>
      <c r="G32" s="4" t="n">
        <v>849482012000000</v>
      </c>
      <c r="H32" s="4" t="n">
        <v>978798549000000</v>
      </c>
      <c r="I32" s="4" t="n">
        <v>1192344137000000</v>
      </c>
    </row>
    <row r="33">
      <c r="A33" s="3" t="inlineStr">
        <is>
          <t>Tiền gửi tại Ngân hàng nhà nước Việt Nam</t>
        </is>
      </c>
      <c r="B33" s="4" t="n">
        <v>10555483000000</v>
      </c>
      <c r="C33" s="4" t="n">
        <v>3192256000000</v>
      </c>
      <c r="D33" s="4" t="n">
        <v>10253324000000</v>
      </c>
      <c r="E33" s="4" t="n">
        <v>4908529000000</v>
      </c>
      <c r="F33" s="4" t="n">
        <v>11475590000000</v>
      </c>
      <c r="G33" s="4" t="n">
        <v>27140592000000</v>
      </c>
      <c r="H33" s="4" t="n">
        <v>54353153000000</v>
      </c>
      <c r="I33" s="4" t="n">
        <v>82162772000000</v>
      </c>
    </row>
    <row r="34">
      <c r="A34" s="3" t="inlineStr">
        <is>
          <t>Tiền gửi tại các TCTD khác và cho vay các TCTD khác</t>
        </is>
      </c>
      <c r="B34" s="4" t="n">
        <v>35559363000000</v>
      </c>
      <c r="C34" s="4" t="n">
        <v>47990224000000</v>
      </c>
      <c r="D34" s="4" t="n">
        <v>28994954000000</v>
      </c>
      <c r="E34" s="4" t="n">
        <v>70515258000000</v>
      </c>
      <c r="F34" s="4" t="n">
        <v>82873754000000</v>
      </c>
      <c r="G34" s="4" t="n">
        <v>104072320000000</v>
      </c>
      <c r="H34" s="4" t="n">
        <v>84590474000000</v>
      </c>
      <c r="I34" s="4" t="n">
        <v>114958312000000</v>
      </c>
    </row>
    <row r="35">
      <c r="A35" s="3" t="inlineStr">
        <is>
          <t>Chứng khoán kinh doanh</t>
        </is>
      </c>
      <c r="B35" s="4" t="n">
        <v>7583090000000</v>
      </c>
      <c r="C35" s="4" t="n">
        <v>10052963000000</v>
      </c>
      <c r="D35" s="4" t="n">
        <v>8357447000000</v>
      </c>
      <c r="E35" s="4" t="n">
        <v>5074479000000</v>
      </c>
      <c r="F35" s="4" t="n">
        <v>961034000000</v>
      </c>
      <c r="G35" s="4" t="n">
        <v>4432778000000</v>
      </c>
      <c r="H35" s="4" t="n">
        <v>9000895000000</v>
      </c>
      <c r="I35" s="4" t="n">
        <v>4816831000000</v>
      </c>
    </row>
    <row r="36">
      <c r="A36" s="3" t="inlineStr">
        <is>
          <t>Chứng khoán kinh doanh</t>
        </is>
      </c>
      <c r="B36" s="4" t="inlineStr"/>
      <c r="C36" s="4" t="inlineStr"/>
      <c r="D36" s="4" t="inlineStr"/>
      <c r="E36" s="4" t="inlineStr"/>
      <c r="F36" s="4" t="n">
        <v>961034000000</v>
      </c>
      <c r="G36" s="4" t="n">
        <v>4432778000000</v>
      </c>
      <c r="H36" s="4" t="n">
        <v>9000895000000</v>
      </c>
      <c r="I36" s="4" t="n">
        <v>4816831000000</v>
      </c>
    </row>
    <row r="37">
      <c r="A37" s="3" t="inlineStr">
        <is>
          <t>Dự phòng giảm giá chứng khoán kinh doanh</t>
        </is>
      </c>
      <c r="B37" s="4" t="n">
        <v>-10861000000</v>
      </c>
      <c r="C37" s="4" t="n">
        <v>-11407000000</v>
      </c>
      <c r="D37" s="4" t="n">
        <v>-9871000000</v>
      </c>
      <c r="E37" s="4" t="n">
        <v>-3667000000</v>
      </c>
      <c r="F37" s="4" t="n">
        <v>0</v>
      </c>
      <c r="G37" s="4" t="n">
        <v>0</v>
      </c>
      <c r="H37" s="4" t="n">
        <v>-251000000</v>
      </c>
      <c r="I37" s="4" t="n">
        <v>-1054000000</v>
      </c>
    </row>
    <row r="38">
      <c r="A38" s="3" t="inlineStr">
        <is>
          <t>Các công cụ tài chính phái sinh và các tài sản tài chính khác</t>
        </is>
      </c>
      <c r="B38" s="4" t="n">
        <v>0</v>
      </c>
      <c r="C38" s="4" t="n">
        <v>0</v>
      </c>
      <c r="D38" s="4" t="n">
        <v>0</v>
      </c>
      <c r="E38" s="4" t="n">
        <v>293768000000</v>
      </c>
      <c r="F38" s="4" t="n">
        <v>0</v>
      </c>
      <c r="G38" s="4" t="n">
        <v>143611000000</v>
      </c>
      <c r="H38" s="4" t="n">
        <v>0</v>
      </c>
      <c r="I38" s="4" t="n">
        <v>0</v>
      </c>
    </row>
    <row r="39">
      <c r="A39" s="3" t="inlineStr">
        <is>
          <t>Cho vay khách hàng</t>
        </is>
      </c>
      <c r="B39" s="4" t="n">
        <v>159939217000000</v>
      </c>
      <c r="C39" s="4" t="n">
        <v>230802027000000</v>
      </c>
      <c r="D39" s="4" t="n">
        <v>277524615000000</v>
      </c>
      <c r="E39" s="4" t="n">
        <v>347341244000000</v>
      </c>
      <c r="F39" s="4" t="n">
        <v>420523705000000</v>
      </c>
      <c r="G39" s="4" t="n">
        <v>518641568000000</v>
      </c>
      <c r="H39" s="4" t="n">
        <v>631724964000000</v>
      </c>
      <c r="I39" s="4" t="n">
        <v>767617129000000</v>
      </c>
    </row>
    <row r="40">
      <c r="A40" s="3" t="inlineStr">
        <is>
          <t>Cho vay khách hàng</t>
        </is>
      </c>
      <c r="B40" s="4" t="inlineStr"/>
      <c r="C40" s="4" t="inlineStr"/>
      <c r="D40" s="4" t="inlineStr"/>
      <c r="E40" s="4" t="inlineStr"/>
      <c r="F40" s="4" t="n">
        <v>420523705000000</v>
      </c>
      <c r="G40" s="4" t="n">
        <v>518641568000000</v>
      </c>
      <c r="H40" s="4" t="n">
        <v>631724964000000</v>
      </c>
      <c r="I40" s="4" t="n">
        <v>767617129000000</v>
      </c>
    </row>
    <row r="41">
      <c r="A41" s="3" t="inlineStr">
        <is>
          <t>Dự phòng rủi ro cho vay khách hàng</t>
        </is>
      </c>
      <c r="B41" s="4" t="n">
        <v>-2385114000000</v>
      </c>
      <c r="C41" s="4" t="n">
        <v>-2916744000000</v>
      </c>
      <c r="D41" s="4" t="n">
        <v>-2214248000000</v>
      </c>
      <c r="E41" s="4" t="n">
        <v>-3735663000000</v>
      </c>
      <c r="F41" s="4" t="n">
        <v>-4771449000000</v>
      </c>
      <c r="G41" s="4" t="n">
        <v>-6127896000000</v>
      </c>
      <c r="H41" s="4" t="n">
        <v>-8090693000000</v>
      </c>
      <c r="I41" s="4" t="n">
        <v>-10498378000000</v>
      </c>
    </row>
    <row r="42">
      <c r="A42" s="3" t="inlineStr">
        <is>
          <t>Chứng khoán đầu tư</t>
        </is>
      </c>
      <c r="B42" s="4" t="n">
        <v>86512348000000</v>
      </c>
      <c r="C42" s="4" t="n">
        <v>66054597000000</v>
      </c>
      <c r="D42" s="4" t="n">
        <v>84447241000000</v>
      </c>
      <c r="E42" s="4" t="n">
        <v>97586088000000</v>
      </c>
      <c r="F42" s="4" t="n">
        <v>103651920000000</v>
      </c>
      <c r="G42" s="4" t="n">
        <v>104993945000000</v>
      </c>
      <c r="H42" s="4" t="n">
        <v>148623636000000</v>
      </c>
      <c r="I42" s="4" t="n">
        <v>145526404000000</v>
      </c>
    </row>
    <row r="43">
      <c r="A43" s="3" t="inlineStr">
        <is>
          <t>Chứng khoán đầu tư sẵn sàng để bán</t>
        </is>
      </c>
      <c r="B43" s="4" t="n">
        <v>66625261000000</v>
      </c>
      <c r="C43" s="4" t="n">
        <v>66158709000000</v>
      </c>
      <c r="D43" s="4" t="n">
        <v>84632952000000</v>
      </c>
      <c r="E43" s="4" t="n">
        <v>98092062000000</v>
      </c>
      <c r="F43" s="4" t="n">
        <v>104031921000000</v>
      </c>
      <c r="G43" s="4" t="n">
        <v>105356248000000</v>
      </c>
      <c r="H43" s="4" t="n">
        <v>142202792000000</v>
      </c>
      <c r="I43" s="4" t="n">
        <v>145942288000000</v>
      </c>
    </row>
    <row r="44">
      <c r="A44" s="3" t="inlineStr">
        <is>
          <t>Chứng khoán đầu tư giữ đến ngày đáo hạn</t>
        </is>
      </c>
      <c r="B44" s="4" t="n">
        <v>20236200000000</v>
      </c>
      <c r="C44" s="4" t="n">
        <v>202006000000</v>
      </c>
      <c r="D44" s="4" t="n">
        <v>200000000000</v>
      </c>
      <c r="E44" s="4" t="n">
        <v>200000000000</v>
      </c>
      <c r="F44" s="4" t="n">
        <v>0</v>
      </c>
      <c r="G44" s="4" t="n">
        <v>0</v>
      </c>
      <c r="H44" s="4" t="n">
        <v>6900000000000</v>
      </c>
      <c r="I44" s="4" t="n">
        <v>0</v>
      </c>
    </row>
    <row r="45">
      <c r="A45" s="3" t="inlineStr">
        <is>
          <t>Dự phòng giảm giá chứng khoán đầu tư</t>
        </is>
      </c>
      <c r="B45" s="4" t="n">
        <v>-349113000000</v>
      </c>
      <c r="C45" s="4" t="n">
        <v>-306118000000</v>
      </c>
      <c r="D45" s="4" t="n">
        <v>-385711000000</v>
      </c>
      <c r="E45" s="4" t="n">
        <v>-705974000000</v>
      </c>
      <c r="F45" s="4" t="n">
        <v>-380001000000</v>
      </c>
      <c r="G45" s="4" t="n">
        <v>-362303000000</v>
      </c>
      <c r="H45" s="4" t="n">
        <v>-479156000000</v>
      </c>
      <c r="I45" s="4" t="n">
        <v>-415884000000</v>
      </c>
    </row>
    <row r="46">
      <c r="A46" s="3" t="inlineStr">
        <is>
          <t>Tài sản Có khác</t>
        </is>
      </c>
      <c r="B46" s="4" t="n">
        <v>717481000000</v>
      </c>
      <c r="C46" s="4" t="n">
        <v>1055475000000</v>
      </c>
      <c r="D46" s="4" t="n">
        <v>1268562000000</v>
      </c>
      <c r="E46" s="4" t="n">
        <v>1448617000000</v>
      </c>
      <c r="F46" s="4" t="n">
        <v>1616735000000</v>
      </c>
      <c r="G46" s="4" t="n">
        <v>1650584000000</v>
      </c>
      <c r="H46" s="4" t="n">
        <v>1818676000000</v>
      </c>
      <c r="I46" s="4" t="n">
        <v>2070439000000</v>
      </c>
    </row>
    <row r="47">
      <c r="A47" s="3" t="inlineStr">
        <is>
          <t>Các khoản nợ chính phủ và NHNN Việt Nam</t>
        </is>
      </c>
      <c r="B47" s="4" t="n">
        <v>6025027000000</v>
      </c>
      <c r="C47" s="4" t="n">
        <v>0</v>
      </c>
      <c r="D47" s="4" t="n">
        <v>0</v>
      </c>
      <c r="E47" s="4" t="n">
        <v>842000000</v>
      </c>
      <c r="F47" s="4" t="n">
        <v>7826000000</v>
      </c>
      <c r="G47" s="4" t="n">
        <v>131000000</v>
      </c>
      <c r="H47" s="4" t="n">
        <v>11531000000</v>
      </c>
      <c r="I47" s="4" t="n">
        <v>4323867000000</v>
      </c>
    </row>
    <row r="48">
      <c r="A48" s="3" t="inlineStr">
        <is>
          <t>Tiền gửi và vay các Tổ chức tín dụng khác</t>
        </is>
      </c>
      <c r="B48" s="4" t="n">
        <v>36425560000000</v>
      </c>
      <c r="C48" s="4" t="n">
        <v>61266635000000</v>
      </c>
      <c r="D48" s="4" t="n">
        <v>47484812000000</v>
      </c>
      <c r="E48" s="4" t="n">
        <v>112458691000000</v>
      </c>
      <c r="F48" s="4" t="n">
        <v>167562969000000</v>
      </c>
      <c r="G48" s="4" t="n">
        <v>153173002000000</v>
      </c>
      <c r="H48" s="4" t="n">
        <v>132239088000000</v>
      </c>
      <c r="I48" s="4" t="n">
        <v>144982976000000</v>
      </c>
    </row>
    <row r="49">
      <c r="A49" s="3" t="inlineStr">
        <is>
          <t>Tiền gửi của khách hàng</t>
        </is>
      </c>
      <c r="B49" s="4" t="n">
        <v>201414532000000</v>
      </c>
      <c r="C49" s="4" t="n">
        <v>231296761000000</v>
      </c>
      <c r="D49" s="4" t="n">
        <v>277458651000000</v>
      </c>
      <c r="E49" s="4" t="n">
        <v>314752525000000</v>
      </c>
      <c r="F49" s="4" t="n">
        <v>358403785000000</v>
      </c>
      <c r="G49" s="4" t="n">
        <v>454660779000000</v>
      </c>
      <c r="H49" s="4" t="n">
        <v>533392350000000</v>
      </c>
      <c r="I49" s="4" t="n">
        <v>618911535000000</v>
      </c>
    </row>
    <row r="50">
      <c r="A50" s="3" t="inlineStr">
        <is>
          <t>Các công cụ tài chính phái sinh và các khoản nợ tài chính khác</t>
        </is>
      </c>
      <c r="B50" s="4" t="n">
        <v>310313000000</v>
      </c>
      <c r="C50" s="4" t="n">
        <v>434008000000</v>
      </c>
      <c r="D50" s="4" t="n">
        <v>266926000000</v>
      </c>
      <c r="E50" s="4" t="n">
        <v>0</v>
      </c>
      <c r="F50" s="4" t="n">
        <v>1851213000000</v>
      </c>
      <c r="G50" s="4" t="n">
        <v>0</v>
      </c>
      <c r="H50" s="4" t="n">
        <v>931231000000</v>
      </c>
      <c r="I50" s="4" t="n">
        <v>2416947000000</v>
      </c>
    </row>
    <row r="51">
      <c r="A51" s="3" t="inlineStr">
        <is>
          <t>Vốn tài trợ, uỷ thác đầu tư của Chính phủ và các tổ chức tín dụng khác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</row>
    <row r="52">
      <c r="A52" s="3" t="inlineStr">
        <is>
          <t>Phát hành giấy tờ có giá</t>
        </is>
      </c>
      <c r="B52" s="4" t="n">
        <v>13177959000000</v>
      </c>
      <c r="C52" s="4" t="n">
        <v>17460634000000</v>
      </c>
      <c r="D52" s="4" t="n">
        <v>27899640000000</v>
      </c>
      <c r="E52" s="4" t="n">
        <v>33679824000000</v>
      </c>
      <c r="F52" s="4" t="n">
        <v>34006619000000</v>
      </c>
      <c r="G52" s="4" t="n">
        <v>84703300000000</v>
      </c>
      <c r="H52" s="4" t="n">
        <v>140422321000000</v>
      </c>
      <c r="I52" s="4" t="n">
        <v>215330128000000</v>
      </c>
    </row>
    <row r="53">
      <c r="A53" s="3" t="inlineStr">
        <is>
          <t>Các khoản nợ khác</t>
        </is>
      </c>
      <c r="B53" s="4" t="n">
        <v>11852845000000</v>
      </c>
      <c r="C53" s="4" t="n">
        <v>11168656000000</v>
      </c>
      <c r="D53" s="4" t="n">
        <v>11878118000000</v>
      </c>
      <c r="E53" s="4" t="n">
        <v>14795596000000</v>
      </c>
      <c r="F53" s="4" t="n">
        <v>23775166000000</v>
      </c>
      <c r="G53" s="4" t="n">
        <v>25328735000000</v>
      </c>
      <c r="H53" s="4" t="n">
        <v>23862407000000</v>
      </c>
      <c r="I53" s="4" t="n">
        <v>26877242000000</v>
      </c>
    </row>
    <row r="54">
      <c r="A54" s="3" t="inlineStr">
        <is>
          <t>Vốn của tổ chức tín dụng</t>
        </is>
      </c>
      <c r="B54" s="4" t="n">
        <v>35442539000000</v>
      </c>
      <c r="C54" s="4" t="n">
        <v>35477967000000</v>
      </c>
      <c r="D54" s="4" t="n">
        <v>35525569000000</v>
      </c>
      <c r="E54" s="4" t="n">
        <v>35585622000000</v>
      </c>
      <c r="F54" s="4" t="n">
        <v>36204797000000</v>
      </c>
      <c r="G54" s="4" t="n">
        <v>36257461000000</v>
      </c>
      <c r="H54" s="4" t="n">
        <v>78412544000000</v>
      </c>
      <c r="I54" s="4" t="n">
        <v>78626366000000</v>
      </c>
    </row>
    <row r="55">
      <c r="A55" s="3" t="inlineStr">
        <is>
          <t>Vốn đầu tư XDCB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</row>
    <row r="56">
      <c r="A56" s="3" t="inlineStr">
        <is>
          <t>Cổ phiếu ưu đãi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</row>
    <row r="57">
      <c r="A57" s="3" t="inlineStr">
        <is>
          <t>Quỹ của tổ chức tín dụng</t>
        </is>
      </c>
      <c r="B57" s="4" t="n">
        <v>3867846000000</v>
      </c>
      <c r="C57" s="4" t="n">
        <v>5172684000000</v>
      </c>
      <c r="D57" s="4" t="n">
        <v>6789643000000</v>
      </c>
      <c r="E57" s="4" t="n">
        <v>9155896000000</v>
      </c>
      <c r="F57" s="4" t="n">
        <v>11608569000000</v>
      </c>
      <c r="G57" s="4" t="n">
        <v>45028627000000</v>
      </c>
      <c r="H57" s="4" t="n">
        <v>24787305000000</v>
      </c>
      <c r="I57" s="4" t="n">
        <v>28644562000000</v>
      </c>
    </row>
    <row r="58">
      <c r="A58" s="3" t="inlineStr">
        <is>
          <t>Bảo lãnh khác</t>
        </is>
      </c>
      <c r="B58" s="4" t="n">
        <v>19043774000000</v>
      </c>
      <c r="C58" s="4" t="n">
        <v>22285888000000</v>
      </c>
      <c r="D58" s="4" t="n">
        <v>21121837000000</v>
      </c>
      <c r="E58" s="4" t="n">
        <v>30068017000000</v>
      </c>
      <c r="F58" s="4" t="n">
        <v>44870251000000</v>
      </c>
      <c r="G58" s="4" t="n">
        <v>57648065000000</v>
      </c>
      <c r="H58" s="4" t="n">
        <v>58558478000000</v>
      </c>
      <c r="I58" s="4" t="n">
        <v>122225620000000</v>
      </c>
    </row>
    <row r="59">
      <c r="A59" s="3" t="inlineStr">
        <is>
          <t>Cam kết giao dịch hối đoái</t>
        </is>
      </c>
      <c r="B59" s="4" t="n">
        <v>38509000000</v>
      </c>
      <c r="C59" s="4" t="n">
        <v>38509000000</v>
      </c>
      <c r="D59" s="4" t="n">
        <v>34868000000</v>
      </c>
      <c r="E59" s="4" t="n">
        <v>56682000000</v>
      </c>
      <c r="F59" s="4" t="n">
        <v>13253457000000</v>
      </c>
      <c r="G59" s="4" t="n">
        <v>14935065000000</v>
      </c>
      <c r="H59" s="4" t="n">
        <v>11507947000000</v>
      </c>
      <c r="I59" s="4" t="n">
        <v>14965995000000</v>
      </c>
    </row>
    <row r="60">
      <c r="A60" s="3" t="inlineStr">
        <is>
          <t>Cam kết mua ngoại tệ</t>
        </is>
      </c>
      <c r="B60" s="4" t="n">
        <v>3305927000000</v>
      </c>
      <c r="C60" s="4" t="n">
        <v>1108119000000</v>
      </c>
      <c r="D60" s="4" t="n">
        <v>1605493000000</v>
      </c>
      <c r="E60" s="4" t="n">
        <v>1147456000000</v>
      </c>
      <c r="F60" s="4" t="n">
        <v>2450745000000</v>
      </c>
      <c r="G60" s="4" t="n">
        <v>4593012000000</v>
      </c>
      <c r="H60" s="4" t="n">
        <v>3062641000000</v>
      </c>
      <c r="I60" s="4" t="n">
        <v>6372664000000</v>
      </c>
    </row>
    <row r="61">
      <c r="A61" s="3" t="inlineStr">
        <is>
          <t>Cam kết bán ngoại tệ</t>
        </is>
      </c>
      <c r="B61" s="4" t="n">
        <v>7472531000000</v>
      </c>
      <c r="C61" s="4" t="n">
        <v>5611861000000</v>
      </c>
      <c r="D61" s="4" t="n">
        <v>3004364000000</v>
      </c>
      <c r="E61" s="4" t="n">
        <v>3155974000000</v>
      </c>
      <c r="F61" s="4" t="n">
        <v>1361969000000</v>
      </c>
      <c r="G61" s="4" t="n">
        <v>4415918000000</v>
      </c>
      <c r="H61" s="4" t="n">
        <v>3511618000000</v>
      </c>
      <c r="I61" s="4" t="n">
        <v>7295512000000</v>
      </c>
    </row>
    <row r="62">
      <c r="A62" s="3" t="inlineStr">
        <is>
          <t>Cam kết giao dịch hoán đổi</t>
        </is>
      </c>
      <c r="B62" s="4" t="n">
        <v>149821837000000</v>
      </c>
      <c r="C62" s="4" t="n">
        <v>221756824000000</v>
      </c>
      <c r="D62" s="4" t="n">
        <v>181340703000000</v>
      </c>
      <c r="E62" s="4" t="n">
        <v>275039014000000</v>
      </c>
      <c r="F62" s="4" t="n">
        <v>356308029000000</v>
      </c>
      <c r="G62" s="4" t="n">
        <v>341592612000000</v>
      </c>
      <c r="H62" s="4" t="n">
        <v>262819403000000</v>
      </c>
      <c r="I62" s="4" t="n">
        <v>403653327000000</v>
      </c>
    </row>
    <row r="63">
      <c r="A63" s="3" t="inlineStr">
        <is>
          <t>Cam kết giao dịch tương lai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</row>
    <row r="64">
      <c r="A64" s="3" t="inlineStr">
        <is>
          <t>Cam kết cho vay không hủy ngang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Cam kết trong nghiệp vụ L/C</t>
        </is>
      </c>
      <c r="B65" s="4" t="n">
        <v>12163321000000</v>
      </c>
      <c r="C65" s="4" t="n">
        <v>21909553000000</v>
      </c>
      <c r="D65" s="4" t="n">
        <v>30880187000000</v>
      </c>
      <c r="E65" s="4" t="n">
        <v>47054297000000</v>
      </c>
      <c r="F65" s="4" t="n">
        <v>64666942000000</v>
      </c>
      <c r="G65" s="4" t="n">
        <v>67845653000000</v>
      </c>
      <c r="H65" s="4" t="n">
        <v>38065747000000</v>
      </c>
      <c r="I65" s="4" t="n">
        <v>64314200000000</v>
      </c>
    </row>
    <row r="66">
      <c r="A66" s="3" t="inlineStr">
        <is>
          <t>Cam kết khác</t>
        </is>
      </c>
      <c r="B66" s="4" t="n">
        <v>210068172000000</v>
      </c>
      <c r="C66" s="4" t="n">
        <v>260721927000000</v>
      </c>
      <c r="D66" s="4" t="n">
        <v>302318864000000</v>
      </c>
      <c r="E66" s="4" t="n">
        <v>358478746000000</v>
      </c>
      <c r="F66" s="4" t="n">
        <v>449697675000000</v>
      </c>
      <c r="G66" s="4" t="n">
        <v>176065387000000</v>
      </c>
      <c r="H66" s="4" t="n">
        <v>213069830000000</v>
      </c>
      <c r="I66" s="4" t="n">
        <v>182638941000000</v>
      </c>
    </row>
    <row r="67">
      <c r="A67" s="3" t="inlineStr">
        <is>
          <t>Lợi ích của cổ đông thiểu số</t>
        </is>
      </c>
      <c r="B67" s="4" t="n">
        <v>69317000000</v>
      </c>
      <c r="C67" s="4" t="n">
        <v>290725000000</v>
      </c>
      <c r="D67" s="4" t="n">
        <v>483869000000</v>
      </c>
      <c r="E67" s="4" t="n">
        <v>846898000000</v>
      </c>
      <c r="F67" s="4" t="n">
        <v>1128915000000</v>
      </c>
      <c r="G67" s="4" t="n">
        <v>1316833000000</v>
      </c>
      <c r="H67" s="4" t="n">
        <v>2520466000000</v>
      </c>
      <c r="I67" s="4" t="n">
        <v>9456938000000</v>
      </c>
    </row>
    <row r="68">
      <c r="A68" s="3" t="inlineStr">
        <is>
          <t>Tiền gửi tại các TCTD khác</t>
        </is>
      </c>
      <c r="B68" s="4" t="n">
        <v>24169512000000</v>
      </c>
      <c r="C68" s="4" t="n">
        <v>38596420000000</v>
      </c>
      <c r="D68" s="4" t="n">
        <v>21112630000000</v>
      </c>
      <c r="E68" s="4" t="n">
        <v>39450727000000</v>
      </c>
      <c r="F68" s="4" t="n">
        <v>69925143000000</v>
      </c>
      <c r="G68" s="4" t="n">
        <v>80126897000000</v>
      </c>
      <c r="H68" s="4" t="n">
        <v>74887085000000</v>
      </c>
      <c r="I68" s="4" t="n">
        <v>108143393000000</v>
      </c>
    </row>
    <row r="69">
      <c r="A69" s="3" t="inlineStr">
        <is>
          <t>Cho vay các TCTD khác</t>
        </is>
      </c>
      <c r="B69" s="4" t="n">
        <v>11389851000000</v>
      </c>
      <c r="C69" s="4" t="n">
        <v>9393804000000</v>
      </c>
      <c r="D69" s="4" t="n">
        <v>7882324000000</v>
      </c>
      <c r="E69" s="4" t="n">
        <v>31064531000000</v>
      </c>
      <c r="F69" s="4" t="n">
        <v>13049711000000</v>
      </c>
      <c r="G69" s="4" t="n">
        <v>24046523000000</v>
      </c>
      <c r="H69" s="4" t="n">
        <v>9884539000000</v>
      </c>
      <c r="I69" s="4" t="n">
        <v>6996069000000</v>
      </c>
    </row>
    <row r="70">
      <c r="A70" s="3" t="inlineStr">
        <is>
          <t>Dự phòng rủi ro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-101100000000</v>
      </c>
      <c r="G70" s="4" t="n">
        <v>-101100000000</v>
      </c>
      <c r="H70" s="4" t="n">
        <v>-181150000000</v>
      </c>
      <c r="I70" s="4" t="n">
        <v>-181150000000</v>
      </c>
    </row>
    <row r="71">
      <c r="A71" s="3" t="inlineStr">
        <is>
          <t>Hoạt động mua nợ</t>
        </is>
      </c>
      <c r="B71" s="4" t="n">
        <v>0</v>
      </c>
      <c r="C71" s="4" t="n">
        <v>0</v>
      </c>
      <c r="D71" s="4" t="n">
        <v>0</v>
      </c>
      <c r="E71" s="4" t="n">
        <v>133418000000</v>
      </c>
      <c r="F71" s="4" t="n">
        <v>107725000000</v>
      </c>
      <c r="G71" s="4" t="n">
        <v>82033000000</v>
      </c>
      <c r="H71" s="4" t="n">
        <v>141628000000</v>
      </c>
      <c r="I71" s="4" t="n">
        <v>30647000000</v>
      </c>
    </row>
    <row r="72">
      <c r="A72" s="3" t="inlineStr">
        <is>
          <t>Mua nợ</t>
        </is>
      </c>
      <c r="B72" s="4" t="n">
        <v>1682000000</v>
      </c>
      <c r="C72" s="4" t="n">
        <v>1682000000</v>
      </c>
      <c r="D72" s="4" t="n">
        <v>1682000000</v>
      </c>
      <c r="E72" s="4" t="n">
        <v>136108000000</v>
      </c>
      <c r="F72" s="4" t="n">
        <v>110221000000</v>
      </c>
      <c r="G72" s="4" t="n">
        <v>84335000000</v>
      </c>
      <c r="H72" s="4" t="n">
        <v>144380000000</v>
      </c>
      <c r="I72" s="4" t="n">
        <v>32561000000</v>
      </c>
    </row>
    <row r="73">
      <c r="A73" s="3" t="inlineStr">
        <is>
          <t>Dự phòng rủi ro hoạt động mua nợ</t>
        </is>
      </c>
      <c r="B73" s="4" t="n">
        <v>-1682000000</v>
      </c>
      <c r="C73" s="4" t="n">
        <v>-1682000000</v>
      </c>
      <c r="D73" s="4" t="n">
        <v>-1682000000</v>
      </c>
      <c r="E73" s="4" t="n">
        <v>-2690000000</v>
      </c>
      <c r="F73" s="4" t="n">
        <v>-2496000000</v>
      </c>
      <c r="G73" s="4" t="n">
        <v>-2302000000</v>
      </c>
      <c r="H73" s="4" t="n">
        <v>-2752000000</v>
      </c>
      <c r="I73" s="4" t="n">
        <v>-1914000000</v>
      </c>
    </row>
    <row r="74">
      <c r="A74" s="3" t="inlineStr">
        <is>
          <t>Các khoản phải thu</t>
        </is>
      </c>
      <c r="B74" s="4" t="n">
        <v>11322256000000</v>
      </c>
      <c r="C74" s="4" t="n">
        <v>12954103000000</v>
      </c>
      <c r="D74" s="4" t="n">
        <v>16572411000000</v>
      </c>
      <c r="E74" s="4" t="n">
        <v>28117180000000</v>
      </c>
      <c r="F74" s="4" t="n">
        <v>61609133000000</v>
      </c>
      <c r="G74" s="4" t="n">
        <v>69834157000000</v>
      </c>
      <c r="H74" s="4" t="n">
        <v>29540943000000</v>
      </c>
      <c r="I74" s="4" t="n">
        <v>56111402000000</v>
      </c>
    </row>
    <row r="75">
      <c r="A75" s="3" t="inlineStr">
        <is>
          <t>Các khoản lãi và phí phải thu</t>
        </is>
      </c>
      <c r="B75" s="4" t="n">
        <v>5737907000000</v>
      </c>
      <c r="C75" s="4" t="n">
        <v>5553724000000</v>
      </c>
      <c r="D75" s="4" t="n">
        <v>5184822000000</v>
      </c>
      <c r="E75" s="4" t="n">
        <v>5807801000000</v>
      </c>
      <c r="F75" s="4" t="n">
        <v>8028730000000</v>
      </c>
      <c r="G75" s="4" t="n">
        <v>9681140000000</v>
      </c>
      <c r="H75" s="4" t="n">
        <v>8125964000000</v>
      </c>
      <c r="I75" s="4" t="n">
        <v>9787070000000</v>
      </c>
    </row>
    <row r="76">
      <c r="A76" s="3" t="inlineStr">
        <is>
          <t>Tài sản thuế TNDN hoãn lại</t>
        </is>
      </c>
      <c r="B76" s="4" t="n">
        <v>0</v>
      </c>
      <c r="C76" s="4" t="n">
        <v>0</v>
      </c>
      <c r="D76" s="4" t="n">
        <v>0</v>
      </c>
      <c r="E76" s="4" t="n">
        <v>17460000000</v>
      </c>
      <c r="F76" s="4" t="n">
        <v>61050000000</v>
      </c>
      <c r="G76" s="4" t="n">
        <v>70409000000</v>
      </c>
      <c r="H76" s="4" t="n">
        <v>79856000000</v>
      </c>
      <c r="I76" s="4" t="n">
        <v>40487000000</v>
      </c>
    </row>
    <row r="77">
      <c r="A77" s="3" t="inlineStr">
        <is>
          <t>Tài sản Có khác</t>
        </is>
      </c>
      <c r="B77" s="4" t="inlineStr"/>
      <c r="C77" s="4" t="inlineStr"/>
      <c r="D77" s="4" t="inlineStr"/>
      <c r="E77" s="4" t="inlineStr"/>
      <c r="F77" s="4" t="n">
        <v>1616735000000</v>
      </c>
      <c r="G77" s="4" t="n">
        <v>1650584000000</v>
      </c>
      <c r="H77" s="4" t="n">
        <v>1818676000000</v>
      </c>
      <c r="I77" s="4" t="n">
        <v>2070439000000</v>
      </c>
    </row>
    <row r="78">
      <c r="A78" s="3" t="inlineStr">
        <is>
          <t>Trong đó: Lợi thế thương mại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</row>
    <row r="79">
      <c r="A79" s="3" t="inlineStr">
        <is>
          <t>Các khoản dự phòng rủi ro cho các tài sản Có nội bảng khác</t>
        </is>
      </c>
      <c r="B79" s="4" t="n">
        <v>-75839000000</v>
      </c>
      <c r="C79" s="4" t="n">
        <v>-228908000000</v>
      </c>
      <c r="D79" s="4" t="n">
        <v>-189892000000</v>
      </c>
      <c r="E79" s="4" t="n">
        <v>-680423000000</v>
      </c>
      <c r="F79" s="4" t="n">
        <v>-798423000000</v>
      </c>
      <c r="G79" s="4" t="n">
        <v>-692866000000</v>
      </c>
      <c r="H79" s="4" t="n">
        <v>-64874000000</v>
      </c>
      <c r="I79" s="4" t="n">
        <v>-8301000000</v>
      </c>
    </row>
    <row r="80">
      <c r="A80" s="3" t="inlineStr">
        <is>
          <t>Tiền gửi của các tổ chức tín dụng khác</t>
        </is>
      </c>
      <c r="B80" s="4" t="n">
        <v>28973455000000</v>
      </c>
      <c r="C80" s="4" t="n">
        <v>38632337000000</v>
      </c>
      <c r="D80" s="4" t="n">
        <v>21232089000000</v>
      </c>
      <c r="E80" s="4" t="n">
        <v>45606142000000</v>
      </c>
      <c r="F80" s="4" t="n">
        <v>61293738000000</v>
      </c>
      <c r="G80" s="4" t="n">
        <v>50619678000000</v>
      </c>
      <c r="H80" s="4" t="n">
        <v>72210834000000</v>
      </c>
      <c r="I80" s="4" t="n">
        <v>83014313000000</v>
      </c>
    </row>
    <row r="81">
      <c r="A81" s="3" t="inlineStr">
        <is>
          <t>Vay các tổ chức tín dụng khác</t>
        </is>
      </c>
      <c r="B81" s="4" t="n">
        <v>7452105000000</v>
      </c>
      <c r="C81" s="4" t="n">
        <v>22634298000000</v>
      </c>
      <c r="D81" s="4" t="n">
        <v>26252723000000</v>
      </c>
      <c r="E81" s="4" t="n">
        <v>66852549000000</v>
      </c>
      <c r="F81" s="4" t="n">
        <v>106269231000000</v>
      </c>
      <c r="G81" s="4" t="n">
        <v>102553324000000</v>
      </c>
      <c r="H81" s="4" t="n">
        <v>60028254000000</v>
      </c>
      <c r="I81" s="4" t="n">
        <v>61968663000000</v>
      </c>
    </row>
    <row r="82">
      <c r="A82" s="3" t="inlineStr">
        <is>
          <t>Các khoản lãi, phí phải trả</t>
        </is>
      </c>
      <c r="B82" s="4" t="n">
        <v>3424068000000</v>
      </c>
      <c r="C82" s="4" t="n">
        <v>3479310000000</v>
      </c>
      <c r="D82" s="4" t="n">
        <v>3252009000000</v>
      </c>
      <c r="E82" s="4" t="n">
        <v>3121881000000</v>
      </c>
      <c r="F82" s="4" t="n">
        <v>6144022000000</v>
      </c>
      <c r="G82" s="4" t="n">
        <v>9418750000000</v>
      </c>
      <c r="H82" s="4" t="n">
        <v>7281567000000</v>
      </c>
      <c r="I82" s="4" t="n">
        <v>9448719000000</v>
      </c>
    </row>
    <row r="83">
      <c r="A83" s="3" t="inlineStr">
        <is>
          <t>Thuế TNDN hoãn lại phải trả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</row>
    <row r="84">
      <c r="A84" s="3" t="inlineStr">
        <is>
          <t>Các khoản phải trả và công nợ khác</t>
        </is>
      </c>
      <c r="B84" s="4" t="n">
        <v>8428777000000</v>
      </c>
      <c r="C84" s="4" t="n">
        <v>7689346000000</v>
      </c>
      <c r="D84" s="4" t="n">
        <v>8626109000000</v>
      </c>
      <c r="E84" s="4" t="n">
        <v>11673715000000</v>
      </c>
      <c r="F84" s="4" t="n">
        <v>17631144000000</v>
      </c>
      <c r="G84" s="4" t="n">
        <v>15909985000000</v>
      </c>
      <c r="H84" s="4" t="n">
        <v>16580840000000</v>
      </c>
      <c r="I84" s="4" t="n">
        <v>17428523000000</v>
      </c>
    </row>
    <row r="85">
      <c r="A85" s="3" t="inlineStr">
        <is>
          <t>Dự phòng rủi ro khác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</row>
    <row r="86">
      <c r="A86" s="3" t="inlineStr">
        <is>
          <t>Vốn Góp liên doanh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</row>
    <row r="87">
      <c r="A87" s="3" t="inlineStr">
        <is>
          <t>Đầu tư vào công ty liên kết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32263000000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Tổng lợi nhuận/lỗ trước thuế</t>
        </is>
      </c>
      <c r="B2" s="4" t="n">
        <v>10661016000000</v>
      </c>
      <c r="C2" s="4" t="n">
        <v>12838268000000</v>
      </c>
      <c r="D2" s="4" t="n">
        <v>15800296000000</v>
      </c>
      <c r="E2" s="4" t="n">
        <v>23238293000000</v>
      </c>
      <c r="F2" s="4" t="n">
        <v>25567768000000</v>
      </c>
      <c r="G2" s="4" t="n">
        <v>22888228000000</v>
      </c>
      <c r="H2" s="4" t="n">
        <v>27538368000000</v>
      </c>
      <c r="I2" s="4" t="n">
        <v>32538066000000</v>
      </c>
    </row>
    <row r="3">
      <c r="A3" s="3" t="inlineStr">
        <is>
          <t>Chi phí thuế TNDN hiện hành</t>
        </is>
      </c>
      <c r="B3" s="4" t="n">
        <v>-2185246000000</v>
      </c>
      <c r="C3" s="4" t="n">
        <v>-2612059000000</v>
      </c>
      <c r="D3" s="4" t="n">
        <v>-3217829000000</v>
      </c>
      <c r="E3" s="4" t="n">
        <v>-4840371000000</v>
      </c>
      <c r="F3" s="4" t="n">
        <v>-5174932000000</v>
      </c>
      <c r="G3" s="4" t="n">
        <v>-4706721000000</v>
      </c>
      <c r="H3" s="4" t="n">
        <v>-5787711000000</v>
      </c>
      <c r="I3" s="4" t="n">
        <v>-6544225000000</v>
      </c>
    </row>
    <row r="4">
      <c r="A4" s="3" t="inlineStr">
        <is>
          <t>Chi phí thuế TNDN hoãn lại</t>
        </is>
      </c>
      <c r="B4" s="4" t="n">
        <v>-1773000000</v>
      </c>
      <c r="C4" s="4" t="n">
        <v>0</v>
      </c>
      <c r="D4" s="4" t="n">
        <v>0</v>
      </c>
      <c r="E4" s="4" t="n">
        <v>17460000000</v>
      </c>
      <c r="F4" s="4" t="n">
        <v>43590000000</v>
      </c>
      <c r="G4" s="4" t="n">
        <v>9359000000</v>
      </c>
      <c r="H4" s="4" t="n">
        <v>9447000000</v>
      </c>
      <c r="I4" s="4" t="n">
        <v>-39369000000</v>
      </c>
    </row>
    <row r="5">
      <c r="A5" s="3" t="inlineStr">
        <is>
          <t>Chi phí thuế thu nhập doanh nghiệp</t>
        </is>
      </c>
      <c r="B5" s="4" t="n">
        <v>-2187019000000</v>
      </c>
      <c r="C5" s="4" t="n">
        <v>-2612059000000</v>
      </c>
      <c r="D5" s="4" t="n">
        <v>-3217829000000</v>
      </c>
      <c r="E5" s="4" t="n">
        <v>-4822911000000</v>
      </c>
      <c r="F5" s="4" t="n">
        <v>-5131342000000</v>
      </c>
      <c r="G5" s="4" t="n">
        <v>-4697362000000</v>
      </c>
      <c r="H5" s="4" t="n">
        <v>-5778264000000</v>
      </c>
      <c r="I5" s="4" t="n">
        <v>-6583594000000</v>
      </c>
    </row>
    <row r="6">
      <c r="A6" s="3" t="inlineStr">
        <is>
          <t>Lợi nhuận sau thuế</t>
        </is>
      </c>
      <c r="B6" s="4" t="n">
        <v>8473997000000</v>
      </c>
      <c r="C6" s="4" t="n">
        <v>10226209000000</v>
      </c>
      <c r="D6" s="4" t="n">
        <v>12582467000000</v>
      </c>
      <c r="E6" s="4" t="n">
        <v>18415382000000</v>
      </c>
      <c r="F6" s="4" t="n">
        <v>20436426000000</v>
      </c>
      <c r="G6" s="4" t="n">
        <v>18190866000000</v>
      </c>
      <c r="H6" s="4" t="n">
        <v>21760104000000</v>
      </c>
      <c r="I6" s="4" t="n">
        <v>25954472000000</v>
      </c>
    </row>
    <row r="7">
      <c r="A7" s="3" t="inlineStr">
        <is>
          <t>Lợi ích của cổ đông thiểu số</t>
        </is>
      </c>
      <c r="B7" s="4" t="n">
        <v>-11222000000</v>
      </c>
      <c r="C7" s="4" t="n">
        <v>-151070000000</v>
      </c>
      <c r="D7" s="4" t="n">
        <v>-257476000000</v>
      </c>
      <c r="E7" s="4" t="n">
        <v>-363132000000</v>
      </c>
      <c r="F7" s="4" t="n">
        <v>-286049000000</v>
      </c>
      <c r="G7" s="4" t="n">
        <v>-187064000000</v>
      </c>
      <c r="H7" s="4" t="n">
        <v>-237176000000</v>
      </c>
      <c r="I7" s="4" t="n">
        <v>-664242000000</v>
      </c>
    </row>
    <row r="8">
      <c r="A8" s="3" t="inlineStr">
        <is>
          <t>Cổ đông của Công ty mẹ</t>
        </is>
      </c>
      <c r="B8" s="4" t="n">
        <v>8462775000000</v>
      </c>
      <c r="C8" s="4" t="n">
        <v>10075139000000</v>
      </c>
      <c r="D8" s="4" t="n">
        <v>12324991000000</v>
      </c>
      <c r="E8" s="4" t="n">
        <v>18052250000000</v>
      </c>
      <c r="F8" s="4" t="n">
        <v>20150377000000</v>
      </c>
      <c r="G8" s="4" t="n">
        <v>18003802000000</v>
      </c>
      <c r="H8" s="4" t="n">
        <v>21522928000000</v>
      </c>
      <c r="I8" s="4" t="n">
        <v>25290230000000</v>
      </c>
    </row>
    <row r="9">
      <c r="A9" s="3" t="inlineStr">
        <is>
          <t>Lãi cơ bản trên cổ phiếu (VND)</t>
        </is>
      </c>
      <c r="B9" s="4" t="n">
        <v>3816</v>
      </c>
      <c r="C9" s="4" t="n">
        <v>2871</v>
      </c>
      <c r="D9" s="4" t="n">
        <v>3515</v>
      </c>
      <c r="E9" s="4" t="n">
        <v>5137</v>
      </c>
      <c r="F9" s="4" t="n">
        <v>5725</v>
      </c>
      <c r="G9" s="4" t="n">
        <v>2549</v>
      </c>
      <c r="H9" s="4" t="n">
        <v>3049</v>
      </c>
      <c r="I9" s="4" t="n">
        <v>3572</v>
      </c>
    </row>
    <row r="10">
      <c r="A10" s="3" t="inlineStr">
        <is>
          <t>Lãi trên cổ phiếu pha loãng (VND)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</row>
    <row r="11">
      <c r="A11" s="3" t="inlineStr">
        <is>
          <t>Thu nhập lãi và các khoản thu nhập tương tự</t>
        </is>
      </c>
      <c r="B11" s="4" t="n">
        <v>21413626000000</v>
      </c>
      <c r="C11" s="4" t="n">
        <v>25016341000000</v>
      </c>
      <c r="D11" s="4" t="n">
        <v>29001912000000</v>
      </c>
      <c r="E11" s="4" t="n">
        <v>35503251000000</v>
      </c>
      <c r="F11" s="4" t="n">
        <v>44752636000000</v>
      </c>
      <c r="G11" s="4" t="n">
        <v>56707759000000</v>
      </c>
      <c r="H11" s="4" t="n">
        <v>60089462000000</v>
      </c>
      <c r="I11" s="4" t="n">
        <v>68017450000000</v>
      </c>
    </row>
    <row r="12">
      <c r="A12" s="3" t="inlineStr">
        <is>
          <t>Chi phí lãi và các chi phí tương tự</t>
        </is>
      </c>
      <c r="B12" s="4" t="n">
        <v>-10023687000000</v>
      </c>
      <c r="C12" s="4" t="n">
        <v>-10758497000000</v>
      </c>
      <c r="D12" s="4" t="n">
        <v>-10250703000000</v>
      </c>
      <c r="E12" s="4" t="n">
        <v>-8804638000000</v>
      </c>
      <c r="F12" s="4" t="n">
        <v>-14462861000000</v>
      </c>
      <c r="G12" s="4" t="n">
        <v>-29016639000000</v>
      </c>
      <c r="H12" s="4" t="n">
        <v>-24581499000000</v>
      </c>
      <c r="I12" s="4" t="n">
        <v>-29862359000000</v>
      </c>
    </row>
    <row r="13">
      <c r="A13" s="3" t="inlineStr">
        <is>
          <t>Thu nhập lãi thuần</t>
        </is>
      </c>
      <c r="B13" s="4" t="n">
        <v>11389939000000</v>
      </c>
      <c r="C13" s="4" t="n">
        <v>14257844000000</v>
      </c>
      <c r="D13" s="4" t="n">
        <v>18751209000000</v>
      </c>
      <c r="E13" s="4" t="n">
        <v>26698613000000</v>
      </c>
      <c r="F13" s="4" t="n">
        <v>30289775000000</v>
      </c>
      <c r="G13" s="4" t="n">
        <v>27691120000000</v>
      </c>
      <c r="H13" s="4" t="n">
        <v>35507963000000</v>
      </c>
      <c r="I13" s="4" t="n">
        <v>38155091000000</v>
      </c>
    </row>
    <row r="14">
      <c r="A14" s="3" t="inlineStr">
        <is>
          <t>Thu nhập từ dịch vụ</t>
        </is>
      </c>
      <c r="B14" s="4" t="n">
        <v>4188317000000</v>
      </c>
      <c r="C14" s="4" t="n">
        <v>4884408000000</v>
      </c>
      <c r="D14" s="4" t="n">
        <v>6048443000000</v>
      </c>
      <c r="E14" s="4" t="n">
        <v>8239494000000</v>
      </c>
      <c r="F14" s="4" t="n">
        <v>10840337000000</v>
      </c>
      <c r="G14" s="4" t="n">
        <v>11378085000000</v>
      </c>
      <c r="H14" s="4" t="n">
        <v>10961642000000</v>
      </c>
      <c r="I14" s="4" t="n">
        <v>12526963000000</v>
      </c>
    </row>
    <row r="15">
      <c r="A15" s="3" t="inlineStr">
        <is>
          <t>Chi phí dịch vụ</t>
        </is>
      </c>
      <c r="B15" s="4" t="n">
        <v>-915737000000</v>
      </c>
      <c r="C15" s="4" t="n">
        <v>-1631055000000</v>
      </c>
      <c r="D15" s="4" t="n">
        <v>-1859665000000</v>
      </c>
      <c r="E15" s="4" t="n">
        <v>-1857254000000</v>
      </c>
      <c r="F15" s="4" t="n">
        <v>-2687732000000</v>
      </c>
      <c r="G15" s="4" t="n">
        <v>-2663188000000</v>
      </c>
      <c r="H15" s="4" t="n">
        <v>-2919394000000</v>
      </c>
      <c r="I15" s="4" t="n">
        <v>-3754968000000</v>
      </c>
    </row>
    <row r="16">
      <c r="A16" s="3" t="inlineStr">
        <is>
          <t>Lãi/Lỗ thuần từ hoạt động dịch vụ</t>
        </is>
      </c>
      <c r="B16" s="4" t="n">
        <v>3272580000000</v>
      </c>
      <c r="C16" s="4" t="n">
        <v>3253353000000</v>
      </c>
      <c r="D16" s="4" t="n">
        <v>4188778000000</v>
      </c>
      <c r="E16" s="4" t="n">
        <v>6382240000000</v>
      </c>
      <c r="F16" s="4" t="n">
        <v>8152605000000</v>
      </c>
      <c r="G16" s="4" t="n">
        <v>8714897000000</v>
      </c>
      <c r="H16" s="4" t="n">
        <v>8042248000000</v>
      </c>
      <c r="I16" s="4" t="n">
        <v>8771995000000</v>
      </c>
    </row>
    <row r="17">
      <c r="A17" s="3" t="inlineStr">
        <is>
          <t>Lãi/(lỗ) thuần từ hoạt động kinh doanh ngoại hối và vàng</t>
        </is>
      </c>
      <c r="B17" s="4" t="n">
        <v>233751000000</v>
      </c>
      <c r="C17" s="4" t="n">
        <v>104581000000</v>
      </c>
      <c r="D17" s="4" t="n">
        <v>745000000</v>
      </c>
      <c r="E17" s="4" t="n">
        <v>231416000000</v>
      </c>
      <c r="F17" s="4" t="n">
        <v>-275063000000</v>
      </c>
      <c r="G17" s="4" t="n">
        <v>195750000000</v>
      </c>
      <c r="H17" s="4" t="n">
        <v>592556000000</v>
      </c>
      <c r="I17" s="4" t="n">
        <v>1642201000000</v>
      </c>
    </row>
    <row r="18">
      <c r="A18" s="3" t="inlineStr">
        <is>
          <t>Lãi/(lỗ) thuần từ mua bán chứng khoán kinh doanh</t>
        </is>
      </c>
      <c r="B18" s="4" t="n">
        <v>168433000000</v>
      </c>
      <c r="C18" s="4" t="n">
        <v>397664000000</v>
      </c>
      <c r="D18" s="4" t="n">
        <v>321397000000</v>
      </c>
      <c r="E18" s="4" t="n">
        <v>152305000000</v>
      </c>
      <c r="F18" s="4" t="n">
        <v>-241845000000</v>
      </c>
      <c r="G18" s="4" t="n">
        <v>64620000000</v>
      </c>
      <c r="H18" s="4" t="n">
        <v>81301000000</v>
      </c>
      <c r="I18" s="4" t="n">
        <v>51974000000</v>
      </c>
    </row>
    <row r="19">
      <c r="A19" s="3" t="inlineStr">
        <is>
          <t>Lãi/(lỗ) thuần từ mua bán chứng khoán đầu tư</t>
        </is>
      </c>
      <c r="B19" s="4" t="n">
        <v>756585000000</v>
      </c>
      <c r="C19" s="4" t="n">
        <v>1243759000000</v>
      </c>
      <c r="D19" s="4" t="n">
        <v>1496997000000</v>
      </c>
      <c r="E19" s="4" t="n">
        <v>1804408000000</v>
      </c>
      <c r="F19" s="4" t="n">
        <v>425553000000</v>
      </c>
      <c r="G19" s="4" t="n">
        <v>925833000000</v>
      </c>
      <c r="H19" s="4" t="n">
        <v>2359057000000</v>
      </c>
      <c r="I19" s="4" t="n">
        <v>2846321000000</v>
      </c>
    </row>
    <row r="20">
      <c r="A20" s="3" t="inlineStr">
        <is>
          <t>Thu nhập khác</t>
        </is>
      </c>
      <c r="B20" s="4" t="n">
        <v>3147169000000</v>
      </c>
      <c r="C20" s="4" t="n">
        <v>4425079000000</v>
      </c>
      <c r="D20" s="4" t="n">
        <v>5460013000000</v>
      </c>
      <c r="E20" s="4" t="n">
        <v>4343731000000</v>
      </c>
      <c r="F20" s="4" t="n">
        <v>4499949000000</v>
      </c>
      <c r="G20" s="4" t="n">
        <v>6459694000000</v>
      </c>
      <c r="H20" s="4" t="n">
        <v>9324928000000</v>
      </c>
      <c r="I20" s="4" t="n">
        <v>6426334000000</v>
      </c>
    </row>
    <row r="21">
      <c r="A21" s="3" t="inlineStr">
        <is>
          <t>Chi phí khác</t>
        </is>
      </c>
      <c r="B21" s="4" t="n">
        <v>-1513392000000</v>
      </c>
      <c r="C21" s="4" t="n">
        <v>-2618351000000</v>
      </c>
      <c r="D21" s="4" t="n">
        <v>-3180804000000</v>
      </c>
      <c r="E21" s="4" t="n">
        <v>-2540485000000</v>
      </c>
      <c r="F21" s="4" t="n">
        <v>-2332574000000</v>
      </c>
      <c r="G21" s="4" t="n">
        <v>-4025578000000</v>
      </c>
      <c r="H21" s="4" t="n">
        <v>-8982217000000</v>
      </c>
      <c r="I21" s="4" t="n">
        <v>-4541992000000</v>
      </c>
    </row>
    <row r="22">
      <c r="A22" s="3" t="inlineStr">
        <is>
          <t>Lãi/(lỗ) thuần từ hoạt động khác</t>
        </is>
      </c>
      <c r="B22" s="4" t="n">
        <v>1633777000000</v>
      </c>
      <c r="C22" s="4" t="n">
        <v>1806728000000</v>
      </c>
      <c r="D22" s="4" t="n">
        <v>2279209000000</v>
      </c>
      <c r="E22" s="4" t="n">
        <v>1803246000000</v>
      </c>
      <c r="F22" s="4" t="n">
        <v>2167375000000</v>
      </c>
      <c r="G22" s="4" t="n">
        <v>2434116000000</v>
      </c>
      <c r="H22" s="4" t="n">
        <v>342711000000</v>
      </c>
      <c r="I22" s="4" t="n">
        <v>1884342000000</v>
      </c>
    </row>
    <row r="23">
      <c r="A23" s="3" t="inlineStr">
        <is>
          <t>Thu nhập từ cổ tức</t>
        </is>
      </c>
      <c r="B23" s="4" t="n">
        <v>894703000000</v>
      </c>
      <c r="C23" s="4" t="n">
        <v>4216000000</v>
      </c>
      <c r="D23" s="4" t="n">
        <v>4191000000</v>
      </c>
      <c r="E23" s="4" t="n">
        <v>4063000000</v>
      </c>
      <c r="F23" s="4" t="n">
        <v>8791000000</v>
      </c>
      <c r="G23" s="4" t="n">
        <v>34756000000</v>
      </c>
      <c r="H23" s="4" t="n">
        <v>64561000000</v>
      </c>
      <c r="I23" s="4" t="n">
        <v>39201000000</v>
      </c>
    </row>
    <row r="24">
      <c r="A24" s="3" t="inlineStr">
        <is>
          <t>Tổng thu nhập hoạt động</t>
        </is>
      </c>
      <c r="B24" s="4" t="n">
        <v>18349768000000</v>
      </c>
      <c r="C24" s="4" t="n">
        <v>21068145000000</v>
      </c>
      <c r="D24" s="4" t="n">
        <v>27042526000000</v>
      </c>
      <c r="E24" s="4" t="n">
        <v>37076291000000</v>
      </c>
      <c r="F24" s="4" t="n">
        <v>40527191000000</v>
      </c>
      <c r="G24" s="4" t="n">
        <v>40061092000000</v>
      </c>
      <c r="H24" s="4" t="n">
        <v>46990397000000</v>
      </c>
      <c r="I24" s="4" t="n">
        <v>53391125000000</v>
      </c>
    </row>
    <row r="25">
      <c r="A25" s="3" t="inlineStr">
        <is>
          <t>Chi phí quản lý doanh nghiệp</t>
        </is>
      </c>
      <c r="B25" s="4" t="n">
        <v>-5842507000000</v>
      </c>
      <c r="C25" s="4" t="n">
        <v>-7312509000000</v>
      </c>
      <c r="D25" s="4" t="n">
        <v>-8631195000000</v>
      </c>
      <c r="E25" s="4" t="n">
        <v>-11173395000000</v>
      </c>
      <c r="F25" s="4" t="n">
        <v>-13023129000000</v>
      </c>
      <c r="G25" s="4" t="n">
        <v>-13251796000000</v>
      </c>
      <c r="H25" s="4" t="n">
        <v>-15369735000000</v>
      </c>
      <c r="I25" s="4" t="n">
        <v>-16432434000000</v>
      </c>
    </row>
    <row r="26">
      <c r="A26" s="3" t="inlineStr">
        <is>
          <t>Lợi nhuận thuần hoạt động trước khi trích lập dự phòng tổn thất tín dụng</t>
        </is>
      </c>
      <c r="B26" s="4" t="n">
        <v>12507261000000</v>
      </c>
      <c r="C26" s="4" t="n">
        <v>13755636000000</v>
      </c>
      <c r="D26" s="4" t="n">
        <v>18411331000000</v>
      </c>
      <c r="E26" s="4" t="n">
        <v>25902896000000</v>
      </c>
      <c r="F26" s="4" t="n">
        <v>27504062000000</v>
      </c>
      <c r="G26" s="4" t="n">
        <v>26809296000000</v>
      </c>
      <c r="H26" s="4" t="n">
        <v>31620662000000</v>
      </c>
      <c r="I26" s="4" t="n">
        <v>36958691000000</v>
      </c>
    </row>
    <row r="27">
      <c r="A27" s="3" t="inlineStr">
        <is>
          <t>Trích lập dự phòng tổn thất tín dụng</t>
        </is>
      </c>
      <c r="B27" s="4" t="n">
        <v>-1846245000000</v>
      </c>
      <c r="C27" s="4" t="n">
        <v>-917368000000</v>
      </c>
      <c r="D27" s="4" t="n">
        <v>-2611035000000</v>
      </c>
      <c r="E27" s="4" t="n">
        <v>-2664603000000</v>
      </c>
      <c r="F27" s="4" t="n">
        <v>-1936294000000</v>
      </c>
      <c r="G27" s="4" t="n">
        <v>-3921068000000</v>
      </c>
      <c r="H27" s="4" t="n">
        <v>-4082294000000</v>
      </c>
      <c r="I27" s="4" t="n">
        <v>-4420625000000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Lưu chuyển tiền thuần từ hoạt động kinh doanh trước những thay đổi về tài sản và vốn lưu động</t>
        </is>
      </c>
      <c r="B2" s="4" t="n">
        <v>9926403000000</v>
      </c>
      <c r="C2" s="4" t="n">
        <v>13007909000000</v>
      </c>
      <c r="D2" s="4" t="n">
        <v>17631283000000</v>
      </c>
      <c r="E2" s="4" t="n">
        <v>23061616000000</v>
      </c>
      <c r="F2" s="4" t="n">
        <v>29013569000000</v>
      </c>
      <c r="G2" s="4" t="n">
        <v>24938816000000</v>
      </c>
      <c r="H2" s="4" t="n">
        <v>31037437000000</v>
      </c>
      <c r="I2" s="4" t="n">
        <v>33290586000000</v>
      </c>
    </row>
    <row r="3">
      <c r="A3" s="3" t="inlineStr">
        <is>
          <t>Thuế thu nhập doanh nghiệp đã trả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>
      <c r="A4" s="3" t="inlineStr">
        <is>
          <t>Lưu chuyển tiền thuần từ các hoạt động sản xuất kinh doanh</t>
        </is>
      </c>
      <c r="B4" s="4" t="n">
        <v>298932000000</v>
      </c>
      <c r="C4" s="4" t="n">
        <v>12631802000000</v>
      </c>
      <c r="D4" s="4" t="n">
        <v>-10088467000000</v>
      </c>
      <c r="E4" s="4" t="n">
        <v>12828221000000</v>
      </c>
      <c r="F4" s="4" t="n">
        <v>55468501000000</v>
      </c>
      <c r="G4" s="4" t="n">
        <v>12053287000000</v>
      </c>
      <c r="H4" s="4" t="n">
        <v>42376555000000</v>
      </c>
      <c r="I4" s="4" t="n">
        <v>39923618000000</v>
      </c>
    </row>
    <row r="5">
      <c r="A5" s="3" t="inlineStr">
        <is>
          <t>Mua sắm TSCĐ</t>
        </is>
      </c>
      <c r="B5" s="4" t="n">
        <v>-401574000000</v>
      </c>
      <c r="C5" s="4" t="n">
        <v>-257620000000</v>
      </c>
      <c r="D5" s="4" t="n">
        <v>-665860000000</v>
      </c>
      <c r="E5" s="4" t="n">
        <v>-939995000000</v>
      </c>
      <c r="F5" s="4" t="n">
        <v>-1110111000000</v>
      </c>
      <c r="G5" s="4" t="n">
        <v>-1232358000000</v>
      </c>
      <c r="H5" s="4" t="n">
        <v>-1618886000000</v>
      </c>
      <c r="I5" s="4" t="n">
        <v>-657030000000</v>
      </c>
    </row>
    <row r="6">
      <c r="A6" s="3" t="inlineStr">
        <is>
          <t>Tiền thu được từ thanh lý, nhượng bán tài sản cố định</t>
        </is>
      </c>
      <c r="B6" s="4" t="n">
        <v>6097000000</v>
      </c>
      <c r="C6" s="4" t="n">
        <v>31428000000</v>
      </c>
      <c r="D6" s="4" t="n">
        <v>6837000000</v>
      </c>
      <c r="E6" s="4" t="n">
        <v>57506000000</v>
      </c>
      <c r="F6" s="4" t="n">
        <v>44111000000</v>
      </c>
      <c r="G6" s="4" t="n">
        <v>22156000000</v>
      </c>
      <c r="H6" s="4" t="n">
        <v>1741528000000</v>
      </c>
      <c r="I6" s="4" t="n">
        <v>3503000000</v>
      </c>
    </row>
    <row r="7">
      <c r="A7" s="3" t="inlineStr">
        <is>
          <t>Tiền chi đầu tư, góp vốn vào các đơn vị khác</t>
        </is>
      </c>
      <c r="B7" s="4" t="n">
        <v>-799000000</v>
      </c>
      <c r="C7" s="4" t="n">
        <v>0</v>
      </c>
      <c r="D7" s="4" t="n">
        <v>0</v>
      </c>
      <c r="E7" s="4" t="n">
        <v>-1497000000</v>
      </c>
      <c r="F7" s="4" t="n">
        <v>0</v>
      </c>
      <c r="G7" s="4" t="n">
        <v>-3033432000000</v>
      </c>
      <c r="H7" s="4" t="n">
        <v>-56278000000</v>
      </c>
      <c r="I7" s="4" t="n">
        <v>-199836000000</v>
      </c>
    </row>
    <row r="8">
      <c r="A8" s="3" t="inlineStr">
        <is>
          <t>Tiền thu từ đầu tư, góp vốn vào các đơn vị khác</t>
        </is>
      </c>
      <c r="B8" s="4" t="n">
        <v>915560000000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Tiền thu cổ tức và lợi nhuận được chia từ các khoản đầu tư góp vốn dài hạn</t>
        </is>
      </c>
      <c r="B9" s="4" t="n">
        <v>275000000</v>
      </c>
      <c r="C9" s="4" t="n">
        <v>4216000000</v>
      </c>
      <c r="D9" s="4" t="n">
        <v>4191000000</v>
      </c>
      <c r="E9" s="4" t="n">
        <v>4043000000</v>
      </c>
      <c r="F9" s="4" t="n">
        <v>8776000000</v>
      </c>
      <c r="G9" s="4" t="n">
        <v>34756000000</v>
      </c>
      <c r="H9" s="4" t="n">
        <v>64561000000</v>
      </c>
      <c r="I9" s="4" t="n">
        <v>39938000000</v>
      </c>
    </row>
    <row r="10">
      <c r="A10" s="3" t="inlineStr">
        <is>
          <t>Lưu chuyển tiền thuần từ hoạt động đầu tư</t>
        </is>
      </c>
      <c r="B10" s="4" t="n">
        <v>519470000000</v>
      </c>
      <c r="C10" s="4" t="n">
        <v>-222244000000</v>
      </c>
      <c r="D10" s="4" t="n">
        <v>-655391000000</v>
      </c>
      <c r="E10" s="4" t="n">
        <v>-879943000000</v>
      </c>
      <c r="F10" s="4" t="n">
        <v>-1057275000000</v>
      </c>
      <c r="G10" s="4" t="n">
        <v>-2912466000000</v>
      </c>
      <c r="H10" s="4" t="n">
        <v>-382599000000</v>
      </c>
      <c r="I10" s="4" t="n">
        <v>-816440000000</v>
      </c>
    </row>
    <row r="11">
      <c r="A11" s="3" t="inlineStr">
        <is>
          <t>Tăng vốn cổ phần từ góp vốn và/hoặc phát hành cổ phiếu</t>
        </is>
      </c>
      <c r="B11" s="4" t="n">
        <v>0</v>
      </c>
      <c r="C11" s="4" t="n">
        <v>35428000000</v>
      </c>
      <c r="D11" s="4" t="n">
        <v>47602000000</v>
      </c>
      <c r="E11" s="4" t="n">
        <v>60053000000</v>
      </c>
      <c r="F11" s="4" t="n">
        <v>65072000000</v>
      </c>
      <c r="G11" s="4" t="n">
        <v>52664000000</v>
      </c>
      <c r="H11" s="4" t="n">
        <v>200495000000</v>
      </c>
      <c r="I11" s="4" t="n">
        <v>12320661000000</v>
      </c>
    </row>
    <row r="12">
      <c r="A12" s="3" t="inlineStr">
        <is>
          <t>Cổ tức trả cho cổ đông, lợi nhuận đã chia</t>
        </is>
      </c>
      <c r="B12" s="4" t="n">
        <v>0</v>
      </c>
      <c r="C12" s="4" t="n">
        <v>0</v>
      </c>
      <c r="D12" s="4" t="n">
        <v>-65086000000</v>
      </c>
      <c r="E12" s="4" t="n">
        <v>0</v>
      </c>
      <c r="F12" s="4" t="n">
        <v>-74648000000</v>
      </c>
      <c r="G12" s="4" t="n">
        <v>854000000</v>
      </c>
      <c r="H12" s="4" t="n">
        <v>-5210255000000</v>
      </c>
      <c r="I12" s="4" t="n">
        <v>-7084911000000</v>
      </c>
    </row>
    <row r="13">
      <c r="A13" s="3" t="inlineStr">
        <is>
          <t>Lưu chuyển tiền thuần trong kỳ</t>
        </is>
      </c>
      <c r="B13" s="4" t="n">
        <v>13699378000000</v>
      </c>
      <c r="C13" s="4" t="n">
        <v>-3094234000000</v>
      </c>
      <c r="D13" s="4" t="n">
        <v>-174546000000</v>
      </c>
      <c r="E13" s="4" t="n">
        <v>60053000000</v>
      </c>
      <c r="F13" s="4" t="n">
        <v>-709576000000</v>
      </c>
      <c r="G13" s="4" t="n">
        <v>53518000000</v>
      </c>
      <c r="H13" s="4" t="n">
        <v>-5009760000000</v>
      </c>
      <c r="I13" s="4" t="n">
        <v>5235750000000</v>
      </c>
    </row>
    <row r="14">
      <c r="A14" s="3" t="inlineStr">
        <is>
          <t>Tiền và các khoản tương đương tiền tài thời điểm đầu kỳ</t>
        </is>
      </c>
      <c r="B14" s="4" t="n">
        <v>22681199000000</v>
      </c>
      <c r="C14" s="4" t="n">
        <v>37198979000000</v>
      </c>
      <c r="D14" s="4" t="n">
        <v>46514303000000</v>
      </c>
      <c r="E14" s="4" t="n">
        <v>35595899000000</v>
      </c>
      <c r="F14" s="4" t="n">
        <v>47604230000000</v>
      </c>
      <c r="G14" s="4" t="n">
        <v>101305880000000</v>
      </c>
      <c r="H14" s="4" t="n">
        <v>110500219000000</v>
      </c>
      <c r="I14" s="4" t="n">
        <v>147484415000000</v>
      </c>
    </row>
    <row r="15">
      <c r="A15" s="3" t="inlineStr">
        <is>
          <t>Điều chỉnh ảnh hưởng của thay đổi tỷ giá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3" t="inlineStr">
        <is>
          <t>Tiền và các khoản tương đương tiền tại thời điểm cuối kỳ</t>
        </is>
      </c>
      <c r="B16" s="4" t="n">
        <v>37198979000000</v>
      </c>
      <c r="C16" s="4" t="n">
        <v>46514303000000</v>
      </c>
      <c r="D16" s="4" t="n">
        <v>35595899000000</v>
      </c>
      <c r="E16" s="4" t="n">
        <v>47604230000000</v>
      </c>
      <c r="F16" s="4" t="n">
        <v>101305880000000</v>
      </c>
      <c r="G16" s="4" t="n">
        <v>110500219000000</v>
      </c>
      <c r="H16" s="4" t="n">
        <v>147484415000000</v>
      </c>
      <c r="I16" s="4" t="n">
        <v>191827343000000</v>
      </c>
    </row>
    <row r="17">
      <c r="A17" s="3" t="inlineStr">
        <is>
          <t>Tiền thuế thu nhập thực nộp trong kỳ</t>
        </is>
      </c>
      <c r="B17" s="4" t="n">
        <v>-2140758000000</v>
      </c>
      <c r="C17" s="4" t="n">
        <v>-2678919000000</v>
      </c>
      <c r="D17" s="4" t="n">
        <v>-2881901000000</v>
      </c>
      <c r="E17" s="4" t="n">
        <v>-4829911000000</v>
      </c>
      <c r="F17" s="4" t="n">
        <v>-2301394000000</v>
      </c>
      <c r="G17" s="4" t="n">
        <v>-5048936000000</v>
      </c>
      <c r="H17" s="4" t="n">
        <v>-4089321000000</v>
      </c>
      <c r="I17" s="4" t="n">
        <v>-7177741000000</v>
      </c>
    </row>
    <row r="18">
      <c r="A18" s="3" t="inlineStr">
        <is>
          <t>Tiền gửi tại NHNN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3" t="inlineStr">
        <is>
          <t>Tăng/giảm các khoản tiền gửi và cho vay các tổ chức tín dụng khác</t>
        </is>
      </c>
      <c r="B19" s="4" t="n">
        <v>2576067000000</v>
      </c>
      <c r="C19" s="4" t="n">
        <v>2033530000000</v>
      </c>
      <c r="D19" s="4" t="n">
        <v>1401381000000</v>
      </c>
      <c r="E19" s="4" t="n">
        <v>-23454273000000</v>
      </c>
      <c r="F19" s="4" t="n">
        <v>18490986000000</v>
      </c>
      <c r="G19" s="4" t="n">
        <v>-12287858000000</v>
      </c>
      <c r="H19" s="4" t="n">
        <v>12721924000000</v>
      </c>
      <c r="I19" s="4" t="n">
        <v>1553157000000</v>
      </c>
    </row>
    <row r="20">
      <c r="A20" s="3" t="inlineStr">
        <is>
          <t>Tăng/giảm các khoản về kinh doanh chứng khoán</t>
        </is>
      </c>
      <c r="B20" s="4" t="n">
        <v>-35935551000000</v>
      </c>
      <c r="C20" s="4" t="n">
        <v>18030873000000</v>
      </c>
      <c r="D20" s="4" t="n">
        <v>-16005291000000</v>
      </c>
      <c r="E20" s="4" t="n">
        <v>-10804075000000</v>
      </c>
      <c r="F20" s="4" t="n">
        <v>13920515000000</v>
      </c>
      <c r="G20" s="4" t="n">
        <v>-19582416000000</v>
      </c>
      <c r="H20" s="4" t="n">
        <v>-31627229000000</v>
      </c>
      <c r="I20" s="4" t="n">
        <v>-9019169000000</v>
      </c>
    </row>
    <row r="21">
      <c r="A21" s="3" t="inlineStr">
        <is>
          <t>Tăng/giảm các công cụ tài chính phái sinh và các tài sản tài chính khác</t>
        </is>
      </c>
      <c r="B21" s="4" t="n">
        <v>36292000000</v>
      </c>
      <c r="C21" s="4" t="n">
        <v>0</v>
      </c>
      <c r="D21" s="4" t="n">
        <v>0</v>
      </c>
      <c r="E21" s="4" t="n">
        <v>-293768000000</v>
      </c>
      <c r="F21" s="4" t="n">
        <v>293768000000</v>
      </c>
      <c r="G21" s="4" t="n">
        <v>-143611000000</v>
      </c>
      <c r="H21" s="4" t="n">
        <v>143611000000</v>
      </c>
      <c r="I21" s="4" t="n">
        <v>0</v>
      </c>
    </row>
    <row r="22">
      <c r="A22" s="3" t="inlineStr">
        <is>
          <t>Tăng/giảm các khoản cho vay khách hàng</t>
        </is>
      </c>
      <c r="B22" s="4" t="n">
        <v>909820000000</v>
      </c>
      <c r="C22" s="4" t="n">
        <v>-70862810000000</v>
      </c>
      <c r="D22" s="4" t="n">
        <v>-46722588000000</v>
      </c>
      <c r="E22" s="4" t="n">
        <v>-69816629000000</v>
      </c>
      <c r="F22" s="4" t="n">
        <v>-73182461000000</v>
      </c>
      <c r="G22" s="4" t="n">
        <v>-98117863000000</v>
      </c>
      <c r="H22" s="4" t="n">
        <v>-113083396000000</v>
      </c>
      <c r="I22" s="4" t="n">
        <v>-135892165000000</v>
      </c>
    </row>
    <row r="23">
      <c r="A23" s="3" t="inlineStr">
        <is>
          <t>(Tăng)/Giảm lãi, phí phải thu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Tăng/giảm nguồn dự phòng để bù đắp tổn thất các khoản</t>
        </is>
      </c>
      <c r="B24" s="4" t="n">
        <v>-2553203000000</v>
      </c>
      <c r="C24" s="4" t="n">
        <v>-257259000000</v>
      </c>
      <c r="D24" s="4" t="n">
        <v>-3363570000000</v>
      </c>
      <c r="E24" s="4" t="n">
        <v>-626647000000</v>
      </c>
      <c r="F24" s="4" t="n">
        <v>-683006000000</v>
      </c>
      <c r="G24" s="4" t="n">
        <v>-2667877000000</v>
      </c>
      <c r="H24" s="4" t="n">
        <v>-2670781000000</v>
      </c>
      <c r="I24" s="4" t="n">
        <v>-2072791000000</v>
      </c>
    </row>
    <row r="25">
      <c r="A25" s="3" t="inlineStr">
        <is>
          <t>Tăng/giảm khác về tài sản hoạt động</t>
        </is>
      </c>
      <c r="B25" s="4" t="n">
        <v>-3308223000000</v>
      </c>
      <c r="C25" s="4" t="n">
        <v>-4670454000000</v>
      </c>
      <c r="D25" s="4" t="n">
        <v>-6261043000000</v>
      </c>
      <c r="E25" s="4" t="n">
        <v>-15607626000000</v>
      </c>
      <c r="F25" s="4" t="n">
        <v>-36029613000000</v>
      </c>
      <c r="G25" s="4" t="n">
        <v>-9317279000000</v>
      </c>
      <c r="H25" s="4" t="n">
        <v>34701809000000</v>
      </c>
      <c r="I25" s="4" t="n">
        <v>-29615168000000</v>
      </c>
    </row>
    <row r="26">
      <c r="A26" s="3" t="inlineStr">
        <is>
          <t>Tăng/(Giảm) các khoản nợ chính phủ và NHNN</t>
        </is>
      </c>
      <c r="B26" s="4" t="n">
        <v>4024907000000</v>
      </c>
      <c r="C26" s="4" t="n">
        <v>-4024907000000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4306722000000</v>
      </c>
    </row>
    <row r="27">
      <c r="A27" s="3" t="inlineStr">
        <is>
          <t>Tăng/(Giảm) các khoản tiền gửi và vay các TCTD khác</t>
        </is>
      </c>
      <c r="B27" s="4" t="n">
        <v>-9898265000000</v>
      </c>
      <c r="C27" s="4" t="n">
        <v>24841075000000</v>
      </c>
      <c r="D27" s="4" t="n">
        <v>-13781823000000</v>
      </c>
      <c r="E27" s="4" t="n">
        <v>64973879000000</v>
      </c>
      <c r="F27" s="4" t="n">
        <v>55104278000000</v>
      </c>
      <c r="G27" s="4" t="n">
        <v>-14389967000000</v>
      </c>
      <c r="H27" s="4" t="n">
        <v>-20933914000000</v>
      </c>
      <c r="I27" s="4" t="n">
        <v>12743888000000</v>
      </c>
    </row>
    <row r="28">
      <c r="A28" s="3" t="inlineStr">
        <is>
          <t>Tăng/(Giảm) tiền gửi của khách hàng</t>
        </is>
      </c>
      <c r="B28" s="4" t="n">
        <v>31443819000000</v>
      </c>
      <c r="C28" s="4" t="n">
        <v>27882109000000</v>
      </c>
      <c r="D28" s="4" t="n">
        <v>46161890000000</v>
      </c>
      <c r="E28" s="4" t="n">
        <v>37294716000000</v>
      </c>
      <c r="F28" s="4" t="n">
        <v>43658244000000</v>
      </c>
      <c r="G28" s="4" t="n">
        <v>96249299000000</v>
      </c>
      <c r="H28" s="4" t="n">
        <v>78742971000000</v>
      </c>
      <c r="I28" s="4" t="n">
        <v>85524799000000</v>
      </c>
    </row>
    <row r="29">
      <c r="A29" s="3" t="inlineStr">
        <is>
          <t>Tăng/(Giảm) các công cụ tài chính phái sinh và các khoản nợ tài chính khác</t>
        </is>
      </c>
      <c r="B29" s="4" t="n">
        <v>310313000000</v>
      </c>
      <c r="C29" s="4" t="n">
        <v>123695000000</v>
      </c>
      <c r="D29" s="4" t="n">
        <v>-167082000000</v>
      </c>
      <c r="E29" s="4" t="n">
        <v>-266926000000</v>
      </c>
      <c r="F29" s="4" t="n">
        <v>1851213000000</v>
      </c>
      <c r="G29" s="4" t="n">
        <v>-1851213000000</v>
      </c>
      <c r="H29" s="4" t="n">
        <v>931231000000</v>
      </c>
      <c r="I29" s="4" t="n">
        <v>1485716000000</v>
      </c>
    </row>
    <row r="30">
      <c r="A30" s="3" t="inlineStr">
        <is>
          <t>Tăng/(Giảm) vốn tài trợ, uỷ thác đầu tư của chính phủ và các TCTD khác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</row>
    <row r="31">
      <c r="A31" s="3" t="inlineStr">
        <is>
          <t>Tăng/(Giảm) phát hành giấy tờ có giá</t>
        </is>
      </c>
      <c r="B31" s="4" t="n">
        <v>-1762011000000</v>
      </c>
      <c r="C31" s="4" t="n">
        <v>7482675000000</v>
      </c>
      <c r="D31" s="4" t="n">
        <v>10596719000000</v>
      </c>
      <c r="E31" s="4" t="n">
        <v>5780184000000</v>
      </c>
      <c r="F31" s="4" t="n">
        <v>1026795000000</v>
      </c>
      <c r="G31" s="4" t="n">
        <v>50696681000000</v>
      </c>
      <c r="H31" s="4" t="n">
        <v>55719021000000</v>
      </c>
      <c r="I31" s="4" t="n">
        <v>74907807000000</v>
      </c>
    </row>
    <row r="32">
      <c r="A32" s="3" t="inlineStr">
        <is>
          <t>Tăng/(Giảm) lãi, phí phải trả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</row>
    <row r="33">
      <c r="A33" s="3" t="inlineStr">
        <is>
          <t>Tăng/(Giảm) khác về công nợ hoạt động</t>
        </is>
      </c>
      <c r="B33" s="4" t="n">
        <v>4528623000000</v>
      </c>
      <c r="C33" s="4" t="n">
        <v>-944721000000</v>
      </c>
      <c r="D33" s="4" t="n">
        <v>422272000000</v>
      </c>
      <c r="E33" s="4" t="n">
        <v>2598519000000</v>
      </c>
      <c r="F33" s="4" t="n">
        <v>2009069000000</v>
      </c>
      <c r="G33" s="4" t="n">
        <v>-1468412000000</v>
      </c>
      <c r="H33" s="4" t="n">
        <v>-3303550000000</v>
      </c>
      <c r="I33" s="4" t="n">
        <v>2712170000000</v>
      </c>
    </row>
    <row r="34">
      <c r="A34" s="3" t="inlineStr">
        <is>
          <t>Lưu chuyển tiền thuần từ hoạt động kinh doanh trước thuế thu nhập DN</t>
        </is>
      </c>
      <c r="B34" s="4" t="n">
        <v>298991000000</v>
      </c>
      <c r="C34" s="4" t="n">
        <v>12641715000000</v>
      </c>
      <c r="D34" s="4" t="n">
        <v>-10087852000000</v>
      </c>
      <c r="E34" s="4" t="n">
        <v>12838970000000</v>
      </c>
      <c r="F34" s="4" t="n">
        <v>55473357000000</v>
      </c>
      <c r="G34" s="4" t="n">
        <v>12058300000000</v>
      </c>
      <c r="H34" s="4" t="n">
        <v>42379134000000</v>
      </c>
      <c r="I34" s="4" t="n">
        <v>39925552000000</v>
      </c>
    </row>
    <row r="35">
      <c r="A35" s="3" t="inlineStr">
        <is>
          <t>Chi từ các quỹ của TCTD</t>
        </is>
      </c>
      <c r="B35" s="4" t="n">
        <v>-59000000</v>
      </c>
      <c r="C35" s="4" t="n">
        <v>-9913000000</v>
      </c>
      <c r="D35" s="4" t="n">
        <v>-615000000</v>
      </c>
      <c r="E35" s="4" t="n">
        <v>-10749000000</v>
      </c>
      <c r="F35" s="4" t="n">
        <v>-4856000000</v>
      </c>
      <c r="G35" s="4" t="n">
        <v>-5013000000</v>
      </c>
      <c r="H35" s="4" t="n">
        <v>-2579000000</v>
      </c>
      <c r="I35" s="4" t="n">
        <v>-1934000000</v>
      </c>
    </row>
    <row r="36">
      <c r="A36" s="3" t="inlineStr">
        <is>
          <t>Thu được từ nợ khó đòi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3" t="inlineStr">
        <is>
          <t>Tiền chi từ thanh lý, nhượng bán TSCĐ</t>
        </is>
      </c>
      <c r="B37" s="4" t="n">
        <v>-89000000</v>
      </c>
      <c r="C37" s="4" t="n">
        <v>-268000000</v>
      </c>
      <c r="D37" s="4" t="n">
        <v>-559000000</v>
      </c>
      <c r="E37" s="4" t="n">
        <v>0</v>
      </c>
      <c r="F37" s="4" t="n">
        <v>-51000000</v>
      </c>
      <c r="G37" s="4" t="n">
        <v>-35000000</v>
      </c>
      <c r="H37" s="4" t="n">
        <v>-1249743000000</v>
      </c>
      <c r="I37" s="4" t="n">
        <v>-3015000000</v>
      </c>
    </row>
    <row r="38">
      <c r="A38" s="3" t="inlineStr">
        <is>
          <t>Mua sắm Bất động sản đầu tư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</row>
    <row r="39">
      <c r="A39" s="3" t="inlineStr">
        <is>
          <t>Tiền thu từ bán, thanh lý bất động sản đầu tư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1296447000000</v>
      </c>
      <c r="H39" s="4" t="n">
        <v>736219000000</v>
      </c>
      <c r="I39" s="4" t="n">
        <v>0</v>
      </c>
    </row>
    <row r="40">
      <c r="A40" s="3" t="inlineStr">
        <is>
          <t>Tiền chi ra do bán, thanh lý bất động sản đầu tư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Tiền thu từ phát hành giấy tờ có giá dài hạn đủ điều kiện tính vào vốn tự có và các khoản vốn vay dài hạn khác</t>
        </is>
      </c>
      <c r="B41" s="4" t="n">
        <v>310000000000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Tiền chi thanh toán giấy tờ có giá dài hạn đủ điều kiện tính vào vốn tự có và các khoản vốn vay dài hạn khác</t>
        </is>
      </c>
      <c r="B42" s="4" t="n">
        <v>-3010000000000</v>
      </c>
      <c r="C42" s="4" t="n">
        <v>-3200000000000</v>
      </c>
      <c r="D42" s="4" t="n">
        <v>-157713000000</v>
      </c>
      <c r="E42" s="4" t="n">
        <v>0</v>
      </c>
      <c r="F42" s="4" t="n">
        <v>-700000000000</v>
      </c>
      <c r="G42" s="4" t="n">
        <v>0</v>
      </c>
      <c r="H42" s="4" t="n">
        <v>0</v>
      </c>
      <c r="I42" s="4" t="n">
        <v>0</v>
      </c>
    </row>
    <row r="43">
      <c r="A43" s="3" t="inlineStr">
        <is>
          <t>Tiền chi ra mua cổ phiếu quỹ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Tiền thu được do bán cổ phiếu quỹ</t>
        </is>
      </c>
      <c r="B44" s="4" t="n">
        <v>16399378000000</v>
      </c>
      <c r="C44" s="4" t="n">
        <v>70338000000</v>
      </c>
      <c r="D44" s="4" t="n">
        <v>651000000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</row>
    <row r="45">
      <c r="A45" s="3" t="inlineStr">
        <is>
          <t>Thu nhập lãi và các khoản thu nhập tương tự nhận được</t>
        </is>
      </c>
      <c r="B45" s="4" t="n">
        <v>20445343000000</v>
      </c>
      <c r="C45" s="4" t="n">
        <v>25677175000000</v>
      </c>
      <c r="D45" s="4" t="n">
        <v>28933307000000</v>
      </c>
      <c r="E45" s="4" t="n">
        <v>35224259000000</v>
      </c>
      <c r="F45" s="4" t="n">
        <v>43558389000000</v>
      </c>
      <c r="G45" s="4" t="n">
        <v>53749365000000</v>
      </c>
      <c r="H45" s="4" t="n">
        <v>61748921000000</v>
      </c>
      <c r="I45" s="4" t="n">
        <v>67231128000000</v>
      </c>
    </row>
    <row r="46">
      <c r="A46" s="3" t="inlineStr">
        <is>
          <t>Chi phí lãi và các chi phí tương tự đã trả</t>
        </is>
      </c>
      <c r="B46" s="4" t="n">
        <v>-9797235000000</v>
      </c>
      <c r="C46" s="4" t="n">
        <v>-10865013000000</v>
      </c>
      <c r="D46" s="4" t="n">
        <v>-10155492000000</v>
      </c>
      <c r="E46" s="4" t="n">
        <v>-9042851000000</v>
      </c>
      <c r="F46" s="4" t="n">
        <v>-12185090000000</v>
      </c>
      <c r="G46" s="4" t="n">
        <v>-25941911000000</v>
      </c>
      <c r="H46" s="4" t="n">
        <v>-26124464000000</v>
      </c>
      <c r="I46" s="4" t="n">
        <v>-27761618000000</v>
      </c>
    </row>
    <row r="47">
      <c r="A47" s="3" t="inlineStr">
        <is>
          <t>Thu nhập từ hoạt động dịch vụ nhận được</t>
        </is>
      </c>
      <c r="B47" s="4" t="n">
        <v>2966562000000</v>
      </c>
      <c r="C47" s="4" t="n">
        <v>3170716000000</v>
      </c>
      <c r="D47" s="4" t="n">
        <v>4140309000000</v>
      </c>
      <c r="E47" s="4" t="n">
        <v>5958416000000</v>
      </c>
      <c r="F47" s="4" t="n">
        <v>8076844000000</v>
      </c>
      <c r="G47" s="4" t="n">
        <v>9134752000000</v>
      </c>
      <c r="H47" s="4" t="n">
        <v>7679933000000</v>
      </c>
      <c r="I47" s="4" t="n">
        <v>8396946000000</v>
      </c>
    </row>
    <row r="48">
      <c r="A48" s="3" t="inlineStr">
        <is>
          <t>Thu nhập thuần từ hoạt động kinh doanh ngoại hối và vàng</t>
        </is>
      </c>
      <c r="B48" s="4" t="n">
        <v>0</v>
      </c>
      <c r="C48" s="4" t="n">
        <v>0</v>
      </c>
      <c r="D48" s="4" t="n">
        <v>1897196000000</v>
      </c>
      <c r="E48" s="4" t="n">
        <v>2502188000000</v>
      </c>
      <c r="F48" s="4" t="n">
        <v>0</v>
      </c>
      <c r="G48" s="4" t="n">
        <v>0</v>
      </c>
      <c r="H48" s="4" t="n">
        <v>0</v>
      </c>
      <c r="I48" s="4" t="n">
        <v>0</v>
      </c>
    </row>
    <row r="49">
      <c r="A49" s="3" t="inlineStr">
        <is>
          <t>Thu nhập từ hoạt động kinh doanh chứng khoán</t>
        </is>
      </c>
      <c r="B49" s="4" t="n">
        <v>1310321000000</v>
      </c>
      <c r="C49" s="4" t="n">
        <v>1703869000000</v>
      </c>
      <c r="D49" s="4" t="n">
        <v>0</v>
      </c>
      <c r="E49" s="4" t="n">
        <v>0</v>
      </c>
      <c r="F49" s="4" t="n">
        <v>-420995000000</v>
      </c>
      <c r="G49" s="4" t="n">
        <v>1168505000000</v>
      </c>
      <c r="H49" s="4" t="n">
        <v>3150018000000</v>
      </c>
      <c r="I49" s="4" t="n">
        <v>4478027000000</v>
      </c>
    </row>
    <row r="50">
      <c r="A50" s="3" t="inlineStr">
        <is>
          <t>Thu nhập khác</t>
        </is>
      </c>
      <c r="B50" s="4" t="n">
        <v>151294000000</v>
      </c>
      <c r="C50" s="4" t="n">
        <v>485024000000</v>
      </c>
      <c r="D50" s="4" t="n">
        <v>1190483000000</v>
      </c>
      <c r="E50" s="4" t="n">
        <v>816228000000</v>
      </c>
      <c r="F50" s="4" t="n">
        <v>605946000000</v>
      </c>
      <c r="G50" s="4" t="n">
        <v>1384616000000</v>
      </c>
      <c r="H50" s="4" t="n">
        <v>-2359679000000</v>
      </c>
      <c r="I50" s="4" t="n">
        <v>96244000000</v>
      </c>
    </row>
    <row r="51">
      <c r="A51" s="3" t="inlineStr">
        <is>
          <t>Tiền chi trả cho nhân viên và hoạt động quản lý, cộng cụ</t>
        </is>
      </c>
      <c r="B51" s="4" t="n">
        <v>-4432019000000</v>
      </c>
      <c r="C51" s="4" t="n">
        <v>-5565179000000</v>
      </c>
      <c r="D51" s="4" t="n">
        <v>-6752272000000</v>
      </c>
      <c r="E51" s="4" t="n">
        <v>-8687948000000</v>
      </c>
      <c r="F51" s="4" t="n">
        <v>-9631184000000</v>
      </c>
      <c r="G51" s="4" t="n">
        <v>-10339365000000</v>
      </c>
      <c r="H51" s="4" t="n">
        <v>-10106171000000</v>
      </c>
      <c r="I51" s="4" t="n">
        <v>-13326686000000</v>
      </c>
    </row>
    <row r="52">
      <c r="A52" s="3" t="inlineStr">
        <is>
          <t>Tiền thu các khoản nợ đã được xử lý, xóa, bù đắp bằng nguồn rủi ro</t>
        </is>
      </c>
      <c r="B52" s="4" t="n">
        <v>1422895000000</v>
      </c>
      <c r="C52" s="4" t="n">
        <v>1080236000000</v>
      </c>
      <c r="D52" s="4" t="n">
        <v>1259653000000</v>
      </c>
      <c r="E52" s="4" t="n">
        <v>1121235000000</v>
      </c>
      <c r="F52" s="4" t="n">
        <v>1311053000000</v>
      </c>
      <c r="G52" s="4" t="n">
        <v>831790000000</v>
      </c>
      <c r="H52" s="4" t="n">
        <v>1138200000000</v>
      </c>
      <c r="I52" s="4" t="n">
        <v>1354286000000</v>
      </c>
    </row>
    <row r="53">
      <c r="A53" s="3" t="inlineStr">
        <is>
          <t>Chênh lệch số tiền thực thu/thực chi từ hoạt động kinh doanh</t>
        </is>
      </c>
      <c r="B53" s="4" t="n">
        <v>1310321000000</v>
      </c>
      <c r="C53" s="4" t="n">
        <v>1703869000000</v>
      </c>
      <c r="D53" s="4" t="n">
        <v>1897196000000</v>
      </c>
      <c r="E53" s="4" t="n">
        <v>2502188000000</v>
      </c>
      <c r="F53" s="4" t="n">
        <v>-420995000000</v>
      </c>
      <c r="G53" s="4" t="n">
        <v>1168505000000</v>
      </c>
      <c r="H53" s="4" t="n">
        <v>3150018000000</v>
      </c>
      <c r="I53" s="4" t="n">
        <v>4478027000000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selection activeCell="A1" sqref="A1"/>
    </sheetView>
  </sheetViews>
  <sheetFormatPr baseColWidth="8" defaultRowHeight="15"/>
  <cols>
    <col width="60.875" customWidth="1" min="1" max="1"/>
    <col width="17.125" customWidth="1" min="2" max="2"/>
    <col width="10.625" customWidth="1" min="3" max="3"/>
    <col width="20.375" customWidth="1" min="9" max="9"/>
    <col width="19.625" customWidth="1" min="10" max="10"/>
    <col width="9" customWidth="1" min="11" max="11"/>
  </cols>
  <sheetData>
    <row r="1">
      <c r="A1" s="5" t="inlineStr">
        <is>
          <t>Chỉ tiêu</t>
        </is>
      </c>
      <c r="B1" s="6">
        <f>balance_sheet!B1</f>
        <v/>
      </c>
      <c r="C1" s="6">
        <f>balance_sheet!C1</f>
        <v/>
      </c>
      <c r="D1" s="6">
        <f>balance_sheet!D1</f>
        <v/>
      </c>
      <c r="E1" s="6">
        <f>balance_sheet!E1</f>
        <v/>
      </c>
      <c r="F1" s="6">
        <f>balance_sheet!F1</f>
        <v/>
      </c>
      <c r="G1" s="6">
        <f>balance_sheet!G1</f>
        <v/>
      </c>
      <c r="H1" s="6">
        <f>balance_sheet!H1</f>
        <v/>
      </c>
      <c r="I1" s="6">
        <f>balance_sheet!I1</f>
        <v/>
      </c>
      <c r="J1" s="6" t="n">
        <v>2026</v>
      </c>
    </row>
    <row r="2">
      <c r="A2" s="7" t="inlineStr">
        <is>
          <t>ROE</t>
        </is>
      </c>
      <c r="B2" s="8" t="n"/>
      <c r="C2" s="9">
        <f>IFERROR(C$60/AVERAGE(B$48,C$48),"n/a")</f>
        <v/>
      </c>
      <c r="D2" s="9">
        <f>IFERROR(D$60/AVERAGE(C$48,D$48),"n/a")</f>
        <v/>
      </c>
      <c r="E2" s="9">
        <f>IFERROR(E$60/AVERAGE(D$48,E$48),"n/a")</f>
        <v/>
      </c>
      <c r="F2" s="9">
        <f>IFERROR(F$60/AVERAGE(E$48,F$48),"n/a")</f>
        <v/>
      </c>
      <c r="G2" s="9">
        <f>IFERROR(G$60/AVERAGE(F$48,G$48),"n/a")</f>
        <v/>
      </c>
      <c r="H2" s="9">
        <f>IFERROR(H$60/AVERAGE(G$48,H$48),"n/a")</f>
        <v/>
      </c>
      <c r="I2" s="9">
        <f>IFERROR(I$60/AVERAGE(H$48,I$48),"n/a")</f>
        <v/>
      </c>
    </row>
    <row r="3">
      <c r="A3" s="7" t="inlineStr">
        <is>
          <t>Tăng trưởng LNST</t>
        </is>
      </c>
      <c r="B3" s="8" t="n"/>
      <c r="C3" s="10">
        <f>IFERROR((C$60-B$60)/ABS(B$60),"n/a")</f>
        <v/>
      </c>
      <c r="D3" s="10">
        <f>IFERROR((D$60-C$60)/ABS(C$60),"n/a")</f>
        <v/>
      </c>
      <c r="E3" s="10">
        <f>IFERROR((E$60-D$60)/ABS(D$60),"n/a")</f>
        <v/>
      </c>
      <c r="F3" s="10">
        <f>IFERROR((F$60-E$60)/ABS(E$60),"n/a")</f>
        <v/>
      </c>
      <c r="G3" s="10">
        <f>IFERROR((G$60-F$60)/ABS(F$60),"n/a")</f>
        <v/>
      </c>
      <c r="H3" s="10">
        <f>IFERROR((H$60-G$60)/ABS(G$60),"n/a")</f>
        <v/>
      </c>
      <c r="I3" s="10">
        <f>IFERROR((I$60-H$60)/ABS(H$60),"n/a")</f>
        <v/>
      </c>
      <c r="J3" s="10">
        <f>IFERROR((J$60-I$60)/ABS(I$60),"n/a")</f>
        <v/>
      </c>
    </row>
    <row r="4">
      <c r="A4" s="7" t="inlineStr">
        <is>
          <t>Tăng trưởng thu nhập hoạt động</t>
        </is>
      </c>
      <c r="B4" s="8" t="n"/>
      <c r="C4" s="11">
        <f>IFERROR((C$54-B$54)/ABS(B$54),"n/a")</f>
        <v/>
      </c>
      <c r="D4" s="11">
        <f>IFERROR((D$54-C$54)/ABS(C$54),"n/a")</f>
        <v/>
      </c>
      <c r="E4" s="11">
        <f>IFERROR((E$54-D$54)/ABS(D$54),"n/a")</f>
        <v/>
      </c>
      <c r="F4" s="11">
        <f>IFERROR((F$54-E$54)/ABS(E$54),"n/a")</f>
        <v/>
      </c>
      <c r="G4" s="11">
        <f>IFERROR((G$54-F$54)/ABS(F$54),"n/a")</f>
        <v/>
      </c>
      <c r="H4" s="11">
        <f>IFERROR((H$54-G$54)/ABS(G$54),"n/a")</f>
        <v/>
      </c>
      <c r="I4" s="11">
        <f>IFERROR((I$54-H$54)/ABS(H$54),"n/a")</f>
        <v/>
      </c>
    </row>
    <row r="5">
      <c r="A5" s="7" t="inlineStr">
        <is>
          <t>% Dư nợ cho vay kinh doanh BĐS</t>
        </is>
      </c>
      <c r="B5" s="8">
        <f>IFERROR(B$36/#REF!,"n/a")</f>
        <v/>
      </c>
      <c r="C5" s="8">
        <f>IFERROR(C$36/#REF!,"n/a")</f>
        <v/>
      </c>
      <c r="D5" s="8">
        <f>IFERROR(D$36/#REF!,"n/a")</f>
        <v/>
      </c>
      <c r="E5" s="8">
        <f>IFERROR(E$36/#REF!,"n/a")</f>
        <v/>
      </c>
      <c r="F5" s="8">
        <f>IFERROR(F$36/#REF!,"n/a")</f>
        <v/>
      </c>
      <c r="G5" s="8">
        <f>IFERROR(G$36/#REF!,"n/a")</f>
        <v/>
      </c>
      <c r="H5" s="8">
        <f>IFERROR(H$36/#REF!,"n/a")</f>
        <v/>
      </c>
      <c r="I5" s="8">
        <f>IFERROR(I$36/#REF!,"n/a")</f>
        <v/>
      </c>
    </row>
    <row r="6">
      <c r="A6" s="12" t="inlineStr">
        <is>
          <t>NIM</t>
        </is>
      </c>
      <c r="B6" s="8">
        <f>IFERROR(B$54/AVERAGE(B$42,A42),"n/a")</f>
        <v/>
      </c>
      <c r="C6" s="8">
        <f>IFERROR(C$54/AVERAGE(C$42,B42),"n/a")</f>
        <v/>
      </c>
      <c r="D6" s="8">
        <f>IFERROR(D$54/AVERAGE(D$42,C42),"n/a")</f>
        <v/>
      </c>
      <c r="E6" s="8">
        <f>IFERROR(E$54/AVERAGE(E$42,D42),"n/a")</f>
        <v/>
      </c>
      <c r="F6" s="8">
        <f>IFERROR(F$54/AVERAGE(F$42,E42),"n/a")</f>
        <v/>
      </c>
      <c r="G6" s="8">
        <f>IFERROR(G$54/AVERAGE(G$42,F42),"n/a")</f>
        <v/>
      </c>
      <c r="H6" s="8">
        <f>IFERROR(H$54/AVERAGE(H$42,G42),"n/a")</f>
        <v/>
      </c>
      <c r="I6" s="8">
        <f>IFERROR(I$54/AVERAGE(I$42,H42),"n/a")</f>
        <v/>
      </c>
    </row>
    <row r="7">
      <c r="A7" s="7" t="inlineStr">
        <is>
          <t>CASA</t>
        </is>
      </c>
      <c r="B7" s="8" t="n"/>
      <c r="C7" s="8">
        <f>IFERROR((B$45+C$45+B$47+C$47)/(B$44+C$44),"n/a")</f>
        <v/>
      </c>
      <c r="D7" s="8">
        <f>IFERROR((C$45+D$45+C$47+D$47)/(C$44+D$44),"n/a")</f>
        <v/>
      </c>
      <c r="E7" s="8">
        <f>IFERROR((D$45+E$45+D$47+E$47)/(D$44+E$44),"n/a")</f>
        <v/>
      </c>
      <c r="F7" s="8">
        <f>IFERROR((E$45+F$45+E$47+F$47)/(E$44+F$44),"n/a")</f>
        <v/>
      </c>
      <c r="G7" s="8">
        <f>IFERROR((F$45+G$45+F$47+G$47)/(F$44+G$44),"n/a")</f>
        <v/>
      </c>
      <c r="H7" s="8">
        <f>IFERROR((G$45+H$45+G$47+H$47)/(G$44+H$44),"n/a")</f>
        <v/>
      </c>
      <c r="I7" s="8">
        <f>IFERROR((H$45+I$45+H$47+I$47)/(H$44+I$44),"n/a")</f>
        <v/>
      </c>
    </row>
    <row r="8">
      <c r="A8" s="7" t="inlineStr">
        <is>
          <t>NPL</t>
        </is>
      </c>
      <c r="B8" s="8" t="n"/>
      <c r="C8" s="8">
        <f>IFERROR((C$35/#REF!),"n/a")</f>
        <v/>
      </c>
      <c r="D8" s="8">
        <f>IFERROR((D$35/#REF!),"n/a")</f>
        <v/>
      </c>
      <c r="E8" s="8">
        <f>IFERROR((E$35/#REF!),"n/a")</f>
        <v/>
      </c>
      <c r="F8" s="8">
        <f>IFERROR((F$35/#REF!),"n/a")</f>
        <v/>
      </c>
      <c r="G8" s="8">
        <f>IFERROR((G$35/#REF!),"n/a")</f>
        <v/>
      </c>
      <c r="H8" s="8">
        <f>IFERROR((H$35/#REF!),"n/a")</f>
        <v/>
      </c>
      <c r="I8" s="8">
        <f>IFERROR((I$35/#REF!),"n/a")</f>
        <v/>
      </c>
    </row>
    <row r="9">
      <c r="A9" s="12" t="inlineStr">
        <is>
          <t>COF</t>
        </is>
      </c>
      <c r="B9" s="13" t="n"/>
      <c r="C9" s="13">
        <f>IFERROR(ABS(C$53)/AVERAGE(C$42,B42),"n/a")</f>
        <v/>
      </c>
      <c r="D9" s="13">
        <f>IFERROR(ABS(D$53)/AVERAGE(D$42,C42),"n/a")</f>
        <v/>
      </c>
      <c r="E9" s="13">
        <f>IFERROR(ABS(E$53)/AVERAGE(E$42,D42),"n/a")</f>
        <v/>
      </c>
      <c r="F9" s="13">
        <f>IFERROR(ABS(F$53)/AVERAGE(F$42,E42),"n/a")</f>
        <v/>
      </c>
      <c r="G9" s="13">
        <f>IFERROR(ABS(G$53)/AVERAGE(G$42,F42),"n/a")</f>
        <v/>
      </c>
      <c r="H9" s="13">
        <f>IFERROR(ABS(H$53)/AVERAGE(H$42,G42),"n/a")</f>
        <v/>
      </c>
      <c r="I9" s="13">
        <f>IFERROR(ABS(I$53)/AVERAGE(I$42,H42),"n/a")</f>
        <v/>
      </c>
    </row>
    <row r="10">
      <c r="A10" s="7" t="inlineStr">
        <is>
          <t>LLR</t>
        </is>
      </c>
      <c r="B10" s="8">
        <f>IFERROR(ABS(B$37)/B$35,"n/a")</f>
        <v/>
      </c>
      <c r="C10" s="8">
        <f>IFERROR(ABS(C$37)/C$35,"n/a")</f>
        <v/>
      </c>
      <c r="D10" s="8">
        <f>IFERROR(ABS(D$37)/D$35,"n/a")</f>
        <v/>
      </c>
      <c r="E10" s="8">
        <f>IFERROR(ABS(E$37)/E$35,"n/a")</f>
        <v/>
      </c>
      <c r="F10" s="8">
        <f>IFERROR(ABS(F$37)/F$35,"n/a")</f>
        <v/>
      </c>
      <c r="G10" s="8">
        <f>IFERROR(ABS(G$37)/G$35,"n/a")</f>
        <v/>
      </c>
      <c r="H10" s="8">
        <f>IFERROR(ABS(H$37)/H$35,"n/a")</f>
        <v/>
      </c>
      <c r="I10" s="8">
        <f>IFERROR(ABS(I$37)/I$35,"n/a")</f>
        <v/>
      </c>
    </row>
    <row r="11">
      <c r="A11" s="7" t="inlineStr">
        <is>
          <t>CAR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7" t="inlineStr">
        <is>
          <t>LDR</t>
        </is>
      </c>
      <c r="B12" s="8">
        <f>IFERROR(B$29/B$44,"n/a")</f>
        <v/>
      </c>
      <c r="C12" s="8">
        <f>IFERROR(C$29/C$44,"n/a")</f>
        <v/>
      </c>
      <c r="D12" s="8">
        <f>IFERROR(D$29/D$44,"n/a")</f>
        <v/>
      </c>
      <c r="E12" s="8">
        <f>IFERROR(E$29/E$44,"n/a")</f>
        <v/>
      </c>
      <c r="F12" s="8">
        <f>IFERROR(F$29/F$44,"n/a")</f>
        <v/>
      </c>
      <c r="G12" s="8">
        <f>IFERROR(G$29/G$44,"n/a")</f>
        <v/>
      </c>
      <c r="H12" s="8">
        <f>IFERROR(H$29/H$44,"n/a")</f>
        <v/>
      </c>
      <c r="I12" s="8">
        <f>IFERROR(I$29/I$44,"n/a")</f>
        <v/>
      </c>
    </row>
    <row r="13">
      <c r="A13" s="7" t="inlineStr">
        <is>
          <t>Tăng trưởng vốn huy động</t>
        </is>
      </c>
      <c r="B13" s="8" t="n"/>
      <c r="C13" s="8">
        <f>IFERROR((C$44-B$44)/ABS(B$44),"n/a")</f>
        <v/>
      </c>
      <c r="D13" s="8">
        <f>IFERROR((D$44-C$44)/ABS(C$44),"n/a")</f>
        <v/>
      </c>
      <c r="E13" s="8">
        <f>IFERROR((E$44-D$44)/ABS(D$44),"n/a")</f>
        <v/>
      </c>
      <c r="F13" s="8">
        <f>IFERROR((F$44-E$44)/ABS(E$44),"n/a")</f>
        <v/>
      </c>
      <c r="G13" s="8">
        <f>IFERROR((G$44-F$44)/ABS(F$44),"n/a")</f>
        <v/>
      </c>
      <c r="H13" s="8">
        <f>IFERROR((H$44-G$44)/ABS(G$44),"n/a")</f>
        <v/>
      </c>
      <c r="I13" s="8">
        <f>IFERROR((I$44-H$44)/ABS(H$44),"n/a")</f>
        <v/>
      </c>
    </row>
    <row r="14">
      <c r="A14" s="7" t="inlineStr">
        <is>
          <t>Tăng trưởng tín dụng</t>
        </is>
      </c>
      <c r="B14" s="8" t="n"/>
      <c r="C14" s="8">
        <f>IFERROR((C$29-B$29)/ABS(B$29),"n/a")</f>
        <v/>
      </c>
      <c r="D14" s="8">
        <f>IFERROR((D$29-C$29)/ABS(C$29),"n/a")</f>
        <v/>
      </c>
      <c r="E14" s="8">
        <f>IFERROR((E$29-D$29)/ABS(D$29),"n/a")</f>
        <v/>
      </c>
      <c r="F14" s="8">
        <f>IFERROR((F$29-E$29)/ABS(E$29),"n/a")</f>
        <v/>
      </c>
      <c r="G14" s="8">
        <f>IFERROR((G$29-F$29)/ABS(F$29),"n/a")</f>
        <v/>
      </c>
      <c r="H14" s="8">
        <f>IFERROR((H$29-G$29)/ABS(G$29),"n/a")</f>
        <v/>
      </c>
      <c r="I14" s="8">
        <f>IFERROR((I$29-H$29)/ABS(H$29),"n/a")</f>
        <v/>
      </c>
    </row>
    <row r="15">
      <c r="A15" s="7" t="inlineStr">
        <is>
          <t>CIR</t>
        </is>
      </c>
      <c r="B15" s="8">
        <f>IFERROR(ABS(B$57)/B$56,"n/a")</f>
        <v/>
      </c>
      <c r="C15" s="8">
        <f>IFERROR(ABS(C$57)/C$56,"n/a")</f>
        <v/>
      </c>
      <c r="D15" s="8">
        <f>IFERROR(ABS(D$57)/D$56,"n/a")</f>
        <v/>
      </c>
      <c r="E15" s="8">
        <f>IFERROR(ABS(E$57)/E$56,"n/a")</f>
        <v/>
      </c>
      <c r="F15" s="8">
        <f>IFERROR(ABS(F$57)/F$56,"n/a")</f>
        <v/>
      </c>
      <c r="G15" s="8">
        <f>IFERROR(ABS(G$57)/G$56,"n/a")</f>
        <v/>
      </c>
      <c r="H15" s="8">
        <f>IFERROR(ABS(H$57)/H$56,"n/a")</f>
        <v/>
      </c>
      <c r="I15" s="8">
        <f>IFERROR(ABS(I$57)/I$56,"n/a")</f>
        <v/>
      </c>
    </row>
    <row r="16">
      <c r="A16" s="12" t="inlineStr">
        <is>
          <t>VCSH/Tổng tài sản</t>
        </is>
      </c>
      <c r="B16" s="13">
        <f>IFERROR(B$48/B$24,"n/a")</f>
        <v/>
      </c>
      <c r="C16" s="13">
        <f>IFERROR(C$48/C$24,"n/a")</f>
        <v/>
      </c>
      <c r="D16" s="13">
        <f>IFERROR(D$48/D$24,"n/a")</f>
        <v/>
      </c>
      <c r="E16" s="13">
        <f>IFERROR(E$48/E$24,"n/a")</f>
        <v/>
      </c>
      <c r="F16" s="13">
        <f>IFERROR(F$48/F$24,"n/a")</f>
        <v/>
      </c>
      <c r="G16" s="13">
        <f>IFERROR(G$48/G$24,"n/a")</f>
        <v/>
      </c>
      <c r="H16" s="13">
        <f>IFERROR(H$48/H$24,"n/a")</f>
        <v/>
      </c>
      <c r="I16" s="13">
        <f>IFERROR(I$48/I$24,"n/a")</f>
        <v/>
      </c>
    </row>
    <row r="17">
      <c r="A17" s="12" t="inlineStr">
        <is>
          <t>Tỷ lệ lãi và phí phải thu/Thu nhập lãi</t>
        </is>
      </c>
      <c r="B17" s="13">
        <f>IFERROR(B58/B$52,"n/a")</f>
        <v/>
      </c>
      <c r="C17" s="13">
        <f>IFERROR(C58/C$52,"n/a")</f>
        <v/>
      </c>
      <c r="D17" s="13">
        <f>IFERROR(D58/D$52,"n/a")</f>
        <v/>
      </c>
      <c r="E17" s="13">
        <f>IFERROR(E58/E$52,"n/a")</f>
        <v/>
      </c>
      <c r="F17" s="13">
        <f>IFERROR(F58/F$52,"n/a")</f>
        <v/>
      </c>
      <c r="G17" s="13">
        <f>IFERROR(G58/G$52,"n/a")</f>
        <v/>
      </c>
      <c r="H17" s="13">
        <f>IFERROR(H58/H$52,"n/a")</f>
        <v/>
      </c>
      <c r="I17" s="13">
        <f>IFERROR(I58/I$52,"n/a")</f>
        <v/>
      </c>
    </row>
    <row r="18">
      <c r="A18" s="7" t="inlineStr">
        <is>
          <t>Thu nhập ngoài lãi/Thu nhập hoạt động</t>
        </is>
      </c>
      <c r="B18" s="8">
        <f>IFERROR(B$55/B$56,"n/a")</f>
        <v/>
      </c>
      <c r="C18" s="8">
        <f>IFERROR(C$55/C$56,"n/a")</f>
        <v/>
      </c>
      <c r="D18" s="8">
        <f>IFERROR(D$55/D$56,"n/a")</f>
        <v/>
      </c>
      <c r="E18" s="8">
        <f>IFERROR(E$55/E$56,"n/a")</f>
        <v/>
      </c>
      <c r="F18" s="8">
        <f>IFERROR(F$55/F$56,"n/a")</f>
        <v/>
      </c>
      <c r="G18" s="8">
        <f>IFERROR(G$55/G$56,"n/a")</f>
        <v/>
      </c>
      <c r="H18" s="8">
        <f>IFERROR(H$55/H$56,"n/a")</f>
        <v/>
      </c>
      <c r="I18" s="8">
        <f>IFERROR(I$55/I$56,"n/a")</f>
        <v/>
      </c>
    </row>
    <row r="19"/>
    <row r="20">
      <c r="A20" s="14" t="inlineStr">
        <is>
          <t>II. DỮ LIỆU TRÍCH XUẤT (tự động dò theo tên khoản mục)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6" t="inlineStr">
        <is>
          <t>Khoản mục</t>
        </is>
      </c>
      <c r="B21" s="17">
        <f>balance_sheet!B1</f>
        <v/>
      </c>
      <c r="C21" s="17">
        <f>balance_sheet!C1</f>
        <v/>
      </c>
      <c r="D21" s="17">
        <f>balance_sheet!D1</f>
        <v/>
      </c>
      <c r="E21" s="17">
        <f>balance_sheet!E1</f>
        <v/>
      </c>
      <c r="F21" s="17">
        <f>balance_sheet!F1</f>
        <v/>
      </c>
      <c r="G21" s="17">
        <f>balance_sheet!G1</f>
        <v/>
      </c>
      <c r="H21" s="17">
        <f>balance_sheet!H1</f>
        <v/>
      </c>
      <c r="I21" s="17">
        <f>balance_sheet!I1</f>
        <v/>
      </c>
    </row>
    <row r="22">
      <c r="A22" s="16" t="inlineStr">
        <is>
          <t>CĐKT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9" t="n"/>
    </row>
    <row r="23">
      <c r="A23" s="16" t="inlineStr">
        <is>
          <t>Tài sản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9" t="n"/>
    </row>
    <row r="24">
      <c r="A24" s="20" t="inlineStr">
        <is>
          <t>TỔNG TÀI SẢN</t>
        </is>
      </c>
      <c r="B24" s="21">
        <f>IFERROR(INDEX(balance_sheet!$B:$I,MATCH("TỔNG TÀI SẢN",balance_sheet!$A:$A,0),MATCH(B$21,balance_sheet!$B$1:$I$1,0)),"")</f>
        <v/>
      </c>
      <c r="C24" s="21">
        <f>IFERROR(INDEX(balance_sheet!$B:$I,MATCH("TỔNG TÀI SẢN",balance_sheet!$A:$A,0),MATCH(C$21,balance_sheet!$B$1:$I$1,0)),"")</f>
        <v/>
      </c>
      <c r="D24" s="21">
        <f>IFERROR(INDEX(balance_sheet!$B:$I,MATCH("TỔNG TÀI SẢN",balance_sheet!$A:$A,0),MATCH(D$21,balance_sheet!$B$1:$I$1,0)),"")</f>
        <v/>
      </c>
      <c r="E24" s="21">
        <f>IFERROR(INDEX(balance_sheet!$B:$I,MATCH("TỔNG TÀI SẢN",balance_sheet!$A:$A,0),MATCH(E$21,balance_sheet!$B$1:$I$1,0)),"")</f>
        <v/>
      </c>
      <c r="F24" s="21">
        <f>IFERROR(INDEX(balance_sheet!$B:$I,MATCH("TỔNG TÀI SẢN",balance_sheet!$A:$A,0),MATCH(F$21,balance_sheet!$B$1:$I$1,0)),"")</f>
        <v/>
      </c>
      <c r="G24" s="21">
        <f>IFERROR(INDEX(balance_sheet!$B:$I,MATCH("TỔNG TÀI SẢN",balance_sheet!$A:$A,0),MATCH(G$21,balance_sheet!$B$1:$I$1,0)),"")</f>
        <v/>
      </c>
      <c r="H24" s="21">
        <f>IFERROR(INDEX(balance_sheet!$B:$I,MATCH("TỔNG TÀI SẢN",balance_sheet!$A:$A,0),MATCH(H$21,balance_sheet!$B$1:$I$1,0)),"")</f>
        <v/>
      </c>
      <c r="I24" s="21">
        <f>IFERROR(INDEX(balance_sheet!$B:$I,MATCH("TỔNG TÀI SẢN",balance_sheet!$A:$A,0),MATCH(I$21,balance_sheet!$B$1:$I$1,0)),"")</f>
        <v/>
      </c>
      <c r="J24" s="19" t="n"/>
    </row>
    <row r="25">
      <c r="A25" s="20" t="inlineStr">
        <is>
          <t>Tiền gửi tại Ngân hàng nhà nước Việt Nam</t>
        </is>
      </c>
      <c r="B25" s="21">
        <f>IFERROR(INDEX(balance_sheet!$B:$I,MATCH("Tiền gửi tại Ngân hàng nhà nước Việt Nam",balance_sheet!$A:$A,0),MATCH(B$21,balance_sheet!$B$1:$I$1,0)),"")</f>
        <v/>
      </c>
      <c r="C25" s="21">
        <f>IFERROR(INDEX(balance_sheet!$B:$I,MATCH("Tiền gửi tại Ngân hàng nhà nước Việt Nam",balance_sheet!$A:$A,0),MATCH(C$21,balance_sheet!$B$1:$I$1,0)),"")</f>
        <v/>
      </c>
      <c r="D25" s="21">
        <f>IFERROR(INDEX(balance_sheet!$B:$I,MATCH("Tiền gửi tại Ngân hàng nhà nước Việt Nam",balance_sheet!$A:$A,0),MATCH(D$21,balance_sheet!$B$1:$I$1,0)),"")</f>
        <v/>
      </c>
      <c r="E25" s="21">
        <f>IFERROR(INDEX(balance_sheet!$B:$I,MATCH("Tiền gửi tại Ngân hàng nhà nước Việt Nam",balance_sheet!$A:$A,0),MATCH(E$21,balance_sheet!$B$1:$I$1,0)),"")</f>
        <v/>
      </c>
      <c r="F25" s="21">
        <f>IFERROR(INDEX(balance_sheet!$B:$I,MATCH("Tiền gửi tại Ngân hàng nhà nước Việt Nam",balance_sheet!$A:$A,0),MATCH(F$21,balance_sheet!$B$1:$I$1,0)),"")</f>
        <v/>
      </c>
      <c r="G25" s="21">
        <f>IFERROR(INDEX(balance_sheet!$B:$I,MATCH("Tiền gửi tại Ngân hàng nhà nước Việt Nam",balance_sheet!$A:$A,0),MATCH(G$21,balance_sheet!$B$1:$I$1,0)),"")</f>
        <v/>
      </c>
      <c r="H25" s="21">
        <f>IFERROR(INDEX(balance_sheet!$B:$I,MATCH("Tiền gửi tại Ngân hàng nhà nước Việt Nam",balance_sheet!$A:$A,0),MATCH(H$21,balance_sheet!$B$1:$I$1,0)),"")</f>
        <v/>
      </c>
      <c r="I25" s="21">
        <f>IFERROR(INDEX(balance_sheet!$B:$I,MATCH("Tiền gửi tại Ngân hàng nhà nước Việt Nam",balance_sheet!$A:$A,0),MATCH(I$21,balance_sheet!$B$1:$I$1,0)),"")</f>
        <v/>
      </c>
      <c r="J25" s="19" t="n"/>
    </row>
    <row r="26">
      <c r="A26" s="20" t="inlineStr">
        <is>
          <t>Tiền gửi tại các TCTD khác và cho vay các TCTD khác</t>
        </is>
      </c>
      <c r="B26" s="21">
        <f>IFERROR(INDEX(balance_sheet!$B:$I,MATCH("Tiền gửi tại các TCTD khác và cho vay các TCTD khác",balance_sheet!$A:$A,0),MATCH(B$21,balance_sheet!$B$1:$I$1,0)),"")</f>
        <v/>
      </c>
      <c r="C26" s="21">
        <f>IFERROR(INDEX(balance_sheet!$B:$I,MATCH("Tiền gửi tại các TCTD khác và cho vay các TCTD khác",balance_sheet!$A:$A,0),MATCH(C$21,balance_sheet!$B$1:$I$1,0)),"")</f>
        <v/>
      </c>
      <c r="D26" s="21">
        <f>IFERROR(INDEX(balance_sheet!$B:$I,MATCH("Tiền gửi tại các TCTD khác và cho vay các TCTD khác",balance_sheet!$A:$A,0),MATCH(D$21,balance_sheet!$B$1:$I$1,0)),"")</f>
        <v/>
      </c>
      <c r="E26" s="21">
        <f>IFERROR(INDEX(balance_sheet!$B:$I,MATCH("Tiền gửi tại các TCTD khác và cho vay các TCTD khác",balance_sheet!$A:$A,0),MATCH(E$21,balance_sheet!$B$1:$I$1,0)),"")</f>
        <v/>
      </c>
      <c r="F26" s="21">
        <f>IFERROR(INDEX(balance_sheet!$B:$I,MATCH("Tiền gửi tại các TCTD khác và cho vay các TCTD khác",balance_sheet!$A:$A,0),MATCH(F$21,balance_sheet!$B$1:$I$1,0)),"")</f>
        <v/>
      </c>
      <c r="G26" s="21">
        <f>IFERROR(INDEX(balance_sheet!$B:$I,MATCH("Tiền gửi tại các TCTD khác và cho vay các TCTD khác",balance_sheet!$A:$A,0),MATCH(G$21,balance_sheet!$B$1:$I$1,0)),"")</f>
        <v/>
      </c>
      <c r="H26" s="21">
        <f>IFERROR(INDEX(balance_sheet!$B:$I,MATCH("Tiền gửi tại các TCTD khác và cho vay các TCTD khác",balance_sheet!$A:$A,0),MATCH(H$21,balance_sheet!$B$1:$I$1,0)),"")</f>
        <v/>
      </c>
      <c r="I26" s="21">
        <f>IFERROR(INDEX(balance_sheet!$B:$I,MATCH("Tiền gửi tại các TCTD khác và cho vay các TCTD khác",balance_sheet!$A:$A,0),MATCH(I$21,balance_sheet!$B$1:$I$1,0)),"")</f>
        <v/>
      </c>
      <c r="J26" s="19" t="n"/>
    </row>
    <row r="27">
      <c r="A27" s="20" t="inlineStr">
        <is>
          <t>Dự phòng rủi ro cho vay các TCTD khác</t>
        </is>
      </c>
      <c r="B27" s="21">
        <f>IFERROR(INDEX(balance_sheet!$B:$I,MATCH("Dự phòng rủi ro",balance_sheet!$A:$A,0),MATCH(B$21,balance_sheet!$B$1:$I$1,0)),"")</f>
        <v/>
      </c>
      <c r="C27" s="21">
        <f>IFERROR(INDEX(balance_sheet!$B:$I,MATCH("Dự phòng rủi ro",balance_sheet!$A:$A,0),MATCH(C$21,balance_sheet!$B$1:$I$1,0)),"")</f>
        <v/>
      </c>
      <c r="D27" s="21">
        <f>IFERROR(INDEX(balance_sheet!$B:$I,MATCH("Dự phòng rủi ro",balance_sheet!$A:$A,0),MATCH(D$21,balance_sheet!$B$1:$I$1,0)),"")</f>
        <v/>
      </c>
      <c r="E27" s="21">
        <f>IFERROR(INDEX(balance_sheet!$B:$I,MATCH("Dự phòng rủi ro",balance_sheet!$A:$A,0),MATCH(E$21,balance_sheet!$B$1:$I$1,0)),"")</f>
        <v/>
      </c>
      <c r="F27" s="21">
        <f>IFERROR(INDEX(balance_sheet!$B:$I,MATCH("Dự phòng rủi ro",balance_sheet!$A:$A,0),MATCH(F$21,balance_sheet!$B$1:$I$1,0)),"")</f>
        <v/>
      </c>
      <c r="G27" s="21">
        <f>IFERROR(INDEX(balance_sheet!$B:$I,MATCH("Dự phòng rủi ro",balance_sheet!$A:$A,0),MATCH(G$21,balance_sheet!$B$1:$I$1,0)),"")</f>
        <v/>
      </c>
      <c r="H27" s="21">
        <f>IFERROR(INDEX(balance_sheet!$B:$I,MATCH("Dự phòng rủi ro",balance_sheet!$A:$A,0),MATCH(H$21,balance_sheet!$B$1:$I$1,0)),"")</f>
        <v/>
      </c>
      <c r="I27" s="21">
        <f>IFERROR(INDEX(balance_sheet!$B:$I,MATCH("Dự phòng rủi ro",balance_sheet!$A:$A,0),MATCH(I$21,balance_sheet!$B$1:$I$1,0)),"")</f>
        <v/>
      </c>
      <c r="J27" s="19" t="n"/>
    </row>
    <row r="28">
      <c r="A28" s="20" t="inlineStr">
        <is>
          <t>Chứng khoán kinh doanh</t>
        </is>
      </c>
      <c r="B28" s="21">
        <f>IFERROR(INDEX(balance_sheet!$B:$I,MATCH("Chứng khoán kinh doanh",balance_sheet!$A:$A,0),MATCH(B$21,balance_sheet!$B$1:$I$1,0)),"")</f>
        <v/>
      </c>
      <c r="C28" s="21">
        <f>IFERROR(INDEX(balance_sheet!$B:$I,MATCH("Chứng khoán kinh doanh",balance_sheet!$A:$A,0),MATCH(C$21,balance_sheet!$B$1:$I$1,0)),"")</f>
        <v/>
      </c>
      <c r="D28" s="21">
        <f>IFERROR(INDEX(balance_sheet!$B:$I,MATCH("Chứng khoán kinh doanh",balance_sheet!$A:$A,0),MATCH(D$21,balance_sheet!$B$1:$I$1,0)),"")</f>
        <v/>
      </c>
      <c r="E28" s="21">
        <f>IFERROR(INDEX(balance_sheet!$B:$I,MATCH("Chứng khoán kinh doanh",balance_sheet!$A:$A,0),MATCH(E$21,balance_sheet!$B$1:$I$1,0)),"")</f>
        <v/>
      </c>
      <c r="F28" s="21">
        <f>IFERROR(INDEX(balance_sheet!$B:$I,MATCH("Chứng khoán kinh doanh",balance_sheet!$A:$A,0),MATCH(F$21,balance_sheet!$B$1:$I$1,0)),"")</f>
        <v/>
      </c>
      <c r="G28" s="21">
        <f>IFERROR(INDEX(balance_sheet!$B:$I,MATCH("Chứng khoán kinh doanh",balance_sheet!$A:$A,0),MATCH(G$21,balance_sheet!$B$1:$I$1,0)),"")</f>
        <v/>
      </c>
      <c r="H28" s="21">
        <f>IFERROR(INDEX(balance_sheet!$B:$I,MATCH("Chứng khoán kinh doanh",balance_sheet!$A:$A,0),MATCH(H$21,balance_sheet!$B$1:$I$1,0)),"")</f>
        <v/>
      </c>
      <c r="I28" s="21">
        <f>IFERROR(INDEX(balance_sheet!$B:$I,MATCH("Chứng khoán kinh doanh",balance_sheet!$A:$A,0),MATCH(I$21,balance_sheet!$B$1:$I$1,0)),"")</f>
        <v/>
      </c>
      <c r="J28" s="19" t="n"/>
    </row>
    <row r="29">
      <c r="A29" s="20" t="inlineStr">
        <is>
          <t>Cho vay khách hàng</t>
        </is>
      </c>
      <c r="B29" s="21">
        <f>IFERROR(INDEX(balance_sheet!$B:$I,MATCH("Cho vay khách hàng",balance_sheet!$A:$A,0),MATCH(B$21,balance_sheet!$B$1:$I$1,0)),"")</f>
        <v/>
      </c>
      <c r="C29" s="21">
        <f>IFERROR(INDEX(balance_sheet!$B:$I,MATCH("Cho vay khách hàng",balance_sheet!$A:$A,0),MATCH(C$21,balance_sheet!$B$1:$I$1,0)),"")</f>
        <v/>
      </c>
      <c r="D29" s="21">
        <f>IFERROR(INDEX(balance_sheet!$B:$I,MATCH("Cho vay khách hàng",balance_sheet!$A:$A,0),MATCH(D$21,balance_sheet!$B$1:$I$1,0)),"")</f>
        <v/>
      </c>
      <c r="E29" s="21">
        <f>IFERROR(INDEX(balance_sheet!$B:$I,MATCH("Cho vay khách hàng",balance_sheet!$A:$A,0),MATCH(E$21,balance_sheet!$B$1:$I$1,0)),"")</f>
        <v/>
      </c>
      <c r="F29" s="21">
        <f>IFERROR(INDEX(balance_sheet!$B:$I,MATCH("Cho vay khách hàng",balance_sheet!$A:$A,0),MATCH(F$21,balance_sheet!$B$1:$I$1,0)),"")</f>
        <v/>
      </c>
      <c r="G29" s="21">
        <f>IFERROR(INDEX(balance_sheet!$B:$I,MATCH("Cho vay khách hàng",balance_sheet!$A:$A,0),MATCH(G$21,balance_sheet!$B$1:$I$1,0)),"")</f>
        <v/>
      </c>
      <c r="H29" s="21">
        <f>IFERROR(INDEX(balance_sheet!$B:$I,MATCH("Cho vay khách hàng",balance_sheet!$A:$A,0),MATCH(H$21,balance_sheet!$B$1:$I$1,0)),"")</f>
        <v/>
      </c>
      <c r="I29" s="21">
        <f>IFERROR(INDEX(balance_sheet!$B:$I,MATCH("Cho vay khách hàng",balance_sheet!$A:$A,0),MATCH(I$21,balance_sheet!$B$1:$I$1,0)),"")</f>
        <v/>
      </c>
      <c r="J29" s="19" t="n"/>
    </row>
    <row r="30">
      <c r="A30" s="20" t="inlineStr">
        <is>
          <t>+ Nợ đủ tiêu chuẩn</t>
        </is>
      </c>
      <c r="B30" s="22" t="n">
        <v>154548000000000</v>
      </c>
      <c r="C30" s="22" t="n">
        <v>225601000000000</v>
      </c>
      <c r="D30" s="22" t="n">
        <v>274424000000000</v>
      </c>
      <c r="E30" s="22" t="n">
        <v>342903000000000</v>
      </c>
      <c r="F30" s="22" t="n">
        <v>399403000000000</v>
      </c>
      <c r="G30" s="22" t="n">
        <v>491584000000000</v>
      </c>
      <c r="H30" s="22" t="n">
        <v>594272000000000</v>
      </c>
      <c r="I30" s="22" t="n">
        <v>711707000000000</v>
      </c>
      <c r="J30" s="19" t="n"/>
    </row>
    <row r="31">
      <c r="A31" s="20" t="inlineStr">
        <is>
          <t>+ Nợ cần chú ý</t>
        </is>
      </c>
      <c r="B31" s="22" t="n">
        <v>2588000000000</v>
      </c>
      <c r="C31" s="22" t="n">
        <v>2123000000000</v>
      </c>
      <c r="D31" s="22" t="n">
        <v>1806000000000</v>
      </c>
      <c r="E31" s="22" t="n">
        <v>2145000000000</v>
      </c>
      <c r="F31" s="22" t="n">
        <v>8733000000000</v>
      </c>
      <c r="G31" s="22" t="n">
        <v>4439000000000</v>
      </c>
      <c r="H31" s="22" t="n">
        <v>4441000000000</v>
      </c>
      <c r="I31" s="22" t="n">
        <v>3852000000000</v>
      </c>
      <c r="J31" s="19" t="n"/>
    </row>
    <row r="32">
      <c r="A32" s="20" t="inlineStr">
        <is>
          <t>+ Nợ dưới tiêu chuẩn</t>
        </is>
      </c>
      <c r="B32" s="22" t="n">
        <v>238000000000</v>
      </c>
      <c r="C32" s="22" t="n">
        <v>218000000000</v>
      </c>
      <c r="D32" s="22" t="n">
        <v>417000000000</v>
      </c>
      <c r="E32" s="22" t="n">
        <v>679000000000</v>
      </c>
      <c r="F32" s="22" t="n">
        <v>902000000000</v>
      </c>
      <c r="G32" s="22" t="n">
        <v>1857000000000</v>
      </c>
      <c r="H32" s="22" t="n">
        <v>1366000000000</v>
      </c>
      <c r="I32" s="22" t="n">
        <v>918000000000</v>
      </c>
      <c r="J32" s="19" t="n"/>
    </row>
    <row r="33">
      <c r="A33" s="20" t="inlineStr">
        <is>
          <t>+ Nợ nghi ngờ</t>
        </is>
      </c>
      <c r="B33" s="22" t="n">
        <v>86000000000</v>
      </c>
      <c r="C33" s="22" t="n">
        <v>31000000000</v>
      </c>
      <c r="D33" s="22" t="n">
        <v>534000000000</v>
      </c>
      <c r="E33" s="22" t="n">
        <v>860000000000</v>
      </c>
      <c r="F33" s="22" t="n">
        <v>1131000000000</v>
      </c>
      <c r="G33" s="22" t="n">
        <v>2762000000000</v>
      </c>
      <c r="H33" s="22" t="n">
        <v>2466000000000</v>
      </c>
      <c r="I33" s="22" t="n">
        <v>1339000000000</v>
      </c>
      <c r="J33" s="19" t="n"/>
    </row>
    <row r="34">
      <c r="A34" s="20" t="inlineStr">
        <is>
          <t>+ Nợ có khả năng mất vốn</t>
        </is>
      </c>
      <c r="B34" s="22" t="n">
        <v>1703000000000</v>
      </c>
      <c r="C34" s="22" t="n">
        <v>2555000000000</v>
      </c>
      <c r="D34" s="22" t="n">
        <v>344000000000</v>
      </c>
      <c r="E34" s="22" t="n">
        <v>755000000000</v>
      </c>
      <c r="F34" s="22" t="n">
        <v>1000000000000</v>
      </c>
      <c r="G34" s="22" t="n">
        <v>1380000000000</v>
      </c>
      <c r="H34" s="22" t="n">
        <v>3270000000000</v>
      </c>
      <c r="I34" s="22" t="n">
        <v>5941000000000</v>
      </c>
      <c r="J34" s="19" t="n"/>
    </row>
    <row r="35">
      <c r="A35" s="23" t="inlineStr">
        <is>
          <t>Nợ xấu</t>
        </is>
      </c>
      <c r="B35" s="24">
        <f>SUM(B32:B34)</f>
        <v/>
      </c>
      <c r="C35" s="24">
        <f>SUM(C32:C34)</f>
        <v/>
      </c>
      <c r="D35" s="24">
        <f>SUM(D32:D34)</f>
        <v/>
      </c>
      <c r="E35" s="24">
        <f>SUM(E32:E34)</f>
        <v/>
      </c>
      <c r="F35" s="24">
        <f>SUM(F32:F34)</f>
        <v/>
      </c>
      <c r="G35" s="24">
        <f>SUM(G32:G34)</f>
        <v/>
      </c>
      <c r="H35" s="24">
        <f>SUM(H32:H34)</f>
        <v/>
      </c>
      <c r="I35" s="24">
        <f>SUM(I32:I34)</f>
        <v/>
      </c>
      <c r="J35" s="25" t="n"/>
    </row>
    <row r="36">
      <c r="A36" s="20" t="inlineStr">
        <is>
          <t>Cho vay KDBĐS</t>
        </is>
      </c>
      <c r="B36" s="22" t="n">
        <v>13555000000000</v>
      </c>
      <c r="C36" s="22" t="n">
        <v>50422000000000</v>
      </c>
      <c r="D36" s="22" t="n">
        <v>91361000000000</v>
      </c>
      <c r="E36" s="22" t="n">
        <v>95613000000000</v>
      </c>
      <c r="F36" s="22" t="n">
        <v>108805000000000</v>
      </c>
      <c r="G36" s="22" t="n">
        <v>176804000000000</v>
      </c>
      <c r="H36" s="22" t="n">
        <v>187100000000000</v>
      </c>
      <c r="I36" s="22" t="n">
        <v>207027000000000</v>
      </c>
      <c r="J36" s="19" t="n"/>
    </row>
    <row r="37">
      <c r="A37" s="20" t="inlineStr">
        <is>
          <t>Dự phòng rủi ro cho vay khách hàng</t>
        </is>
      </c>
      <c r="B37" s="21">
        <f>IFERROR(INDEX(balance_sheet!$B:$I,MATCH("Dự phòng rủi ro cho vay khách hàng",balance_sheet!$A:$A,0),MATCH(B$21,balance_sheet!$B$1:$I$1,0)),"")</f>
        <v/>
      </c>
      <c r="C37" s="21">
        <f>IFERROR(INDEX(balance_sheet!$B:$I,MATCH("Dự phòng rủi ro cho vay khách hàng",balance_sheet!$A:$A,0),MATCH(C$21,balance_sheet!$B$1:$I$1,0)),"")</f>
        <v/>
      </c>
      <c r="D37" s="21">
        <f>IFERROR(INDEX(balance_sheet!$B:$I,MATCH("Dự phòng rủi ro cho vay khách hàng",balance_sheet!$A:$A,0),MATCH(D$21,balance_sheet!$B$1:$I$1,0)),"")</f>
        <v/>
      </c>
      <c r="E37" s="21">
        <f>IFERROR(INDEX(balance_sheet!$B:$I,MATCH("Dự phòng rủi ro cho vay khách hàng",balance_sheet!$A:$A,0),MATCH(E$21,balance_sheet!$B$1:$I$1,0)),"")</f>
        <v/>
      </c>
      <c r="F37" s="21">
        <f>IFERROR(INDEX(balance_sheet!$B:$I,MATCH("Dự phòng rủi ro cho vay khách hàng",balance_sheet!$A:$A,0),MATCH(F$21,balance_sheet!$B$1:$I$1,0)),"")</f>
        <v/>
      </c>
      <c r="G37" s="21">
        <f>IFERROR(INDEX(balance_sheet!$B:$I,MATCH("Dự phòng rủi ro cho vay khách hàng",balance_sheet!$A:$A,0),MATCH(G$21,balance_sheet!$B$1:$I$1,0)),"")</f>
        <v/>
      </c>
      <c r="H37" s="21">
        <f>IFERROR(INDEX(balance_sheet!$B:$I,MATCH("Dự phòng rủi ro cho vay khách hàng",balance_sheet!$A:$A,0),MATCH(H$21,balance_sheet!$B$1:$I$1,0)),"")</f>
        <v/>
      </c>
      <c r="I37" s="21">
        <f>IFERROR(INDEX(balance_sheet!$B:$I,MATCH("Dự phòng rủi ro cho vay khách hàng",balance_sheet!$A:$A,0),MATCH(I$21,balance_sheet!$B$1:$I$1,0)),"")</f>
        <v/>
      </c>
      <c r="J37" s="19" t="n"/>
    </row>
    <row r="38">
      <c r="A38" s="20" t="inlineStr">
        <is>
          <t>Chứng khoán đầu tư</t>
        </is>
      </c>
      <c r="B38" s="21">
        <f>IFERROR(INDEX(balance_sheet!$B:$I,MATCH("Chứng khoán đầu tư",balance_sheet!$A:$A,0),MATCH(B$21,balance_sheet!$B$1:$I$1,0)),"")</f>
        <v/>
      </c>
      <c r="C38" s="21">
        <f>IFERROR(INDEX(balance_sheet!$B:$I,MATCH("Chứng khoán đầu tư",balance_sheet!$A:$A,0),MATCH(C$21,balance_sheet!$B$1:$I$1,0)),"")</f>
        <v/>
      </c>
      <c r="D38" s="21">
        <f>IFERROR(INDEX(balance_sheet!$B:$I,MATCH("Chứng khoán đầu tư",balance_sheet!$A:$A,0),MATCH(D$21,balance_sheet!$B$1:$I$1,0)),"")</f>
        <v/>
      </c>
      <c r="E38" s="21">
        <f>IFERROR(INDEX(balance_sheet!$B:$I,MATCH("Chứng khoán đầu tư",balance_sheet!$A:$A,0),MATCH(E$21,balance_sheet!$B$1:$I$1,0)),"")</f>
        <v/>
      </c>
      <c r="F38" s="21">
        <f>IFERROR(INDEX(balance_sheet!$B:$I,MATCH("Chứng khoán đầu tư",balance_sheet!$A:$A,0),MATCH(F$21,balance_sheet!$B$1:$I$1,0)),"")</f>
        <v/>
      </c>
      <c r="G38" s="21">
        <f>IFERROR(INDEX(balance_sheet!$B:$I,MATCH("Chứng khoán đầu tư",balance_sheet!$A:$A,0),MATCH(G$21,balance_sheet!$B$1:$I$1,0)),"")</f>
        <v/>
      </c>
      <c r="H38" s="21">
        <f>IFERROR(INDEX(balance_sheet!$B:$I,MATCH("Chứng khoán đầu tư",balance_sheet!$A:$A,0),MATCH(H$21,balance_sheet!$B$1:$I$1,0)),"")</f>
        <v/>
      </c>
      <c r="I38" s="21">
        <f>IFERROR(INDEX(balance_sheet!$B:$I,MATCH("Chứng khoán đầu tư",balance_sheet!$A:$A,0),MATCH(I$21,balance_sheet!$B$1:$I$1,0)),"")</f>
        <v/>
      </c>
      <c r="J38" s="19" t="n"/>
    </row>
    <row r="39">
      <c r="A39" s="20" t="inlineStr">
        <is>
          <t>Dự phòng giảm giá chứng khoán đầu tư</t>
        </is>
      </c>
      <c r="B39" s="21">
        <f>IFERROR(INDEX(balance_sheet!$B:$I,MATCH("Dự phòng giảm giá chứng khoán đầu tư",balance_sheet!$A:$A,0),MATCH(B$21,balance_sheet!$B$1:$I$1,0)),"")</f>
        <v/>
      </c>
      <c r="C39" s="21">
        <f>IFERROR(INDEX(balance_sheet!$B:$I,MATCH("Dự phòng giảm giá chứng khoán đầu tư",balance_sheet!$A:$A,0),MATCH(C$21,balance_sheet!$B$1:$I$1,0)),"")</f>
        <v/>
      </c>
      <c r="D39" s="21">
        <f>IFERROR(INDEX(balance_sheet!$B:$I,MATCH("Dự phòng giảm giá chứng khoán đầu tư",balance_sheet!$A:$A,0),MATCH(D$21,balance_sheet!$B$1:$I$1,0)),"")</f>
        <v/>
      </c>
      <c r="E39" s="21">
        <f>IFERROR(INDEX(balance_sheet!$B:$I,MATCH("Dự phòng giảm giá chứng khoán đầu tư",balance_sheet!$A:$A,0),MATCH(E$21,balance_sheet!$B$1:$I$1,0)),"")</f>
        <v/>
      </c>
      <c r="F39" s="21">
        <f>IFERROR(INDEX(balance_sheet!$B:$I,MATCH("Dự phòng giảm giá chứng khoán đầu tư",balance_sheet!$A:$A,0),MATCH(F$21,balance_sheet!$B$1:$I$1,0)),"")</f>
        <v/>
      </c>
      <c r="G39" s="21">
        <f>IFERROR(INDEX(balance_sheet!$B:$I,MATCH("Dự phòng giảm giá chứng khoán đầu tư",balance_sheet!$A:$A,0),MATCH(G$21,balance_sheet!$B$1:$I$1,0)),"")</f>
        <v/>
      </c>
      <c r="H39" s="21">
        <f>IFERROR(INDEX(balance_sheet!$B:$I,MATCH("Dự phòng giảm giá chứng khoán đầu tư",balance_sheet!$A:$A,0),MATCH(H$21,balance_sheet!$B$1:$I$1,0)),"")</f>
        <v/>
      </c>
      <c r="I39" s="21">
        <f>IFERROR(INDEX(balance_sheet!$B:$I,MATCH("Dự phòng giảm giá chứng khoán đầu tư",balance_sheet!$A:$A,0),MATCH(I$21,balance_sheet!$B$1:$I$1,0)),"")</f>
        <v/>
      </c>
      <c r="J39" s="19" t="n"/>
    </row>
    <row r="40">
      <c r="A40" s="20" t="inlineStr">
        <is>
          <t>Góp vốn, đầu tư dài hạn</t>
        </is>
      </c>
      <c r="B40" s="21">
        <f>IFERROR(INDEX(balance_sheet!$B:$I,MATCH("Góp vốn, đầu tư dài hạn",balance_sheet!$A:$A,0),MATCH(B$21,balance_sheet!$B$1:$I$1,0)),"")</f>
        <v/>
      </c>
      <c r="C40" s="21">
        <f>IFERROR(INDEX(balance_sheet!$B:$I,MATCH("Góp vốn, đầu tư dài hạn",balance_sheet!$A:$A,0),MATCH(C$21,balance_sheet!$B$1:$I$1,0)),"")</f>
        <v/>
      </c>
      <c r="D40" s="21">
        <f>IFERROR(INDEX(balance_sheet!$B:$I,MATCH("Góp vốn, đầu tư dài hạn",balance_sheet!$A:$A,0),MATCH(D$21,balance_sheet!$B$1:$I$1,0)),"")</f>
        <v/>
      </c>
      <c r="E40" s="21">
        <f>IFERROR(INDEX(balance_sheet!$B:$I,MATCH("Góp vốn, đầu tư dài hạn",balance_sheet!$A:$A,0),MATCH(E$21,balance_sheet!$B$1:$I$1,0)),"")</f>
        <v/>
      </c>
      <c r="F40" s="21">
        <f>IFERROR(INDEX(balance_sheet!$B:$I,MATCH("Góp vốn, đầu tư dài hạn",balance_sheet!$A:$A,0),MATCH(F$21,balance_sheet!$B$1:$I$1,0)),"")</f>
        <v/>
      </c>
      <c r="G40" s="21">
        <f>IFERROR(INDEX(balance_sheet!$B:$I,MATCH("Góp vốn, đầu tư dài hạn",balance_sheet!$A:$A,0),MATCH(G$21,balance_sheet!$B$1:$I$1,0)),"")</f>
        <v/>
      </c>
      <c r="H40" s="21">
        <f>IFERROR(INDEX(balance_sheet!$B:$I,MATCH("Góp vốn, đầu tư dài hạn",balance_sheet!$A:$A,0),MATCH(H$21,balance_sheet!$B$1:$I$1,0)),"")</f>
        <v/>
      </c>
      <c r="I40" s="21">
        <f>IFERROR(INDEX(balance_sheet!$B:$I,MATCH("Góp vốn, đầu tư dài hạn",balance_sheet!$A:$A,0),MATCH(I$21,balance_sheet!$B$1:$I$1,0)),"")</f>
        <v/>
      </c>
      <c r="J40" s="19" t="n"/>
    </row>
    <row r="41">
      <c r="A41" s="20" t="inlineStr">
        <is>
          <t>Dự phòng giảm giá đầu tư dài hạn</t>
        </is>
      </c>
      <c r="B41" s="21">
        <f>IFERROR(INDEX(balance_sheet!$B:$I,MATCH("Dự phòng giảm giá đầu tư dài hạn",balance_sheet!$A:$A,0),MATCH(B$21,balance_sheet!$B$1:$I$1,0)),"")</f>
        <v/>
      </c>
      <c r="C41" s="21">
        <f>IFERROR(INDEX(balance_sheet!$B:$I,MATCH("Dự phòng giảm giá đầu tư dài hạn",balance_sheet!$A:$A,0),MATCH(C$21,balance_sheet!$B$1:$I$1,0)),"")</f>
        <v/>
      </c>
      <c r="D41" s="21">
        <f>IFERROR(INDEX(balance_sheet!$B:$I,MATCH("Dự phòng giảm giá đầu tư dài hạn",balance_sheet!$A:$A,0),MATCH(D$21,balance_sheet!$B$1:$I$1,0)),"")</f>
        <v/>
      </c>
      <c r="E41" s="21">
        <f>IFERROR(INDEX(balance_sheet!$B:$I,MATCH("Dự phòng giảm giá đầu tư dài hạn",balance_sheet!$A:$A,0),MATCH(E$21,balance_sheet!$B$1:$I$1,0)),"")</f>
        <v/>
      </c>
      <c r="F41" s="21">
        <f>IFERROR(INDEX(balance_sheet!$B:$I,MATCH("Dự phòng giảm giá đầu tư dài hạn",balance_sheet!$A:$A,0),MATCH(F$21,balance_sheet!$B$1:$I$1,0)),"")</f>
        <v/>
      </c>
      <c r="G41" s="21">
        <f>IFERROR(INDEX(balance_sheet!$B:$I,MATCH("Dự phòng giảm giá đầu tư dài hạn",balance_sheet!$A:$A,0),MATCH(G$21,balance_sheet!$B$1:$I$1,0)),"")</f>
        <v/>
      </c>
      <c r="H41" s="21">
        <f>IFERROR(INDEX(balance_sheet!$B:$I,MATCH("Dự phòng giảm giá đầu tư dài hạn",balance_sheet!$A:$A,0),MATCH(H$21,balance_sheet!$B$1:$I$1,0)),"")</f>
        <v/>
      </c>
      <c r="I41" s="21">
        <f>IFERROR(INDEX(balance_sheet!$B:$I,MATCH("Dự phòng giảm giá đầu tư dài hạn",balance_sheet!$A:$A,0),MATCH(I$21,balance_sheet!$B$1:$I$1,0)),"")</f>
        <v/>
      </c>
      <c r="J41" s="19" t="n"/>
    </row>
    <row r="42">
      <c r="A42" s="20" t="inlineStr">
        <is>
          <t>Tài sản sinh lời</t>
        </is>
      </c>
      <c r="B42" s="24">
        <f>B25+B26-B27+B28+B29+B38-B39+B40-B41</f>
        <v/>
      </c>
      <c r="C42" s="24">
        <f>C25+C26-C27+C28+C29+C38-C39+C40-C41</f>
        <v/>
      </c>
      <c r="D42" s="24">
        <f>D25+D26-D27+D28+D29+D38-D39+D40-D41</f>
        <v/>
      </c>
      <c r="E42" s="24">
        <f>E25+E26-E27+E28+E29+E38-E39+E40-E41</f>
        <v/>
      </c>
      <c r="F42" s="24">
        <f>F25+F26-F27+F28+F29+F38-F39+F40-F41</f>
        <v/>
      </c>
      <c r="G42" s="24">
        <f>G25+G26-G27+G28+G29+G38-G39+G40-G41</f>
        <v/>
      </c>
      <c r="H42" s="24">
        <f>H25+H26-H27+H28+H29+H38-H39+H40-H41</f>
        <v/>
      </c>
      <c r="I42" s="24">
        <f>I25+I26-I27+I28+I29+I38-I39+I40-I41</f>
        <v/>
      </c>
      <c r="J42" s="19" t="n"/>
    </row>
    <row r="43">
      <c r="A43" s="26" t="inlineStr">
        <is>
          <t>Nguồn vốn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19" t="n"/>
    </row>
    <row r="44">
      <c r="A44" s="20" t="inlineStr">
        <is>
          <t>Tiền gửi khách hàng</t>
        </is>
      </c>
      <c r="B44" s="21">
        <f>IFERROR(INDEX(balance_sheet!$B:$I,MATCH("Tiền gửi của khách hàng",balance_sheet!$A:$A,0),MATCH(B$21,balance_sheet!$B$1:$I$1,0)),"")</f>
        <v/>
      </c>
      <c r="C44" s="21">
        <f>IFERROR(INDEX(balance_sheet!$B:$I,MATCH("Tiền gửi của khách hàng",balance_sheet!$A:$A,0),MATCH(C$21,balance_sheet!$B$1:$I$1,0)),"")</f>
        <v/>
      </c>
      <c r="D44" s="21">
        <f>IFERROR(INDEX(balance_sheet!$B:$I,MATCH("Tiền gửi của khách hàng",balance_sheet!$A:$A,0),MATCH(D$21,balance_sheet!$B$1:$I$1,0)),"")</f>
        <v/>
      </c>
      <c r="E44" s="21">
        <f>IFERROR(INDEX(balance_sheet!$B:$I,MATCH("Tiền gửi của khách hàng",balance_sheet!$A:$A,0),MATCH(E$21,balance_sheet!$B$1:$I$1,0)),"")</f>
        <v/>
      </c>
      <c r="F44" s="21">
        <f>IFERROR(INDEX(balance_sheet!$B:$I,MATCH("Tiền gửi của khách hàng",balance_sheet!$A:$A,0),MATCH(F$21,balance_sheet!$B$1:$I$1,0)),"")</f>
        <v/>
      </c>
      <c r="G44" s="21">
        <f>IFERROR(INDEX(balance_sheet!$B:$I,MATCH("Tiền gửi của khách hàng",balance_sheet!$A:$A,0),MATCH(G$21,balance_sheet!$B$1:$I$1,0)),"")</f>
        <v/>
      </c>
      <c r="H44" s="21">
        <f>IFERROR(INDEX(balance_sheet!$B:$I,MATCH("Tiền gửi của khách hàng",balance_sheet!$A:$A,0),MATCH(H$21,balance_sheet!$B$1:$I$1,0)),"")</f>
        <v/>
      </c>
      <c r="I44" s="21">
        <f>IFERROR(INDEX(balance_sheet!$B:$I,MATCH("Tiền gửi của khách hàng",balance_sheet!$A:$A,0),MATCH(I$21,balance_sheet!$B$1:$I$1,0)),"")</f>
        <v/>
      </c>
      <c r="J44" s="19" t="n"/>
    </row>
    <row r="45">
      <c r="A45" s="20" t="inlineStr">
        <is>
          <t>+ Tiền gửi không kỳ hạn</t>
        </is>
      </c>
      <c r="B45" s="22" t="n">
        <v>54613000000000</v>
      </c>
      <c r="C45" s="22" t="n">
        <v>76053000000000</v>
      </c>
      <c r="D45" s="22" t="n">
        <v>116113000000000</v>
      </c>
      <c r="E45" s="22" t="n">
        <v>147861000000000</v>
      </c>
      <c r="F45" s="22" t="n">
        <v>123079000000000</v>
      </c>
      <c r="G45" s="22" t="n">
        <v>172756000000000</v>
      </c>
      <c r="H45" s="22" t="n">
        <v>191720000000000</v>
      </c>
      <c r="I45" s="22" t="n">
        <v>213415000000000</v>
      </c>
      <c r="J45" s="19" t="n"/>
    </row>
    <row r="46">
      <c r="A46" s="20" t="inlineStr">
        <is>
          <t>+ Tiền gửi có kỳ hạn</t>
        </is>
      </c>
      <c r="B46" s="22" t="n">
        <v>143613000000000</v>
      </c>
      <c r="C46" s="22" t="n">
        <v>151581000000000</v>
      </c>
      <c r="D46" s="22" t="n">
        <v>144128000000000</v>
      </c>
      <c r="E46" s="22" t="n">
        <v>155894000000000</v>
      </c>
      <c r="F46" s="22" t="n">
        <v>225942000000000</v>
      </c>
      <c r="G46" s="22" t="n">
        <v>273187000000000</v>
      </c>
      <c r="H46" s="22" t="n">
        <v>334150000000000</v>
      </c>
      <c r="I46" s="22" t="n">
        <v>396881000000000</v>
      </c>
      <c r="J46" s="19" t="n"/>
    </row>
    <row r="47">
      <c r="A47" s="20" t="inlineStr">
        <is>
          <t>+ Tiền ký quỹ</t>
        </is>
      </c>
      <c r="B47" s="22" t="n">
        <v>319000000000</v>
      </c>
      <c r="C47" s="22" t="n">
        <v>366000000000</v>
      </c>
      <c r="D47" s="22" t="n">
        <v>4987000000000</v>
      </c>
      <c r="E47" s="22" t="n">
        <v>10997000000000</v>
      </c>
      <c r="F47" s="22" t="n">
        <v>9383000000000</v>
      </c>
      <c r="G47" s="22" t="n">
        <v>8718000000000</v>
      </c>
      <c r="H47" s="22" t="n">
        <v>7523000000000</v>
      </c>
      <c r="I47" s="22" t="n">
        <v>8615000000000</v>
      </c>
      <c r="J47" s="19" t="n"/>
    </row>
    <row r="48">
      <c r="A48" s="16" t="inlineStr">
        <is>
          <t>VỐN CHỦ SỞ HỮU</t>
        </is>
      </c>
      <c r="B48" s="28">
        <f>IFERROR(INDEX(balance_sheet!$B:$I,MATCH("VỐN CHỦ SỞ HỮU",balance_sheet!$A:$A,0),MATCH(B$21,balance_sheet!$B$1:$I$1,0)),"")</f>
        <v/>
      </c>
      <c r="C48" s="28">
        <f>IFERROR(INDEX(balance_sheet!$B:$I,MATCH("VỐN CHỦ SỞ HỮU",balance_sheet!$A:$A,0),MATCH(C$21,balance_sheet!$B$1:$I$1,0)),"")</f>
        <v/>
      </c>
      <c r="D48" s="28">
        <f>IFERROR(INDEX(balance_sheet!$B:$I,MATCH("VỐN CHỦ SỞ HỮU",balance_sheet!$A:$A,0),MATCH(D$21,balance_sheet!$B$1:$I$1,0)),"")</f>
        <v/>
      </c>
      <c r="E48" s="28">
        <f>IFERROR(INDEX(balance_sheet!$B:$I,MATCH("VỐN CHỦ SỞ HỮU",balance_sheet!$A:$A,0),MATCH(E$21,balance_sheet!$B$1:$I$1,0)),"")</f>
        <v/>
      </c>
      <c r="F48" s="28">
        <f>IFERROR(INDEX(balance_sheet!$B:$I,MATCH("VỐN CHỦ SỞ HỮU",balance_sheet!$A:$A,0),MATCH(F$21,balance_sheet!$B$1:$I$1,0)),"")</f>
        <v/>
      </c>
      <c r="G48" s="28">
        <f>IFERROR(INDEX(balance_sheet!$B:$I,MATCH("VỐN CHỦ SỞ HỮU",balance_sheet!$A:$A,0),MATCH(G$21,balance_sheet!$B$1:$I$1,0)),"")</f>
        <v/>
      </c>
      <c r="H48" s="28">
        <f>IFERROR(INDEX(balance_sheet!$B:$I,MATCH("VỐN CHỦ SỞ HỮU",balance_sheet!$A:$A,0),MATCH(H$21,balance_sheet!$B$1:$I$1,0)),"")</f>
        <v/>
      </c>
      <c r="I48" s="28">
        <f>IFERROR(INDEX(balance_sheet!$B:$I,MATCH("VỐN CHỦ SỞ HỮU",balance_sheet!$A:$A,0),MATCH(I$21,balance_sheet!$B$1:$I$1,0)),"")</f>
        <v/>
      </c>
      <c r="J48" s="28">
        <f>I48+J60</f>
        <v/>
      </c>
    </row>
    <row r="49">
      <c r="A49" s="29" t="inlineStr">
        <is>
          <t>Tăng VCSH/LN cty mẹ</t>
        </is>
      </c>
      <c r="B49" s="30" t="n"/>
      <c r="C49" s="30">
        <f>(C48-B48)/C60</f>
        <v/>
      </c>
      <c r="D49" s="30">
        <f>(D48-C48)/D60</f>
        <v/>
      </c>
      <c r="E49" s="30">
        <f>(E48-D48)/E60</f>
        <v/>
      </c>
      <c r="F49" s="30">
        <f>(F48-E48)/F60</f>
        <v/>
      </c>
      <c r="G49" s="30">
        <f>(G48-F48)/G60</f>
        <v/>
      </c>
      <c r="H49" s="30">
        <f>(H48-G48)/H60</f>
        <v/>
      </c>
      <c r="I49" s="30">
        <f>(I48-H48)/I60</f>
        <v/>
      </c>
      <c r="J49" s="31" t="n"/>
    </row>
    <row r="50">
      <c r="A50" s="16" t="inlineStr">
        <is>
          <t>Lợi ích của cổ đông thiểu số</t>
        </is>
      </c>
      <c r="B50" s="28">
        <f>IFERROR(INDEX(balance_sheet!$B:$I,MATCH("Lợi ích của cổ đông thiểu số",balance_sheet!$A:$A,0),MATCH(B$21,balance_sheet!$B$1:$I$1,0)),"")</f>
        <v/>
      </c>
      <c r="C50" s="28">
        <f>IFERROR(INDEX(balance_sheet!$B:$I,MATCH("Lợi ích của cổ đông thiểu số",balance_sheet!$A:$A,0),MATCH(C$21,balance_sheet!$B$1:$I$1,0)),"")</f>
        <v/>
      </c>
      <c r="D50" s="28">
        <f>IFERROR(INDEX(balance_sheet!$B:$I,MATCH("Lợi ích của cổ đông thiểu số",balance_sheet!$A:$A,0),MATCH(D$21,balance_sheet!$B$1:$I$1,0)),"")</f>
        <v/>
      </c>
      <c r="E50" s="28">
        <f>IFERROR(INDEX(balance_sheet!$B:$I,MATCH("Lợi ích của cổ đông thiểu số",balance_sheet!$A:$A,0),MATCH(E$21,balance_sheet!$B$1:$I$1,0)),"")</f>
        <v/>
      </c>
      <c r="F50" s="28">
        <f>IFERROR(INDEX(balance_sheet!$B:$I,MATCH("Lợi ích của cổ đông thiểu số",balance_sheet!$A:$A,0),MATCH(F$21,balance_sheet!$B$1:$I$1,0)),"")</f>
        <v/>
      </c>
      <c r="G50" s="28">
        <f>IFERROR(INDEX(balance_sheet!$B:$I,MATCH("Lợi ích của cổ đông thiểu số",balance_sheet!$A:$A,0),MATCH(G$21,balance_sheet!$B$1:$I$1,0)),"")</f>
        <v/>
      </c>
      <c r="H50" s="28">
        <f>IFERROR(INDEX(balance_sheet!$B:$I,MATCH("Lợi ích của cổ đông thiểu số",balance_sheet!$A:$A,0),MATCH(H$21,balance_sheet!$B$1:$I$1,0)),"")</f>
        <v/>
      </c>
      <c r="I50" s="28">
        <f>IFERROR(INDEX(balance_sheet!$B:$I,MATCH("Lợi ích của cổ đông thiểu số",balance_sheet!$A:$A,0),MATCH(I$21,balance_sheet!$B$1:$I$1,0)),"")</f>
        <v/>
      </c>
    </row>
    <row r="51">
      <c r="A51" s="16" t="inlineStr">
        <is>
          <t>Kết quả hoạt động kinh doanh</t>
        </is>
      </c>
      <c r="B51" s="21" t="n"/>
      <c r="C51" s="21" t="n"/>
      <c r="D51" s="21" t="n"/>
      <c r="E51" s="21" t="n"/>
      <c r="F51" s="21" t="n"/>
      <c r="G51" s="21" t="n"/>
      <c r="H51" s="21" t="n"/>
      <c r="I51" s="21" t="n"/>
      <c r="J51" s="19" t="n"/>
    </row>
    <row r="52">
      <c r="A52" s="20" t="inlineStr">
        <is>
          <t>Thu nhập lãi</t>
        </is>
      </c>
      <c r="B52" s="21">
        <f>IFERROR(INDEX(income_statement!$B:$I,MATCH("Thu nhập lãi và các khoản thu nhập tương tự",income_statement!$A:$A,0),MATCH(B$21,income_statement!$B$1:$I$1,0)),"")</f>
        <v/>
      </c>
      <c r="C52" s="21">
        <f>IFERROR(INDEX(income_statement!$B:$I,MATCH("Thu nhập lãi và các khoản thu nhập tương tự",income_statement!$A:$A,0),MATCH(C$21,income_statement!$B$1:$I$1,0)),"")</f>
        <v/>
      </c>
      <c r="D52" s="21">
        <f>IFERROR(INDEX(income_statement!$B:$I,MATCH("Thu nhập lãi và các khoản thu nhập tương tự",income_statement!$A:$A,0),MATCH(D$21,income_statement!$B$1:$I$1,0)),"")</f>
        <v/>
      </c>
      <c r="E52" s="21">
        <f>IFERROR(INDEX(income_statement!$B:$I,MATCH("Thu nhập lãi và các khoản thu nhập tương tự",income_statement!$A:$A,0),MATCH(E$21,income_statement!$B$1:$I$1,0)),"")</f>
        <v/>
      </c>
      <c r="F52" s="21">
        <f>IFERROR(INDEX(income_statement!$B:$I,MATCH("Thu nhập lãi và các khoản thu nhập tương tự",income_statement!$A:$A,0),MATCH(F$21,income_statement!$B$1:$I$1,0)),"")</f>
        <v/>
      </c>
      <c r="G52" s="21">
        <f>IFERROR(INDEX(income_statement!$B:$I,MATCH("Thu nhập lãi và các khoản thu nhập tương tự",income_statement!$A:$A,0),MATCH(G$21,income_statement!$B$1:$I$1,0)),"")</f>
        <v/>
      </c>
      <c r="H52" s="21">
        <f>IFERROR(INDEX(income_statement!$B:$I,MATCH("Thu nhập lãi và các khoản thu nhập tương tự",income_statement!$A:$A,0),MATCH(H$21,income_statement!$B$1:$I$1,0)),"")</f>
        <v/>
      </c>
      <c r="I52" s="21">
        <f>IFERROR(INDEX(income_statement!$B:$I,MATCH("Thu nhập lãi và các khoản thu nhập tương tự",income_statement!$A:$A,0),MATCH(I$21,income_statement!$B$1:$I$1,0)),"")</f>
        <v/>
      </c>
      <c r="J52" s="19" t="n"/>
    </row>
    <row r="53">
      <c r="A53" s="20" t="inlineStr">
        <is>
          <t>Chi phí lãi</t>
        </is>
      </c>
      <c r="B53" s="21">
        <f>IFERROR(INDEX(income_statement!$B:$I,MATCH("Chi phí lãi và các chi phí tương tự",income_statement!$A:$A,0),MATCH(B$21,income_statement!$B$1:$I$1,0)),"")</f>
        <v/>
      </c>
      <c r="C53" s="21">
        <f>IFERROR(INDEX(income_statement!$B:$I,MATCH("Chi phí lãi và các chi phí tương tự",income_statement!$A:$A,0),MATCH(C$21,income_statement!$B$1:$I$1,0)),"")</f>
        <v/>
      </c>
      <c r="D53" s="21">
        <f>IFERROR(INDEX(income_statement!$B:$I,MATCH("Chi phí lãi và các chi phí tương tự",income_statement!$A:$A,0),MATCH(D$21,income_statement!$B$1:$I$1,0)),"")</f>
        <v/>
      </c>
      <c r="E53" s="21">
        <f>IFERROR(INDEX(income_statement!$B:$I,MATCH("Chi phí lãi và các chi phí tương tự",income_statement!$A:$A,0),MATCH(E$21,income_statement!$B$1:$I$1,0)),"")</f>
        <v/>
      </c>
      <c r="F53" s="21">
        <f>IFERROR(INDEX(income_statement!$B:$I,MATCH("Chi phí lãi và các chi phí tương tự",income_statement!$A:$A,0),MATCH(F$21,income_statement!$B$1:$I$1,0)),"")</f>
        <v/>
      </c>
      <c r="G53" s="21">
        <f>IFERROR(INDEX(income_statement!$B:$I,MATCH("Chi phí lãi và các chi phí tương tự",income_statement!$A:$A,0),MATCH(G$21,income_statement!$B$1:$I$1,0)),"")</f>
        <v/>
      </c>
      <c r="H53" s="21">
        <f>IFERROR(INDEX(income_statement!$B:$I,MATCH("Chi phí lãi và các chi phí tương tự",income_statement!$A:$A,0),MATCH(H$21,income_statement!$B$1:$I$1,0)),"")</f>
        <v/>
      </c>
      <c r="I53" s="21">
        <f>IFERROR(INDEX(income_statement!$B:$I,MATCH("Chi phí lãi và các chi phí tương tự",income_statement!$A:$A,0),MATCH(I$21,income_statement!$B$1:$I$1,0)),"")</f>
        <v/>
      </c>
      <c r="J53" s="19" t="n"/>
    </row>
    <row r="54">
      <c r="A54" s="16" t="inlineStr">
        <is>
          <t>Thu nhập lãi thuần</t>
        </is>
      </c>
      <c r="B54" s="28">
        <f>IFERROR(INDEX(income_statement!$B:$I,MATCH("Thu nhập lãi thuần",income_statement!$A:$A,0),MATCH(B$21,income_statement!$B$1:$I$1,0)),"")</f>
        <v/>
      </c>
      <c r="C54" s="28">
        <f>IFERROR(INDEX(income_statement!$B:$I,MATCH("Thu nhập lãi thuần",income_statement!$A:$A,0),MATCH(C$21,income_statement!$B$1:$I$1,0)),"")</f>
        <v/>
      </c>
      <c r="D54" s="28">
        <f>IFERROR(INDEX(income_statement!$B:$I,MATCH("Thu nhập lãi thuần",income_statement!$A:$A,0),MATCH(D$21,income_statement!$B$1:$I$1,0)),"")</f>
        <v/>
      </c>
      <c r="E54" s="28">
        <f>IFERROR(INDEX(income_statement!$B:$I,MATCH("Thu nhập lãi thuần",income_statement!$A:$A,0),MATCH(E$21,income_statement!$B$1:$I$1,0)),"")</f>
        <v/>
      </c>
      <c r="F54" s="28">
        <f>IFERROR(INDEX(income_statement!$B:$I,MATCH("Thu nhập lãi thuần",income_statement!$A:$A,0),MATCH(F$21,income_statement!$B$1:$I$1,0)),"")</f>
        <v/>
      </c>
      <c r="G54" s="28">
        <f>IFERROR(INDEX(income_statement!$B:$I,MATCH("Thu nhập lãi thuần",income_statement!$A:$A,0),MATCH(G$21,income_statement!$B$1:$I$1,0)),"")</f>
        <v/>
      </c>
      <c r="H54" s="28">
        <f>IFERROR(INDEX(income_statement!$B:$I,MATCH("Thu nhập lãi thuần",income_statement!$A:$A,0),MATCH(H$21,income_statement!$B$1:$I$1,0)),"")</f>
        <v/>
      </c>
      <c r="I54" s="28">
        <f>IFERROR(INDEX(income_statement!$B:$I,MATCH("Thu nhập lãi thuần",income_statement!$A:$A,0),MATCH(I$21,income_statement!$B$1:$I$1,0)),"")</f>
        <v/>
      </c>
      <c r="J54" s="28" t="n">
        <v>50000000000000</v>
      </c>
    </row>
    <row r="55">
      <c r="A55" s="20" t="inlineStr">
        <is>
          <t>Thu nhập ngoài lãi</t>
        </is>
      </c>
      <c r="B55" s="24">
        <f>IF(OR(B$56="",B$54=""),"",B$56-B$54)</f>
        <v/>
      </c>
      <c r="C55" s="24">
        <f>IF(OR(C$56="",C$54=""),"",C$56-C$54)</f>
        <v/>
      </c>
      <c r="D55" s="24">
        <f>IF(OR(D$56="",D$54=""),"",D$56-D$54)</f>
        <v/>
      </c>
      <c r="E55" s="24">
        <f>IF(OR(E$56="",E$54=""),"",E$56-E$54)</f>
        <v/>
      </c>
      <c r="F55" s="24">
        <f>IF(OR(F$56="",F$54=""),"",F$56-F$54)</f>
        <v/>
      </c>
      <c r="G55" s="24">
        <f>IF(OR(G$56="",G$54=""),"",G$56-G$54)</f>
        <v/>
      </c>
      <c r="H55" s="24">
        <f>IF(OR(H$56="",H$54=""),"",H$56-H$54)</f>
        <v/>
      </c>
      <c r="I55" s="24">
        <f>IF(OR(I$56="",I$54=""),"",I$56-I$54)</f>
        <v/>
      </c>
      <c r="J55" s="19" t="n"/>
    </row>
    <row r="56">
      <c r="A56" s="20" t="inlineStr">
        <is>
          <t>Tổng thu nhập hoạt động</t>
        </is>
      </c>
      <c r="B56" s="21">
        <f>IFERROR(INDEX(income_statement!$B:$I,MATCH("Tổng thu nhập hoạt động",income_statement!$A:$A,0),MATCH(B$21,income_statement!$B$1:$I$1,0)),"")</f>
        <v/>
      </c>
      <c r="C56" s="21">
        <f>IFERROR(INDEX(income_statement!$B:$I,MATCH("Tổng thu nhập hoạt động",income_statement!$A:$A,0),MATCH(C$21,income_statement!$B$1:$I$1,0)),"")</f>
        <v/>
      </c>
      <c r="D56" s="21">
        <f>IFERROR(INDEX(income_statement!$B:$I,MATCH("Tổng thu nhập hoạt động",income_statement!$A:$A,0),MATCH(D$21,income_statement!$B$1:$I$1,0)),"")</f>
        <v/>
      </c>
      <c r="E56" s="21">
        <f>IFERROR(INDEX(income_statement!$B:$I,MATCH("Tổng thu nhập hoạt động",income_statement!$A:$A,0),MATCH(E$21,income_statement!$B$1:$I$1,0)),"")</f>
        <v/>
      </c>
      <c r="F56" s="21">
        <f>IFERROR(INDEX(income_statement!$B:$I,MATCH("Tổng thu nhập hoạt động",income_statement!$A:$A,0),MATCH(F$21,income_statement!$B$1:$I$1,0)),"")</f>
        <v/>
      </c>
      <c r="G56" s="21">
        <f>IFERROR(INDEX(income_statement!$B:$I,MATCH("Tổng thu nhập hoạt động",income_statement!$A:$A,0),MATCH(G$21,income_statement!$B$1:$I$1,0)),"")</f>
        <v/>
      </c>
      <c r="H56" s="21">
        <f>IFERROR(INDEX(income_statement!$B:$I,MATCH("Tổng thu nhập hoạt động",income_statement!$A:$A,0),MATCH(H$21,income_statement!$B$1:$I$1,0)),"")</f>
        <v/>
      </c>
      <c r="I56" s="21">
        <f>IFERROR(INDEX(income_statement!$B:$I,MATCH("Tổng thu nhập hoạt động",income_statement!$A:$A,0),MATCH(I$21,income_statement!$B$1:$I$1,0)),"")</f>
        <v/>
      </c>
      <c r="J56" s="19" t="n"/>
    </row>
    <row r="57">
      <c r="A57" s="20" t="inlineStr">
        <is>
          <t>Chi phí hoạt động</t>
        </is>
      </c>
      <c r="B57" s="21">
        <f>IFERROR(INDEX(income_statement!$B:$I,MATCH("Chi phí quản lý doanh nghiệp",income_statement!$A:$A,0),MATCH(B$21,income_statement!$B$1:$I$1,0)),"")</f>
        <v/>
      </c>
      <c r="C57" s="21">
        <f>IFERROR(INDEX(income_statement!$B:$I,MATCH("Chi phí quản lý doanh nghiệp",income_statement!$A:$A,0),MATCH(C$21,income_statement!$B$1:$I$1,0)),"")</f>
        <v/>
      </c>
      <c r="D57" s="21">
        <f>IFERROR(INDEX(income_statement!$B:$I,MATCH("Chi phí quản lý doanh nghiệp",income_statement!$A:$A,0),MATCH(D$21,income_statement!$B$1:$I$1,0)),"")</f>
        <v/>
      </c>
      <c r="E57" s="21">
        <f>IFERROR(INDEX(income_statement!$B:$I,MATCH("Chi phí quản lý doanh nghiệp",income_statement!$A:$A,0),MATCH(E$21,income_statement!$B$1:$I$1,0)),"")</f>
        <v/>
      </c>
      <c r="F57" s="21">
        <f>IFERROR(INDEX(income_statement!$B:$I,MATCH("Chi phí quản lý doanh nghiệp",income_statement!$A:$A,0),MATCH(F$21,income_statement!$B$1:$I$1,0)),"")</f>
        <v/>
      </c>
      <c r="G57" s="21">
        <f>IFERROR(INDEX(income_statement!$B:$I,MATCH("Chi phí quản lý doanh nghiệp",income_statement!$A:$A,0),MATCH(G$21,income_statement!$B$1:$I$1,0)),"")</f>
        <v/>
      </c>
      <c r="H57" s="21">
        <f>IFERROR(INDEX(income_statement!$B:$I,MATCH("Chi phí quản lý doanh nghiệp",income_statement!$A:$A,0),MATCH(H$21,income_statement!$B$1:$I$1,0)),"")</f>
        <v/>
      </c>
      <c r="I57" s="21">
        <f>IFERROR(INDEX(income_statement!$B:$I,MATCH("Chi phí quản lý doanh nghiệp",income_statement!$A:$A,0),MATCH(I$21,income_statement!$B$1:$I$1,0)),"")</f>
        <v/>
      </c>
      <c r="J57" s="19" t="n"/>
    </row>
    <row r="58">
      <c r="A58" s="20" t="inlineStr">
        <is>
          <t>Lãi và phí phải thu</t>
        </is>
      </c>
      <c r="B58" s="21">
        <f>IFERROR(INDEX(balance_sheet!$B:$I,MATCH("Các khoản lãi và phí phải thu",balance_sheet!$A:$A,0),MATCH(B$21,balance_sheet!$B$1:$I$1,0)),"")</f>
        <v/>
      </c>
      <c r="C58" s="21">
        <f>IFERROR(INDEX(balance_sheet!$B:$I,MATCH("Các khoản lãi và phí phải thu",balance_sheet!$A:$A,0),MATCH(C$21,balance_sheet!$B$1:$I$1,0)),"")</f>
        <v/>
      </c>
      <c r="D58" s="21">
        <f>IFERROR(INDEX(balance_sheet!$B:$I,MATCH("Các khoản lãi và phí phải thu",balance_sheet!$A:$A,0),MATCH(D$21,balance_sheet!$B$1:$I$1,0)),"")</f>
        <v/>
      </c>
      <c r="E58" s="21">
        <f>IFERROR(INDEX(balance_sheet!$B:$I,MATCH("Các khoản lãi và phí phải thu",balance_sheet!$A:$A,0),MATCH(E$21,balance_sheet!$B$1:$I$1,0)),"")</f>
        <v/>
      </c>
      <c r="F58" s="21">
        <f>IFERROR(INDEX(balance_sheet!$B:$I,MATCH("Các khoản lãi và phí phải thu",balance_sheet!$A:$A,0),MATCH(F$21,balance_sheet!$B$1:$I$1,0)),"")</f>
        <v/>
      </c>
      <c r="G58" s="21">
        <f>IFERROR(INDEX(balance_sheet!$B:$I,MATCH("Các khoản lãi và phí phải thu",balance_sheet!$A:$A,0),MATCH(G$21,balance_sheet!$B$1:$I$1,0)),"")</f>
        <v/>
      </c>
      <c r="H58" s="21">
        <f>IFERROR(INDEX(balance_sheet!$B:$I,MATCH("Các khoản lãi và phí phải thu",balance_sheet!$A:$A,0),MATCH(H$21,balance_sheet!$B$1:$I$1,0)),"")</f>
        <v/>
      </c>
      <c r="I58" s="21">
        <f>IFERROR(INDEX(balance_sheet!$B:$I,MATCH("Các khoản lãi và phí phải thu",balance_sheet!$A:$A,0),MATCH(I$21,balance_sheet!$B$1:$I$1,0)),"")</f>
        <v/>
      </c>
      <c r="J58" s="19" t="n"/>
    </row>
    <row r="59">
      <c r="A59" s="16" t="inlineStr">
        <is>
          <t>LNST</t>
        </is>
      </c>
      <c r="B59" s="28">
        <f>IFERROR(INDEX(income_statement!$B:$I,MATCH("Lợi nhuận sau thuế",income_statement!$A:$A,0),MATCH(B$21,income_statement!$B$1:$I$1,0)),"")</f>
        <v/>
      </c>
      <c r="C59" s="28">
        <f>IFERROR(INDEX(income_statement!$B:$I,MATCH("Lợi nhuận sau thuế",income_statement!$A:$A,0),MATCH(C$21,income_statement!$B$1:$I$1,0)),"")</f>
        <v/>
      </c>
      <c r="D59" s="28">
        <f>IFERROR(INDEX(income_statement!$B:$I,MATCH("Lợi nhuận sau thuế",income_statement!$A:$A,0),MATCH(D$21,income_statement!$B$1:$I$1,0)),"")</f>
        <v/>
      </c>
      <c r="E59" s="28">
        <f>IFERROR(INDEX(income_statement!$B:$I,MATCH("Lợi nhuận sau thuế",income_statement!$A:$A,0),MATCH(E$21,income_statement!$B$1:$I$1,0)),"")</f>
        <v/>
      </c>
      <c r="F59" s="28">
        <f>IFERROR(INDEX(income_statement!$B:$I,MATCH("Lợi nhuận sau thuế",income_statement!$A:$A,0),MATCH(F$21,income_statement!$B$1:$I$1,0)),"")</f>
        <v/>
      </c>
      <c r="G59" s="28">
        <f>IFERROR(INDEX(income_statement!$B:$I,MATCH("Lợi nhuận sau thuế",income_statement!$A:$A,0),MATCH(G$21,income_statement!$B$1:$I$1,0)),"")</f>
        <v/>
      </c>
      <c r="H59" s="28">
        <f>IFERROR(INDEX(income_statement!$B:$I,MATCH("Lợi nhuận sau thuế",income_statement!$A:$A,0),MATCH(H$21,income_statement!$B$1:$I$1,0)),"")</f>
        <v/>
      </c>
      <c r="I59" s="28">
        <f>IFERROR(INDEX(income_statement!$B:$I,MATCH("Lợi nhuận sau thuế",income_statement!$A:$A,0),MATCH(I$21,income_statement!$B$1:$I$1,0)),"")</f>
        <v/>
      </c>
      <c r="J59" s="28" t="n">
        <v>28000000000000</v>
      </c>
    </row>
    <row r="60">
      <c r="A60" s="16" t="inlineStr">
        <is>
          <t>LNST CĐ Công ty mẹ</t>
        </is>
      </c>
      <c r="B60" s="28">
        <f>IFERROR(INDEX(income_statement!$B:$I,MATCH("Cổ đông của Công ty mẹ",income_statement!$A:$A,0),MATCH(B$21,income_statement!$B$1:$I$1,0)),"")</f>
        <v/>
      </c>
      <c r="C60" s="28">
        <f>IFERROR(INDEX(income_statement!$B:$I,MATCH("Cổ đông của Công ty mẹ",income_statement!$A:$A,0),MATCH(C$21,income_statement!$B$1:$I$1,0)),"")</f>
        <v/>
      </c>
      <c r="D60" s="28">
        <f>IFERROR(INDEX(income_statement!$B:$I,MATCH("Cổ đông của Công ty mẹ",income_statement!$A:$A,0),MATCH(D$21,income_statement!$B$1:$I$1,0)),"")</f>
        <v/>
      </c>
      <c r="E60" s="28">
        <f>IFERROR(INDEX(income_statement!$B:$I,MATCH("Cổ đông của Công ty mẹ",income_statement!$A:$A,0),MATCH(E$21,income_statement!$B$1:$I$1,0)),"")</f>
        <v/>
      </c>
      <c r="F60" s="28">
        <f>IFERROR(INDEX(income_statement!$B:$I,MATCH("Cổ đông của Công ty mẹ",income_statement!$A:$A,0),MATCH(F$21,income_statement!$B$1:$I$1,0)),"")</f>
        <v/>
      </c>
      <c r="G60" s="28">
        <f>IFERROR(INDEX(income_statement!$B:$I,MATCH("Cổ đông của Công ty mẹ",income_statement!$A:$A,0),MATCH(G$21,income_statement!$B$1:$I$1,0)),"")</f>
        <v/>
      </c>
      <c r="H60" s="28">
        <f>IFERROR(INDEX(income_statement!$B:$I,MATCH("Cổ đông của Công ty mẹ",income_statement!$A:$A,0),MATCH(H$21,income_statement!$B$1:$I$1,0)),"")</f>
        <v/>
      </c>
      <c r="I60" s="28">
        <f>IFERROR(INDEX(income_statement!$B:$I,MATCH("Cổ đông của Công ty mẹ",income_statement!$A:$A,0),MATCH(I$21,income_statement!$B$1:$I$1,0)),"")</f>
        <v/>
      </c>
      <c r="J60" s="28" t="n">
        <v>28000000000000</v>
      </c>
    </row>
    <row r="61">
      <c r="A61" s="16" t="inlineStr">
        <is>
          <t>Tổng lợi nhuận/lỗ trước thuế</t>
        </is>
      </c>
      <c r="B61" s="28">
        <f>IFERROR(INDEX(income_statement!$B:$I,MATCH("Tổng lợi nhuận/lỗ trước thuế",income_statement!$A:$A,0),MATCH(B$21,income_statement!$B$1:$I$1,0)),"")</f>
        <v/>
      </c>
      <c r="C61" s="28">
        <f>IFERROR(INDEX(income_statement!$B:$I,MATCH("Tổng lợi nhuận/lỗ trước thuế",income_statement!$A:$A,0),MATCH(C$21,income_statement!$B$1:$I$1,0)),"")</f>
        <v/>
      </c>
      <c r="D61" s="28">
        <f>IFERROR(INDEX(income_statement!$B:$I,MATCH("Tổng lợi nhuận/lỗ trước thuế",income_statement!$A:$A,0),MATCH(D$21,income_statement!$B$1:$I$1,0)),"")</f>
        <v/>
      </c>
      <c r="E61" s="28">
        <f>IFERROR(INDEX(income_statement!$B:$I,MATCH("Tổng lợi nhuận/lỗ trước thuế",income_statement!$A:$A,0),MATCH(E$21,income_statement!$B$1:$I$1,0)),"")</f>
        <v/>
      </c>
      <c r="F61" s="28">
        <f>IFERROR(INDEX(income_statement!$B:$I,MATCH("Tổng lợi nhuận/lỗ trước thuế",income_statement!$A:$A,0),MATCH(F$21,income_statement!$B$1:$I$1,0)),"")</f>
        <v/>
      </c>
      <c r="G61" s="28">
        <f>IFERROR(INDEX(income_statement!$B:$I,MATCH("Tổng lợi nhuận/lỗ trước thuế",income_statement!$A:$A,0),MATCH(G$21,income_statement!$B$1:$I$1,0)),"")</f>
        <v/>
      </c>
      <c r="H61" s="28">
        <f>IFERROR(INDEX(income_statement!$B:$I,MATCH("Tổng lợi nhuận/lỗ trước thuế",income_statement!$A:$A,0),MATCH(H$21,income_statement!$B$1:$I$1,0)),"")</f>
        <v/>
      </c>
      <c r="I61" s="28">
        <f>IFERROR(INDEX(income_statement!$B:$I,MATCH("Tổng lợi nhuận/lỗ trước thuế",income_statement!$A:$A,0),MATCH(I$21,income_statement!$B$1:$I$1,0)),"")</f>
        <v/>
      </c>
    </row>
  </sheetData>
  <conditionalFormatting sqref="C2:I2">
    <cfRule type="cellIs" priority="5" operator="lessThan" dxfId="0">
      <formula>0.15</formula>
    </cfRule>
    <cfRule type="cellIs" priority="6" operator="greaterThanOrEqual" dxfId="1">
      <formula>0.15</formula>
    </cfRule>
  </conditionalFormatting>
  <conditionalFormatting sqref="C3:I4 J3">
    <cfRule type="cellIs" priority="1" operator="lessThan" dxfId="0">
      <formula>0.1</formula>
    </cfRule>
    <cfRule type="cellIs" priority="2" operator="greaterThan" dxfId="1">
      <formula>0.15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7" customWidth="1" min="1" max="1"/>
    <col width="16.125" customWidth="1" min="2" max="2"/>
    <col width="21.75" customWidth="1" min="6" max="6"/>
  </cols>
  <sheetData>
    <row r="1" ht="15" customHeight="1">
      <c r="A1" s="32" t="n"/>
      <c r="B1" s="32" t="inlineStr">
        <is>
          <t>Q1/2026</t>
        </is>
      </c>
      <c r="C1" s="32" t="inlineStr">
        <is>
          <t>Q2/2026</t>
        </is>
      </c>
      <c r="D1" s="32" t="inlineStr">
        <is>
          <t>Q3/2026</t>
        </is>
      </c>
      <c r="E1" s="32" t="inlineStr">
        <is>
          <t>Q4/2026</t>
        </is>
      </c>
    </row>
    <row r="2" ht="14.25" customHeight="1">
      <c r="A2" s="32" t="inlineStr">
        <is>
          <t>Số CP</t>
        </is>
      </c>
      <c r="B2" s="33" t="n">
        <v>7086240414</v>
      </c>
      <c r="C2" s="33" t="n">
        <v>7086240414</v>
      </c>
      <c r="D2" s="33" t="n">
        <v>7086240414</v>
      </c>
      <c r="E2" s="33" t="n">
        <v>7086240414</v>
      </c>
    </row>
    <row r="3" ht="14.25" customHeight="1">
      <c r="A3" s="32" t="inlineStr">
        <is>
          <t>Thị giá</t>
        </is>
      </c>
      <c r="B3" s="33" t="n">
        <v>31650</v>
      </c>
      <c r="C3" s="33" t="n">
        <v>31650</v>
      </c>
      <c r="D3" s="33" t="n">
        <v>31650</v>
      </c>
      <c r="E3" s="33" t="n">
        <v>31650</v>
      </c>
    </row>
    <row r="4" ht="14.25" customHeight="1">
      <c r="A4" s="32" t="inlineStr">
        <is>
          <t>Vốn hoá</t>
        </is>
      </c>
      <c r="B4" s="33">
        <f>B2*B3</f>
        <v/>
      </c>
      <c r="C4" s="33">
        <f>C2*C3</f>
        <v/>
      </c>
      <c r="D4" s="33">
        <f>D2*D3</f>
        <v/>
      </c>
      <c r="E4" s="33">
        <f>E2*E3</f>
        <v/>
      </c>
    </row>
    <row r="5" ht="14.25" customHeight="1"/>
    <row r="6" ht="14.25" customHeight="1">
      <c r="A6" s="32" t="inlineStr">
        <is>
          <t>VCSH</t>
        </is>
      </c>
      <c r="B6" s="33" t="n">
        <v>186683000000000</v>
      </c>
      <c r="C6" s="33">
        <f>B$6*(($E$6/$B$6)^(1/3))</f>
        <v/>
      </c>
      <c r="D6" s="33">
        <f>B$6*(($E$6/$B$6)^(2/3))</f>
        <v/>
      </c>
      <c r="E6" s="33">
        <f>chi_so_tai_chinh!J48</f>
        <v/>
      </c>
      <c r="F6" s="34" t="n"/>
      <c r="G6" s="34" t="n"/>
      <c r="H6" s="34" t="n"/>
    </row>
    <row r="7" ht="14.25" customHeight="1">
      <c r="A7" s="32" t="inlineStr">
        <is>
          <t>LICĐKKS</t>
        </is>
      </c>
      <c r="B7" s="33" t="n">
        <v>9787000000000</v>
      </c>
      <c r="C7" s="33">
        <f>C6*0.02</f>
        <v/>
      </c>
      <c r="D7" s="33">
        <f>D6*0.02</f>
        <v/>
      </c>
      <c r="E7" s="33">
        <f>E6*0.02</f>
        <v/>
      </c>
      <c r="F7" s="35" t="n"/>
      <c r="G7" s="35" t="n"/>
      <c r="H7" s="35" t="n"/>
    </row>
    <row r="8" ht="14.25" customHeight="1">
      <c r="A8" s="32" t="inlineStr">
        <is>
          <t>BV</t>
        </is>
      </c>
      <c r="B8" s="33">
        <f>B6-B7</f>
        <v/>
      </c>
      <c r="C8" s="33">
        <f>C6-C7</f>
        <v/>
      </c>
      <c r="D8" s="33">
        <f>D6-D7</f>
        <v/>
      </c>
      <c r="E8" s="33">
        <f>E6-E7</f>
        <v/>
      </c>
    </row>
    <row r="9" ht="14.25" customHeight="1">
      <c r="A9" s="23" t="inlineStr">
        <is>
          <t>BVPS</t>
        </is>
      </c>
      <c r="B9" s="36">
        <f>B8/B2</f>
        <v/>
      </c>
      <c r="C9" s="36">
        <f>C8/C2</f>
        <v/>
      </c>
      <c r="D9" s="36">
        <f>D8/D2</f>
        <v/>
      </c>
      <c r="E9" s="36">
        <f>E8/E2</f>
        <v/>
      </c>
      <c r="F9" s="37" t="n"/>
      <c r="G9" s="38" t="n"/>
      <c r="H9" s="38" t="n"/>
    </row>
    <row r="10" ht="14.25" customHeight="1">
      <c r="A10" s="23" t="inlineStr">
        <is>
          <t>PB</t>
        </is>
      </c>
      <c r="B10" s="39">
        <f>B3/B9</f>
        <v/>
      </c>
      <c r="C10" s="39">
        <f>C3/C9</f>
        <v/>
      </c>
      <c r="D10" s="39">
        <f>D3/D9</f>
        <v/>
      </c>
      <c r="E10" s="39">
        <f>E3/E9</f>
        <v/>
      </c>
      <c r="F10" s="37" t="n"/>
      <c r="G10" s="37" t="n"/>
      <c r="H10" s="40" t="n"/>
    </row>
    <row r="11" ht="14.25" customHeight="1">
      <c r="E11" s="37" t="n"/>
      <c r="F11" s="37" t="n"/>
      <c r="G11" s="37" t="n"/>
      <c r="H11" s="37" t="n"/>
      <c r="I11" s="37" t="n"/>
    </row>
    <row r="12" ht="14.25" customHeight="1">
      <c r="F12" s="37" t="n"/>
      <c r="H12" s="37" t="n"/>
      <c r="I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 ht="14.25" customHeight="1">
      <c r="F13" s="37" t="n"/>
      <c r="G13" s="37" t="n"/>
      <c r="H13" s="37" t="n"/>
      <c r="I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</row>
    <row r="14" ht="14.25" customHeight="1">
      <c r="F14" s="37" t="n"/>
      <c r="G14" s="37" t="n"/>
      <c r="H14" s="37" t="n"/>
      <c r="I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</row>
    <row r="15" ht="14.25" customHeight="1">
      <c r="F15" s="37" t="n"/>
      <c r="G15" s="37" t="n"/>
    </row>
    <row r="16" ht="14.25" customHeight="1">
      <c r="G16" s="37" t="n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8.625" customWidth="1" min="1" max="1"/>
    <col width="11.375" customWidth="1" min="2" max="2"/>
    <col width="12.125" customWidth="1" min="6" max="6"/>
    <col width="8.875" customWidth="1" min="8" max="8"/>
    <col width="12.625" customWidth="1" min="27" max="27"/>
  </cols>
  <sheetData>
    <row r="1">
      <c r="A1" s="41" t="inlineStr">
        <is>
          <t>Chỉ tiêu</t>
        </is>
      </c>
      <c r="B1" s="41" t="n">
        <v>2022</v>
      </c>
      <c r="C1" s="41" t="n">
        <v>2023</v>
      </c>
      <c r="D1" s="41" t="n">
        <v>2024</v>
      </c>
      <c r="E1" s="41" t="n">
        <v>2025</v>
      </c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5.5" customHeight="1">
      <c r="A2" s="41" t="inlineStr">
        <is>
          <t>Lợi nhuận trước thuế kế hoạch</t>
        </is>
      </c>
      <c r="B2" s="43" t="n">
        <v>27000000</v>
      </c>
      <c r="C2" s="43" t="n">
        <v>22000000</v>
      </c>
      <c r="D2" s="43" t="n">
        <v>27100000</v>
      </c>
      <c r="E2" s="43" t="n">
        <v>31500000</v>
      </c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25.5" customHeight="1">
      <c r="A3" s="41" t="inlineStr">
        <is>
          <t>Lợi nhuận trước thuế thu nhập doanh nghiệp</t>
        </is>
      </c>
      <c r="B3" s="43">
        <f>chi_so_tai_chinh!F61/1000000</f>
        <v/>
      </c>
      <c r="C3" s="43">
        <f>chi_so_tai_chinh!G61/1000000</f>
        <v/>
      </c>
      <c r="D3" s="43">
        <f>chi_so_tai_chinh!H61/1000000</f>
        <v/>
      </c>
      <c r="E3" s="43">
        <f>chi_so_tai_chinh!I61/1000000</f>
        <v/>
      </c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>
      <c r="A4" s="41" t="inlineStr">
        <is>
          <t>%thực hiện</t>
        </is>
      </c>
      <c r="B4" s="44">
        <f>B3/B2</f>
        <v/>
      </c>
      <c r="C4" s="44">
        <f>C3/C2</f>
        <v/>
      </c>
      <c r="D4" s="44">
        <f>D3/D2</f>
        <v/>
      </c>
      <c r="E4" s="44">
        <f>E3/E2</f>
        <v/>
      </c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25.5" customHeight="1">
      <c r="A6" s="41" t="inlineStr">
        <is>
          <t>Trung vị %thực hiện LN trước thuế</t>
        </is>
      </c>
      <c r="B6" s="44">
        <f>MEDIAN(B4:E4)</f>
        <v/>
      </c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25.5" customHeight="1">
      <c r="A8" s="41" t="inlineStr">
        <is>
          <t>Tỷ lệ hoàn thành LNTT trên 95%</t>
        </is>
      </c>
      <c r="B8" s="44">
        <f>COUNTIF(B4:E4,"&gt;=95%")/COUNT(B4:D4)</f>
        <v/>
      </c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5.75" customHeight="1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5.75" customHeight="1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5.75" customHeight="1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5.75" customHeight="1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5.75" customHeight="1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5.75" customHeight="1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5.75" customHeight="1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5.75" customHeight="1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5.75" customHeight="1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5.75" customHeight="1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5.75" customHeight="1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5.75" customHeight="1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5.75" customHeight="1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5.75" customHeight="1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5.75" customHeight="1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5.75" customHeight="1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5.75" customHeight="1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5.75" customHeight="1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5.75" customHeight="1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5.75" customHeight="1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5.75" customHeight="1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5.75" customHeight="1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5.75" customHeight="1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5.75" customHeight="1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5.75" customHeight="1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5.75" customHeight="1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5.75" customHeight="1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5.75" customHeight="1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5.75" customHeight="1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5.75" customHeight="1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5.75" customHeight="1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5.75" customHeight="1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5.75" customHeight="1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5.75" customHeight="1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5.75" customHeight="1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5.75" customHeight="1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5.75" customHeight="1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5.75" customHeight="1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5.75" customHeight="1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5.75" customHeight="1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5.75" customHeight="1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5.75" customHeight="1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5.75" customHeight="1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5.75" customHeight="1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5.75" customHeight="1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5.75" customHeight="1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5.75" customHeight="1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5.75" customHeight="1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5.75" customHeight="1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5.75" customHeight="1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5.75" customHeight="1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5.75" customHeight="1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5.75" customHeight="1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5.75" customHeight="1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5.75" customHeight="1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5.75" customHeight="1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5.75" customHeight="1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5.75" customHeight="1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5.75" customHeight="1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5.75" customHeight="1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5.75" customHeight="1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5.75" customHeight="1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5.75" customHeight="1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5.75" customHeight="1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5.75" customHeight="1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5.75" customHeight="1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5.75" customHeight="1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5.75" customHeight="1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5.75" customHeight="1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5.75" customHeight="1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5.75" customHeight="1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5.75" customHeight="1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5.75" customHeight="1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5.75" customHeight="1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5.75" customHeight="1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5.75" customHeight="1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5.75" customHeight="1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5.75" customHeight="1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5.75" customHeight="1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5.75" customHeight="1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5.75" customHeight="1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5.75" customHeight="1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5.75" customHeight="1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5.75" customHeight="1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5.75" customHeight="1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5.75" customHeight="1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5.75" customHeight="1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5.75" customHeight="1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5.75" customHeight="1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5.75" customHeight="1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5.75" customHeight="1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5.75" customHeight="1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5.75" customHeight="1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5.75" customHeight="1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5.75" customHeight="1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5.75" customHeight="1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5.75" customHeight="1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5.75" customHeight="1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5.75" customHeight="1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</row>
    <row r="326" ht="15.75" customHeight="1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</row>
    <row r="327" ht="15.75" customHeight="1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</row>
    <row r="328" ht="15.75" customHeight="1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</row>
    <row r="329" ht="15.75" customHeight="1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</row>
    <row r="330" ht="15.75" customHeight="1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</row>
    <row r="331" ht="15.75" customHeight="1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</row>
    <row r="332" ht="15.75" customHeight="1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</row>
    <row r="333" ht="15.75" customHeight="1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</row>
    <row r="334" ht="15.75" customHeight="1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</row>
    <row r="335" ht="15.75" customHeight="1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</row>
    <row r="336" ht="15.75" customHeight="1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</row>
    <row r="337" ht="15.75" customHeight="1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</row>
    <row r="338" ht="15.75" customHeight="1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</row>
    <row r="339" ht="15.75" customHeight="1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</row>
    <row r="340" ht="15.75" customHeight="1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</row>
    <row r="341" ht="15.75" customHeight="1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</row>
    <row r="342" ht="15.75" customHeight="1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</row>
    <row r="343" ht="15.75" customHeight="1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</row>
    <row r="344" ht="15.75" customHeight="1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</row>
    <row r="345" ht="15.75" customHeight="1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</row>
    <row r="346" ht="15.75" customHeight="1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</row>
    <row r="347" ht="15.75" customHeight="1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</row>
    <row r="348" ht="15.75" customHeight="1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</row>
    <row r="349" ht="15.75" customHeight="1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</row>
    <row r="350" ht="15.75" customHeight="1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</row>
    <row r="351" ht="15.75" customHeight="1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</row>
    <row r="352" ht="15.75" customHeight="1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</row>
    <row r="353" ht="15.75" customHeight="1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</row>
    <row r="354" ht="15.75" customHeight="1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</row>
    <row r="355" ht="15.75" customHeight="1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</row>
    <row r="356" ht="15.75" customHeight="1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</row>
    <row r="357" ht="15.75" customHeight="1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</row>
    <row r="358" ht="15.75" customHeight="1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</row>
    <row r="359" ht="15.75" customHeight="1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</row>
    <row r="360" ht="15.75" customHeight="1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</row>
    <row r="361" ht="15.75" customHeight="1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</row>
    <row r="362" ht="15.75" customHeight="1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</row>
    <row r="363" ht="15.75" customHeight="1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</row>
    <row r="364" ht="15.75" customHeight="1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</row>
    <row r="365" ht="15.75" customHeight="1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</row>
    <row r="366" ht="15.75" customHeight="1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</row>
    <row r="367" ht="15.75" customHeight="1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</row>
    <row r="368" ht="15.75" customHeight="1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</row>
    <row r="369" ht="15.75" customHeight="1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</row>
    <row r="370" ht="15.75" customHeight="1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</row>
    <row r="371" ht="15.75" customHeight="1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</row>
    <row r="372" ht="15.75" customHeight="1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</row>
    <row r="373" ht="15.75" customHeight="1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</row>
    <row r="374" ht="15.75" customHeight="1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</row>
    <row r="375" ht="15.75" customHeight="1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</row>
    <row r="376" ht="15.75" customHeight="1">
      <c r="A376" s="42" t="n"/>
      <c r="B376" s="42" t="n"/>
      <c r="C376" s="42" t="n"/>
      <c r="D376" s="42" t="n"/>
      <c r="E376" s="42" t="n"/>
      <c r="F376" s="42" t="n"/>
      <c r="G376" s="42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</row>
    <row r="377" ht="15.75" customHeight="1">
      <c r="A377" s="42" t="n"/>
      <c r="B377" s="42" t="n"/>
      <c r="C377" s="42" t="n"/>
      <c r="D377" s="42" t="n"/>
      <c r="E377" s="42" t="n"/>
      <c r="F377" s="42" t="n"/>
      <c r="G377" s="42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</row>
    <row r="378" ht="15.75" customHeight="1">
      <c r="A378" s="42" t="n"/>
      <c r="B378" s="42" t="n"/>
      <c r="C378" s="42" t="n"/>
      <c r="D378" s="42" t="n"/>
      <c r="E378" s="42" t="n"/>
      <c r="F378" s="42" t="n"/>
      <c r="G378" s="42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</row>
    <row r="379" ht="15.75" customHeight="1">
      <c r="A379" s="42" t="n"/>
      <c r="B379" s="42" t="n"/>
      <c r="C379" s="42" t="n"/>
      <c r="D379" s="42" t="n"/>
      <c r="E379" s="42" t="n"/>
      <c r="F379" s="42" t="n"/>
      <c r="G379" s="42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</row>
    <row r="380" ht="15.75" customHeight="1">
      <c r="A380" s="42" t="n"/>
      <c r="B380" s="42" t="n"/>
      <c r="C380" s="42" t="n"/>
      <c r="D380" s="42" t="n"/>
      <c r="E380" s="42" t="n"/>
      <c r="F380" s="42" t="n"/>
      <c r="G380" s="42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</row>
    <row r="381" ht="15.75" customHeight="1">
      <c r="A381" s="42" t="n"/>
      <c r="B381" s="42" t="n"/>
      <c r="C381" s="42" t="n"/>
      <c r="D381" s="42" t="n"/>
      <c r="E381" s="42" t="n"/>
      <c r="F381" s="42" t="n"/>
      <c r="G381" s="42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</row>
    <row r="382" ht="15.75" customHeight="1">
      <c r="A382" s="42" t="n"/>
      <c r="B382" s="42" t="n"/>
      <c r="C382" s="42" t="n"/>
      <c r="D382" s="42" t="n"/>
      <c r="E382" s="42" t="n"/>
      <c r="F382" s="42" t="n"/>
      <c r="G382" s="42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</row>
    <row r="383" ht="15.75" customHeight="1">
      <c r="A383" s="42" t="n"/>
      <c r="B383" s="42" t="n"/>
      <c r="C383" s="42" t="n"/>
      <c r="D383" s="42" t="n"/>
      <c r="E383" s="42" t="n"/>
      <c r="F383" s="42" t="n"/>
      <c r="G383" s="42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</row>
    <row r="384" ht="15.75" customHeight="1">
      <c r="A384" s="42" t="n"/>
      <c r="B384" s="42" t="n"/>
      <c r="C384" s="42" t="n"/>
      <c r="D384" s="42" t="n"/>
      <c r="E384" s="42" t="n"/>
      <c r="F384" s="42" t="n"/>
      <c r="G384" s="42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</row>
    <row r="385" ht="15.75" customHeight="1">
      <c r="A385" s="42" t="n"/>
      <c r="B385" s="42" t="n"/>
      <c r="C385" s="42" t="n"/>
      <c r="D385" s="42" t="n"/>
      <c r="E385" s="42" t="n"/>
      <c r="F385" s="42" t="n"/>
      <c r="G385" s="42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</row>
    <row r="386" ht="15.75" customHeight="1">
      <c r="A386" s="42" t="n"/>
      <c r="B386" s="42" t="n"/>
      <c r="C386" s="42" t="n"/>
      <c r="D386" s="42" t="n"/>
      <c r="E386" s="42" t="n"/>
      <c r="F386" s="42" t="n"/>
      <c r="G386" s="42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</row>
    <row r="387" ht="15.75" customHeight="1">
      <c r="A387" s="42" t="n"/>
      <c r="B387" s="42" t="n"/>
      <c r="C387" s="42" t="n"/>
      <c r="D387" s="42" t="n"/>
      <c r="E387" s="42" t="n"/>
      <c r="F387" s="42" t="n"/>
      <c r="G387" s="42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</row>
    <row r="388" ht="15.75" customHeight="1">
      <c r="A388" s="42" t="n"/>
      <c r="B388" s="42" t="n"/>
      <c r="C388" s="42" t="n"/>
      <c r="D388" s="42" t="n"/>
      <c r="E388" s="42" t="n"/>
      <c r="F388" s="42" t="n"/>
      <c r="G388" s="42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</row>
    <row r="389" ht="15.75" customHeight="1">
      <c r="A389" s="42" t="n"/>
      <c r="B389" s="42" t="n"/>
      <c r="C389" s="42" t="n"/>
      <c r="D389" s="42" t="n"/>
      <c r="E389" s="42" t="n"/>
      <c r="F389" s="42" t="n"/>
      <c r="G389" s="42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</row>
    <row r="390" ht="15.75" customHeight="1">
      <c r="A390" s="42" t="n"/>
      <c r="B390" s="42" t="n"/>
      <c r="C390" s="42" t="n"/>
      <c r="D390" s="42" t="n"/>
      <c r="E390" s="42" t="n"/>
      <c r="F390" s="42" t="n"/>
      <c r="G390" s="42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</row>
    <row r="391" ht="15.75" customHeight="1">
      <c r="A391" s="42" t="n"/>
      <c r="B391" s="42" t="n"/>
      <c r="C391" s="42" t="n"/>
      <c r="D391" s="42" t="n"/>
      <c r="E391" s="42" t="n"/>
      <c r="F391" s="42" t="n"/>
      <c r="G391" s="42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</row>
    <row r="392" ht="15.75" customHeight="1">
      <c r="A392" s="42" t="n"/>
      <c r="B392" s="42" t="n"/>
      <c r="C392" s="42" t="n"/>
      <c r="D392" s="42" t="n"/>
      <c r="E392" s="42" t="n"/>
      <c r="F392" s="42" t="n"/>
      <c r="G392" s="42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</row>
    <row r="393" ht="15.75" customHeight="1">
      <c r="A393" s="42" t="n"/>
      <c r="B393" s="42" t="n"/>
      <c r="C393" s="42" t="n"/>
      <c r="D393" s="42" t="n"/>
      <c r="E393" s="42" t="n"/>
      <c r="F393" s="42" t="n"/>
      <c r="G393" s="42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</row>
    <row r="394" ht="15.75" customHeight="1">
      <c r="A394" s="42" t="n"/>
      <c r="B394" s="42" t="n"/>
      <c r="C394" s="42" t="n"/>
      <c r="D394" s="42" t="n"/>
      <c r="E394" s="42" t="n"/>
      <c r="F394" s="42" t="n"/>
      <c r="G394" s="42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</row>
    <row r="395" ht="15.75" customHeight="1">
      <c r="A395" s="42" t="n"/>
      <c r="B395" s="42" t="n"/>
      <c r="C395" s="42" t="n"/>
      <c r="D395" s="42" t="n"/>
      <c r="E395" s="42" t="n"/>
      <c r="F395" s="42" t="n"/>
      <c r="G395" s="42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</row>
    <row r="396" ht="15.75" customHeight="1">
      <c r="A396" s="42" t="n"/>
      <c r="B396" s="42" t="n"/>
      <c r="C396" s="42" t="n"/>
      <c r="D396" s="42" t="n"/>
      <c r="E396" s="42" t="n"/>
      <c r="F396" s="42" t="n"/>
      <c r="G396" s="42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</row>
    <row r="397" ht="15.75" customHeight="1">
      <c r="A397" s="42" t="n"/>
      <c r="B397" s="42" t="n"/>
      <c r="C397" s="42" t="n"/>
      <c r="D397" s="42" t="n"/>
      <c r="E397" s="42" t="n"/>
      <c r="F397" s="42" t="n"/>
      <c r="G397" s="42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</row>
    <row r="398" ht="15.75" customHeight="1">
      <c r="A398" s="42" t="n"/>
      <c r="B398" s="42" t="n"/>
      <c r="C398" s="42" t="n"/>
      <c r="D398" s="42" t="n"/>
      <c r="E398" s="42" t="n"/>
      <c r="F398" s="42" t="n"/>
      <c r="G398" s="42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 ht="15.75" customHeight="1">
      <c r="A399" s="42" t="n"/>
      <c r="B399" s="42" t="n"/>
      <c r="C399" s="42" t="n"/>
      <c r="D399" s="42" t="n"/>
      <c r="E399" s="42" t="n"/>
      <c r="F399" s="42" t="n"/>
      <c r="G399" s="42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</row>
    <row r="400" ht="15.75" customHeight="1">
      <c r="A400" s="42" t="n"/>
      <c r="B400" s="42" t="n"/>
      <c r="C400" s="42" t="n"/>
      <c r="D400" s="42" t="n"/>
      <c r="E400" s="42" t="n"/>
      <c r="F400" s="42" t="n"/>
      <c r="G400" s="42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 ht="15.75" customHeight="1">
      <c r="A401" s="42" t="n"/>
      <c r="B401" s="42" t="n"/>
      <c r="C401" s="42" t="n"/>
      <c r="D401" s="42" t="n"/>
      <c r="E401" s="42" t="n"/>
      <c r="F401" s="42" t="n"/>
      <c r="G401" s="42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</row>
    <row r="402" ht="15.75" customHeight="1">
      <c r="A402" s="42" t="n"/>
      <c r="B402" s="42" t="n"/>
      <c r="C402" s="42" t="n"/>
      <c r="D402" s="42" t="n"/>
      <c r="E402" s="42" t="n"/>
      <c r="F402" s="42" t="n"/>
      <c r="G402" s="42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 ht="15.75" customHeight="1">
      <c r="A403" s="42" t="n"/>
      <c r="B403" s="42" t="n"/>
      <c r="C403" s="42" t="n"/>
      <c r="D403" s="42" t="n"/>
      <c r="E403" s="42" t="n"/>
      <c r="F403" s="42" t="n"/>
      <c r="G403" s="42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</row>
    <row r="404" ht="15.75" customHeight="1">
      <c r="A404" s="42" t="n"/>
      <c r="B404" s="42" t="n"/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 ht="15.75" customHeight="1">
      <c r="A405" s="42" t="n"/>
      <c r="B405" s="42" t="n"/>
      <c r="C405" s="42" t="n"/>
      <c r="D405" s="42" t="n"/>
      <c r="E405" s="42" t="n"/>
      <c r="F405" s="42" t="n"/>
      <c r="G405" s="42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</row>
    <row r="406" ht="15.75" customHeight="1">
      <c r="A406" s="42" t="n"/>
      <c r="B406" s="42" t="n"/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 ht="15.75" customHeight="1">
      <c r="A407" s="42" t="n"/>
      <c r="B407" s="42" t="n"/>
      <c r="C407" s="42" t="n"/>
      <c r="D407" s="42" t="n"/>
      <c r="E407" s="42" t="n"/>
      <c r="F407" s="42" t="n"/>
      <c r="G407" s="42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</row>
    <row r="408" ht="15.75" customHeight="1">
      <c r="A408" s="42" t="n"/>
      <c r="B408" s="42" t="n"/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 ht="15.75" customHeight="1">
      <c r="A409" s="42" t="n"/>
      <c r="B409" s="42" t="n"/>
      <c r="C409" s="42" t="n"/>
      <c r="D409" s="42" t="n"/>
      <c r="E409" s="42" t="n"/>
      <c r="F409" s="42" t="n"/>
      <c r="G409" s="42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</row>
    <row r="410" ht="15.75" customHeight="1">
      <c r="A410" s="42" t="n"/>
      <c r="B410" s="42" t="n"/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 ht="15.75" customHeight="1">
      <c r="A411" s="42" t="n"/>
      <c r="B411" s="42" t="n"/>
      <c r="C411" s="42" t="n"/>
      <c r="D411" s="42" t="n"/>
      <c r="E411" s="42" t="n"/>
      <c r="F411" s="42" t="n"/>
      <c r="G411" s="42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</row>
    <row r="412" ht="15.75" customHeight="1">
      <c r="A412" s="42" t="n"/>
      <c r="B412" s="42" t="n"/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 ht="15.75" customHeight="1">
      <c r="A413" s="42" t="n"/>
      <c r="B413" s="42" t="n"/>
      <c r="C413" s="42" t="n"/>
      <c r="D413" s="42" t="n"/>
      <c r="E413" s="42" t="n"/>
      <c r="F413" s="42" t="n"/>
      <c r="G413" s="42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</row>
    <row r="414" ht="15.75" customHeight="1">
      <c r="A414" s="42" t="n"/>
      <c r="B414" s="42" t="n"/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 ht="15.75" customHeight="1">
      <c r="A415" s="42" t="n"/>
      <c r="B415" s="42" t="n"/>
      <c r="C415" s="42" t="n"/>
      <c r="D415" s="42" t="n"/>
      <c r="E415" s="42" t="n"/>
      <c r="F415" s="42" t="n"/>
      <c r="G415" s="42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</row>
    <row r="416" ht="15.75" customHeight="1">
      <c r="A416" s="42" t="n"/>
      <c r="B416" s="42" t="n"/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 ht="15.75" customHeight="1">
      <c r="A417" s="42" t="n"/>
      <c r="B417" s="42" t="n"/>
      <c r="C417" s="42" t="n"/>
      <c r="D417" s="42" t="n"/>
      <c r="E417" s="42" t="n"/>
      <c r="F417" s="42" t="n"/>
      <c r="G417" s="42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</row>
    <row r="418" ht="15.75" customHeight="1">
      <c r="A418" s="42" t="n"/>
      <c r="B418" s="42" t="n"/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 ht="15.75" customHeight="1">
      <c r="A419" s="42" t="n"/>
      <c r="B419" s="42" t="n"/>
      <c r="C419" s="42" t="n"/>
      <c r="D419" s="42" t="n"/>
      <c r="E419" s="42" t="n"/>
      <c r="F419" s="42" t="n"/>
      <c r="G419" s="42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</row>
    <row r="420" ht="15.75" customHeight="1">
      <c r="A420" s="42" t="n"/>
      <c r="B420" s="42" t="n"/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 ht="15.75" customHeight="1">
      <c r="A421" s="42" t="n"/>
      <c r="B421" s="42" t="n"/>
      <c r="C421" s="42" t="n"/>
      <c r="D421" s="42" t="n"/>
      <c r="E421" s="42" t="n"/>
      <c r="F421" s="42" t="n"/>
      <c r="G421" s="42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</row>
    <row r="422" ht="15.75" customHeight="1">
      <c r="A422" s="42" t="n"/>
      <c r="B422" s="42" t="n"/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 ht="15.75" customHeight="1">
      <c r="A423" s="42" t="n"/>
      <c r="B423" s="42" t="n"/>
      <c r="C423" s="42" t="n"/>
      <c r="D423" s="42" t="n"/>
      <c r="E423" s="42" t="n"/>
      <c r="F423" s="42" t="n"/>
      <c r="G423" s="42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</row>
    <row r="424" ht="15.75" customHeight="1">
      <c r="A424" s="42" t="n"/>
      <c r="B424" s="42" t="n"/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 ht="15.75" customHeight="1">
      <c r="A425" s="42" t="n"/>
      <c r="B425" s="42" t="n"/>
      <c r="C425" s="42" t="n"/>
      <c r="D425" s="42" t="n"/>
      <c r="E425" s="42" t="n"/>
      <c r="F425" s="42" t="n"/>
      <c r="G425" s="42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</row>
    <row r="426" ht="15.75" customHeight="1">
      <c r="A426" s="42" t="n"/>
      <c r="B426" s="42" t="n"/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 ht="15.75" customHeight="1">
      <c r="A427" s="42" t="n"/>
      <c r="B427" s="42" t="n"/>
      <c r="C427" s="42" t="n"/>
      <c r="D427" s="42" t="n"/>
      <c r="E427" s="42" t="n"/>
      <c r="F427" s="42" t="n"/>
      <c r="G427" s="42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</row>
    <row r="428" ht="15.75" customHeight="1">
      <c r="A428" s="42" t="n"/>
      <c r="B428" s="42" t="n"/>
      <c r="C428" s="42" t="n"/>
      <c r="D428" s="42" t="n"/>
      <c r="E428" s="42" t="n"/>
      <c r="F428" s="42" t="n"/>
      <c r="G428" s="42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 ht="15.75" customHeight="1">
      <c r="A429" s="42" t="n"/>
      <c r="B429" s="42" t="n"/>
      <c r="C429" s="42" t="n"/>
      <c r="D429" s="42" t="n"/>
      <c r="E429" s="42" t="n"/>
      <c r="F429" s="42" t="n"/>
      <c r="G429" s="42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</row>
    <row r="430" ht="15.75" customHeight="1">
      <c r="A430" s="42" t="n"/>
      <c r="B430" s="42" t="n"/>
      <c r="C430" s="42" t="n"/>
      <c r="D430" s="42" t="n"/>
      <c r="E430" s="42" t="n"/>
      <c r="F430" s="42" t="n"/>
      <c r="G430" s="42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 ht="15.75" customHeight="1">
      <c r="A431" s="42" t="n"/>
      <c r="B431" s="42" t="n"/>
      <c r="C431" s="42" t="n"/>
      <c r="D431" s="42" t="n"/>
      <c r="E431" s="42" t="n"/>
      <c r="F431" s="42" t="n"/>
      <c r="G431" s="42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  <c r="X431" s="42" t="n"/>
      <c r="Y431" s="42" t="n"/>
      <c r="Z431" s="42" t="n"/>
    </row>
    <row r="432" ht="15.75" customHeight="1">
      <c r="A432" s="42" t="n"/>
      <c r="B432" s="42" t="n"/>
      <c r="C432" s="42" t="n"/>
      <c r="D432" s="42" t="n"/>
      <c r="E432" s="42" t="n"/>
      <c r="F432" s="42" t="n"/>
      <c r="G432" s="42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 ht="15.75" customHeight="1">
      <c r="A433" s="42" t="n"/>
      <c r="B433" s="42" t="n"/>
      <c r="C433" s="42" t="n"/>
      <c r="D433" s="42" t="n"/>
      <c r="E433" s="42" t="n"/>
      <c r="F433" s="42" t="n"/>
      <c r="G433" s="42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  <c r="X433" s="42" t="n"/>
      <c r="Y433" s="42" t="n"/>
      <c r="Z433" s="42" t="n"/>
    </row>
    <row r="434" ht="15.75" customHeight="1">
      <c r="A434" s="42" t="n"/>
      <c r="B434" s="42" t="n"/>
      <c r="C434" s="42" t="n"/>
      <c r="D434" s="42" t="n"/>
      <c r="E434" s="42" t="n"/>
      <c r="F434" s="42" t="n"/>
      <c r="G434" s="42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 ht="15.75" customHeight="1">
      <c r="A435" s="42" t="n"/>
      <c r="B435" s="42" t="n"/>
      <c r="C435" s="42" t="n"/>
      <c r="D435" s="42" t="n"/>
      <c r="E435" s="42" t="n"/>
      <c r="F435" s="42" t="n"/>
      <c r="G435" s="42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  <c r="X435" s="42" t="n"/>
      <c r="Y435" s="42" t="n"/>
      <c r="Z435" s="42" t="n"/>
    </row>
    <row r="436" ht="15.75" customHeight="1">
      <c r="A436" s="42" t="n"/>
      <c r="B436" s="42" t="n"/>
      <c r="C436" s="42" t="n"/>
      <c r="D436" s="42" t="n"/>
      <c r="E436" s="42" t="n"/>
      <c r="F436" s="42" t="n"/>
      <c r="G436" s="42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 ht="15.75" customHeight="1">
      <c r="A437" s="42" t="n"/>
      <c r="B437" s="42" t="n"/>
      <c r="C437" s="42" t="n"/>
      <c r="D437" s="42" t="n"/>
      <c r="E437" s="42" t="n"/>
      <c r="F437" s="42" t="n"/>
      <c r="G437" s="42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  <c r="X437" s="42" t="n"/>
      <c r="Y437" s="42" t="n"/>
      <c r="Z437" s="42" t="n"/>
    </row>
    <row r="438" ht="15.75" customHeight="1">
      <c r="A438" s="42" t="n"/>
      <c r="B438" s="42" t="n"/>
      <c r="C438" s="42" t="n"/>
      <c r="D438" s="42" t="n"/>
      <c r="E438" s="42" t="n"/>
      <c r="F438" s="42" t="n"/>
      <c r="G438" s="42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 ht="15.75" customHeight="1">
      <c r="A439" s="42" t="n"/>
      <c r="B439" s="42" t="n"/>
      <c r="C439" s="42" t="n"/>
      <c r="D439" s="42" t="n"/>
      <c r="E439" s="42" t="n"/>
      <c r="F439" s="42" t="n"/>
      <c r="G439" s="42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  <c r="X439" s="42" t="n"/>
      <c r="Y439" s="42" t="n"/>
      <c r="Z439" s="42" t="n"/>
    </row>
    <row r="440" ht="15.75" customHeight="1">
      <c r="A440" s="42" t="n"/>
      <c r="B440" s="42" t="n"/>
      <c r="C440" s="42" t="n"/>
      <c r="D440" s="42" t="n"/>
      <c r="E440" s="42" t="n"/>
      <c r="F440" s="42" t="n"/>
      <c r="G440" s="42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 ht="15.75" customHeight="1">
      <c r="A441" s="42" t="n"/>
      <c r="B441" s="42" t="n"/>
      <c r="C441" s="42" t="n"/>
      <c r="D441" s="42" t="n"/>
      <c r="E441" s="42" t="n"/>
      <c r="F441" s="42" t="n"/>
      <c r="G441" s="42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  <c r="X441" s="42" t="n"/>
      <c r="Y441" s="42" t="n"/>
      <c r="Z441" s="42" t="n"/>
    </row>
    <row r="442" ht="15.75" customHeight="1">
      <c r="A442" s="42" t="n"/>
      <c r="B442" s="42" t="n"/>
      <c r="C442" s="42" t="n"/>
      <c r="D442" s="42" t="n"/>
      <c r="E442" s="42" t="n"/>
      <c r="F442" s="42" t="n"/>
      <c r="G442" s="42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 ht="15.75" customHeight="1">
      <c r="A443" s="42" t="n"/>
      <c r="B443" s="42" t="n"/>
      <c r="C443" s="42" t="n"/>
      <c r="D443" s="42" t="n"/>
      <c r="E443" s="42" t="n"/>
      <c r="F443" s="42" t="n"/>
      <c r="G443" s="42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  <c r="X443" s="42" t="n"/>
      <c r="Y443" s="42" t="n"/>
      <c r="Z443" s="42" t="n"/>
    </row>
    <row r="444" ht="15.75" customHeight="1">
      <c r="A444" s="42" t="n"/>
      <c r="B444" s="42" t="n"/>
      <c r="C444" s="42" t="n"/>
      <c r="D444" s="42" t="n"/>
      <c r="E444" s="42" t="n"/>
      <c r="F444" s="42" t="n"/>
      <c r="G444" s="42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 ht="15.75" customHeight="1">
      <c r="A445" s="42" t="n"/>
      <c r="B445" s="42" t="n"/>
      <c r="C445" s="42" t="n"/>
      <c r="D445" s="42" t="n"/>
      <c r="E445" s="42" t="n"/>
      <c r="F445" s="42" t="n"/>
      <c r="G445" s="42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  <c r="X445" s="42" t="n"/>
      <c r="Y445" s="42" t="n"/>
      <c r="Z445" s="42" t="n"/>
    </row>
    <row r="446" ht="15.75" customHeight="1">
      <c r="A446" s="42" t="n"/>
      <c r="B446" s="42" t="n"/>
      <c r="C446" s="42" t="n"/>
      <c r="D446" s="42" t="n"/>
      <c r="E446" s="42" t="n"/>
      <c r="F446" s="42" t="n"/>
      <c r="G446" s="42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 ht="15.75" customHeight="1">
      <c r="A447" s="42" t="n"/>
      <c r="B447" s="42" t="n"/>
      <c r="C447" s="42" t="n"/>
      <c r="D447" s="42" t="n"/>
      <c r="E447" s="42" t="n"/>
      <c r="F447" s="42" t="n"/>
      <c r="G447" s="42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  <c r="X447" s="42" t="n"/>
      <c r="Y447" s="42" t="n"/>
      <c r="Z447" s="42" t="n"/>
    </row>
    <row r="448" ht="15.75" customHeight="1">
      <c r="A448" s="42" t="n"/>
      <c r="B448" s="42" t="n"/>
      <c r="C448" s="42" t="n"/>
      <c r="D448" s="42" t="n"/>
      <c r="E448" s="42" t="n"/>
      <c r="F448" s="42" t="n"/>
      <c r="G448" s="42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 ht="15.75" customHeight="1">
      <c r="A449" s="42" t="n"/>
      <c r="B449" s="42" t="n"/>
      <c r="C449" s="42" t="n"/>
      <c r="D449" s="42" t="n"/>
      <c r="E449" s="42" t="n"/>
      <c r="F449" s="42" t="n"/>
      <c r="G449" s="42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  <c r="X449" s="42" t="n"/>
      <c r="Y449" s="42" t="n"/>
      <c r="Z449" s="42" t="n"/>
    </row>
    <row r="450" ht="15.75" customHeight="1">
      <c r="A450" s="42" t="n"/>
      <c r="B450" s="42" t="n"/>
      <c r="C450" s="42" t="n"/>
      <c r="D450" s="42" t="n"/>
      <c r="E450" s="42" t="n"/>
      <c r="F450" s="42" t="n"/>
      <c r="G450" s="42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 ht="15.75" customHeight="1">
      <c r="A451" s="42" t="n"/>
      <c r="B451" s="42" t="n"/>
      <c r="C451" s="42" t="n"/>
      <c r="D451" s="42" t="n"/>
      <c r="E451" s="42" t="n"/>
      <c r="F451" s="42" t="n"/>
      <c r="G451" s="42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  <c r="X451" s="42" t="n"/>
      <c r="Y451" s="42" t="n"/>
      <c r="Z451" s="42" t="n"/>
    </row>
    <row r="452" ht="15.75" customHeight="1">
      <c r="A452" s="42" t="n"/>
      <c r="B452" s="42" t="n"/>
      <c r="C452" s="42" t="n"/>
      <c r="D452" s="42" t="n"/>
      <c r="E452" s="42" t="n"/>
      <c r="F452" s="42" t="n"/>
      <c r="G452" s="42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 ht="15.75" customHeight="1">
      <c r="A453" s="42" t="n"/>
      <c r="B453" s="42" t="n"/>
      <c r="C453" s="42" t="n"/>
      <c r="D453" s="42" t="n"/>
      <c r="E453" s="42" t="n"/>
      <c r="F453" s="42" t="n"/>
      <c r="G453" s="42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  <c r="X453" s="42" t="n"/>
      <c r="Y453" s="42" t="n"/>
      <c r="Z453" s="42" t="n"/>
    </row>
    <row r="454" ht="15.75" customHeight="1">
      <c r="A454" s="42" t="n"/>
      <c r="B454" s="42" t="n"/>
      <c r="C454" s="42" t="n"/>
      <c r="D454" s="42" t="n"/>
      <c r="E454" s="42" t="n"/>
      <c r="F454" s="42" t="n"/>
      <c r="G454" s="42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 ht="15.75" customHeight="1">
      <c r="A455" s="42" t="n"/>
      <c r="B455" s="42" t="n"/>
      <c r="C455" s="42" t="n"/>
      <c r="D455" s="42" t="n"/>
      <c r="E455" s="42" t="n"/>
      <c r="F455" s="42" t="n"/>
      <c r="G455" s="42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  <c r="X455" s="42" t="n"/>
      <c r="Y455" s="42" t="n"/>
      <c r="Z455" s="42" t="n"/>
    </row>
    <row r="456" ht="15.75" customHeight="1">
      <c r="A456" s="42" t="n"/>
      <c r="B456" s="42" t="n"/>
      <c r="C456" s="42" t="n"/>
      <c r="D456" s="42" t="n"/>
      <c r="E456" s="42" t="n"/>
      <c r="F456" s="42" t="n"/>
      <c r="G456" s="42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 ht="15.75" customHeight="1">
      <c r="A457" s="42" t="n"/>
      <c r="B457" s="42" t="n"/>
      <c r="C457" s="42" t="n"/>
      <c r="D457" s="42" t="n"/>
      <c r="E457" s="42" t="n"/>
      <c r="F457" s="42" t="n"/>
      <c r="G457" s="42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  <c r="X457" s="42" t="n"/>
      <c r="Y457" s="42" t="n"/>
      <c r="Z457" s="42" t="n"/>
    </row>
    <row r="458" ht="15.75" customHeight="1">
      <c r="A458" s="42" t="n"/>
      <c r="B458" s="42" t="n"/>
      <c r="C458" s="42" t="n"/>
      <c r="D458" s="42" t="n"/>
      <c r="E458" s="42" t="n"/>
      <c r="F458" s="42" t="n"/>
      <c r="G458" s="42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 ht="15.75" customHeight="1">
      <c r="A459" s="42" t="n"/>
      <c r="B459" s="42" t="n"/>
      <c r="C459" s="42" t="n"/>
      <c r="D459" s="42" t="n"/>
      <c r="E459" s="42" t="n"/>
      <c r="F459" s="42" t="n"/>
      <c r="G459" s="42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</row>
    <row r="460" ht="15.75" customHeight="1">
      <c r="A460" s="42" t="n"/>
      <c r="B460" s="42" t="n"/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 ht="15.75" customHeight="1">
      <c r="A461" s="42" t="n"/>
      <c r="B461" s="42" t="n"/>
      <c r="C461" s="42" t="n"/>
      <c r="D461" s="42" t="n"/>
      <c r="E461" s="42" t="n"/>
      <c r="F461" s="42" t="n"/>
      <c r="G461" s="42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</row>
    <row r="462" ht="15.75" customHeight="1">
      <c r="A462" s="42" t="n"/>
      <c r="B462" s="42" t="n"/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 ht="15.75" customHeight="1">
      <c r="A463" s="42" t="n"/>
      <c r="B463" s="42" t="n"/>
      <c r="C463" s="42" t="n"/>
      <c r="D463" s="42" t="n"/>
      <c r="E463" s="42" t="n"/>
      <c r="F463" s="42" t="n"/>
      <c r="G463" s="42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</row>
    <row r="464" ht="15.75" customHeight="1">
      <c r="A464" s="42" t="n"/>
      <c r="B464" s="42" t="n"/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 ht="15.75" customHeight="1">
      <c r="A465" s="42" t="n"/>
      <c r="B465" s="42" t="n"/>
      <c r="C465" s="42" t="n"/>
      <c r="D465" s="42" t="n"/>
      <c r="E465" s="42" t="n"/>
      <c r="F465" s="42" t="n"/>
      <c r="G465" s="42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</row>
    <row r="466" ht="15.75" customHeight="1">
      <c r="A466" s="42" t="n"/>
      <c r="B466" s="42" t="n"/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 ht="15.75" customHeight="1">
      <c r="A467" s="42" t="n"/>
      <c r="B467" s="42" t="n"/>
      <c r="C467" s="42" t="n"/>
      <c r="D467" s="42" t="n"/>
      <c r="E467" s="42" t="n"/>
      <c r="F467" s="42" t="n"/>
      <c r="G467" s="42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</row>
    <row r="468" ht="15.75" customHeight="1">
      <c r="A468" s="42" t="n"/>
      <c r="B468" s="42" t="n"/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 ht="15.75" customHeight="1">
      <c r="A469" s="42" t="n"/>
      <c r="B469" s="42" t="n"/>
      <c r="C469" s="42" t="n"/>
      <c r="D469" s="42" t="n"/>
      <c r="E469" s="42" t="n"/>
      <c r="F469" s="42" t="n"/>
      <c r="G469" s="42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</row>
    <row r="470" ht="15.75" customHeight="1">
      <c r="A470" s="42" t="n"/>
      <c r="B470" s="42" t="n"/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 ht="15.75" customHeight="1">
      <c r="A471" s="42" t="n"/>
      <c r="B471" s="42" t="n"/>
      <c r="C471" s="42" t="n"/>
      <c r="D471" s="42" t="n"/>
      <c r="E471" s="42" t="n"/>
      <c r="F471" s="42" t="n"/>
      <c r="G471" s="42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</row>
    <row r="472" ht="15.75" customHeight="1">
      <c r="A472" s="42" t="n"/>
      <c r="B472" s="42" t="n"/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 ht="15.75" customHeight="1">
      <c r="A473" s="42" t="n"/>
      <c r="B473" s="42" t="n"/>
      <c r="C473" s="42" t="n"/>
      <c r="D473" s="42" t="n"/>
      <c r="E473" s="42" t="n"/>
      <c r="F473" s="42" t="n"/>
      <c r="G473" s="42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</row>
    <row r="474" ht="15.75" customHeight="1">
      <c r="A474" s="42" t="n"/>
      <c r="B474" s="42" t="n"/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 ht="15.75" customHeight="1">
      <c r="A475" s="42" t="n"/>
      <c r="B475" s="42" t="n"/>
      <c r="C475" s="42" t="n"/>
      <c r="D475" s="42" t="n"/>
      <c r="E475" s="42" t="n"/>
      <c r="F475" s="42" t="n"/>
      <c r="G475" s="42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</row>
    <row r="476" ht="15.75" customHeight="1">
      <c r="A476" s="42" t="n"/>
      <c r="B476" s="42" t="n"/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 ht="15.75" customHeight="1">
      <c r="A477" s="42" t="n"/>
      <c r="B477" s="42" t="n"/>
      <c r="C477" s="42" t="n"/>
      <c r="D477" s="42" t="n"/>
      <c r="E477" s="42" t="n"/>
      <c r="F477" s="42" t="n"/>
      <c r="G477" s="42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</row>
    <row r="478" ht="15.75" customHeight="1">
      <c r="A478" s="42" t="n"/>
      <c r="B478" s="42" t="n"/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 ht="15.75" customHeight="1">
      <c r="A479" s="42" t="n"/>
      <c r="B479" s="42" t="n"/>
      <c r="C479" s="42" t="n"/>
      <c r="D479" s="42" t="n"/>
      <c r="E479" s="42" t="n"/>
      <c r="F479" s="42" t="n"/>
      <c r="G479" s="42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</row>
    <row r="480" ht="15.75" customHeight="1">
      <c r="A480" s="42" t="n"/>
      <c r="B480" s="42" t="n"/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 ht="15.75" customHeight="1">
      <c r="A481" s="42" t="n"/>
      <c r="B481" s="42" t="n"/>
      <c r="C481" s="42" t="n"/>
      <c r="D481" s="42" t="n"/>
      <c r="E481" s="42" t="n"/>
      <c r="F481" s="42" t="n"/>
      <c r="G481" s="42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</row>
    <row r="482" ht="15.75" customHeight="1">
      <c r="A482" s="42" t="n"/>
      <c r="B482" s="42" t="n"/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 ht="15.75" customHeight="1">
      <c r="A483" s="42" t="n"/>
      <c r="B483" s="42" t="n"/>
      <c r="C483" s="42" t="n"/>
      <c r="D483" s="42" t="n"/>
      <c r="E483" s="42" t="n"/>
      <c r="F483" s="42" t="n"/>
      <c r="G483" s="42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</row>
    <row r="484" ht="15.75" customHeight="1">
      <c r="A484" s="42" t="n"/>
      <c r="B484" s="42" t="n"/>
      <c r="C484" s="42" t="n"/>
      <c r="D484" s="42" t="n"/>
      <c r="E484" s="42" t="n"/>
      <c r="F484" s="42" t="n"/>
      <c r="G484" s="42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 ht="15.75" customHeight="1">
      <c r="A485" s="42" t="n"/>
      <c r="B485" s="42" t="n"/>
      <c r="C485" s="42" t="n"/>
      <c r="D485" s="42" t="n"/>
      <c r="E485" s="42" t="n"/>
      <c r="F485" s="42" t="n"/>
      <c r="G485" s="42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  <c r="X485" s="42" t="n"/>
      <c r="Y485" s="42" t="n"/>
      <c r="Z485" s="42" t="n"/>
    </row>
    <row r="486" ht="15.75" customHeight="1">
      <c r="A486" s="42" t="n"/>
      <c r="B486" s="42" t="n"/>
      <c r="C486" s="42" t="n"/>
      <c r="D486" s="42" t="n"/>
      <c r="E486" s="42" t="n"/>
      <c r="F486" s="42" t="n"/>
      <c r="G486" s="42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 ht="15.75" customHeight="1">
      <c r="A487" s="42" t="n"/>
      <c r="B487" s="42" t="n"/>
      <c r="C487" s="42" t="n"/>
      <c r="D487" s="42" t="n"/>
      <c r="E487" s="42" t="n"/>
      <c r="F487" s="42" t="n"/>
      <c r="G487" s="42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  <c r="Z487" s="42" t="n"/>
    </row>
    <row r="488" ht="15.75" customHeight="1">
      <c r="A488" s="42" t="n"/>
      <c r="B488" s="42" t="n"/>
      <c r="C488" s="42" t="n"/>
      <c r="D488" s="42" t="n"/>
      <c r="E488" s="42" t="n"/>
      <c r="F488" s="42" t="n"/>
      <c r="G488" s="42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 ht="15.75" customHeight="1">
      <c r="A489" s="42" t="n"/>
      <c r="B489" s="42" t="n"/>
      <c r="C489" s="42" t="n"/>
      <c r="D489" s="42" t="n"/>
      <c r="E489" s="42" t="n"/>
      <c r="F489" s="42" t="n"/>
      <c r="G489" s="42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  <c r="X489" s="42" t="n"/>
      <c r="Y489" s="42" t="n"/>
      <c r="Z489" s="42" t="n"/>
    </row>
    <row r="490" ht="15.75" customHeight="1">
      <c r="A490" s="42" t="n"/>
      <c r="B490" s="42" t="n"/>
      <c r="C490" s="42" t="n"/>
      <c r="D490" s="42" t="n"/>
      <c r="E490" s="42" t="n"/>
      <c r="F490" s="42" t="n"/>
      <c r="G490" s="42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 ht="15.75" customHeight="1">
      <c r="A491" s="42" t="n"/>
      <c r="B491" s="42" t="n"/>
      <c r="C491" s="42" t="n"/>
      <c r="D491" s="42" t="n"/>
      <c r="E491" s="42" t="n"/>
      <c r="F491" s="42" t="n"/>
      <c r="G491" s="42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  <c r="X491" s="42" t="n"/>
      <c r="Y491" s="42" t="n"/>
      <c r="Z491" s="42" t="n"/>
    </row>
    <row r="492" ht="15.75" customHeight="1">
      <c r="A492" s="42" t="n"/>
      <c r="B492" s="42" t="n"/>
      <c r="C492" s="42" t="n"/>
      <c r="D492" s="42" t="n"/>
      <c r="E492" s="42" t="n"/>
      <c r="F492" s="42" t="n"/>
      <c r="G492" s="42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 ht="15.75" customHeight="1">
      <c r="A493" s="42" t="n"/>
      <c r="B493" s="42" t="n"/>
      <c r="C493" s="42" t="n"/>
      <c r="D493" s="42" t="n"/>
      <c r="E493" s="42" t="n"/>
      <c r="F493" s="42" t="n"/>
      <c r="G493" s="42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  <c r="X493" s="42" t="n"/>
      <c r="Y493" s="42" t="n"/>
      <c r="Z493" s="42" t="n"/>
    </row>
    <row r="494" ht="15.75" customHeight="1">
      <c r="A494" s="42" t="n"/>
      <c r="B494" s="42" t="n"/>
      <c r="C494" s="42" t="n"/>
      <c r="D494" s="42" t="n"/>
      <c r="E494" s="42" t="n"/>
      <c r="F494" s="42" t="n"/>
      <c r="G494" s="42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 ht="15.75" customHeight="1">
      <c r="A495" s="42" t="n"/>
      <c r="B495" s="42" t="n"/>
      <c r="C495" s="42" t="n"/>
      <c r="D495" s="42" t="n"/>
      <c r="E495" s="42" t="n"/>
      <c r="F495" s="42" t="n"/>
      <c r="G495" s="42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  <c r="X495" s="42" t="n"/>
      <c r="Y495" s="42" t="n"/>
      <c r="Z495" s="42" t="n"/>
    </row>
    <row r="496" ht="15.75" customHeight="1">
      <c r="A496" s="42" t="n"/>
      <c r="B496" s="42" t="n"/>
      <c r="C496" s="42" t="n"/>
      <c r="D496" s="42" t="n"/>
      <c r="E496" s="42" t="n"/>
      <c r="F496" s="42" t="n"/>
      <c r="G496" s="42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 ht="15.75" customHeight="1">
      <c r="A497" s="42" t="n"/>
      <c r="B497" s="42" t="n"/>
      <c r="C497" s="42" t="n"/>
      <c r="D497" s="42" t="n"/>
      <c r="E497" s="42" t="n"/>
      <c r="F497" s="42" t="n"/>
      <c r="G497" s="42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  <c r="X497" s="42" t="n"/>
      <c r="Y497" s="42" t="n"/>
      <c r="Z497" s="42" t="n"/>
    </row>
    <row r="498" ht="15.75" customHeight="1">
      <c r="A498" s="42" t="n"/>
      <c r="B498" s="42" t="n"/>
      <c r="C498" s="42" t="n"/>
      <c r="D498" s="42" t="n"/>
      <c r="E498" s="42" t="n"/>
      <c r="F498" s="42" t="n"/>
      <c r="G498" s="42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 ht="15.75" customHeight="1">
      <c r="A499" s="42" t="n"/>
      <c r="B499" s="42" t="n"/>
      <c r="C499" s="42" t="n"/>
      <c r="D499" s="42" t="n"/>
      <c r="E499" s="42" t="n"/>
      <c r="F499" s="42" t="n"/>
      <c r="G499" s="42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  <c r="X499" s="42" t="n"/>
      <c r="Y499" s="42" t="n"/>
      <c r="Z499" s="42" t="n"/>
    </row>
    <row r="500" ht="15.75" customHeight="1">
      <c r="A500" s="42" t="n"/>
      <c r="B500" s="42" t="n"/>
      <c r="C500" s="42" t="n"/>
      <c r="D500" s="42" t="n"/>
      <c r="E500" s="42" t="n"/>
      <c r="F500" s="42" t="n"/>
      <c r="G500" s="42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 ht="15.75" customHeight="1">
      <c r="A501" s="42" t="n"/>
      <c r="B501" s="42" t="n"/>
      <c r="C501" s="42" t="n"/>
      <c r="D501" s="42" t="n"/>
      <c r="E501" s="42" t="n"/>
      <c r="F501" s="42" t="n"/>
      <c r="G501" s="42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  <c r="X501" s="42" t="n"/>
      <c r="Y501" s="42" t="n"/>
      <c r="Z501" s="42" t="n"/>
    </row>
    <row r="502" ht="15.75" customHeight="1">
      <c r="A502" s="42" t="n"/>
      <c r="B502" s="42" t="n"/>
      <c r="C502" s="42" t="n"/>
      <c r="D502" s="42" t="n"/>
      <c r="E502" s="42" t="n"/>
      <c r="F502" s="42" t="n"/>
      <c r="G502" s="42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 ht="15.75" customHeight="1">
      <c r="A503" s="42" t="n"/>
      <c r="B503" s="42" t="n"/>
      <c r="C503" s="42" t="n"/>
      <c r="D503" s="42" t="n"/>
      <c r="E503" s="42" t="n"/>
      <c r="F503" s="42" t="n"/>
      <c r="G503" s="42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  <c r="X503" s="42" t="n"/>
      <c r="Y503" s="42" t="n"/>
      <c r="Z503" s="42" t="n"/>
    </row>
    <row r="504" ht="15.75" customHeight="1">
      <c r="A504" s="42" t="n"/>
      <c r="B504" s="42" t="n"/>
      <c r="C504" s="42" t="n"/>
      <c r="D504" s="42" t="n"/>
      <c r="E504" s="42" t="n"/>
      <c r="F504" s="42" t="n"/>
      <c r="G504" s="42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 ht="15.75" customHeight="1">
      <c r="A505" s="42" t="n"/>
      <c r="B505" s="42" t="n"/>
      <c r="C505" s="42" t="n"/>
      <c r="D505" s="42" t="n"/>
      <c r="E505" s="42" t="n"/>
      <c r="F505" s="42" t="n"/>
      <c r="G505" s="42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  <c r="X505" s="42" t="n"/>
      <c r="Y505" s="42" t="n"/>
      <c r="Z505" s="42" t="n"/>
    </row>
    <row r="506" ht="15.75" customHeight="1">
      <c r="A506" s="42" t="n"/>
      <c r="B506" s="42" t="n"/>
      <c r="C506" s="42" t="n"/>
      <c r="D506" s="42" t="n"/>
      <c r="E506" s="42" t="n"/>
      <c r="F506" s="42" t="n"/>
      <c r="G506" s="42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 ht="15.75" customHeight="1">
      <c r="A507" s="42" t="n"/>
      <c r="B507" s="42" t="n"/>
      <c r="C507" s="42" t="n"/>
      <c r="D507" s="42" t="n"/>
      <c r="E507" s="42" t="n"/>
      <c r="F507" s="42" t="n"/>
      <c r="G507" s="42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  <c r="X507" s="42" t="n"/>
      <c r="Y507" s="42" t="n"/>
      <c r="Z507" s="42" t="n"/>
    </row>
    <row r="508" ht="15.75" customHeight="1">
      <c r="A508" s="42" t="n"/>
      <c r="B508" s="42" t="n"/>
      <c r="C508" s="42" t="n"/>
      <c r="D508" s="42" t="n"/>
      <c r="E508" s="42" t="n"/>
      <c r="F508" s="42" t="n"/>
      <c r="G508" s="42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 ht="15.75" customHeight="1">
      <c r="A509" s="42" t="n"/>
      <c r="B509" s="42" t="n"/>
      <c r="C509" s="42" t="n"/>
      <c r="D509" s="42" t="n"/>
      <c r="E509" s="42" t="n"/>
      <c r="F509" s="42" t="n"/>
      <c r="G509" s="42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  <c r="X509" s="42" t="n"/>
      <c r="Y509" s="42" t="n"/>
      <c r="Z509" s="42" t="n"/>
    </row>
    <row r="510" ht="15.75" customHeight="1">
      <c r="A510" s="42" t="n"/>
      <c r="B510" s="42" t="n"/>
      <c r="C510" s="42" t="n"/>
      <c r="D510" s="42" t="n"/>
      <c r="E510" s="42" t="n"/>
      <c r="F510" s="42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 ht="15.75" customHeight="1">
      <c r="A511" s="42" t="n"/>
      <c r="B511" s="42" t="n"/>
      <c r="C511" s="42" t="n"/>
      <c r="D511" s="42" t="n"/>
      <c r="E511" s="42" t="n"/>
      <c r="F511" s="42" t="n"/>
      <c r="G511" s="42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  <c r="X511" s="42" t="n"/>
      <c r="Y511" s="42" t="n"/>
      <c r="Z511" s="42" t="n"/>
    </row>
    <row r="512" ht="15.75" customHeight="1">
      <c r="A512" s="42" t="n"/>
      <c r="B512" s="42" t="n"/>
      <c r="C512" s="42" t="n"/>
      <c r="D512" s="42" t="n"/>
      <c r="E512" s="42" t="n"/>
      <c r="F512" s="42" t="n"/>
      <c r="G512" s="42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 ht="15.75" customHeight="1">
      <c r="A513" s="42" t="n"/>
      <c r="B513" s="42" t="n"/>
      <c r="C513" s="42" t="n"/>
      <c r="D513" s="42" t="n"/>
      <c r="E513" s="42" t="n"/>
      <c r="F513" s="42" t="n"/>
      <c r="G513" s="42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  <c r="X513" s="42" t="n"/>
      <c r="Y513" s="42" t="n"/>
      <c r="Z513" s="42" t="n"/>
    </row>
    <row r="514" ht="15.75" customHeight="1">
      <c r="A514" s="42" t="n"/>
      <c r="B514" s="42" t="n"/>
      <c r="C514" s="42" t="n"/>
      <c r="D514" s="42" t="n"/>
      <c r="E514" s="42" t="n"/>
      <c r="F514" s="42" t="n"/>
      <c r="G514" s="42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 ht="15.75" customHeight="1">
      <c r="A515" s="42" t="n"/>
      <c r="B515" s="42" t="n"/>
      <c r="C515" s="42" t="n"/>
      <c r="D515" s="42" t="n"/>
      <c r="E515" s="42" t="n"/>
      <c r="F515" s="42" t="n"/>
      <c r="G515" s="42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</row>
    <row r="516" ht="15.75" customHeight="1">
      <c r="A516" s="42" t="n"/>
      <c r="B516" s="42" t="n"/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 ht="15.75" customHeight="1">
      <c r="A517" s="42" t="n"/>
      <c r="B517" s="42" t="n"/>
      <c r="C517" s="42" t="n"/>
      <c r="D517" s="42" t="n"/>
      <c r="E517" s="42" t="n"/>
      <c r="F517" s="42" t="n"/>
      <c r="G517" s="42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</row>
    <row r="518" ht="15.75" customHeight="1">
      <c r="A518" s="42" t="n"/>
      <c r="B518" s="42" t="n"/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 ht="15.75" customHeight="1">
      <c r="A519" s="42" t="n"/>
      <c r="B519" s="42" t="n"/>
      <c r="C519" s="42" t="n"/>
      <c r="D519" s="42" t="n"/>
      <c r="E519" s="42" t="n"/>
      <c r="F519" s="42" t="n"/>
      <c r="G519" s="42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</row>
    <row r="520" ht="15.75" customHeight="1">
      <c r="A520" s="42" t="n"/>
      <c r="B520" s="42" t="n"/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 ht="15.75" customHeight="1">
      <c r="A521" s="42" t="n"/>
      <c r="B521" s="42" t="n"/>
      <c r="C521" s="42" t="n"/>
      <c r="D521" s="42" t="n"/>
      <c r="E521" s="42" t="n"/>
      <c r="F521" s="42" t="n"/>
      <c r="G521" s="42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</row>
    <row r="522" ht="15.75" customHeight="1">
      <c r="A522" s="42" t="n"/>
      <c r="B522" s="42" t="n"/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 ht="15.75" customHeight="1">
      <c r="A523" s="42" t="n"/>
      <c r="B523" s="42" t="n"/>
      <c r="C523" s="42" t="n"/>
      <c r="D523" s="42" t="n"/>
      <c r="E523" s="42" t="n"/>
      <c r="F523" s="42" t="n"/>
      <c r="G523" s="42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</row>
    <row r="524" ht="15.75" customHeight="1">
      <c r="A524" s="42" t="n"/>
      <c r="B524" s="42" t="n"/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 ht="15.75" customHeight="1">
      <c r="A525" s="42" t="n"/>
      <c r="B525" s="42" t="n"/>
      <c r="C525" s="42" t="n"/>
      <c r="D525" s="42" t="n"/>
      <c r="E525" s="42" t="n"/>
      <c r="F525" s="42" t="n"/>
      <c r="G525" s="42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</row>
    <row r="526" ht="15.75" customHeight="1">
      <c r="A526" s="42" t="n"/>
      <c r="B526" s="42" t="n"/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 ht="15.75" customHeight="1">
      <c r="A527" s="42" t="n"/>
      <c r="B527" s="42" t="n"/>
      <c r="C527" s="42" t="n"/>
      <c r="D527" s="42" t="n"/>
      <c r="E527" s="42" t="n"/>
      <c r="F527" s="42" t="n"/>
      <c r="G527" s="42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</row>
    <row r="528" ht="15.75" customHeight="1">
      <c r="A528" s="42" t="n"/>
      <c r="B528" s="42" t="n"/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 ht="15.75" customHeight="1">
      <c r="A529" s="42" t="n"/>
      <c r="B529" s="42" t="n"/>
      <c r="C529" s="42" t="n"/>
      <c r="D529" s="42" t="n"/>
      <c r="E529" s="42" t="n"/>
      <c r="F529" s="42" t="n"/>
      <c r="G529" s="42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</row>
    <row r="530" ht="15.75" customHeight="1">
      <c r="A530" s="42" t="n"/>
      <c r="B530" s="42" t="n"/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 ht="15.75" customHeight="1">
      <c r="A531" s="42" t="n"/>
      <c r="B531" s="42" t="n"/>
      <c r="C531" s="42" t="n"/>
      <c r="D531" s="42" t="n"/>
      <c r="E531" s="42" t="n"/>
      <c r="F531" s="42" t="n"/>
      <c r="G531" s="42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</row>
    <row r="532" ht="15.75" customHeight="1">
      <c r="A532" s="42" t="n"/>
      <c r="B532" s="42" t="n"/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 ht="15.75" customHeight="1">
      <c r="A533" s="42" t="n"/>
      <c r="B533" s="42" t="n"/>
      <c r="C533" s="42" t="n"/>
      <c r="D533" s="42" t="n"/>
      <c r="E533" s="42" t="n"/>
      <c r="F533" s="42" t="n"/>
      <c r="G533" s="42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</row>
    <row r="534" ht="15.75" customHeight="1">
      <c r="A534" s="42" t="n"/>
      <c r="B534" s="42" t="n"/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 ht="15.75" customHeight="1">
      <c r="A535" s="42" t="n"/>
      <c r="B535" s="42" t="n"/>
      <c r="C535" s="42" t="n"/>
      <c r="D535" s="42" t="n"/>
      <c r="E535" s="42" t="n"/>
      <c r="F535" s="42" t="n"/>
      <c r="G535" s="42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</row>
    <row r="536" ht="15.75" customHeight="1">
      <c r="A536" s="42" t="n"/>
      <c r="B536" s="42" t="n"/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 ht="15.75" customHeight="1">
      <c r="A537" s="42" t="n"/>
      <c r="B537" s="42" t="n"/>
      <c r="C537" s="42" t="n"/>
      <c r="D537" s="42" t="n"/>
      <c r="E537" s="42" t="n"/>
      <c r="F537" s="42" t="n"/>
      <c r="G537" s="42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</row>
    <row r="538" ht="15.75" customHeight="1">
      <c r="A538" s="42" t="n"/>
      <c r="B538" s="42" t="n"/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 ht="15.75" customHeight="1">
      <c r="A539" s="42" t="n"/>
      <c r="B539" s="42" t="n"/>
      <c r="C539" s="42" t="n"/>
      <c r="D539" s="42" t="n"/>
      <c r="E539" s="42" t="n"/>
      <c r="F539" s="42" t="n"/>
      <c r="G539" s="42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</row>
    <row r="540" ht="15.75" customHeight="1">
      <c r="A540" s="42" t="n"/>
      <c r="B540" s="42" t="n"/>
      <c r="C540" s="42" t="n"/>
      <c r="D540" s="42" t="n"/>
      <c r="E540" s="42" t="n"/>
      <c r="F540" s="42" t="n"/>
      <c r="G540" s="42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 ht="15.75" customHeight="1">
      <c r="A541" s="42" t="n"/>
      <c r="B541" s="42" t="n"/>
      <c r="C541" s="42" t="n"/>
      <c r="D541" s="42" t="n"/>
      <c r="E541" s="42" t="n"/>
      <c r="F541" s="42" t="n"/>
      <c r="G541" s="42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  <c r="X541" s="42" t="n"/>
      <c r="Y541" s="42" t="n"/>
      <c r="Z541" s="42" t="n"/>
    </row>
    <row r="542" ht="15.75" customHeight="1">
      <c r="A542" s="42" t="n"/>
      <c r="B542" s="42" t="n"/>
      <c r="C542" s="42" t="n"/>
      <c r="D542" s="42" t="n"/>
      <c r="E542" s="42" t="n"/>
      <c r="F542" s="42" t="n"/>
      <c r="G542" s="42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 ht="15.75" customHeight="1">
      <c r="A543" s="42" t="n"/>
      <c r="B543" s="42" t="n"/>
      <c r="C543" s="42" t="n"/>
      <c r="D543" s="42" t="n"/>
      <c r="E543" s="42" t="n"/>
      <c r="F543" s="42" t="n"/>
      <c r="G543" s="42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  <c r="X543" s="42" t="n"/>
      <c r="Y543" s="42" t="n"/>
      <c r="Z543" s="42" t="n"/>
    </row>
    <row r="544" ht="15.75" customHeight="1">
      <c r="A544" s="42" t="n"/>
      <c r="B544" s="42" t="n"/>
      <c r="C544" s="42" t="n"/>
      <c r="D544" s="42" t="n"/>
      <c r="E544" s="42" t="n"/>
      <c r="F544" s="42" t="n"/>
      <c r="G544" s="42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 ht="15.75" customHeight="1">
      <c r="A545" s="42" t="n"/>
      <c r="B545" s="42" t="n"/>
      <c r="C545" s="42" t="n"/>
      <c r="D545" s="42" t="n"/>
      <c r="E545" s="42" t="n"/>
      <c r="F545" s="42" t="n"/>
      <c r="G545" s="42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  <c r="X545" s="42" t="n"/>
      <c r="Y545" s="42" t="n"/>
      <c r="Z545" s="42" t="n"/>
    </row>
    <row r="546" ht="15.75" customHeight="1">
      <c r="A546" s="42" t="n"/>
      <c r="B546" s="42" t="n"/>
      <c r="C546" s="42" t="n"/>
      <c r="D546" s="42" t="n"/>
      <c r="E546" s="42" t="n"/>
      <c r="F546" s="42" t="n"/>
      <c r="G546" s="42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 ht="15.75" customHeight="1">
      <c r="A547" s="42" t="n"/>
      <c r="B547" s="42" t="n"/>
      <c r="C547" s="42" t="n"/>
      <c r="D547" s="42" t="n"/>
      <c r="E547" s="42" t="n"/>
      <c r="F547" s="42" t="n"/>
      <c r="G547" s="42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  <c r="X547" s="42" t="n"/>
      <c r="Y547" s="42" t="n"/>
      <c r="Z547" s="42" t="n"/>
    </row>
    <row r="548" ht="15.75" customHeight="1">
      <c r="A548" s="42" t="n"/>
      <c r="B548" s="42" t="n"/>
      <c r="C548" s="42" t="n"/>
      <c r="D548" s="42" t="n"/>
      <c r="E548" s="42" t="n"/>
      <c r="F548" s="42" t="n"/>
      <c r="G548" s="42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 ht="15.75" customHeight="1">
      <c r="A549" s="42" t="n"/>
      <c r="B549" s="42" t="n"/>
      <c r="C549" s="42" t="n"/>
      <c r="D549" s="42" t="n"/>
      <c r="E549" s="42" t="n"/>
      <c r="F549" s="42" t="n"/>
      <c r="G549" s="42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  <c r="X549" s="42" t="n"/>
      <c r="Y549" s="42" t="n"/>
      <c r="Z549" s="42" t="n"/>
    </row>
    <row r="550" ht="15.75" customHeight="1">
      <c r="A550" s="42" t="n"/>
      <c r="B550" s="42" t="n"/>
      <c r="C550" s="42" t="n"/>
      <c r="D550" s="42" t="n"/>
      <c r="E550" s="42" t="n"/>
      <c r="F550" s="42" t="n"/>
      <c r="G550" s="42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 ht="15.75" customHeight="1">
      <c r="A551" s="42" t="n"/>
      <c r="B551" s="42" t="n"/>
      <c r="C551" s="42" t="n"/>
      <c r="D551" s="42" t="n"/>
      <c r="E551" s="42" t="n"/>
      <c r="F551" s="42" t="n"/>
      <c r="G551" s="42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  <c r="X551" s="42" t="n"/>
      <c r="Y551" s="42" t="n"/>
      <c r="Z551" s="42" t="n"/>
    </row>
    <row r="552" ht="15.75" customHeight="1">
      <c r="A552" s="42" t="n"/>
      <c r="B552" s="42" t="n"/>
      <c r="C552" s="42" t="n"/>
      <c r="D552" s="42" t="n"/>
      <c r="E552" s="42" t="n"/>
      <c r="F552" s="42" t="n"/>
      <c r="G552" s="42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 ht="15.75" customHeight="1">
      <c r="A553" s="42" t="n"/>
      <c r="B553" s="42" t="n"/>
      <c r="C553" s="42" t="n"/>
      <c r="D553" s="42" t="n"/>
      <c r="E553" s="42" t="n"/>
      <c r="F553" s="42" t="n"/>
      <c r="G553" s="42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  <c r="X553" s="42" t="n"/>
      <c r="Y553" s="42" t="n"/>
      <c r="Z553" s="42" t="n"/>
    </row>
    <row r="554" ht="15.75" customHeight="1">
      <c r="A554" s="42" t="n"/>
      <c r="B554" s="42" t="n"/>
      <c r="C554" s="42" t="n"/>
      <c r="D554" s="42" t="n"/>
      <c r="E554" s="42" t="n"/>
      <c r="F554" s="42" t="n"/>
      <c r="G554" s="42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 ht="15.75" customHeight="1">
      <c r="A555" s="42" t="n"/>
      <c r="B555" s="42" t="n"/>
      <c r="C555" s="42" t="n"/>
      <c r="D555" s="42" t="n"/>
      <c r="E555" s="42" t="n"/>
      <c r="F555" s="42" t="n"/>
      <c r="G555" s="42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  <c r="X555" s="42" t="n"/>
      <c r="Y555" s="42" t="n"/>
      <c r="Z555" s="42" t="n"/>
    </row>
    <row r="556" ht="15.75" customHeight="1">
      <c r="A556" s="42" t="n"/>
      <c r="B556" s="42" t="n"/>
      <c r="C556" s="42" t="n"/>
      <c r="D556" s="42" t="n"/>
      <c r="E556" s="42" t="n"/>
      <c r="F556" s="42" t="n"/>
      <c r="G556" s="42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 ht="15.75" customHeight="1">
      <c r="A557" s="42" t="n"/>
      <c r="B557" s="42" t="n"/>
      <c r="C557" s="42" t="n"/>
      <c r="D557" s="42" t="n"/>
      <c r="E557" s="42" t="n"/>
      <c r="F557" s="42" t="n"/>
      <c r="G557" s="42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  <c r="X557" s="42" t="n"/>
      <c r="Y557" s="42" t="n"/>
      <c r="Z557" s="42" t="n"/>
    </row>
    <row r="558" ht="15.75" customHeight="1">
      <c r="A558" s="42" t="n"/>
      <c r="B558" s="42" t="n"/>
      <c r="C558" s="42" t="n"/>
      <c r="D558" s="42" t="n"/>
      <c r="E558" s="42" t="n"/>
      <c r="F558" s="42" t="n"/>
      <c r="G558" s="42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 ht="15.75" customHeight="1">
      <c r="A559" s="42" t="n"/>
      <c r="B559" s="42" t="n"/>
      <c r="C559" s="42" t="n"/>
      <c r="D559" s="42" t="n"/>
      <c r="E559" s="42" t="n"/>
      <c r="F559" s="42" t="n"/>
      <c r="G559" s="42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  <c r="X559" s="42" t="n"/>
      <c r="Y559" s="42" t="n"/>
      <c r="Z559" s="42" t="n"/>
    </row>
    <row r="560" ht="15.75" customHeight="1">
      <c r="A560" s="42" t="n"/>
      <c r="B560" s="42" t="n"/>
      <c r="C560" s="42" t="n"/>
      <c r="D560" s="42" t="n"/>
      <c r="E560" s="42" t="n"/>
      <c r="F560" s="42" t="n"/>
      <c r="G560" s="42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 ht="15.75" customHeight="1">
      <c r="A561" s="42" t="n"/>
      <c r="B561" s="42" t="n"/>
      <c r="C561" s="42" t="n"/>
      <c r="D561" s="42" t="n"/>
      <c r="E561" s="42" t="n"/>
      <c r="F561" s="42" t="n"/>
      <c r="G561" s="42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  <c r="X561" s="42" t="n"/>
      <c r="Y561" s="42" t="n"/>
      <c r="Z561" s="42" t="n"/>
    </row>
    <row r="562" ht="15.75" customHeight="1">
      <c r="A562" s="42" t="n"/>
      <c r="B562" s="42" t="n"/>
      <c r="C562" s="42" t="n"/>
      <c r="D562" s="42" t="n"/>
      <c r="E562" s="42" t="n"/>
      <c r="F562" s="42" t="n"/>
      <c r="G562" s="42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 ht="15.75" customHeight="1">
      <c r="A563" s="42" t="n"/>
      <c r="B563" s="42" t="n"/>
      <c r="C563" s="42" t="n"/>
      <c r="D563" s="42" t="n"/>
      <c r="E563" s="42" t="n"/>
      <c r="F563" s="42" t="n"/>
      <c r="G563" s="42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  <c r="X563" s="42" t="n"/>
      <c r="Y563" s="42" t="n"/>
      <c r="Z563" s="42" t="n"/>
    </row>
    <row r="564" ht="15.75" customHeight="1">
      <c r="A564" s="42" t="n"/>
      <c r="B564" s="42" t="n"/>
      <c r="C564" s="42" t="n"/>
      <c r="D564" s="42" t="n"/>
      <c r="E564" s="42" t="n"/>
      <c r="F564" s="42" t="n"/>
      <c r="G564" s="42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 ht="15.75" customHeight="1">
      <c r="A565" s="42" t="n"/>
      <c r="B565" s="42" t="n"/>
      <c r="C565" s="42" t="n"/>
      <c r="D565" s="42" t="n"/>
      <c r="E565" s="42" t="n"/>
      <c r="F565" s="42" t="n"/>
      <c r="G565" s="42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  <c r="X565" s="42" t="n"/>
      <c r="Y565" s="42" t="n"/>
      <c r="Z565" s="42" t="n"/>
    </row>
    <row r="566" ht="15.75" customHeight="1">
      <c r="A566" s="42" t="n"/>
      <c r="B566" s="42" t="n"/>
      <c r="C566" s="42" t="n"/>
      <c r="D566" s="42" t="n"/>
      <c r="E566" s="42" t="n"/>
      <c r="F566" s="42" t="n"/>
      <c r="G566" s="42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 ht="15.75" customHeight="1">
      <c r="A567" s="42" t="n"/>
      <c r="B567" s="42" t="n"/>
      <c r="C567" s="42" t="n"/>
      <c r="D567" s="42" t="n"/>
      <c r="E567" s="42" t="n"/>
      <c r="F567" s="42" t="n"/>
      <c r="G567" s="42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  <c r="X567" s="42" t="n"/>
      <c r="Y567" s="42" t="n"/>
      <c r="Z567" s="42" t="n"/>
    </row>
    <row r="568" ht="15.75" customHeight="1">
      <c r="A568" s="42" t="n"/>
      <c r="B568" s="42" t="n"/>
      <c r="C568" s="42" t="n"/>
      <c r="D568" s="42" t="n"/>
      <c r="E568" s="42" t="n"/>
      <c r="F568" s="42" t="n"/>
      <c r="G568" s="42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 ht="15.75" customHeight="1">
      <c r="A569" s="42" t="n"/>
      <c r="B569" s="42" t="n"/>
      <c r="C569" s="42" t="n"/>
      <c r="D569" s="42" t="n"/>
      <c r="E569" s="42" t="n"/>
      <c r="F569" s="42" t="n"/>
      <c r="G569" s="42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  <c r="X569" s="42" t="n"/>
      <c r="Y569" s="42" t="n"/>
      <c r="Z569" s="42" t="n"/>
    </row>
    <row r="570" ht="15.75" customHeight="1">
      <c r="A570" s="42" t="n"/>
      <c r="B570" s="42" t="n"/>
      <c r="C570" s="42" t="n"/>
      <c r="D570" s="42" t="n"/>
      <c r="E570" s="42" t="n"/>
      <c r="F570" s="42" t="n"/>
      <c r="G570" s="42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 ht="15.75" customHeight="1">
      <c r="A571" s="42" t="n"/>
      <c r="B571" s="42" t="n"/>
      <c r="C571" s="42" t="n"/>
      <c r="D571" s="42" t="n"/>
      <c r="E571" s="42" t="n"/>
      <c r="F571" s="42" t="n"/>
      <c r="G571" s="42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</row>
    <row r="572" ht="15.75" customHeight="1">
      <c r="A572" s="42" t="n"/>
      <c r="B572" s="42" t="n"/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 ht="15.75" customHeight="1">
      <c r="A573" s="42" t="n"/>
      <c r="B573" s="42" t="n"/>
      <c r="C573" s="42" t="n"/>
      <c r="D573" s="42" t="n"/>
      <c r="E573" s="42" t="n"/>
      <c r="F573" s="42" t="n"/>
      <c r="G573" s="42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</row>
    <row r="574" ht="15.75" customHeight="1">
      <c r="A574" s="42" t="n"/>
      <c r="B574" s="42" t="n"/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 ht="15.75" customHeight="1">
      <c r="A575" s="42" t="n"/>
      <c r="B575" s="42" t="n"/>
      <c r="C575" s="42" t="n"/>
      <c r="D575" s="42" t="n"/>
      <c r="E575" s="42" t="n"/>
      <c r="F575" s="42" t="n"/>
      <c r="G575" s="42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</row>
    <row r="576" ht="15.75" customHeight="1">
      <c r="A576" s="42" t="n"/>
      <c r="B576" s="42" t="n"/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 ht="15.75" customHeight="1">
      <c r="A577" s="42" t="n"/>
      <c r="B577" s="42" t="n"/>
      <c r="C577" s="42" t="n"/>
      <c r="D577" s="42" t="n"/>
      <c r="E577" s="42" t="n"/>
      <c r="F577" s="42" t="n"/>
      <c r="G577" s="42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</row>
    <row r="578" ht="15.75" customHeight="1">
      <c r="A578" s="42" t="n"/>
      <c r="B578" s="42" t="n"/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 ht="15.75" customHeight="1">
      <c r="A579" s="42" t="n"/>
      <c r="B579" s="42" t="n"/>
      <c r="C579" s="42" t="n"/>
      <c r="D579" s="42" t="n"/>
      <c r="E579" s="42" t="n"/>
      <c r="F579" s="42" t="n"/>
      <c r="G579" s="42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</row>
    <row r="580" ht="15.75" customHeight="1">
      <c r="A580" s="42" t="n"/>
      <c r="B580" s="42" t="n"/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 ht="15.75" customHeight="1">
      <c r="A581" s="42" t="n"/>
      <c r="B581" s="42" t="n"/>
      <c r="C581" s="42" t="n"/>
      <c r="D581" s="42" t="n"/>
      <c r="E581" s="42" t="n"/>
      <c r="F581" s="42" t="n"/>
      <c r="G581" s="42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</row>
    <row r="582" ht="15.75" customHeight="1">
      <c r="A582" s="42" t="n"/>
      <c r="B582" s="42" t="n"/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 ht="15.75" customHeight="1">
      <c r="A583" s="42" t="n"/>
      <c r="B583" s="42" t="n"/>
      <c r="C583" s="42" t="n"/>
      <c r="D583" s="42" t="n"/>
      <c r="E583" s="42" t="n"/>
      <c r="F583" s="42" t="n"/>
      <c r="G583" s="42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</row>
    <row r="584" ht="15.75" customHeight="1">
      <c r="A584" s="42" t="n"/>
      <c r="B584" s="42" t="n"/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 ht="15.75" customHeight="1">
      <c r="A585" s="42" t="n"/>
      <c r="B585" s="42" t="n"/>
      <c r="C585" s="42" t="n"/>
      <c r="D585" s="42" t="n"/>
      <c r="E585" s="42" t="n"/>
      <c r="F585" s="42" t="n"/>
      <c r="G585" s="42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</row>
    <row r="586" ht="15.75" customHeight="1">
      <c r="A586" s="42" t="n"/>
      <c r="B586" s="42" t="n"/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 ht="15.75" customHeight="1">
      <c r="A587" s="42" t="n"/>
      <c r="B587" s="42" t="n"/>
      <c r="C587" s="42" t="n"/>
      <c r="D587" s="42" t="n"/>
      <c r="E587" s="42" t="n"/>
      <c r="F587" s="42" t="n"/>
      <c r="G587" s="42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</row>
    <row r="588" ht="15.75" customHeight="1">
      <c r="A588" s="42" t="n"/>
      <c r="B588" s="42" t="n"/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 ht="15.75" customHeight="1">
      <c r="A589" s="42" t="n"/>
      <c r="B589" s="42" t="n"/>
      <c r="C589" s="42" t="n"/>
      <c r="D589" s="42" t="n"/>
      <c r="E589" s="42" t="n"/>
      <c r="F589" s="42" t="n"/>
      <c r="G589" s="42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</row>
    <row r="590" ht="15.75" customHeight="1">
      <c r="A590" s="42" t="n"/>
      <c r="B590" s="42" t="n"/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 ht="15.75" customHeight="1">
      <c r="A591" s="42" t="n"/>
      <c r="B591" s="42" t="n"/>
      <c r="C591" s="42" t="n"/>
      <c r="D591" s="42" t="n"/>
      <c r="E591" s="42" t="n"/>
      <c r="F591" s="42" t="n"/>
      <c r="G591" s="42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</row>
    <row r="592" ht="15.75" customHeight="1">
      <c r="A592" s="42" t="n"/>
      <c r="B592" s="42" t="n"/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 ht="15.75" customHeight="1">
      <c r="A593" s="42" t="n"/>
      <c r="B593" s="42" t="n"/>
      <c r="C593" s="42" t="n"/>
      <c r="D593" s="42" t="n"/>
      <c r="E593" s="42" t="n"/>
      <c r="F593" s="42" t="n"/>
      <c r="G593" s="42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</row>
    <row r="594" ht="15.75" customHeight="1">
      <c r="A594" s="42" t="n"/>
      <c r="B594" s="42" t="n"/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 ht="15.75" customHeight="1">
      <c r="A595" s="42" t="n"/>
      <c r="B595" s="42" t="n"/>
      <c r="C595" s="42" t="n"/>
      <c r="D595" s="42" t="n"/>
      <c r="E595" s="42" t="n"/>
      <c r="F595" s="42" t="n"/>
      <c r="G595" s="42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</row>
    <row r="596" ht="15.75" customHeight="1">
      <c r="A596" s="42" t="n"/>
      <c r="B596" s="42" t="n"/>
      <c r="C596" s="42" t="n"/>
      <c r="D596" s="42" t="n"/>
      <c r="E596" s="42" t="n"/>
      <c r="F596" s="42" t="n"/>
      <c r="G596" s="42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 ht="15.75" customHeight="1">
      <c r="A597" s="42" t="n"/>
      <c r="B597" s="42" t="n"/>
      <c r="C597" s="42" t="n"/>
      <c r="D597" s="42" t="n"/>
      <c r="E597" s="42" t="n"/>
      <c r="F597" s="42" t="n"/>
      <c r="G597" s="42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  <c r="X597" s="42" t="n"/>
      <c r="Y597" s="42" t="n"/>
      <c r="Z597" s="42" t="n"/>
    </row>
    <row r="598" ht="15.75" customHeight="1">
      <c r="A598" s="42" t="n"/>
      <c r="B598" s="42" t="n"/>
      <c r="C598" s="42" t="n"/>
      <c r="D598" s="42" t="n"/>
      <c r="E598" s="42" t="n"/>
      <c r="F598" s="42" t="n"/>
      <c r="G598" s="42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 ht="15.75" customHeight="1">
      <c r="A599" s="42" t="n"/>
      <c r="B599" s="42" t="n"/>
      <c r="C599" s="42" t="n"/>
      <c r="D599" s="42" t="n"/>
      <c r="E599" s="42" t="n"/>
      <c r="F599" s="42" t="n"/>
      <c r="G599" s="42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  <c r="X599" s="42" t="n"/>
      <c r="Y599" s="42" t="n"/>
      <c r="Z599" s="42" t="n"/>
    </row>
    <row r="600" ht="15.75" customHeight="1">
      <c r="A600" s="42" t="n"/>
      <c r="B600" s="42" t="n"/>
      <c r="C600" s="42" t="n"/>
      <c r="D600" s="42" t="n"/>
      <c r="E600" s="42" t="n"/>
      <c r="F600" s="42" t="n"/>
      <c r="G600" s="42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 ht="15.75" customHeight="1">
      <c r="A601" s="42" t="n"/>
      <c r="B601" s="42" t="n"/>
      <c r="C601" s="42" t="n"/>
      <c r="D601" s="42" t="n"/>
      <c r="E601" s="42" t="n"/>
      <c r="F601" s="42" t="n"/>
      <c r="G601" s="42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  <c r="X601" s="42" t="n"/>
      <c r="Y601" s="42" t="n"/>
      <c r="Z601" s="42" t="n"/>
    </row>
    <row r="602" ht="15.75" customHeight="1">
      <c r="A602" s="42" t="n"/>
      <c r="B602" s="42" t="n"/>
      <c r="C602" s="42" t="n"/>
      <c r="D602" s="42" t="n"/>
      <c r="E602" s="42" t="n"/>
      <c r="F602" s="42" t="n"/>
      <c r="G602" s="42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 ht="15.75" customHeight="1">
      <c r="A603" s="42" t="n"/>
      <c r="B603" s="42" t="n"/>
      <c r="C603" s="42" t="n"/>
      <c r="D603" s="42" t="n"/>
      <c r="E603" s="42" t="n"/>
      <c r="F603" s="42" t="n"/>
      <c r="G603" s="42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  <c r="X603" s="42" t="n"/>
      <c r="Y603" s="42" t="n"/>
      <c r="Z603" s="42" t="n"/>
    </row>
    <row r="604" ht="15.75" customHeight="1">
      <c r="A604" s="42" t="n"/>
      <c r="B604" s="42" t="n"/>
      <c r="C604" s="42" t="n"/>
      <c r="D604" s="42" t="n"/>
      <c r="E604" s="42" t="n"/>
      <c r="F604" s="42" t="n"/>
      <c r="G604" s="42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 ht="15.75" customHeight="1">
      <c r="A605" s="42" t="n"/>
      <c r="B605" s="42" t="n"/>
      <c r="C605" s="42" t="n"/>
      <c r="D605" s="42" t="n"/>
      <c r="E605" s="42" t="n"/>
      <c r="F605" s="42" t="n"/>
      <c r="G605" s="42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  <c r="X605" s="42" t="n"/>
      <c r="Y605" s="42" t="n"/>
      <c r="Z605" s="42" t="n"/>
    </row>
    <row r="606" ht="15.75" customHeight="1">
      <c r="A606" s="42" t="n"/>
      <c r="B606" s="42" t="n"/>
      <c r="C606" s="42" t="n"/>
      <c r="D606" s="42" t="n"/>
      <c r="E606" s="42" t="n"/>
      <c r="F606" s="42" t="n"/>
      <c r="G606" s="42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 ht="15.75" customHeight="1">
      <c r="A607" s="42" t="n"/>
      <c r="B607" s="42" t="n"/>
      <c r="C607" s="42" t="n"/>
      <c r="D607" s="42" t="n"/>
      <c r="E607" s="42" t="n"/>
      <c r="F607" s="42" t="n"/>
      <c r="G607" s="42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  <c r="X607" s="42" t="n"/>
      <c r="Y607" s="42" t="n"/>
      <c r="Z607" s="42" t="n"/>
    </row>
    <row r="608" ht="15.75" customHeight="1">
      <c r="A608" s="42" t="n"/>
      <c r="B608" s="42" t="n"/>
      <c r="C608" s="42" t="n"/>
      <c r="D608" s="42" t="n"/>
      <c r="E608" s="42" t="n"/>
      <c r="F608" s="42" t="n"/>
      <c r="G608" s="42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 ht="15.75" customHeight="1">
      <c r="A609" s="42" t="n"/>
      <c r="B609" s="42" t="n"/>
      <c r="C609" s="42" t="n"/>
      <c r="D609" s="42" t="n"/>
      <c r="E609" s="42" t="n"/>
      <c r="F609" s="42" t="n"/>
      <c r="G609" s="42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  <c r="X609" s="42" t="n"/>
      <c r="Y609" s="42" t="n"/>
      <c r="Z609" s="42" t="n"/>
    </row>
    <row r="610" ht="15.75" customHeight="1">
      <c r="A610" s="42" t="n"/>
      <c r="B610" s="42" t="n"/>
      <c r="C610" s="42" t="n"/>
      <c r="D610" s="42" t="n"/>
      <c r="E610" s="42" t="n"/>
      <c r="F610" s="42" t="n"/>
      <c r="G610" s="42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 ht="15.75" customHeight="1">
      <c r="A611" s="42" t="n"/>
      <c r="B611" s="42" t="n"/>
      <c r="C611" s="42" t="n"/>
      <c r="D611" s="42" t="n"/>
      <c r="E611" s="42" t="n"/>
      <c r="F611" s="42" t="n"/>
      <c r="G611" s="42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  <c r="X611" s="42" t="n"/>
      <c r="Y611" s="42" t="n"/>
      <c r="Z611" s="42" t="n"/>
    </row>
    <row r="612" ht="15.75" customHeight="1">
      <c r="A612" s="42" t="n"/>
      <c r="B612" s="42" t="n"/>
      <c r="C612" s="42" t="n"/>
      <c r="D612" s="42" t="n"/>
      <c r="E612" s="42" t="n"/>
      <c r="F612" s="42" t="n"/>
      <c r="G612" s="42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 ht="15.75" customHeight="1">
      <c r="A613" s="42" t="n"/>
      <c r="B613" s="42" t="n"/>
      <c r="C613" s="42" t="n"/>
      <c r="D613" s="42" t="n"/>
      <c r="E613" s="42" t="n"/>
      <c r="F613" s="42" t="n"/>
      <c r="G613" s="42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  <c r="X613" s="42" t="n"/>
      <c r="Y613" s="42" t="n"/>
      <c r="Z613" s="42" t="n"/>
    </row>
    <row r="614" ht="15.75" customHeight="1">
      <c r="A614" s="42" t="n"/>
      <c r="B614" s="42" t="n"/>
      <c r="C614" s="42" t="n"/>
      <c r="D614" s="42" t="n"/>
      <c r="E614" s="42" t="n"/>
      <c r="F614" s="42" t="n"/>
      <c r="G614" s="42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 ht="15.75" customHeight="1">
      <c r="A615" s="42" t="n"/>
      <c r="B615" s="42" t="n"/>
      <c r="C615" s="42" t="n"/>
      <c r="D615" s="42" t="n"/>
      <c r="E615" s="42" t="n"/>
      <c r="F615" s="42" t="n"/>
      <c r="G615" s="42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  <c r="X615" s="42" t="n"/>
      <c r="Y615" s="42" t="n"/>
      <c r="Z615" s="42" t="n"/>
    </row>
    <row r="616" ht="15.75" customHeight="1">
      <c r="A616" s="42" t="n"/>
      <c r="B616" s="42" t="n"/>
      <c r="C616" s="42" t="n"/>
      <c r="D616" s="42" t="n"/>
      <c r="E616" s="42" t="n"/>
      <c r="F616" s="42" t="n"/>
      <c r="G616" s="42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 ht="15.75" customHeight="1">
      <c r="A617" s="42" t="n"/>
      <c r="B617" s="42" t="n"/>
      <c r="C617" s="42" t="n"/>
      <c r="D617" s="42" t="n"/>
      <c r="E617" s="42" t="n"/>
      <c r="F617" s="42" t="n"/>
      <c r="G617" s="42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  <c r="X617" s="42" t="n"/>
      <c r="Y617" s="42" t="n"/>
      <c r="Z617" s="42" t="n"/>
    </row>
    <row r="618" ht="15.75" customHeight="1">
      <c r="A618" s="42" t="n"/>
      <c r="B618" s="42" t="n"/>
      <c r="C618" s="42" t="n"/>
      <c r="D618" s="42" t="n"/>
      <c r="E618" s="42" t="n"/>
      <c r="F618" s="42" t="n"/>
      <c r="G618" s="42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 ht="15.75" customHeight="1">
      <c r="A619" s="42" t="n"/>
      <c r="B619" s="42" t="n"/>
      <c r="C619" s="42" t="n"/>
      <c r="D619" s="42" t="n"/>
      <c r="E619" s="42" t="n"/>
      <c r="F619" s="42" t="n"/>
      <c r="G619" s="42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  <c r="X619" s="42" t="n"/>
      <c r="Y619" s="42" t="n"/>
      <c r="Z619" s="42" t="n"/>
    </row>
    <row r="620" ht="15.75" customHeight="1">
      <c r="A620" s="42" t="n"/>
      <c r="B620" s="42" t="n"/>
      <c r="C620" s="42" t="n"/>
      <c r="D620" s="42" t="n"/>
      <c r="E620" s="42" t="n"/>
      <c r="F620" s="42" t="n"/>
      <c r="G620" s="42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 ht="15.75" customHeight="1">
      <c r="A621" s="42" t="n"/>
      <c r="B621" s="42" t="n"/>
      <c r="C621" s="42" t="n"/>
      <c r="D621" s="42" t="n"/>
      <c r="E621" s="42" t="n"/>
      <c r="F621" s="42" t="n"/>
      <c r="G621" s="42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  <c r="X621" s="42" t="n"/>
      <c r="Y621" s="42" t="n"/>
      <c r="Z621" s="42" t="n"/>
    </row>
    <row r="622" ht="15.75" customHeight="1">
      <c r="A622" s="42" t="n"/>
      <c r="B622" s="42" t="n"/>
      <c r="C622" s="42" t="n"/>
      <c r="D622" s="42" t="n"/>
      <c r="E622" s="42" t="n"/>
      <c r="F622" s="42" t="n"/>
      <c r="G622" s="42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 ht="15.75" customHeight="1">
      <c r="A623" s="42" t="n"/>
      <c r="B623" s="42" t="n"/>
      <c r="C623" s="42" t="n"/>
      <c r="D623" s="42" t="n"/>
      <c r="E623" s="42" t="n"/>
      <c r="F623" s="42" t="n"/>
      <c r="G623" s="42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  <c r="X623" s="42" t="n"/>
      <c r="Y623" s="42" t="n"/>
      <c r="Z623" s="42" t="n"/>
    </row>
    <row r="624" ht="15.75" customHeight="1">
      <c r="A624" s="42" t="n"/>
      <c r="B624" s="42" t="n"/>
      <c r="C624" s="42" t="n"/>
      <c r="D624" s="42" t="n"/>
      <c r="E624" s="42" t="n"/>
      <c r="F624" s="42" t="n"/>
      <c r="G624" s="42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 ht="15.75" customHeight="1">
      <c r="A625" s="42" t="n"/>
      <c r="B625" s="42" t="n"/>
      <c r="C625" s="42" t="n"/>
      <c r="D625" s="42" t="n"/>
      <c r="E625" s="42" t="n"/>
      <c r="F625" s="42" t="n"/>
      <c r="G625" s="42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  <c r="X625" s="42" t="n"/>
      <c r="Y625" s="42" t="n"/>
      <c r="Z625" s="42" t="n"/>
    </row>
    <row r="626" ht="15.75" customHeight="1">
      <c r="A626" s="42" t="n"/>
      <c r="B626" s="42" t="n"/>
      <c r="C626" s="42" t="n"/>
      <c r="D626" s="42" t="n"/>
      <c r="E626" s="42" t="n"/>
      <c r="F626" s="42" t="n"/>
      <c r="G626" s="42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 ht="15.75" customHeight="1">
      <c r="A627" s="42" t="n"/>
      <c r="B627" s="42" t="n"/>
      <c r="C627" s="42" t="n"/>
      <c r="D627" s="42" t="n"/>
      <c r="E627" s="42" t="n"/>
      <c r="F627" s="42" t="n"/>
      <c r="G627" s="42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</row>
    <row r="628" ht="15.75" customHeight="1">
      <c r="A628" s="42" t="n"/>
      <c r="B628" s="42" t="n"/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 ht="15.75" customHeight="1">
      <c r="A629" s="42" t="n"/>
      <c r="B629" s="42" t="n"/>
      <c r="C629" s="42" t="n"/>
      <c r="D629" s="42" t="n"/>
      <c r="E629" s="42" t="n"/>
      <c r="F629" s="42" t="n"/>
      <c r="G629" s="42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</row>
    <row r="630" ht="15.75" customHeight="1">
      <c r="A630" s="42" t="n"/>
      <c r="B630" s="42" t="n"/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 ht="15.75" customHeight="1">
      <c r="A631" s="42" t="n"/>
      <c r="B631" s="42" t="n"/>
      <c r="C631" s="42" t="n"/>
      <c r="D631" s="42" t="n"/>
      <c r="E631" s="42" t="n"/>
      <c r="F631" s="42" t="n"/>
      <c r="G631" s="42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</row>
    <row r="632" ht="15.75" customHeight="1">
      <c r="A632" s="42" t="n"/>
      <c r="B632" s="42" t="n"/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 ht="15.75" customHeight="1">
      <c r="A633" s="42" t="n"/>
      <c r="B633" s="42" t="n"/>
      <c r="C633" s="42" t="n"/>
      <c r="D633" s="42" t="n"/>
      <c r="E633" s="42" t="n"/>
      <c r="F633" s="42" t="n"/>
      <c r="G633" s="42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</row>
    <row r="634" ht="15.75" customHeight="1">
      <c r="A634" s="42" t="n"/>
      <c r="B634" s="42" t="n"/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 ht="15.75" customHeight="1">
      <c r="A635" s="42" t="n"/>
      <c r="B635" s="42" t="n"/>
      <c r="C635" s="42" t="n"/>
      <c r="D635" s="42" t="n"/>
      <c r="E635" s="42" t="n"/>
      <c r="F635" s="42" t="n"/>
      <c r="G635" s="42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</row>
    <row r="636" ht="15.75" customHeight="1">
      <c r="A636" s="42" t="n"/>
      <c r="B636" s="42" t="n"/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 ht="15.75" customHeight="1">
      <c r="A637" s="42" t="n"/>
      <c r="B637" s="42" t="n"/>
      <c r="C637" s="42" t="n"/>
      <c r="D637" s="42" t="n"/>
      <c r="E637" s="42" t="n"/>
      <c r="F637" s="42" t="n"/>
      <c r="G637" s="42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</row>
    <row r="638" ht="15.75" customHeight="1">
      <c r="A638" s="42" t="n"/>
      <c r="B638" s="42" t="n"/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 ht="15.75" customHeight="1">
      <c r="A639" s="42" t="n"/>
      <c r="B639" s="42" t="n"/>
      <c r="C639" s="42" t="n"/>
      <c r="D639" s="42" t="n"/>
      <c r="E639" s="42" t="n"/>
      <c r="F639" s="42" t="n"/>
      <c r="G639" s="42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</row>
    <row r="640" ht="15.75" customHeight="1">
      <c r="A640" s="42" t="n"/>
      <c r="B640" s="42" t="n"/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 ht="15.75" customHeight="1">
      <c r="A641" s="42" t="n"/>
      <c r="B641" s="42" t="n"/>
      <c r="C641" s="42" t="n"/>
      <c r="D641" s="42" t="n"/>
      <c r="E641" s="42" t="n"/>
      <c r="F641" s="42" t="n"/>
      <c r="G641" s="42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</row>
    <row r="642" ht="15.75" customHeight="1">
      <c r="A642" s="42" t="n"/>
      <c r="B642" s="42" t="n"/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 ht="15.75" customHeight="1">
      <c r="A643" s="42" t="n"/>
      <c r="B643" s="42" t="n"/>
      <c r="C643" s="42" t="n"/>
      <c r="D643" s="42" t="n"/>
      <c r="E643" s="42" t="n"/>
      <c r="F643" s="42" t="n"/>
      <c r="G643" s="42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</row>
    <row r="644" ht="15.75" customHeight="1">
      <c r="A644" s="42" t="n"/>
      <c r="B644" s="42" t="n"/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 ht="15.75" customHeight="1">
      <c r="A645" s="42" t="n"/>
      <c r="B645" s="42" t="n"/>
      <c r="C645" s="42" t="n"/>
      <c r="D645" s="42" t="n"/>
      <c r="E645" s="42" t="n"/>
      <c r="F645" s="42" t="n"/>
      <c r="G645" s="42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</row>
    <row r="646" ht="15.75" customHeight="1">
      <c r="A646" s="42" t="n"/>
      <c r="B646" s="42" t="n"/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 ht="15.75" customHeight="1">
      <c r="A647" s="42" t="n"/>
      <c r="B647" s="42" t="n"/>
      <c r="C647" s="42" t="n"/>
      <c r="D647" s="42" t="n"/>
      <c r="E647" s="42" t="n"/>
      <c r="F647" s="42" t="n"/>
      <c r="G647" s="42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</row>
    <row r="648" ht="15.75" customHeight="1">
      <c r="A648" s="42" t="n"/>
      <c r="B648" s="42" t="n"/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 ht="15.75" customHeight="1">
      <c r="A649" s="42" t="n"/>
      <c r="B649" s="42" t="n"/>
      <c r="C649" s="42" t="n"/>
      <c r="D649" s="42" t="n"/>
      <c r="E649" s="42" t="n"/>
      <c r="F649" s="42" t="n"/>
      <c r="G649" s="42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</row>
    <row r="650" ht="15.75" customHeight="1">
      <c r="A650" s="42" t="n"/>
      <c r="B650" s="42" t="n"/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 ht="15.75" customHeight="1">
      <c r="A651" s="42" t="n"/>
      <c r="B651" s="42" t="n"/>
      <c r="C651" s="42" t="n"/>
      <c r="D651" s="42" t="n"/>
      <c r="E651" s="42" t="n"/>
      <c r="F651" s="42" t="n"/>
      <c r="G651" s="42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</row>
    <row r="652" ht="15.75" customHeight="1">
      <c r="A652" s="42" t="n"/>
      <c r="B652" s="42" t="n"/>
      <c r="C652" s="42" t="n"/>
      <c r="D652" s="42" t="n"/>
      <c r="E652" s="42" t="n"/>
      <c r="F652" s="42" t="n"/>
      <c r="G652" s="42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 ht="15.75" customHeight="1">
      <c r="A653" s="42" t="n"/>
      <c r="B653" s="42" t="n"/>
      <c r="C653" s="42" t="n"/>
      <c r="D653" s="42" t="n"/>
      <c r="E653" s="42" t="n"/>
      <c r="F653" s="42" t="n"/>
      <c r="G653" s="42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  <c r="X653" s="42" t="n"/>
      <c r="Y653" s="42" t="n"/>
      <c r="Z653" s="42" t="n"/>
    </row>
    <row r="654" ht="15.75" customHeight="1">
      <c r="A654" s="42" t="n"/>
      <c r="B654" s="42" t="n"/>
      <c r="C654" s="42" t="n"/>
      <c r="D654" s="42" t="n"/>
      <c r="E654" s="42" t="n"/>
      <c r="F654" s="42" t="n"/>
      <c r="G654" s="42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 ht="15.75" customHeight="1">
      <c r="A655" s="42" t="n"/>
      <c r="B655" s="42" t="n"/>
      <c r="C655" s="42" t="n"/>
      <c r="D655" s="42" t="n"/>
      <c r="E655" s="42" t="n"/>
      <c r="F655" s="42" t="n"/>
      <c r="G655" s="42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  <c r="X655" s="42" t="n"/>
      <c r="Y655" s="42" t="n"/>
      <c r="Z655" s="42" t="n"/>
    </row>
    <row r="656" ht="15.75" customHeight="1">
      <c r="A656" s="42" t="n"/>
      <c r="B656" s="42" t="n"/>
      <c r="C656" s="42" t="n"/>
      <c r="D656" s="42" t="n"/>
      <c r="E656" s="42" t="n"/>
      <c r="F656" s="42" t="n"/>
      <c r="G656" s="42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 ht="15.75" customHeight="1">
      <c r="A657" s="42" t="n"/>
      <c r="B657" s="42" t="n"/>
      <c r="C657" s="42" t="n"/>
      <c r="D657" s="42" t="n"/>
      <c r="E657" s="42" t="n"/>
      <c r="F657" s="42" t="n"/>
      <c r="G657" s="42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  <c r="X657" s="42" t="n"/>
      <c r="Y657" s="42" t="n"/>
      <c r="Z657" s="42" t="n"/>
    </row>
    <row r="658" ht="15.75" customHeight="1">
      <c r="A658" s="42" t="n"/>
      <c r="B658" s="42" t="n"/>
      <c r="C658" s="42" t="n"/>
      <c r="D658" s="42" t="n"/>
      <c r="E658" s="42" t="n"/>
      <c r="F658" s="42" t="n"/>
      <c r="G658" s="42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 ht="15.75" customHeight="1">
      <c r="A659" s="42" t="n"/>
      <c r="B659" s="42" t="n"/>
      <c r="C659" s="42" t="n"/>
      <c r="D659" s="42" t="n"/>
      <c r="E659" s="42" t="n"/>
      <c r="F659" s="42" t="n"/>
      <c r="G659" s="42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  <c r="X659" s="42" t="n"/>
      <c r="Y659" s="42" t="n"/>
      <c r="Z659" s="42" t="n"/>
    </row>
    <row r="660" ht="15.75" customHeight="1">
      <c r="A660" s="42" t="n"/>
      <c r="B660" s="42" t="n"/>
      <c r="C660" s="42" t="n"/>
      <c r="D660" s="42" t="n"/>
      <c r="E660" s="42" t="n"/>
      <c r="F660" s="42" t="n"/>
      <c r="G660" s="42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 ht="15.75" customHeight="1">
      <c r="A661" s="42" t="n"/>
      <c r="B661" s="42" t="n"/>
      <c r="C661" s="42" t="n"/>
      <c r="D661" s="42" t="n"/>
      <c r="E661" s="42" t="n"/>
      <c r="F661" s="42" t="n"/>
      <c r="G661" s="42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  <c r="X661" s="42" t="n"/>
      <c r="Y661" s="42" t="n"/>
      <c r="Z661" s="42" t="n"/>
    </row>
    <row r="662" ht="15.75" customHeight="1">
      <c r="A662" s="42" t="n"/>
      <c r="B662" s="42" t="n"/>
      <c r="C662" s="42" t="n"/>
      <c r="D662" s="42" t="n"/>
      <c r="E662" s="42" t="n"/>
      <c r="F662" s="42" t="n"/>
      <c r="G662" s="42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 ht="15.75" customHeight="1">
      <c r="A663" s="42" t="n"/>
      <c r="B663" s="42" t="n"/>
      <c r="C663" s="42" t="n"/>
      <c r="D663" s="42" t="n"/>
      <c r="E663" s="42" t="n"/>
      <c r="F663" s="42" t="n"/>
      <c r="G663" s="42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  <c r="X663" s="42" t="n"/>
      <c r="Y663" s="42" t="n"/>
      <c r="Z663" s="42" t="n"/>
    </row>
    <row r="664" ht="15.75" customHeight="1">
      <c r="A664" s="42" t="n"/>
      <c r="B664" s="42" t="n"/>
      <c r="C664" s="42" t="n"/>
      <c r="D664" s="42" t="n"/>
      <c r="E664" s="42" t="n"/>
      <c r="F664" s="42" t="n"/>
      <c r="G664" s="42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 ht="15.75" customHeight="1">
      <c r="A665" s="42" t="n"/>
      <c r="B665" s="42" t="n"/>
      <c r="C665" s="42" t="n"/>
      <c r="D665" s="42" t="n"/>
      <c r="E665" s="42" t="n"/>
      <c r="F665" s="42" t="n"/>
      <c r="G665" s="42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  <c r="X665" s="42" t="n"/>
      <c r="Y665" s="42" t="n"/>
      <c r="Z665" s="42" t="n"/>
    </row>
    <row r="666" ht="15.75" customHeight="1">
      <c r="A666" s="42" t="n"/>
      <c r="B666" s="42" t="n"/>
      <c r="C666" s="42" t="n"/>
      <c r="D666" s="42" t="n"/>
      <c r="E666" s="42" t="n"/>
      <c r="F666" s="42" t="n"/>
      <c r="G666" s="42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 ht="15.75" customHeight="1">
      <c r="A667" s="42" t="n"/>
      <c r="B667" s="42" t="n"/>
      <c r="C667" s="42" t="n"/>
      <c r="D667" s="42" t="n"/>
      <c r="E667" s="42" t="n"/>
      <c r="F667" s="42" t="n"/>
      <c r="G667" s="42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  <c r="X667" s="42" t="n"/>
      <c r="Y667" s="42" t="n"/>
      <c r="Z667" s="42" t="n"/>
    </row>
    <row r="668" ht="15.75" customHeight="1">
      <c r="A668" s="42" t="n"/>
      <c r="B668" s="42" t="n"/>
      <c r="C668" s="42" t="n"/>
      <c r="D668" s="42" t="n"/>
      <c r="E668" s="42" t="n"/>
      <c r="F668" s="42" t="n"/>
      <c r="G668" s="42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 ht="15.75" customHeight="1">
      <c r="A669" s="42" t="n"/>
      <c r="B669" s="42" t="n"/>
      <c r="C669" s="42" t="n"/>
      <c r="D669" s="42" t="n"/>
      <c r="E669" s="42" t="n"/>
      <c r="F669" s="42" t="n"/>
      <c r="G669" s="42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  <c r="X669" s="42" t="n"/>
      <c r="Y669" s="42" t="n"/>
      <c r="Z669" s="42" t="n"/>
    </row>
    <row r="670" ht="15.75" customHeight="1">
      <c r="A670" s="42" t="n"/>
      <c r="B670" s="42" t="n"/>
      <c r="C670" s="42" t="n"/>
      <c r="D670" s="42" t="n"/>
      <c r="E670" s="42" t="n"/>
      <c r="F670" s="42" t="n"/>
      <c r="G670" s="42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 ht="15.75" customHeight="1">
      <c r="A671" s="42" t="n"/>
      <c r="B671" s="42" t="n"/>
      <c r="C671" s="42" t="n"/>
      <c r="D671" s="42" t="n"/>
      <c r="E671" s="42" t="n"/>
      <c r="F671" s="42" t="n"/>
      <c r="G671" s="42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  <c r="X671" s="42" t="n"/>
      <c r="Y671" s="42" t="n"/>
      <c r="Z671" s="42" t="n"/>
    </row>
    <row r="672" ht="15.75" customHeight="1">
      <c r="A672" s="42" t="n"/>
      <c r="B672" s="42" t="n"/>
      <c r="C672" s="42" t="n"/>
      <c r="D672" s="42" t="n"/>
      <c r="E672" s="42" t="n"/>
      <c r="F672" s="42" t="n"/>
      <c r="G672" s="42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 ht="15.75" customHeight="1">
      <c r="A673" s="42" t="n"/>
      <c r="B673" s="42" t="n"/>
      <c r="C673" s="42" t="n"/>
      <c r="D673" s="42" t="n"/>
      <c r="E673" s="42" t="n"/>
      <c r="F673" s="42" t="n"/>
      <c r="G673" s="42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  <c r="X673" s="42" t="n"/>
      <c r="Y673" s="42" t="n"/>
      <c r="Z673" s="42" t="n"/>
    </row>
    <row r="674" ht="15.75" customHeight="1">
      <c r="A674" s="42" t="n"/>
      <c r="B674" s="42" t="n"/>
      <c r="C674" s="42" t="n"/>
      <c r="D674" s="42" t="n"/>
      <c r="E674" s="42" t="n"/>
      <c r="F674" s="42" t="n"/>
      <c r="G674" s="42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 ht="15.75" customHeight="1">
      <c r="A675" s="42" t="n"/>
      <c r="B675" s="42" t="n"/>
      <c r="C675" s="42" t="n"/>
      <c r="D675" s="42" t="n"/>
      <c r="E675" s="42" t="n"/>
      <c r="F675" s="42" t="n"/>
      <c r="G675" s="42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  <c r="X675" s="42" t="n"/>
      <c r="Y675" s="42" t="n"/>
      <c r="Z675" s="42" t="n"/>
    </row>
    <row r="676" ht="15.75" customHeight="1">
      <c r="A676" s="42" t="n"/>
      <c r="B676" s="42" t="n"/>
      <c r="C676" s="42" t="n"/>
      <c r="D676" s="42" t="n"/>
      <c r="E676" s="42" t="n"/>
      <c r="F676" s="42" t="n"/>
      <c r="G676" s="42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 ht="15.75" customHeight="1">
      <c r="A677" s="42" t="n"/>
      <c r="B677" s="42" t="n"/>
      <c r="C677" s="42" t="n"/>
      <c r="D677" s="42" t="n"/>
      <c r="E677" s="42" t="n"/>
      <c r="F677" s="42" t="n"/>
      <c r="G677" s="42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  <c r="X677" s="42" t="n"/>
      <c r="Y677" s="42" t="n"/>
      <c r="Z677" s="42" t="n"/>
    </row>
    <row r="678" ht="15.75" customHeight="1">
      <c r="A678" s="42" t="n"/>
      <c r="B678" s="42" t="n"/>
      <c r="C678" s="42" t="n"/>
      <c r="D678" s="42" t="n"/>
      <c r="E678" s="42" t="n"/>
      <c r="F678" s="42" t="n"/>
      <c r="G678" s="42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 ht="15.75" customHeight="1">
      <c r="A679" s="42" t="n"/>
      <c r="B679" s="42" t="n"/>
      <c r="C679" s="42" t="n"/>
      <c r="D679" s="42" t="n"/>
      <c r="E679" s="42" t="n"/>
      <c r="F679" s="42" t="n"/>
      <c r="G679" s="42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  <c r="X679" s="42" t="n"/>
      <c r="Y679" s="42" t="n"/>
      <c r="Z679" s="42" t="n"/>
    </row>
    <row r="680" ht="15.75" customHeight="1">
      <c r="A680" s="42" t="n"/>
      <c r="B680" s="42" t="n"/>
      <c r="C680" s="42" t="n"/>
      <c r="D680" s="42" t="n"/>
      <c r="E680" s="42" t="n"/>
      <c r="F680" s="42" t="n"/>
      <c r="G680" s="42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 ht="15.75" customHeight="1">
      <c r="A681" s="42" t="n"/>
      <c r="B681" s="42" t="n"/>
      <c r="C681" s="42" t="n"/>
      <c r="D681" s="42" t="n"/>
      <c r="E681" s="42" t="n"/>
      <c r="F681" s="42" t="n"/>
      <c r="G681" s="42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  <c r="X681" s="42" t="n"/>
      <c r="Y681" s="42" t="n"/>
      <c r="Z681" s="42" t="n"/>
    </row>
    <row r="682" ht="15.75" customHeight="1">
      <c r="A682" s="42" t="n"/>
      <c r="B682" s="42" t="n"/>
      <c r="C682" s="42" t="n"/>
      <c r="D682" s="42" t="n"/>
      <c r="E682" s="42" t="n"/>
      <c r="F682" s="42" t="n"/>
      <c r="G682" s="42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 ht="15.75" customHeight="1">
      <c r="A683" s="42" t="n"/>
      <c r="B683" s="42" t="n"/>
      <c r="C683" s="42" t="n"/>
      <c r="D683" s="42" t="n"/>
      <c r="E683" s="42" t="n"/>
      <c r="F683" s="42" t="n"/>
      <c r="G683" s="42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</row>
    <row r="684" ht="15.75" customHeight="1">
      <c r="A684" s="42" t="n"/>
      <c r="B684" s="42" t="n"/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 ht="15.75" customHeight="1">
      <c r="A685" s="42" t="n"/>
      <c r="B685" s="42" t="n"/>
      <c r="C685" s="42" t="n"/>
      <c r="D685" s="42" t="n"/>
      <c r="E685" s="42" t="n"/>
      <c r="F685" s="42" t="n"/>
      <c r="G685" s="42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</row>
    <row r="686" ht="15.75" customHeight="1">
      <c r="A686" s="42" t="n"/>
      <c r="B686" s="42" t="n"/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 ht="15.75" customHeight="1">
      <c r="A687" s="42" t="n"/>
      <c r="B687" s="42" t="n"/>
      <c r="C687" s="42" t="n"/>
      <c r="D687" s="42" t="n"/>
      <c r="E687" s="42" t="n"/>
      <c r="F687" s="42" t="n"/>
      <c r="G687" s="42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</row>
    <row r="688" ht="15.75" customHeight="1">
      <c r="A688" s="42" t="n"/>
      <c r="B688" s="42" t="n"/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 ht="15.75" customHeight="1">
      <c r="A689" s="42" t="n"/>
      <c r="B689" s="42" t="n"/>
      <c r="C689" s="42" t="n"/>
      <c r="D689" s="42" t="n"/>
      <c r="E689" s="42" t="n"/>
      <c r="F689" s="42" t="n"/>
      <c r="G689" s="42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</row>
    <row r="690" ht="15.75" customHeight="1">
      <c r="A690" s="42" t="n"/>
      <c r="B690" s="42" t="n"/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 ht="15.75" customHeight="1">
      <c r="A691" s="42" t="n"/>
      <c r="B691" s="42" t="n"/>
      <c r="C691" s="42" t="n"/>
      <c r="D691" s="42" t="n"/>
      <c r="E691" s="42" t="n"/>
      <c r="F691" s="42" t="n"/>
      <c r="G691" s="42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</row>
    <row r="692" ht="15.75" customHeight="1">
      <c r="A692" s="42" t="n"/>
      <c r="B692" s="42" t="n"/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 ht="15.75" customHeight="1">
      <c r="A693" s="42" t="n"/>
      <c r="B693" s="42" t="n"/>
      <c r="C693" s="42" t="n"/>
      <c r="D693" s="42" t="n"/>
      <c r="E693" s="42" t="n"/>
      <c r="F693" s="42" t="n"/>
      <c r="G693" s="42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</row>
    <row r="694" ht="15.75" customHeight="1">
      <c r="A694" s="42" t="n"/>
      <c r="B694" s="42" t="n"/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 ht="15.75" customHeight="1">
      <c r="A695" s="42" t="n"/>
      <c r="B695" s="42" t="n"/>
      <c r="C695" s="42" t="n"/>
      <c r="D695" s="42" t="n"/>
      <c r="E695" s="42" t="n"/>
      <c r="F695" s="42" t="n"/>
      <c r="G695" s="42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</row>
    <row r="696" ht="15.75" customHeight="1">
      <c r="A696" s="42" t="n"/>
      <c r="B696" s="42" t="n"/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 ht="15.75" customHeight="1">
      <c r="A697" s="42" t="n"/>
      <c r="B697" s="42" t="n"/>
      <c r="C697" s="42" t="n"/>
      <c r="D697" s="42" t="n"/>
      <c r="E697" s="42" t="n"/>
      <c r="F697" s="42" t="n"/>
      <c r="G697" s="42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</row>
    <row r="698" ht="15.75" customHeight="1">
      <c r="A698" s="42" t="n"/>
      <c r="B698" s="42" t="n"/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 ht="15.75" customHeight="1">
      <c r="A699" s="42" t="n"/>
      <c r="B699" s="42" t="n"/>
      <c r="C699" s="42" t="n"/>
      <c r="D699" s="42" t="n"/>
      <c r="E699" s="42" t="n"/>
      <c r="F699" s="42" t="n"/>
      <c r="G699" s="42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</row>
    <row r="700" ht="15.75" customHeight="1">
      <c r="A700" s="42" t="n"/>
      <c r="B700" s="42" t="n"/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 ht="15.75" customHeight="1">
      <c r="A701" s="42" t="n"/>
      <c r="B701" s="42" t="n"/>
      <c r="C701" s="42" t="n"/>
      <c r="D701" s="42" t="n"/>
      <c r="E701" s="42" t="n"/>
      <c r="F701" s="42" t="n"/>
      <c r="G701" s="42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</row>
    <row r="702" ht="15.75" customHeight="1">
      <c r="A702" s="42" t="n"/>
      <c r="B702" s="42" t="n"/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 ht="15.75" customHeight="1">
      <c r="A703" s="42" t="n"/>
      <c r="B703" s="42" t="n"/>
      <c r="C703" s="42" t="n"/>
      <c r="D703" s="42" t="n"/>
      <c r="E703" s="42" t="n"/>
      <c r="F703" s="42" t="n"/>
      <c r="G703" s="42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</row>
    <row r="704" ht="15.75" customHeight="1">
      <c r="A704" s="42" t="n"/>
      <c r="B704" s="42" t="n"/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 ht="15.75" customHeight="1">
      <c r="A705" s="42" t="n"/>
      <c r="B705" s="42" t="n"/>
      <c r="C705" s="42" t="n"/>
      <c r="D705" s="42" t="n"/>
      <c r="E705" s="42" t="n"/>
      <c r="F705" s="42" t="n"/>
      <c r="G705" s="42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</row>
    <row r="706" ht="15.75" customHeight="1">
      <c r="A706" s="42" t="n"/>
      <c r="B706" s="42" t="n"/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 ht="15.75" customHeight="1">
      <c r="A707" s="42" t="n"/>
      <c r="B707" s="42" t="n"/>
      <c r="C707" s="42" t="n"/>
      <c r="D707" s="42" t="n"/>
      <c r="E707" s="42" t="n"/>
      <c r="F707" s="42" t="n"/>
      <c r="G707" s="42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</row>
    <row r="708" ht="15.75" customHeight="1">
      <c r="A708" s="42" t="n"/>
      <c r="B708" s="42" t="n"/>
      <c r="C708" s="42" t="n"/>
      <c r="D708" s="42" t="n"/>
      <c r="E708" s="42" t="n"/>
      <c r="F708" s="42" t="n"/>
      <c r="G708" s="42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 ht="15.75" customHeight="1">
      <c r="A709" s="42" t="n"/>
      <c r="B709" s="42" t="n"/>
      <c r="C709" s="42" t="n"/>
      <c r="D709" s="42" t="n"/>
      <c r="E709" s="42" t="n"/>
      <c r="F709" s="42" t="n"/>
      <c r="G709" s="42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  <c r="X709" s="42" t="n"/>
      <c r="Y709" s="42" t="n"/>
      <c r="Z709" s="42" t="n"/>
    </row>
    <row r="710" ht="15.75" customHeight="1">
      <c r="A710" s="42" t="n"/>
      <c r="B710" s="42" t="n"/>
      <c r="C710" s="42" t="n"/>
      <c r="D710" s="42" t="n"/>
      <c r="E710" s="42" t="n"/>
      <c r="F710" s="42" t="n"/>
      <c r="G710" s="42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 ht="15.75" customHeight="1">
      <c r="A711" s="42" t="n"/>
      <c r="B711" s="42" t="n"/>
      <c r="C711" s="42" t="n"/>
      <c r="D711" s="42" t="n"/>
      <c r="E711" s="42" t="n"/>
      <c r="F711" s="42" t="n"/>
      <c r="G711" s="42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  <c r="X711" s="42" t="n"/>
      <c r="Y711" s="42" t="n"/>
      <c r="Z711" s="42" t="n"/>
    </row>
    <row r="712" ht="15.75" customHeight="1">
      <c r="A712" s="42" t="n"/>
      <c r="B712" s="42" t="n"/>
      <c r="C712" s="42" t="n"/>
      <c r="D712" s="42" t="n"/>
      <c r="E712" s="42" t="n"/>
      <c r="F712" s="42" t="n"/>
      <c r="G712" s="42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 ht="15.75" customHeight="1">
      <c r="A713" s="42" t="n"/>
      <c r="B713" s="42" t="n"/>
      <c r="C713" s="42" t="n"/>
      <c r="D713" s="42" t="n"/>
      <c r="E713" s="42" t="n"/>
      <c r="F713" s="42" t="n"/>
      <c r="G713" s="42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  <c r="X713" s="42" t="n"/>
      <c r="Y713" s="42" t="n"/>
      <c r="Z713" s="42" t="n"/>
    </row>
    <row r="714" ht="15.75" customHeight="1">
      <c r="A714" s="42" t="n"/>
      <c r="B714" s="42" t="n"/>
      <c r="C714" s="42" t="n"/>
      <c r="D714" s="42" t="n"/>
      <c r="E714" s="42" t="n"/>
      <c r="F714" s="42" t="n"/>
      <c r="G714" s="42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 ht="15.75" customHeight="1">
      <c r="A715" s="42" t="n"/>
      <c r="B715" s="42" t="n"/>
      <c r="C715" s="42" t="n"/>
      <c r="D715" s="42" t="n"/>
      <c r="E715" s="42" t="n"/>
      <c r="F715" s="42" t="n"/>
      <c r="G715" s="42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  <c r="X715" s="42" t="n"/>
      <c r="Y715" s="42" t="n"/>
      <c r="Z715" s="42" t="n"/>
    </row>
    <row r="716" ht="15.75" customHeight="1">
      <c r="A716" s="42" t="n"/>
      <c r="B716" s="42" t="n"/>
      <c r="C716" s="42" t="n"/>
      <c r="D716" s="42" t="n"/>
      <c r="E716" s="42" t="n"/>
      <c r="F716" s="42" t="n"/>
      <c r="G716" s="42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 ht="15.75" customHeight="1">
      <c r="A717" s="42" t="n"/>
      <c r="B717" s="42" t="n"/>
      <c r="C717" s="42" t="n"/>
      <c r="D717" s="42" t="n"/>
      <c r="E717" s="42" t="n"/>
      <c r="F717" s="42" t="n"/>
      <c r="G717" s="42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  <c r="X717" s="42" t="n"/>
      <c r="Y717" s="42" t="n"/>
      <c r="Z717" s="42" t="n"/>
    </row>
    <row r="718" ht="15.75" customHeight="1">
      <c r="A718" s="42" t="n"/>
      <c r="B718" s="42" t="n"/>
      <c r="C718" s="42" t="n"/>
      <c r="D718" s="42" t="n"/>
      <c r="E718" s="42" t="n"/>
      <c r="F718" s="42" t="n"/>
      <c r="G718" s="42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 ht="15.75" customHeight="1">
      <c r="A719" s="42" t="n"/>
      <c r="B719" s="42" t="n"/>
      <c r="C719" s="42" t="n"/>
      <c r="D719" s="42" t="n"/>
      <c r="E719" s="42" t="n"/>
      <c r="F719" s="42" t="n"/>
      <c r="G719" s="42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  <c r="X719" s="42" t="n"/>
      <c r="Y719" s="42" t="n"/>
      <c r="Z719" s="42" t="n"/>
    </row>
    <row r="720" ht="15.75" customHeight="1">
      <c r="A720" s="42" t="n"/>
      <c r="B720" s="42" t="n"/>
      <c r="C720" s="42" t="n"/>
      <c r="D720" s="42" t="n"/>
      <c r="E720" s="42" t="n"/>
      <c r="F720" s="42" t="n"/>
      <c r="G720" s="42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 ht="15.75" customHeight="1">
      <c r="A721" s="42" t="n"/>
      <c r="B721" s="42" t="n"/>
      <c r="C721" s="42" t="n"/>
      <c r="D721" s="42" t="n"/>
      <c r="E721" s="42" t="n"/>
      <c r="F721" s="42" t="n"/>
      <c r="G721" s="42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  <c r="X721" s="42" t="n"/>
      <c r="Y721" s="42" t="n"/>
      <c r="Z721" s="42" t="n"/>
    </row>
    <row r="722" ht="15.75" customHeight="1">
      <c r="A722" s="42" t="n"/>
      <c r="B722" s="42" t="n"/>
      <c r="C722" s="42" t="n"/>
      <c r="D722" s="42" t="n"/>
      <c r="E722" s="42" t="n"/>
      <c r="F722" s="42" t="n"/>
      <c r="G722" s="42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 ht="15.75" customHeight="1">
      <c r="A723" s="42" t="n"/>
      <c r="B723" s="42" t="n"/>
      <c r="C723" s="42" t="n"/>
      <c r="D723" s="42" t="n"/>
      <c r="E723" s="42" t="n"/>
      <c r="F723" s="42" t="n"/>
      <c r="G723" s="42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  <c r="X723" s="42" t="n"/>
      <c r="Y723" s="42" t="n"/>
      <c r="Z723" s="42" t="n"/>
    </row>
    <row r="724" ht="15.75" customHeight="1">
      <c r="A724" s="42" t="n"/>
      <c r="B724" s="42" t="n"/>
      <c r="C724" s="42" t="n"/>
      <c r="D724" s="42" t="n"/>
      <c r="E724" s="42" t="n"/>
      <c r="F724" s="42" t="n"/>
      <c r="G724" s="42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 ht="15.75" customHeight="1">
      <c r="A725" s="42" t="n"/>
      <c r="B725" s="42" t="n"/>
      <c r="C725" s="42" t="n"/>
      <c r="D725" s="42" t="n"/>
      <c r="E725" s="42" t="n"/>
      <c r="F725" s="42" t="n"/>
      <c r="G725" s="42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  <c r="X725" s="42" t="n"/>
      <c r="Y725" s="42" t="n"/>
      <c r="Z725" s="42" t="n"/>
    </row>
    <row r="726" ht="15.75" customHeight="1">
      <c r="A726" s="42" t="n"/>
      <c r="B726" s="42" t="n"/>
      <c r="C726" s="42" t="n"/>
      <c r="D726" s="42" t="n"/>
      <c r="E726" s="42" t="n"/>
      <c r="F726" s="42" t="n"/>
      <c r="G726" s="42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 ht="15.75" customHeight="1">
      <c r="A727" s="42" t="n"/>
      <c r="B727" s="42" t="n"/>
      <c r="C727" s="42" t="n"/>
      <c r="D727" s="42" t="n"/>
      <c r="E727" s="42" t="n"/>
      <c r="F727" s="42" t="n"/>
      <c r="G727" s="42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  <c r="X727" s="42" t="n"/>
      <c r="Y727" s="42" t="n"/>
      <c r="Z727" s="42" t="n"/>
    </row>
    <row r="728" ht="15.75" customHeight="1">
      <c r="A728" s="42" t="n"/>
      <c r="B728" s="42" t="n"/>
      <c r="C728" s="42" t="n"/>
      <c r="D728" s="42" t="n"/>
      <c r="E728" s="42" t="n"/>
      <c r="F728" s="42" t="n"/>
      <c r="G728" s="42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 ht="15.75" customHeight="1">
      <c r="A729" s="42" t="n"/>
      <c r="B729" s="42" t="n"/>
      <c r="C729" s="42" t="n"/>
      <c r="D729" s="42" t="n"/>
      <c r="E729" s="42" t="n"/>
      <c r="F729" s="42" t="n"/>
      <c r="G729" s="42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  <c r="X729" s="42" t="n"/>
      <c r="Y729" s="42" t="n"/>
      <c r="Z729" s="42" t="n"/>
    </row>
    <row r="730" ht="15.75" customHeight="1">
      <c r="A730" s="42" t="n"/>
      <c r="B730" s="42" t="n"/>
      <c r="C730" s="42" t="n"/>
      <c r="D730" s="42" t="n"/>
      <c r="E730" s="42" t="n"/>
      <c r="F730" s="42" t="n"/>
      <c r="G730" s="42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 ht="15.75" customHeight="1">
      <c r="A731" s="42" t="n"/>
      <c r="B731" s="42" t="n"/>
      <c r="C731" s="42" t="n"/>
      <c r="D731" s="42" t="n"/>
      <c r="E731" s="42" t="n"/>
      <c r="F731" s="42" t="n"/>
      <c r="G731" s="42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  <c r="X731" s="42" t="n"/>
      <c r="Y731" s="42" t="n"/>
      <c r="Z731" s="42" t="n"/>
    </row>
    <row r="732" ht="15.75" customHeight="1">
      <c r="A732" s="42" t="n"/>
      <c r="B732" s="42" t="n"/>
      <c r="C732" s="42" t="n"/>
      <c r="D732" s="42" t="n"/>
      <c r="E732" s="42" t="n"/>
      <c r="F732" s="42" t="n"/>
      <c r="G732" s="42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 ht="15.75" customHeight="1">
      <c r="A733" s="42" t="n"/>
      <c r="B733" s="42" t="n"/>
      <c r="C733" s="42" t="n"/>
      <c r="D733" s="42" t="n"/>
      <c r="E733" s="42" t="n"/>
      <c r="F733" s="42" t="n"/>
      <c r="G733" s="42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  <c r="X733" s="42" t="n"/>
      <c r="Y733" s="42" t="n"/>
      <c r="Z733" s="42" t="n"/>
    </row>
    <row r="734" ht="15.75" customHeight="1">
      <c r="A734" s="42" t="n"/>
      <c r="B734" s="42" t="n"/>
      <c r="C734" s="42" t="n"/>
      <c r="D734" s="42" t="n"/>
      <c r="E734" s="42" t="n"/>
      <c r="F734" s="42" t="n"/>
      <c r="G734" s="42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 ht="15.75" customHeight="1">
      <c r="A735" s="42" t="n"/>
      <c r="B735" s="42" t="n"/>
      <c r="C735" s="42" t="n"/>
      <c r="D735" s="42" t="n"/>
      <c r="E735" s="42" t="n"/>
      <c r="F735" s="42" t="n"/>
      <c r="G735" s="42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  <c r="X735" s="42" t="n"/>
      <c r="Y735" s="42" t="n"/>
      <c r="Z735" s="42" t="n"/>
    </row>
    <row r="736" ht="15.75" customHeight="1">
      <c r="A736" s="42" t="n"/>
      <c r="B736" s="42" t="n"/>
      <c r="C736" s="42" t="n"/>
      <c r="D736" s="42" t="n"/>
      <c r="E736" s="42" t="n"/>
      <c r="F736" s="42" t="n"/>
      <c r="G736" s="42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 ht="15.75" customHeight="1">
      <c r="A737" s="42" t="n"/>
      <c r="B737" s="42" t="n"/>
      <c r="C737" s="42" t="n"/>
      <c r="D737" s="42" t="n"/>
      <c r="E737" s="42" t="n"/>
      <c r="F737" s="42" t="n"/>
      <c r="G737" s="42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  <c r="X737" s="42" t="n"/>
      <c r="Y737" s="42" t="n"/>
      <c r="Z737" s="42" t="n"/>
    </row>
    <row r="738" ht="15.75" customHeight="1">
      <c r="A738" s="42" t="n"/>
      <c r="B738" s="42" t="n"/>
      <c r="C738" s="42" t="n"/>
      <c r="D738" s="42" t="n"/>
      <c r="E738" s="42" t="n"/>
      <c r="F738" s="42" t="n"/>
      <c r="G738" s="42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 ht="15.75" customHeight="1">
      <c r="A739" s="42" t="n"/>
      <c r="B739" s="42" t="n"/>
      <c r="C739" s="42" t="n"/>
      <c r="D739" s="42" t="n"/>
      <c r="E739" s="42" t="n"/>
      <c r="F739" s="42" t="n"/>
      <c r="G739" s="42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</row>
    <row r="740" ht="15.75" customHeight="1">
      <c r="A740" s="42" t="n"/>
      <c r="B740" s="42" t="n"/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 ht="15.75" customHeight="1">
      <c r="A741" s="42" t="n"/>
      <c r="B741" s="42" t="n"/>
      <c r="C741" s="42" t="n"/>
      <c r="D741" s="42" t="n"/>
      <c r="E741" s="42" t="n"/>
      <c r="F741" s="42" t="n"/>
      <c r="G741" s="42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</row>
    <row r="742" ht="15.75" customHeight="1">
      <c r="A742" s="42" t="n"/>
      <c r="B742" s="42" t="n"/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 ht="15.75" customHeight="1">
      <c r="A743" s="42" t="n"/>
      <c r="B743" s="42" t="n"/>
      <c r="C743" s="42" t="n"/>
      <c r="D743" s="42" t="n"/>
      <c r="E743" s="42" t="n"/>
      <c r="F743" s="42" t="n"/>
      <c r="G743" s="42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</row>
    <row r="744" ht="15.75" customHeight="1">
      <c r="A744" s="42" t="n"/>
      <c r="B744" s="42" t="n"/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 ht="15.75" customHeight="1">
      <c r="A745" s="42" t="n"/>
      <c r="B745" s="42" t="n"/>
      <c r="C745" s="42" t="n"/>
      <c r="D745" s="42" t="n"/>
      <c r="E745" s="42" t="n"/>
      <c r="F745" s="42" t="n"/>
      <c r="G745" s="42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</row>
    <row r="746" ht="15.75" customHeight="1">
      <c r="A746" s="42" t="n"/>
      <c r="B746" s="42" t="n"/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 ht="15.75" customHeight="1">
      <c r="A747" s="42" t="n"/>
      <c r="B747" s="42" t="n"/>
      <c r="C747" s="42" t="n"/>
      <c r="D747" s="42" t="n"/>
      <c r="E747" s="42" t="n"/>
      <c r="F747" s="42" t="n"/>
      <c r="G747" s="42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</row>
    <row r="748" ht="15.75" customHeight="1">
      <c r="A748" s="42" t="n"/>
      <c r="B748" s="42" t="n"/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 ht="15.75" customHeight="1">
      <c r="A749" s="42" t="n"/>
      <c r="B749" s="42" t="n"/>
      <c r="C749" s="42" t="n"/>
      <c r="D749" s="42" t="n"/>
      <c r="E749" s="42" t="n"/>
      <c r="F749" s="42" t="n"/>
      <c r="G749" s="42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</row>
    <row r="750" ht="15.75" customHeight="1">
      <c r="A750" s="42" t="n"/>
      <c r="B750" s="42" t="n"/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 ht="15.75" customHeight="1">
      <c r="A751" s="42" t="n"/>
      <c r="B751" s="42" t="n"/>
      <c r="C751" s="42" t="n"/>
      <c r="D751" s="42" t="n"/>
      <c r="E751" s="42" t="n"/>
      <c r="F751" s="42" t="n"/>
      <c r="G751" s="42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</row>
    <row r="752" ht="15.75" customHeight="1">
      <c r="A752" s="42" t="n"/>
      <c r="B752" s="42" t="n"/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 ht="15.75" customHeight="1">
      <c r="A753" s="42" t="n"/>
      <c r="B753" s="42" t="n"/>
      <c r="C753" s="42" t="n"/>
      <c r="D753" s="42" t="n"/>
      <c r="E753" s="42" t="n"/>
      <c r="F753" s="42" t="n"/>
      <c r="G753" s="42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</row>
    <row r="754" ht="15.75" customHeight="1">
      <c r="A754" s="42" t="n"/>
      <c r="B754" s="42" t="n"/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 ht="15.75" customHeight="1">
      <c r="A755" s="42" t="n"/>
      <c r="B755" s="42" t="n"/>
      <c r="C755" s="42" t="n"/>
      <c r="D755" s="42" t="n"/>
      <c r="E755" s="42" t="n"/>
      <c r="F755" s="42" t="n"/>
      <c r="G755" s="42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</row>
    <row r="756" ht="15.75" customHeight="1">
      <c r="A756" s="42" t="n"/>
      <c r="B756" s="42" t="n"/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 ht="15.75" customHeight="1">
      <c r="A757" s="42" t="n"/>
      <c r="B757" s="42" t="n"/>
      <c r="C757" s="42" t="n"/>
      <c r="D757" s="42" t="n"/>
      <c r="E757" s="42" t="n"/>
      <c r="F757" s="42" t="n"/>
      <c r="G757" s="42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</row>
    <row r="758" ht="15.75" customHeight="1">
      <c r="A758" s="42" t="n"/>
      <c r="B758" s="42" t="n"/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 ht="15.75" customHeight="1">
      <c r="A759" s="42" t="n"/>
      <c r="B759" s="42" t="n"/>
      <c r="C759" s="42" t="n"/>
      <c r="D759" s="42" t="n"/>
      <c r="E759" s="42" t="n"/>
      <c r="F759" s="42" t="n"/>
      <c r="G759" s="42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</row>
    <row r="760" ht="15.75" customHeight="1">
      <c r="A760" s="42" t="n"/>
      <c r="B760" s="42" t="n"/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 ht="15.75" customHeight="1">
      <c r="A761" s="42" t="n"/>
      <c r="B761" s="42" t="n"/>
      <c r="C761" s="42" t="n"/>
      <c r="D761" s="42" t="n"/>
      <c r="E761" s="42" t="n"/>
      <c r="F761" s="42" t="n"/>
      <c r="G761" s="42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</row>
    <row r="762" ht="15.75" customHeight="1">
      <c r="A762" s="42" t="n"/>
      <c r="B762" s="42" t="n"/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 ht="15.75" customHeight="1">
      <c r="A763" s="42" t="n"/>
      <c r="B763" s="42" t="n"/>
      <c r="C763" s="42" t="n"/>
      <c r="D763" s="42" t="n"/>
      <c r="E763" s="42" t="n"/>
      <c r="F763" s="42" t="n"/>
      <c r="G763" s="42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</row>
    <row r="764" ht="15.75" customHeight="1">
      <c r="A764" s="42" t="n"/>
      <c r="B764" s="42" t="n"/>
      <c r="C764" s="42" t="n"/>
      <c r="D764" s="42" t="n"/>
      <c r="E764" s="42" t="n"/>
      <c r="F764" s="42" t="n"/>
      <c r="G764" s="42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 ht="15.75" customHeight="1">
      <c r="A765" s="42" t="n"/>
      <c r="B765" s="42" t="n"/>
      <c r="C765" s="42" t="n"/>
      <c r="D765" s="42" t="n"/>
      <c r="E765" s="42" t="n"/>
      <c r="F765" s="42" t="n"/>
      <c r="G765" s="42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  <c r="X765" s="42" t="n"/>
      <c r="Y765" s="42" t="n"/>
      <c r="Z765" s="42" t="n"/>
    </row>
    <row r="766" ht="15.75" customHeight="1">
      <c r="A766" s="42" t="n"/>
      <c r="B766" s="42" t="n"/>
      <c r="C766" s="42" t="n"/>
      <c r="D766" s="42" t="n"/>
      <c r="E766" s="42" t="n"/>
      <c r="F766" s="42" t="n"/>
      <c r="G766" s="42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 ht="15.75" customHeight="1">
      <c r="A767" s="42" t="n"/>
      <c r="B767" s="42" t="n"/>
      <c r="C767" s="42" t="n"/>
      <c r="D767" s="42" t="n"/>
      <c r="E767" s="42" t="n"/>
      <c r="F767" s="42" t="n"/>
      <c r="G767" s="42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  <c r="X767" s="42" t="n"/>
      <c r="Y767" s="42" t="n"/>
      <c r="Z767" s="42" t="n"/>
    </row>
    <row r="768" ht="15.75" customHeight="1">
      <c r="A768" s="42" t="n"/>
      <c r="B768" s="42" t="n"/>
      <c r="C768" s="42" t="n"/>
      <c r="D768" s="42" t="n"/>
      <c r="E768" s="42" t="n"/>
      <c r="F768" s="42" t="n"/>
      <c r="G768" s="42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 ht="15.75" customHeight="1">
      <c r="A769" s="42" t="n"/>
      <c r="B769" s="42" t="n"/>
      <c r="C769" s="42" t="n"/>
      <c r="D769" s="42" t="n"/>
      <c r="E769" s="42" t="n"/>
      <c r="F769" s="42" t="n"/>
      <c r="G769" s="42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  <c r="X769" s="42" t="n"/>
      <c r="Y769" s="42" t="n"/>
      <c r="Z769" s="42" t="n"/>
    </row>
    <row r="770" ht="15.75" customHeight="1">
      <c r="A770" s="42" t="n"/>
      <c r="B770" s="42" t="n"/>
      <c r="C770" s="42" t="n"/>
      <c r="D770" s="42" t="n"/>
      <c r="E770" s="42" t="n"/>
      <c r="F770" s="42" t="n"/>
      <c r="G770" s="42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 ht="15.75" customHeight="1">
      <c r="A771" s="42" t="n"/>
      <c r="B771" s="42" t="n"/>
      <c r="C771" s="42" t="n"/>
      <c r="D771" s="42" t="n"/>
      <c r="E771" s="42" t="n"/>
      <c r="F771" s="42" t="n"/>
      <c r="G771" s="42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  <c r="X771" s="42" t="n"/>
      <c r="Y771" s="42" t="n"/>
      <c r="Z771" s="42" t="n"/>
    </row>
    <row r="772" ht="15.75" customHeight="1">
      <c r="A772" s="42" t="n"/>
      <c r="B772" s="42" t="n"/>
      <c r="C772" s="42" t="n"/>
      <c r="D772" s="42" t="n"/>
      <c r="E772" s="42" t="n"/>
      <c r="F772" s="42" t="n"/>
      <c r="G772" s="42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 ht="15.75" customHeight="1">
      <c r="A773" s="42" t="n"/>
      <c r="B773" s="42" t="n"/>
      <c r="C773" s="42" t="n"/>
      <c r="D773" s="42" t="n"/>
      <c r="E773" s="42" t="n"/>
      <c r="F773" s="42" t="n"/>
      <c r="G773" s="42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  <c r="X773" s="42" t="n"/>
      <c r="Y773" s="42" t="n"/>
      <c r="Z773" s="42" t="n"/>
    </row>
    <row r="774" ht="15.75" customHeight="1">
      <c r="A774" s="42" t="n"/>
      <c r="B774" s="42" t="n"/>
      <c r="C774" s="42" t="n"/>
      <c r="D774" s="42" t="n"/>
      <c r="E774" s="42" t="n"/>
      <c r="F774" s="42" t="n"/>
      <c r="G774" s="42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 ht="15.75" customHeight="1">
      <c r="A775" s="42" t="n"/>
      <c r="B775" s="42" t="n"/>
      <c r="C775" s="42" t="n"/>
      <c r="D775" s="42" t="n"/>
      <c r="E775" s="42" t="n"/>
      <c r="F775" s="42" t="n"/>
      <c r="G775" s="42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  <c r="X775" s="42" t="n"/>
      <c r="Y775" s="42" t="n"/>
      <c r="Z775" s="42" t="n"/>
    </row>
    <row r="776" ht="15.75" customHeight="1">
      <c r="A776" s="42" t="n"/>
      <c r="B776" s="42" t="n"/>
      <c r="C776" s="42" t="n"/>
      <c r="D776" s="42" t="n"/>
      <c r="E776" s="42" t="n"/>
      <c r="F776" s="42" t="n"/>
      <c r="G776" s="42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 ht="15.75" customHeight="1">
      <c r="A777" s="42" t="n"/>
      <c r="B777" s="42" t="n"/>
      <c r="C777" s="42" t="n"/>
      <c r="D777" s="42" t="n"/>
      <c r="E777" s="42" t="n"/>
      <c r="F777" s="42" t="n"/>
      <c r="G777" s="42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  <c r="X777" s="42" t="n"/>
      <c r="Y777" s="42" t="n"/>
      <c r="Z777" s="42" t="n"/>
    </row>
    <row r="778" ht="15.75" customHeight="1">
      <c r="A778" s="42" t="n"/>
      <c r="B778" s="42" t="n"/>
      <c r="C778" s="42" t="n"/>
      <c r="D778" s="42" t="n"/>
      <c r="E778" s="42" t="n"/>
      <c r="F778" s="42" t="n"/>
      <c r="G778" s="42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 ht="15.75" customHeight="1">
      <c r="A779" s="42" t="n"/>
      <c r="B779" s="42" t="n"/>
      <c r="C779" s="42" t="n"/>
      <c r="D779" s="42" t="n"/>
      <c r="E779" s="42" t="n"/>
      <c r="F779" s="42" t="n"/>
      <c r="G779" s="42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  <c r="X779" s="42" t="n"/>
      <c r="Y779" s="42" t="n"/>
      <c r="Z779" s="42" t="n"/>
    </row>
    <row r="780" ht="15.75" customHeight="1">
      <c r="A780" s="42" t="n"/>
      <c r="B780" s="42" t="n"/>
      <c r="C780" s="42" t="n"/>
      <c r="D780" s="42" t="n"/>
      <c r="E780" s="42" t="n"/>
      <c r="F780" s="42" t="n"/>
      <c r="G780" s="42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 ht="15.75" customHeight="1">
      <c r="A781" s="42" t="n"/>
      <c r="B781" s="42" t="n"/>
      <c r="C781" s="42" t="n"/>
      <c r="D781" s="42" t="n"/>
      <c r="E781" s="42" t="n"/>
      <c r="F781" s="42" t="n"/>
      <c r="G781" s="42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  <c r="X781" s="42" t="n"/>
      <c r="Y781" s="42" t="n"/>
      <c r="Z781" s="42" t="n"/>
    </row>
    <row r="782" ht="15.75" customHeight="1">
      <c r="A782" s="42" t="n"/>
      <c r="B782" s="42" t="n"/>
      <c r="C782" s="42" t="n"/>
      <c r="D782" s="42" t="n"/>
      <c r="E782" s="42" t="n"/>
      <c r="F782" s="42" t="n"/>
      <c r="G782" s="42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 ht="15.75" customHeight="1">
      <c r="A783" s="42" t="n"/>
      <c r="B783" s="42" t="n"/>
      <c r="C783" s="42" t="n"/>
      <c r="D783" s="42" t="n"/>
      <c r="E783" s="42" t="n"/>
      <c r="F783" s="42" t="n"/>
      <c r="G783" s="42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  <c r="X783" s="42" t="n"/>
      <c r="Y783" s="42" t="n"/>
      <c r="Z783" s="42" t="n"/>
    </row>
    <row r="784" ht="15.75" customHeight="1">
      <c r="A784" s="42" t="n"/>
      <c r="B784" s="42" t="n"/>
      <c r="C784" s="42" t="n"/>
      <c r="D784" s="42" t="n"/>
      <c r="E784" s="42" t="n"/>
      <c r="F784" s="42" t="n"/>
      <c r="G784" s="42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 ht="15.75" customHeight="1">
      <c r="A785" s="42" t="n"/>
      <c r="B785" s="42" t="n"/>
      <c r="C785" s="42" t="n"/>
      <c r="D785" s="42" t="n"/>
      <c r="E785" s="42" t="n"/>
      <c r="F785" s="42" t="n"/>
      <c r="G785" s="42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  <c r="X785" s="42" t="n"/>
      <c r="Y785" s="42" t="n"/>
      <c r="Z785" s="42" t="n"/>
    </row>
    <row r="786" ht="15.75" customHeight="1">
      <c r="A786" s="42" t="n"/>
      <c r="B786" s="42" t="n"/>
      <c r="C786" s="42" t="n"/>
      <c r="D786" s="42" t="n"/>
      <c r="E786" s="42" t="n"/>
      <c r="F786" s="42" t="n"/>
      <c r="G786" s="42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 ht="15.75" customHeight="1">
      <c r="A787" s="42" t="n"/>
      <c r="B787" s="42" t="n"/>
      <c r="C787" s="42" t="n"/>
      <c r="D787" s="42" t="n"/>
      <c r="E787" s="42" t="n"/>
      <c r="F787" s="42" t="n"/>
      <c r="G787" s="42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  <c r="X787" s="42" t="n"/>
      <c r="Y787" s="42" t="n"/>
      <c r="Z787" s="42" t="n"/>
    </row>
    <row r="788" ht="15.75" customHeight="1">
      <c r="A788" s="42" t="n"/>
      <c r="B788" s="42" t="n"/>
      <c r="C788" s="42" t="n"/>
      <c r="D788" s="42" t="n"/>
      <c r="E788" s="42" t="n"/>
      <c r="F788" s="42" t="n"/>
      <c r="G788" s="42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 ht="15.75" customHeight="1">
      <c r="A789" s="42" t="n"/>
      <c r="B789" s="42" t="n"/>
      <c r="C789" s="42" t="n"/>
      <c r="D789" s="42" t="n"/>
      <c r="E789" s="42" t="n"/>
      <c r="F789" s="42" t="n"/>
      <c r="G789" s="42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  <c r="X789" s="42" t="n"/>
      <c r="Y789" s="42" t="n"/>
      <c r="Z789" s="42" t="n"/>
    </row>
    <row r="790" ht="15.75" customHeight="1">
      <c r="A790" s="42" t="n"/>
      <c r="B790" s="42" t="n"/>
      <c r="C790" s="42" t="n"/>
      <c r="D790" s="42" t="n"/>
      <c r="E790" s="42" t="n"/>
      <c r="F790" s="42" t="n"/>
      <c r="G790" s="42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 ht="15.75" customHeight="1">
      <c r="A791" s="42" t="n"/>
      <c r="B791" s="42" t="n"/>
      <c r="C791" s="42" t="n"/>
      <c r="D791" s="42" t="n"/>
      <c r="E791" s="42" t="n"/>
      <c r="F791" s="42" t="n"/>
      <c r="G791" s="42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  <c r="X791" s="42" t="n"/>
      <c r="Y791" s="42" t="n"/>
      <c r="Z791" s="42" t="n"/>
    </row>
    <row r="792" ht="15.75" customHeight="1">
      <c r="A792" s="42" t="n"/>
      <c r="B792" s="42" t="n"/>
      <c r="C792" s="42" t="n"/>
      <c r="D792" s="42" t="n"/>
      <c r="E792" s="42" t="n"/>
      <c r="F792" s="42" t="n"/>
      <c r="G792" s="42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 ht="15.75" customHeight="1">
      <c r="A793" s="42" t="n"/>
      <c r="B793" s="42" t="n"/>
      <c r="C793" s="42" t="n"/>
      <c r="D793" s="42" t="n"/>
      <c r="E793" s="42" t="n"/>
      <c r="F793" s="42" t="n"/>
      <c r="G793" s="42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  <c r="X793" s="42" t="n"/>
      <c r="Y793" s="42" t="n"/>
      <c r="Z793" s="42" t="n"/>
    </row>
    <row r="794" ht="15.75" customHeight="1">
      <c r="A794" s="42" t="n"/>
      <c r="B794" s="42" t="n"/>
      <c r="C794" s="42" t="n"/>
      <c r="D794" s="42" t="n"/>
      <c r="E794" s="42" t="n"/>
      <c r="F794" s="42" t="n"/>
      <c r="G794" s="42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 ht="15.75" customHeight="1">
      <c r="A795" s="42" t="n"/>
      <c r="B795" s="42" t="n"/>
      <c r="C795" s="42" t="n"/>
      <c r="D795" s="42" t="n"/>
      <c r="E795" s="42" t="n"/>
      <c r="F795" s="42" t="n"/>
      <c r="G795" s="42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</row>
    <row r="796" ht="15.75" customHeight="1">
      <c r="A796" s="42" t="n"/>
      <c r="B796" s="42" t="n"/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 ht="15.75" customHeight="1">
      <c r="A797" s="42" t="n"/>
      <c r="B797" s="42" t="n"/>
      <c r="C797" s="42" t="n"/>
      <c r="D797" s="42" t="n"/>
      <c r="E797" s="42" t="n"/>
      <c r="F797" s="42" t="n"/>
      <c r="G797" s="42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</row>
    <row r="798" ht="15.75" customHeight="1">
      <c r="A798" s="42" t="n"/>
      <c r="B798" s="42" t="n"/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 ht="15.75" customHeight="1">
      <c r="A799" s="42" t="n"/>
      <c r="B799" s="42" t="n"/>
      <c r="C799" s="42" t="n"/>
      <c r="D799" s="42" t="n"/>
      <c r="E799" s="42" t="n"/>
      <c r="F799" s="42" t="n"/>
      <c r="G799" s="42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</row>
    <row r="800" ht="15.75" customHeight="1">
      <c r="A800" s="42" t="n"/>
      <c r="B800" s="42" t="n"/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 ht="15.75" customHeight="1">
      <c r="A801" s="42" t="n"/>
      <c r="B801" s="42" t="n"/>
      <c r="C801" s="42" t="n"/>
      <c r="D801" s="42" t="n"/>
      <c r="E801" s="42" t="n"/>
      <c r="F801" s="42" t="n"/>
      <c r="G801" s="42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</row>
    <row r="802" ht="15.75" customHeight="1">
      <c r="A802" s="42" t="n"/>
      <c r="B802" s="42" t="n"/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 ht="15.75" customHeight="1">
      <c r="A803" s="42" t="n"/>
      <c r="B803" s="42" t="n"/>
      <c r="C803" s="42" t="n"/>
      <c r="D803" s="42" t="n"/>
      <c r="E803" s="42" t="n"/>
      <c r="F803" s="42" t="n"/>
      <c r="G803" s="42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</row>
    <row r="804" ht="15.75" customHeight="1">
      <c r="A804" s="42" t="n"/>
      <c r="B804" s="42" t="n"/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 ht="15.75" customHeight="1">
      <c r="A805" s="42" t="n"/>
      <c r="B805" s="42" t="n"/>
      <c r="C805" s="42" t="n"/>
      <c r="D805" s="42" t="n"/>
      <c r="E805" s="42" t="n"/>
      <c r="F805" s="42" t="n"/>
      <c r="G805" s="42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</row>
    <row r="806" ht="15.75" customHeight="1">
      <c r="A806" s="42" t="n"/>
      <c r="B806" s="42" t="n"/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 ht="15.75" customHeight="1">
      <c r="A807" s="42" t="n"/>
      <c r="B807" s="42" t="n"/>
      <c r="C807" s="42" t="n"/>
      <c r="D807" s="42" t="n"/>
      <c r="E807" s="42" t="n"/>
      <c r="F807" s="42" t="n"/>
      <c r="G807" s="42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</row>
    <row r="808" ht="15.75" customHeight="1">
      <c r="A808" s="42" t="n"/>
      <c r="B808" s="42" t="n"/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 ht="15.75" customHeight="1">
      <c r="A809" s="42" t="n"/>
      <c r="B809" s="42" t="n"/>
      <c r="C809" s="42" t="n"/>
      <c r="D809" s="42" t="n"/>
      <c r="E809" s="42" t="n"/>
      <c r="F809" s="42" t="n"/>
      <c r="G809" s="42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</row>
    <row r="810" ht="15.75" customHeight="1">
      <c r="A810" s="42" t="n"/>
      <c r="B810" s="42" t="n"/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 ht="15.75" customHeight="1">
      <c r="A811" s="42" t="n"/>
      <c r="B811" s="42" t="n"/>
      <c r="C811" s="42" t="n"/>
      <c r="D811" s="42" t="n"/>
      <c r="E811" s="42" t="n"/>
      <c r="F811" s="42" t="n"/>
      <c r="G811" s="42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</row>
    <row r="812" ht="15.75" customHeight="1">
      <c r="A812" s="42" t="n"/>
      <c r="B812" s="42" t="n"/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 ht="15.75" customHeight="1">
      <c r="A813" s="42" t="n"/>
      <c r="B813" s="42" t="n"/>
      <c r="C813" s="42" t="n"/>
      <c r="D813" s="42" t="n"/>
      <c r="E813" s="42" t="n"/>
      <c r="F813" s="42" t="n"/>
      <c r="G813" s="42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</row>
    <row r="814" ht="15.75" customHeight="1">
      <c r="A814" s="42" t="n"/>
      <c r="B814" s="42" t="n"/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 ht="15.75" customHeight="1">
      <c r="A815" s="42" t="n"/>
      <c r="B815" s="42" t="n"/>
      <c r="C815" s="42" t="n"/>
      <c r="D815" s="42" t="n"/>
      <c r="E815" s="42" t="n"/>
      <c r="F815" s="42" t="n"/>
      <c r="G815" s="42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</row>
    <row r="816" ht="15.75" customHeight="1">
      <c r="A816" s="42" t="n"/>
      <c r="B816" s="42" t="n"/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 ht="15.75" customHeight="1">
      <c r="A817" s="42" t="n"/>
      <c r="B817" s="42" t="n"/>
      <c r="C817" s="42" t="n"/>
      <c r="D817" s="42" t="n"/>
      <c r="E817" s="42" t="n"/>
      <c r="F817" s="42" t="n"/>
      <c r="G817" s="42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</row>
    <row r="818" ht="15.75" customHeight="1">
      <c r="A818" s="42" t="n"/>
      <c r="B818" s="42" t="n"/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 ht="15.75" customHeight="1">
      <c r="A819" s="42" t="n"/>
      <c r="B819" s="42" t="n"/>
      <c r="C819" s="42" t="n"/>
      <c r="D819" s="42" t="n"/>
      <c r="E819" s="42" t="n"/>
      <c r="F819" s="42" t="n"/>
      <c r="G819" s="42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</row>
    <row r="820" ht="15.75" customHeight="1">
      <c r="A820" s="42" t="n"/>
      <c r="B820" s="42" t="n"/>
      <c r="C820" s="42" t="n"/>
      <c r="D820" s="42" t="n"/>
      <c r="E820" s="42" t="n"/>
      <c r="F820" s="42" t="n"/>
      <c r="G820" s="42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 ht="15.75" customHeight="1">
      <c r="A821" s="42" t="n"/>
      <c r="B821" s="42" t="n"/>
      <c r="C821" s="42" t="n"/>
      <c r="D821" s="42" t="n"/>
      <c r="E821" s="42" t="n"/>
      <c r="F821" s="42" t="n"/>
      <c r="G821" s="42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  <c r="X821" s="42" t="n"/>
      <c r="Y821" s="42" t="n"/>
      <c r="Z821" s="42" t="n"/>
    </row>
    <row r="822" ht="15.75" customHeight="1">
      <c r="A822" s="42" t="n"/>
      <c r="B822" s="42" t="n"/>
      <c r="C822" s="42" t="n"/>
      <c r="D822" s="42" t="n"/>
      <c r="E822" s="42" t="n"/>
      <c r="F822" s="42" t="n"/>
      <c r="G822" s="42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 ht="15.75" customHeight="1">
      <c r="A823" s="42" t="n"/>
      <c r="B823" s="42" t="n"/>
      <c r="C823" s="42" t="n"/>
      <c r="D823" s="42" t="n"/>
      <c r="E823" s="42" t="n"/>
      <c r="F823" s="42" t="n"/>
      <c r="G823" s="42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  <c r="X823" s="42" t="n"/>
      <c r="Y823" s="42" t="n"/>
      <c r="Z823" s="42" t="n"/>
    </row>
    <row r="824" ht="15.75" customHeight="1">
      <c r="A824" s="42" t="n"/>
      <c r="B824" s="42" t="n"/>
      <c r="C824" s="42" t="n"/>
      <c r="D824" s="42" t="n"/>
      <c r="E824" s="42" t="n"/>
      <c r="F824" s="42" t="n"/>
      <c r="G824" s="42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 ht="15.75" customHeight="1">
      <c r="A825" s="42" t="n"/>
      <c r="B825" s="42" t="n"/>
      <c r="C825" s="42" t="n"/>
      <c r="D825" s="42" t="n"/>
      <c r="E825" s="42" t="n"/>
      <c r="F825" s="42" t="n"/>
      <c r="G825" s="42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  <c r="X825" s="42" t="n"/>
      <c r="Y825" s="42" t="n"/>
      <c r="Z825" s="42" t="n"/>
    </row>
    <row r="826" ht="15.75" customHeight="1">
      <c r="A826" s="42" t="n"/>
      <c r="B826" s="42" t="n"/>
      <c r="C826" s="42" t="n"/>
      <c r="D826" s="42" t="n"/>
      <c r="E826" s="42" t="n"/>
      <c r="F826" s="42" t="n"/>
      <c r="G826" s="42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 ht="15.75" customHeight="1">
      <c r="A827" s="42" t="n"/>
      <c r="B827" s="42" t="n"/>
      <c r="C827" s="42" t="n"/>
      <c r="D827" s="42" t="n"/>
      <c r="E827" s="42" t="n"/>
      <c r="F827" s="42" t="n"/>
      <c r="G827" s="42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  <c r="X827" s="42" t="n"/>
      <c r="Y827" s="42" t="n"/>
      <c r="Z827" s="42" t="n"/>
    </row>
    <row r="828" ht="15.75" customHeight="1">
      <c r="A828" s="42" t="n"/>
      <c r="B828" s="42" t="n"/>
      <c r="C828" s="42" t="n"/>
      <c r="D828" s="42" t="n"/>
      <c r="E828" s="42" t="n"/>
      <c r="F828" s="42" t="n"/>
      <c r="G828" s="42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 ht="15.75" customHeight="1">
      <c r="A829" s="42" t="n"/>
      <c r="B829" s="42" t="n"/>
      <c r="C829" s="42" t="n"/>
      <c r="D829" s="42" t="n"/>
      <c r="E829" s="42" t="n"/>
      <c r="F829" s="42" t="n"/>
      <c r="G829" s="42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  <c r="X829" s="42" t="n"/>
      <c r="Y829" s="42" t="n"/>
      <c r="Z829" s="42" t="n"/>
    </row>
    <row r="830" ht="15.75" customHeight="1">
      <c r="A830" s="42" t="n"/>
      <c r="B830" s="42" t="n"/>
      <c r="C830" s="42" t="n"/>
      <c r="D830" s="42" t="n"/>
      <c r="E830" s="42" t="n"/>
      <c r="F830" s="42" t="n"/>
      <c r="G830" s="42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 ht="15.75" customHeight="1">
      <c r="A831" s="42" t="n"/>
      <c r="B831" s="42" t="n"/>
      <c r="C831" s="42" t="n"/>
      <c r="D831" s="42" t="n"/>
      <c r="E831" s="42" t="n"/>
      <c r="F831" s="42" t="n"/>
      <c r="G831" s="42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  <c r="X831" s="42" t="n"/>
      <c r="Y831" s="42" t="n"/>
      <c r="Z831" s="42" t="n"/>
    </row>
    <row r="832" ht="15.75" customHeight="1">
      <c r="A832" s="42" t="n"/>
      <c r="B832" s="42" t="n"/>
      <c r="C832" s="42" t="n"/>
      <c r="D832" s="42" t="n"/>
      <c r="E832" s="42" t="n"/>
      <c r="F832" s="42" t="n"/>
      <c r="G832" s="42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 ht="15.75" customHeight="1">
      <c r="A833" s="42" t="n"/>
      <c r="B833" s="42" t="n"/>
      <c r="C833" s="42" t="n"/>
      <c r="D833" s="42" t="n"/>
      <c r="E833" s="42" t="n"/>
      <c r="F833" s="42" t="n"/>
      <c r="G833" s="42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  <c r="X833" s="42" t="n"/>
      <c r="Y833" s="42" t="n"/>
      <c r="Z833" s="42" t="n"/>
    </row>
    <row r="834" ht="15.75" customHeight="1">
      <c r="A834" s="42" t="n"/>
      <c r="B834" s="42" t="n"/>
      <c r="C834" s="42" t="n"/>
      <c r="D834" s="42" t="n"/>
      <c r="E834" s="42" t="n"/>
      <c r="F834" s="42" t="n"/>
      <c r="G834" s="42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 ht="15.75" customHeight="1">
      <c r="A835" s="42" t="n"/>
      <c r="B835" s="42" t="n"/>
      <c r="C835" s="42" t="n"/>
      <c r="D835" s="42" t="n"/>
      <c r="E835" s="42" t="n"/>
      <c r="F835" s="42" t="n"/>
      <c r="G835" s="42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  <c r="X835" s="42" t="n"/>
      <c r="Y835" s="42" t="n"/>
      <c r="Z835" s="42" t="n"/>
    </row>
    <row r="836" ht="15.75" customHeight="1">
      <c r="A836" s="42" t="n"/>
      <c r="B836" s="42" t="n"/>
      <c r="C836" s="42" t="n"/>
      <c r="D836" s="42" t="n"/>
      <c r="E836" s="42" t="n"/>
      <c r="F836" s="42" t="n"/>
      <c r="G836" s="42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 ht="15.75" customHeight="1">
      <c r="A837" s="42" t="n"/>
      <c r="B837" s="42" t="n"/>
      <c r="C837" s="42" t="n"/>
      <c r="D837" s="42" t="n"/>
      <c r="E837" s="42" t="n"/>
      <c r="F837" s="42" t="n"/>
      <c r="G837" s="42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  <c r="X837" s="42" t="n"/>
      <c r="Y837" s="42" t="n"/>
      <c r="Z837" s="42" t="n"/>
    </row>
    <row r="838" ht="15.75" customHeight="1">
      <c r="A838" s="42" t="n"/>
      <c r="B838" s="42" t="n"/>
      <c r="C838" s="42" t="n"/>
      <c r="D838" s="42" t="n"/>
      <c r="E838" s="42" t="n"/>
      <c r="F838" s="42" t="n"/>
      <c r="G838" s="42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 ht="15.75" customHeight="1">
      <c r="A839" s="42" t="n"/>
      <c r="B839" s="42" t="n"/>
      <c r="C839" s="42" t="n"/>
      <c r="D839" s="42" t="n"/>
      <c r="E839" s="42" t="n"/>
      <c r="F839" s="42" t="n"/>
      <c r="G839" s="42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  <c r="X839" s="42" t="n"/>
      <c r="Y839" s="42" t="n"/>
      <c r="Z839" s="42" t="n"/>
    </row>
    <row r="840" ht="15.75" customHeight="1">
      <c r="A840" s="42" t="n"/>
      <c r="B840" s="42" t="n"/>
      <c r="C840" s="42" t="n"/>
      <c r="D840" s="42" t="n"/>
      <c r="E840" s="42" t="n"/>
      <c r="F840" s="42" t="n"/>
      <c r="G840" s="42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 ht="15.75" customHeight="1">
      <c r="A841" s="42" t="n"/>
      <c r="B841" s="42" t="n"/>
      <c r="C841" s="42" t="n"/>
      <c r="D841" s="42" t="n"/>
      <c r="E841" s="42" t="n"/>
      <c r="F841" s="42" t="n"/>
      <c r="G841" s="42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  <c r="X841" s="42" t="n"/>
      <c r="Y841" s="42" t="n"/>
      <c r="Z841" s="42" t="n"/>
    </row>
    <row r="842" ht="15.75" customHeight="1">
      <c r="A842" s="42" t="n"/>
      <c r="B842" s="42" t="n"/>
      <c r="C842" s="42" t="n"/>
      <c r="D842" s="42" t="n"/>
      <c r="E842" s="42" t="n"/>
      <c r="F842" s="42" t="n"/>
      <c r="G842" s="42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 ht="15.75" customHeight="1">
      <c r="A843" s="42" t="n"/>
      <c r="B843" s="42" t="n"/>
      <c r="C843" s="42" t="n"/>
      <c r="D843" s="42" t="n"/>
      <c r="E843" s="42" t="n"/>
      <c r="F843" s="42" t="n"/>
      <c r="G843" s="42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  <c r="X843" s="42" t="n"/>
      <c r="Y843" s="42" t="n"/>
      <c r="Z843" s="42" t="n"/>
    </row>
    <row r="844" ht="15.75" customHeight="1">
      <c r="A844" s="42" t="n"/>
      <c r="B844" s="42" t="n"/>
      <c r="C844" s="42" t="n"/>
      <c r="D844" s="42" t="n"/>
      <c r="E844" s="42" t="n"/>
      <c r="F844" s="42" t="n"/>
      <c r="G844" s="42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 ht="15.75" customHeight="1">
      <c r="A845" s="42" t="n"/>
      <c r="B845" s="42" t="n"/>
      <c r="C845" s="42" t="n"/>
      <c r="D845" s="42" t="n"/>
      <c r="E845" s="42" t="n"/>
      <c r="F845" s="42" t="n"/>
      <c r="G845" s="42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  <c r="X845" s="42" t="n"/>
      <c r="Y845" s="42" t="n"/>
      <c r="Z845" s="42" t="n"/>
    </row>
    <row r="846" ht="15.75" customHeight="1">
      <c r="A846" s="42" t="n"/>
      <c r="B846" s="42" t="n"/>
      <c r="C846" s="42" t="n"/>
      <c r="D846" s="42" t="n"/>
      <c r="E846" s="42" t="n"/>
      <c r="F846" s="42" t="n"/>
      <c r="G846" s="42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 ht="15.75" customHeight="1">
      <c r="A847" s="42" t="n"/>
      <c r="B847" s="42" t="n"/>
      <c r="C847" s="42" t="n"/>
      <c r="D847" s="42" t="n"/>
      <c r="E847" s="42" t="n"/>
      <c r="F847" s="42" t="n"/>
      <c r="G847" s="42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  <c r="X847" s="42" t="n"/>
      <c r="Y847" s="42" t="n"/>
      <c r="Z847" s="42" t="n"/>
    </row>
    <row r="848" ht="15.75" customHeight="1">
      <c r="A848" s="42" t="n"/>
      <c r="B848" s="42" t="n"/>
      <c r="C848" s="42" t="n"/>
      <c r="D848" s="42" t="n"/>
      <c r="E848" s="42" t="n"/>
      <c r="F848" s="42" t="n"/>
      <c r="G848" s="42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 ht="15.75" customHeight="1">
      <c r="A849" s="42" t="n"/>
      <c r="B849" s="42" t="n"/>
      <c r="C849" s="42" t="n"/>
      <c r="D849" s="42" t="n"/>
      <c r="E849" s="42" t="n"/>
      <c r="F849" s="42" t="n"/>
      <c r="G849" s="42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  <c r="X849" s="42" t="n"/>
      <c r="Y849" s="42" t="n"/>
      <c r="Z849" s="42" t="n"/>
    </row>
    <row r="850" ht="15.75" customHeight="1">
      <c r="A850" s="42" t="n"/>
      <c r="B850" s="42" t="n"/>
      <c r="C850" s="42" t="n"/>
      <c r="D850" s="42" t="n"/>
      <c r="E850" s="42" t="n"/>
      <c r="F850" s="42" t="n"/>
      <c r="G850" s="42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 ht="15.75" customHeight="1">
      <c r="A851" s="42" t="n"/>
      <c r="B851" s="42" t="n"/>
      <c r="C851" s="42" t="n"/>
      <c r="D851" s="42" t="n"/>
      <c r="E851" s="42" t="n"/>
      <c r="F851" s="42" t="n"/>
      <c r="G851" s="42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</row>
    <row r="852" ht="15.75" customHeight="1">
      <c r="A852" s="42" t="n"/>
      <c r="B852" s="42" t="n"/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 ht="15.75" customHeight="1">
      <c r="A853" s="42" t="n"/>
      <c r="B853" s="42" t="n"/>
      <c r="C853" s="42" t="n"/>
      <c r="D853" s="42" t="n"/>
      <c r="E853" s="42" t="n"/>
      <c r="F853" s="42" t="n"/>
      <c r="G853" s="42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</row>
    <row r="854" ht="15.75" customHeight="1">
      <c r="A854" s="42" t="n"/>
      <c r="B854" s="42" t="n"/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 ht="15.75" customHeight="1">
      <c r="A855" s="42" t="n"/>
      <c r="B855" s="42" t="n"/>
      <c r="C855" s="42" t="n"/>
      <c r="D855" s="42" t="n"/>
      <c r="E855" s="42" t="n"/>
      <c r="F855" s="42" t="n"/>
      <c r="G855" s="42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</row>
    <row r="856" ht="15.75" customHeight="1">
      <c r="A856" s="42" t="n"/>
      <c r="B856" s="42" t="n"/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 ht="15.75" customHeight="1">
      <c r="A857" s="42" t="n"/>
      <c r="B857" s="42" t="n"/>
      <c r="C857" s="42" t="n"/>
      <c r="D857" s="42" t="n"/>
      <c r="E857" s="42" t="n"/>
      <c r="F857" s="42" t="n"/>
      <c r="G857" s="42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</row>
    <row r="858" ht="15.75" customHeight="1">
      <c r="A858" s="42" t="n"/>
      <c r="B858" s="42" t="n"/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 ht="15.75" customHeight="1">
      <c r="A859" s="42" t="n"/>
      <c r="B859" s="42" t="n"/>
      <c r="C859" s="42" t="n"/>
      <c r="D859" s="42" t="n"/>
      <c r="E859" s="42" t="n"/>
      <c r="F859" s="42" t="n"/>
      <c r="G859" s="42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</row>
    <row r="860" ht="15.75" customHeight="1">
      <c r="A860" s="42" t="n"/>
      <c r="B860" s="42" t="n"/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 ht="15.75" customHeight="1">
      <c r="A861" s="42" t="n"/>
      <c r="B861" s="42" t="n"/>
      <c r="C861" s="42" t="n"/>
      <c r="D861" s="42" t="n"/>
      <c r="E861" s="42" t="n"/>
      <c r="F861" s="42" t="n"/>
      <c r="G861" s="42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</row>
    <row r="862" ht="15.75" customHeight="1">
      <c r="A862" s="42" t="n"/>
      <c r="B862" s="42" t="n"/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 ht="15.75" customHeight="1">
      <c r="A863" s="42" t="n"/>
      <c r="B863" s="42" t="n"/>
      <c r="C863" s="42" t="n"/>
      <c r="D863" s="42" t="n"/>
      <c r="E863" s="42" t="n"/>
      <c r="F863" s="42" t="n"/>
      <c r="G863" s="42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</row>
    <row r="864" ht="15.75" customHeight="1">
      <c r="A864" s="42" t="n"/>
      <c r="B864" s="42" t="n"/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 ht="15.75" customHeight="1">
      <c r="A865" s="42" t="n"/>
      <c r="B865" s="42" t="n"/>
      <c r="C865" s="42" t="n"/>
      <c r="D865" s="42" t="n"/>
      <c r="E865" s="42" t="n"/>
      <c r="F865" s="42" t="n"/>
      <c r="G865" s="42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</row>
    <row r="866" ht="15.75" customHeight="1">
      <c r="A866" s="42" t="n"/>
      <c r="B866" s="42" t="n"/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 ht="15.75" customHeight="1">
      <c r="A867" s="42" t="n"/>
      <c r="B867" s="42" t="n"/>
      <c r="C867" s="42" t="n"/>
      <c r="D867" s="42" t="n"/>
      <c r="E867" s="42" t="n"/>
      <c r="F867" s="42" t="n"/>
      <c r="G867" s="42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</row>
    <row r="868" ht="15.75" customHeight="1">
      <c r="A868" s="42" t="n"/>
      <c r="B868" s="42" t="n"/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 ht="15.75" customHeight="1">
      <c r="A869" s="42" t="n"/>
      <c r="B869" s="42" t="n"/>
      <c r="C869" s="42" t="n"/>
      <c r="D869" s="42" t="n"/>
      <c r="E869" s="42" t="n"/>
      <c r="F869" s="42" t="n"/>
      <c r="G869" s="42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</row>
    <row r="870" ht="15.75" customHeight="1">
      <c r="A870" s="42" t="n"/>
      <c r="B870" s="42" t="n"/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 ht="15.75" customHeight="1">
      <c r="A871" s="42" t="n"/>
      <c r="B871" s="42" t="n"/>
      <c r="C871" s="42" t="n"/>
      <c r="D871" s="42" t="n"/>
      <c r="E871" s="42" t="n"/>
      <c r="F871" s="42" t="n"/>
      <c r="G871" s="42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</row>
    <row r="872" ht="15.75" customHeight="1">
      <c r="A872" s="42" t="n"/>
      <c r="B872" s="42" t="n"/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 ht="15.75" customHeight="1">
      <c r="A873" s="42" t="n"/>
      <c r="B873" s="42" t="n"/>
      <c r="C873" s="42" t="n"/>
      <c r="D873" s="42" t="n"/>
      <c r="E873" s="42" t="n"/>
      <c r="F873" s="42" t="n"/>
      <c r="G873" s="42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</row>
    <row r="874" ht="15.75" customHeight="1">
      <c r="A874" s="42" t="n"/>
      <c r="B874" s="42" t="n"/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 ht="15.75" customHeight="1">
      <c r="A875" s="42" t="n"/>
      <c r="B875" s="42" t="n"/>
      <c r="C875" s="42" t="n"/>
      <c r="D875" s="42" t="n"/>
      <c r="E875" s="42" t="n"/>
      <c r="F875" s="42" t="n"/>
      <c r="G875" s="42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</row>
    <row r="876" ht="15.75" customHeight="1">
      <c r="A876" s="42" t="n"/>
      <c r="B876" s="42" t="n"/>
      <c r="C876" s="42" t="n"/>
      <c r="D876" s="42" t="n"/>
      <c r="E876" s="42" t="n"/>
      <c r="F876" s="42" t="n"/>
      <c r="G876" s="42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 ht="15.75" customHeight="1">
      <c r="A877" s="42" t="n"/>
      <c r="B877" s="42" t="n"/>
      <c r="C877" s="42" t="n"/>
      <c r="D877" s="42" t="n"/>
      <c r="E877" s="42" t="n"/>
      <c r="F877" s="42" t="n"/>
      <c r="G877" s="42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  <c r="X877" s="42" t="n"/>
      <c r="Y877" s="42" t="n"/>
      <c r="Z877" s="42" t="n"/>
    </row>
    <row r="878" ht="15.75" customHeight="1">
      <c r="A878" s="42" t="n"/>
      <c r="B878" s="42" t="n"/>
      <c r="C878" s="42" t="n"/>
      <c r="D878" s="42" t="n"/>
      <c r="E878" s="42" t="n"/>
      <c r="F878" s="42" t="n"/>
      <c r="G878" s="42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 ht="15.75" customHeight="1">
      <c r="A879" s="42" t="n"/>
      <c r="B879" s="42" t="n"/>
      <c r="C879" s="42" t="n"/>
      <c r="D879" s="42" t="n"/>
      <c r="E879" s="42" t="n"/>
      <c r="F879" s="42" t="n"/>
      <c r="G879" s="42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  <c r="X879" s="42" t="n"/>
      <c r="Y879" s="42" t="n"/>
      <c r="Z879" s="42" t="n"/>
    </row>
    <row r="880" ht="15.75" customHeight="1">
      <c r="A880" s="42" t="n"/>
      <c r="B880" s="42" t="n"/>
      <c r="C880" s="42" t="n"/>
      <c r="D880" s="42" t="n"/>
      <c r="E880" s="42" t="n"/>
      <c r="F880" s="42" t="n"/>
      <c r="G880" s="42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 ht="15.75" customHeight="1">
      <c r="A881" s="42" t="n"/>
      <c r="B881" s="42" t="n"/>
      <c r="C881" s="42" t="n"/>
      <c r="D881" s="42" t="n"/>
      <c r="E881" s="42" t="n"/>
      <c r="F881" s="42" t="n"/>
      <c r="G881" s="42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  <c r="X881" s="42" t="n"/>
      <c r="Y881" s="42" t="n"/>
      <c r="Z881" s="42" t="n"/>
    </row>
    <row r="882" ht="15.75" customHeight="1">
      <c r="A882" s="42" t="n"/>
      <c r="B882" s="42" t="n"/>
      <c r="C882" s="42" t="n"/>
      <c r="D882" s="42" t="n"/>
      <c r="E882" s="42" t="n"/>
      <c r="F882" s="42" t="n"/>
      <c r="G882" s="42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 ht="15.75" customHeight="1">
      <c r="A883" s="42" t="n"/>
      <c r="B883" s="42" t="n"/>
      <c r="C883" s="42" t="n"/>
      <c r="D883" s="42" t="n"/>
      <c r="E883" s="42" t="n"/>
      <c r="F883" s="42" t="n"/>
      <c r="G883" s="42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  <c r="X883" s="42" t="n"/>
      <c r="Y883" s="42" t="n"/>
      <c r="Z883" s="42" t="n"/>
    </row>
    <row r="884" ht="15.75" customHeight="1">
      <c r="A884" s="42" t="n"/>
      <c r="B884" s="42" t="n"/>
      <c r="C884" s="42" t="n"/>
      <c r="D884" s="42" t="n"/>
      <c r="E884" s="42" t="n"/>
      <c r="F884" s="42" t="n"/>
      <c r="G884" s="42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 ht="15.75" customHeight="1">
      <c r="A885" s="42" t="n"/>
      <c r="B885" s="42" t="n"/>
      <c r="C885" s="42" t="n"/>
      <c r="D885" s="42" t="n"/>
      <c r="E885" s="42" t="n"/>
      <c r="F885" s="42" t="n"/>
      <c r="G885" s="42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  <c r="X885" s="42" t="n"/>
      <c r="Y885" s="42" t="n"/>
      <c r="Z885" s="42" t="n"/>
    </row>
    <row r="886" ht="15.75" customHeight="1">
      <c r="A886" s="42" t="n"/>
      <c r="B886" s="42" t="n"/>
      <c r="C886" s="42" t="n"/>
      <c r="D886" s="42" t="n"/>
      <c r="E886" s="42" t="n"/>
      <c r="F886" s="42" t="n"/>
      <c r="G886" s="42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 ht="15.75" customHeight="1">
      <c r="A887" s="42" t="n"/>
      <c r="B887" s="42" t="n"/>
      <c r="C887" s="42" t="n"/>
      <c r="D887" s="42" t="n"/>
      <c r="E887" s="42" t="n"/>
      <c r="F887" s="42" t="n"/>
      <c r="G887" s="42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  <c r="X887" s="42" t="n"/>
      <c r="Y887" s="42" t="n"/>
      <c r="Z887" s="42" t="n"/>
    </row>
    <row r="888" ht="15.75" customHeight="1">
      <c r="A888" s="42" t="n"/>
      <c r="B888" s="42" t="n"/>
      <c r="C888" s="42" t="n"/>
      <c r="D888" s="42" t="n"/>
      <c r="E888" s="42" t="n"/>
      <c r="F888" s="42" t="n"/>
      <c r="G888" s="42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 ht="15.75" customHeight="1">
      <c r="A889" s="42" t="n"/>
      <c r="B889" s="42" t="n"/>
      <c r="C889" s="42" t="n"/>
      <c r="D889" s="42" t="n"/>
      <c r="E889" s="42" t="n"/>
      <c r="F889" s="42" t="n"/>
      <c r="G889" s="42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  <c r="X889" s="42" t="n"/>
      <c r="Y889" s="42" t="n"/>
      <c r="Z889" s="42" t="n"/>
    </row>
    <row r="890" ht="15.75" customHeight="1">
      <c r="A890" s="42" t="n"/>
      <c r="B890" s="42" t="n"/>
      <c r="C890" s="42" t="n"/>
      <c r="D890" s="42" t="n"/>
      <c r="E890" s="42" t="n"/>
      <c r="F890" s="42" t="n"/>
      <c r="G890" s="42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 ht="15.75" customHeight="1">
      <c r="A891" s="42" t="n"/>
      <c r="B891" s="42" t="n"/>
      <c r="C891" s="42" t="n"/>
      <c r="D891" s="42" t="n"/>
      <c r="E891" s="42" t="n"/>
      <c r="F891" s="42" t="n"/>
      <c r="G891" s="42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  <c r="X891" s="42" t="n"/>
      <c r="Y891" s="42" t="n"/>
      <c r="Z891" s="42" t="n"/>
    </row>
    <row r="892" ht="15.75" customHeight="1">
      <c r="A892" s="42" t="n"/>
      <c r="B892" s="42" t="n"/>
      <c r="C892" s="42" t="n"/>
      <c r="D892" s="42" t="n"/>
      <c r="E892" s="42" t="n"/>
      <c r="F892" s="42" t="n"/>
      <c r="G892" s="42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 ht="15.75" customHeight="1">
      <c r="A893" s="42" t="n"/>
      <c r="B893" s="42" t="n"/>
      <c r="C893" s="42" t="n"/>
      <c r="D893" s="42" t="n"/>
      <c r="E893" s="42" t="n"/>
      <c r="F893" s="42" t="n"/>
      <c r="G893" s="42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  <c r="X893" s="42" t="n"/>
      <c r="Y893" s="42" t="n"/>
      <c r="Z893" s="42" t="n"/>
    </row>
    <row r="894" ht="15.75" customHeight="1">
      <c r="A894" s="42" t="n"/>
      <c r="B894" s="42" t="n"/>
      <c r="C894" s="42" t="n"/>
      <c r="D894" s="42" t="n"/>
      <c r="E894" s="42" t="n"/>
      <c r="F894" s="42" t="n"/>
      <c r="G894" s="42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 ht="15.75" customHeight="1">
      <c r="A895" s="42" t="n"/>
      <c r="B895" s="42" t="n"/>
      <c r="C895" s="42" t="n"/>
      <c r="D895" s="42" t="n"/>
      <c r="E895" s="42" t="n"/>
      <c r="F895" s="42" t="n"/>
      <c r="G895" s="42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  <c r="X895" s="42" t="n"/>
      <c r="Y895" s="42" t="n"/>
      <c r="Z895" s="42" t="n"/>
    </row>
    <row r="896" ht="15.75" customHeight="1">
      <c r="A896" s="42" t="n"/>
      <c r="B896" s="42" t="n"/>
      <c r="C896" s="42" t="n"/>
      <c r="D896" s="42" t="n"/>
      <c r="E896" s="42" t="n"/>
      <c r="F896" s="42" t="n"/>
      <c r="G896" s="42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 ht="15.75" customHeight="1">
      <c r="A897" s="42" t="n"/>
      <c r="B897" s="42" t="n"/>
      <c r="C897" s="42" t="n"/>
      <c r="D897" s="42" t="n"/>
      <c r="E897" s="42" t="n"/>
      <c r="F897" s="42" t="n"/>
      <c r="G897" s="42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  <c r="X897" s="42" t="n"/>
      <c r="Y897" s="42" t="n"/>
      <c r="Z897" s="42" t="n"/>
    </row>
    <row r="898" ht="15.75" customHeight="1">
      <c r="A898" s="42" t="n"/>
      <c r="B898" s="42" t="n"/>
      <c r="C898" s="42" t="n"/>
      <c r="D898" s="42" t="n"/>
      <c r="E898" s="42" t="n"/>
      <c r="F898" s="42" t="n"/>
      <c r="G898" s="42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 ht="15.75" customHeight="1">
      <c r="A899" s="42" t="n"/>
      <c r="B899" s="42" t="n"/>
      <c r="C899" s="42" t="n"/>
      <c r="D899" s="42" t="n"/>
      <c r="E899" s="42" t="n"/>
      <c r="F899" s="42" t="n"/>
      <c r="G899" s="42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  <c r="X899" s="42" t="n"/>
      <c r="Y899" s="42" t="n"/>
      <c r="Z899" s="42" t="n"/>
    </row>
    <row r="900" ht="15.75" customHeight="1">
      <c r="A900" s="42" t="n"/>
      <c r="B900" s="42" t="n"/>
      <c r="C900" s="42" t="n"/>
      <c r="D900" s="42" t="n"/>
      <c r="E900" s="42" t="n"/>
      <c r="F900" s="42" t="n"/>
      <c r="G900" s="42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 ht="15.75" customHeight="1">
      <c r="A901" s="42" t="n"/>
      <c r="B901" s="42" t="n"/>
      <c r="C901" s="42" t="n"/>
      <c r="D901" s="42" t="n"/>
      <c r="E901" s="42" t="n"/>
      <c r="F901" s="42" t="n"/>
      <c r="G901" s="42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  <c r="X901" s="42" t="n"/>
      <c r="Y901" s="42" t="n"/>
      <c r="Z901" s="42" t="n"/>
    </row>
    <row r="902" ht="15.75" customHeight="1">
      <c r="A902" s="42" t="n"/>
      <c r="B902" s="42" t="n"/>
      <c r="C902" s="42" t="n"/>
      <c r="D902" s="42" t="n"/>
      <c r="E902" s="42" t="n"/>
      <c r="F902" s="42" t="n"/>
      <c r="G902" s="42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 ht="15.75" customHeight="1">
      <c r="A903" s="42" t="n"/>
      <c r="B903" s="42" t="n"/>
      <c r="C903" s="42" t="n"/>
      <c r="D903" s="42" t="n"/>
      <c r="E903" s="42" t="n"/>
      <c r="F903" s="42" t="n"/>
      <c r="G903" s="42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  <c r="X903" s="42" t="n"/>
      <c r="Y903" s="42" t="n"/>
      <c r="Z903" s="42" t="n"/>
    </row>
    <row r="904" ht="15.75" customHeight="1">
      <c r="A904" s="42" t="n"/>
      <c r="B904" s="42" t="n"/>
      <c r="C904" s="42" t="n"/>
      <c r="D904" s="42" t="n"/>
      <c r="E904" s="42" t="n"/>
      <c r="F904" s="42" t="n"/>
      <c r="G904" s="42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 ht="15.75" customHeight="1">
      <c r="A905" s="42" t="n"/>
      <c r="B905" s="42" t="n"/>
      <c r="C905" s="42" t="n"/>
      <c r="D905" s="42" t="n"/>
      <c r="E905" s="42" t="n"/>
      <c r="F905" s="42" t="n"/>
      <c r="G905" s="42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  <c r="X905" s="42" t="n"/>
      <c r="Y905" s="42" t="n"/>
      <c r="Z905" s="42" t="n"/>
    </row>
    <row r="906" ht="15.75" customHeight="1">
      <c r="A906" s="42" t="n"/>
      <c r="B906" s="42" t="n"/>
      <c r="C906" s="42" t="n"/>
      <c r="D906" s="42" t="n"/>
      <c r="E906" s="42" t="n"/>
      <c r="F906" s="42" t="n"/>
      <c r="G906" s="42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 ht="15.75" customHeight="1">
      <c r="A907" s="42" t="n"/>
      <c r="B907" s="42" t="n"/>
      <c r="C907" s="42" t="n"/>
      <c r="D907" s="42" t="n"/>
      <c r="E907" s="42" t="n"/>
      <c r="F907" s="42" t="n"/>
      <c r="G907" s="42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</row>
    <row r="908" ht="15.75" customHeight="1">
      <c r="A908" s="42" t="n"/>
      <c r="B908" s="42" t="n"/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 ht="15.75" customHeight="1">
      <c r="A909" s="42" t="n"/>
      <c r="B909" s="42" t="n"/>
      <c r="C909" s="42" t="n"/>
      <c r="D909" s="42" t="n"/>
      <c r="E909" s="42" t="n"/>
      <c r="F909" s="42" t="n"/>
      <c r="G909" s="42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</row>
    <row r="910" ht="15.75" customHeight="1">
      <c r="A910" s="42" t="n"/>
      <c r="B910" s="42" t="n"/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 ht="15.75" customHeight="1">
      <c r="A911" s="42" t="n"/>
      <c r="B911" s="42" t="n"/>
      <c r="C911" s="42" t="n"/>
      <c r="D911" s="42" t="n"/>
      <c r="E911" s="42" t="n"/>
      <c r="F911" s="42" t="n"/>
      <c r="G911" s="42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</row>
    <row r="912" ht="15.75" customHeight="1">
      <c r="A912" s="42" t="n"/>
      <c r="B912" s="42" t="n"/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 ht="15.75" customHeight="1">
      <c r="A913" s="42" t="n"/>
      <c r="B913" s="42" t="n"/>
      <c r="C913" s="42" t="n"/>
      <c r="D913" s="42" t="n"/>
      <c r="E913" s="42" t="n"/>
      <c r="F913" s="42" t="n"/>
      <c r="G913" s="42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</row>
    <row r="914" ht="15.75" customHeight="1">
      <c r="A914" s="42" t="n"/>
      <c r="B914" s="42" t="n"/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 ht="15.75" customHeight="1">
      <c r="A915" s="42" t="n"/>
      <c r="B915" s="42" t="n"/>
      <c r="C915" s="42" t="n"/>
      <c r="D915" s="42" t="n"/>
      <c r="E915" s="42" t="n"/>
      <c r="F915" s="42" t="n"/>
      <c r="G915" s="42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</row>
    <row r="916" ht="15.75" customHeight="1">
      <c r="A916" s="42" t="n"/>
      <c r="B916" s="42" t="n"/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 ht="15.75" customHeight="1">
      <c r="A917" s="42" t="n"/>
      <c r="B917" s="42" t="n"/>
      <c r="C917" s="42" t="n"/>
      <c r="D917" s="42" t="n"/>
      <c r="E917" s="42" t="n"/>
      <c r="F917" s="42" t="n"/>
      <c r="G917" s="42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</row>
    <row r="918" ht="15.75" customHeight="1">
      <c r="A918" s="42" t="n"/>
      <c r="B918" s="42" t="n"/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 ht="15.75" customHeight="1">
      <c r="A919" s="42" t="n"/>
      <c r="B919" s="42" t="n"/>
      <c r="C919" s="42" t="n"/>
      <c r="D919" s="42" t="n"/>
      <c r="E919" s="42" t="n"/>
      <c r="F919" s="42" t="n"/>
      <c r="G919" s="42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</row>
    <row r="920" ht="15.75" customHeight="1">
      <c r="A920" s="42" t="n"/>
      <c r="B920" s="42" t="n"/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 ht="15.75" customHeight="1">
      <c r="A921" s="42" t="n"/>
      <c r="B921" s="42" t="n"/>
      <c r="C921" s="42" t="n"/>
      <c r="D921" s="42" t="n"/>
      <c r="E921" s="42" t="n"/>
      <c r="F921" s="42" t="n"/>
      <c r="G921" s="42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</row>
    <row r="922" ht="15.75" customHeight="1">
      <c r="A922" s="42" t="n"/>
      <c r="B922" s="42" t="n"/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 ht="15.75" customHeight="1">
      <c r="A923" s="42" t="n"/>
      <c r="B923" s="42" t="n"/>
      <c r="C923" s="42" t="n"/>
      <c r="D923" s="42" t="n"/>
      <c r="E923" s="42" t="n"/>
      <c r="F923" s="42" t="n"/>
      <c r="G923" s="42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</row>
    <row r="924" ht="15.75" customHeight="1">
      <c r="A924" s="42" t="n"/>
      <c r="B924" s="42" t="n"/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 ht="15.75" customHeight="1">
      <c r="A925" s="42" t="n"/>
      <c r="B925" s="42" t="n"/>
      <c r="C925" s="42" t="n"/>
      <c r="D925" s="42" t="n"/>
      <c r="E925" s="42" t="n"/>
      <c r="F925" s="42" t="n"/>
      <c r="G925" s="42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</row>
    <row r="926" ht="15.75" customHeight="1">
      <c r="A926" s="42" t="n"/>
      <c r="B926" s="42" t="n"/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 ht="15.75" customHeight="1">
      <c r="A927" s="42" t="n"/>
      <c r="B927" s="42" t="n"/>
      <c r="C927" s="42" t="n"/>
      <c r="D927" s="42" t="n"/>
      <c r="E927" s="42" t="n"/>
      <c r="F927" s="42" t="n"/>
      <c r="G927" s="42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</row>
    <row r="928" ht="15.75" customHeight="1">
      <c r="A928" s="42" t="n"/>
      <c r="B928" s="42" t="n"/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 ht="15.75" customHeight="1">
      <c r="A929" s="42" t="n"/>
      <c r="B929" s="42" t="n"/>
      <c r="C929" s="42" t="n"/>
      <c r="D929" s="42" t="n"/>
      <c r="E929" s="42" t="n"/>
      <c r="F929" s="42" t="n"/>
      <c r="G929" s="42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</row>
    <row r="930" ht="15.75" customHeight="1">
      <c r="A930" s="42" t="n"/>
      <c r="B930" s="42" t="n"/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 ht="15.75" customHeight="1">
      <c r="A931" s="42" t="n"/>
      <c r="B931" s="42" t="n"/>
      <c r="C931" s="42" t="n"/>
      <c r="D931" s="42" t="n"/>
      <c r="E931" s="42" t="n"/>
      <c r="F931" s="42" t="n"/>
      <c r="G931" s="42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</row>
    <row r="932" ht="15.75" customHeight="1">
      <c r="A932" s="42" t="n"/>
      <c r="B932" s="42" t="n"/>
      <c r="C932" s="42" t="n"/>
      <c r="D932" s="42" t="n"/>
      <c r="E932" s="42" t="n"/>
      <c r="F932" s="42" t="n"/>
      <c r="G932" s="42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 ht="15.75" customHeight="1">
      <c r="A933" s="42" t="n"/>
      <c r="B933" s="42" t="n"/>
      <c r="C933" s="42" t="n"/>
      <c r="D933" s="42" t="n"/>
      <c r="E933" s="42" t="n"/>
      <c r="F933" s="42" t="n"/>
      <c r="G933" s="42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  <c r="X933" s="42" t="n"/>
      <c r="Y933" s="42" t="n"/>
      <c r="Z933" s="42" t="n"/>
    </row>
    <row r="934" ht="15.75" customHeight="1">
      <c r="A934" s="42" t="n"/>
      <c r="B934" s="42" t="n"/>
      <c r="C934" s="42" t="n"/>
      <c r="D934" s="42" t="n"/>
      <c r="E934" s="42" t="n"/>
      <c r="F934" s="42" t="n"/>
      <c r="G934" s="42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 ht="15.75" customHeight="1">
      <c r="A935" s="42" t="n"/>
      <c r="B935" s="42" t="n"/>
      <c r="C935" s="42" t="n"/>
      <c r="D935" s="42" t="n"/>
      <c r="E935" s="42" t="n"/>
      <c r="F935" s="42" t="n"/>
      <c r="G935" s="42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  <c r="X935" s="42" t="n"/>
      <c r="Y935" s="42" t="n"/>
      <c r="Z935" s="42" t="n"/>
    </row>
    <row r="936" ht="15.75" customHeight="1">
      <c r="A936" s="42" t="n"/>
      <c r="B936" s="42" t="n"/>
      <c r="C936" s="42" t="n"/>
      <c r="D936" s="42" t="n"/>
      <c r="E936" s="42" t="n"/>
      <c r="F936" s="42" t="n"/>
      <c r="G936" s="42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 ht="15.75" customHeight="1">
      <c r="A937" s="42" t="n"/>
      <c r="B937" s="42" t="n"/>
      <c r="C937" s="42" t="n"/>
      <c r="D937" s="42" t="n"/>
      <c r="E937" s="42" t="n"/>
      <c r="F937" s="42" t="n"/>
      <c r="G937" s="42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  <c r="X937" s="42" t="n"/>
      <c r="Y937" s="42" t="n"/>
      <c r="Z937" s="42" t="n"/>
    </row>
    <row r="938" ht="15.75" customHeight="1">
      <c r="A938" s="42" t="n"/>
      <c r="B938" s="42" t="n"/>
      <c r="C938" s="42" t="n"/>
      <c r="D938" s="42" t="n"/>
      <c r="E938" s="42" t="n"/>
      <c r="F938" s="42" t="n"/>
      <c r="G938" s="42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 ht="15.75" customHeight="1">
      <c r="A939" s="42" t="n"/>
      <c r="B939" s="42" t="n"/>
      <c r="C939" s="42" t="n"/>
      <c r="D939" s="42" t="n"/>
      <c r="E939" s="42" t="n"/>
      <c r="F939" s="42" t="n"/>
      <c r="G939" s="42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  <c r="X939" s="42" t="n"/>
      <c r="Y939" s="42" t="n"/>
      <c r="Z939" s="42" t="n"/>
    </row>
    <row r="940" ht="15.75" customHeight="1">
      <c r="A940" s="42" t="n"/>
      <c r="B940" s="42" t="n"/>
      <c r="C940" s="42" t="n"/>
      <c r="D940" s="42" t="n"/>
      <c r="E940" s="42" t="n"/>
      <c r="F940" s="42" t="n"/>
      <c r="G940" s="42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 ht="15.75" customHeight="1">
      <c r="A941" s="42" t="n"/>
      <c r="B941" s="42" t="n"/>
      <c r="C941" s="42" t="n"/>
      <c r="D941" s="42" t="n"/>
      <c r="E941" s="42" t="n"/>
      <c r="F941" s="42" t="n"/>
      <c r="G941" s="42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  <c r="X941" s="42" t="n"/>
      <c r="Y941" s="42" t="n"/>
      <c r="Z941" s="42" t="n"/>
    </row>
    <row r="942" ht="15.75" customHeight="1">
      <c r="A942" s="42" t="n"/>
      <c r="B942" s="42" t="n"/>
      <c r="C942" s="42" t="n"/>
      <c r="D942" s="42" t="n"/>
      <c r="E942" s="42" t="n"/>
      <c r="F942" s="42" t="n"/>
      <c r="G942" s="42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 ht="15.75" customHeight="1">
      <c r="A943" s="42" t="n"/>
      <c r="B943" s="42" t="n"/>
      <c r="C943" s="42" t="n"/>
      <c r="D943" s="42" t="n"/>
      <c r="E943" s="42" t="n"/>
      <c r="F943" s="42" t="n"/>
      <c r="G943" s="42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  <c r="X943" s="42" t="n"/>
      <c r="Y943" s="42" t="n"/>
      <c r="Z943" s="42" t="n"/>
    </row>
    <row r="944" ht="15.75" customHeight="1">
      <c r="A944" s="42" t="n"/>
      <c r="B944" s="42" t="n"/>
      <c r="C944" s="42" t="n"/>
      <c r="D944" s="42" t="n"/>
      <c r="E944" s="42" t="n"/>
      <c r="F944" s="42" t="n"/>
      <c r="G944" s="42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 ht="15.75" customHeight="1">
      <c r="A945" s="42" t="n"/>
      <c r="B945" s="42" t="n"/>
      <c r="C945" s="42" t="n"/>
      <c r="D945" s="42" t="n"/>
      <c r="E945" s="42" t="n"/>
      <c r="F945" s="42" t="n"/>
      <c r="G945" s="42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  <c r="X945" s="42" t="n"/>
      <c r="Y945" s="42" t="n"/>
      <c r="Z945" s="42" t="n"/>
    </row>
    <row r="946" ht="15.75" customHeight="1">
      <c r="A946" s="42" t="n"/>
      <c r="B946" s="42" t="n"/>
      <c r="C946" s="42" t="n"/>
      <c r="D946" s="42" t="n"/>
      <c r="E946" s="42" t="n"/>
      <c r="F946" s="42" t="n"/>
      <c r="G946" s="42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 ht="15.75" customHeight="1">
      <c r="A947" s="42" t="n"/>
      <c r="B947" s="42" t="n"/>
      <c r="C947" s="42" t="n"/>
      <c r="D947" s="42" t="n"/>
      <c r="E947" s="42" t="n"/>
      <c r="F947" s="42" t="n"/>
      <c r="G947" s="42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  <c r="X947" s="42" t="n"/>
      <c r="Y947" s="42" t="n"/>
      <c r="Z947" s="42" t="n"/>
    </row>
    <row r="948" ht="15.75" customHeight="1">
      <c r="A948" s="42" t="n"/>
      <c r="B948" s="42" t="n"/>
      <c r="C948" s="42" t="n"/>
      <c r="D948" s="42" t="n"/>
      <c r="E948" s="42" t="n"/>
      <c r="F948" s="42" t="n"/>
      <c r="G948" s="42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 ht="15.75" customHeight="1">
      <c r="A949" s="42" t="n"/>
      <c r="B949" s="42" t="n"/>
      <c r="C949" s="42" t="n"/>
      <c r="D949" s="42" t="n"/>
      <c r="E949" s="42" t="n"/>
      <c r="F949" s="42" t="n"/>
      <c r="G949" s="42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  <c r="X949" s="42" t="n"/>
      <c r="Y949" s="42" t="n"/>
      <c r="Z949" s="42" t="n"/>
    </row>
    <row r="950" ht="15.75" customHeight="1">
      <c r="A950" s="42" t="n"/>
      <c r="B950" s="42" t="n"/>
      <c r="C950" s="42" t="n"/>
      <c r="D950" s="42" t="n"/>
      <c r="E950" s="42" t="n"/>
      <c r="F950" s="42" t="n"/>
      <c r="G950" s="42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 ht="15.75" customHeight="1">
      <c r="A951" s="42" t="n"/>
      <c r="B951" s="42" t="n"/>
      <c r="C951" s="42" t="n"/>
      <c r="D951" s="42" t="n"/>
      <c r="E951" s="42" t="n"/>
      <c r="F951" s="42" t="n"/>
      <c r="G951" s="42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  <c r="X951" s="42" t="n"/>
      <c r="Y951" s="42" t="n"/>
      <c r="Z951" s="42" t="n"/>
    </row>
    <row r="952" ht="15.75" customHeight="1">
      <c r="A952" s="42" t="n"/>
      <c r="B952" s="42" t="n"/>
      <c r="C952" s="42" t="n"/>
      <c r="D952" s="42" t="n"/>
      <c r="E952" s="42" t="n"/>
      <c r="F952" s="42" t="n"/>
      <c r="G952" s="42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 ht="15.75" customHeight="1">
      <c r="A953" s="42" t="n"/>
      <c r="B953" s="42" t="n"/>
      <c r="C953" s="42" t="n"/>
      <c r="D953" s="42" t="n"/>
      <c r="E953" s="42" t="n"/>
      <c r="F953" s="42" t="n"/>
      <c r="G953" s="42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  <c r="X953" s="42" t="n"/>
      <c r="Y953" s="42" t="n"/>
      <c r="Z953" s="42" t="n"/>
    </row>
    <row r="954" ht="15.75" customHeight="1">
      <c r="A954" s="42" t="n"/>
      <c r="B954" s="42" t="n"/>
      <c r="C954" s="42" t="n"/>
      <c r="D954" s="42" t="n"/>
      <c r="E954" s="42" t="n"/>
      <c r="F954" s="42" t="n"/>
      <c r="G954" s="42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 ht="15.75" customHeight="1">
      <c r="A955" s="42" t="n"/>
      <c r="B955" s="42" t="n"/>
      <c r="C955" s="42" t="n"/>
      <c r="D955" s="42" t="n"/>
      <c r="E955" s="42" t="n"/>
      <c r="F955" s="42" t="n"/>
      <c r="G955" s="42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  <c r="X955" s="42" t="n"/>
      <c r="Y955" s="42" t="n"/>
      <c r="Z955" s="42" t="n"/>
    </row>
    <row r="956" ht="15.75" customHeight="1">
      <c r="A956" s="42" t="n"/>
      <c r="B956" s="42" t="n"/>
      <c r="C956" s="42" t="n"/>
      <c r="D956" s="42" t="n"/>
      <c r="E956" s="42" t="n"/>
      <c r="F956" s="42" t="n"/>
      <c r="G956" s="42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 ht="15.75" customHeight="1">
      <c r="A957" s="42" t="n"/>
      <c r="B957" s="42" t="n"/>
      <c r="C957" s="42" t="n"/>
      <c r="D957" s="42" t="n"/>
      <c r="E957" s="42" t="n"/>
      <c r="F957" s="42" t="n"/>
      <c r="G957" s="42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  <c r="X957" s="42" t="n"/>
      <c r="Y957" s="42" t="n"/>
      <c r="Z957" s="42" t="n"/>
    </row>
    <row r="958" ht="15.75" customHeight="1">
      <c r="A958" s="42" t="n"/>
      <c r="B958" s="42" t="n"/>
      <c r="C958" s="42" t="n"/>
      <c r="D958" s="42" t="n"/>
      <c r="E958" s="42" t="n"/>
      <c r="F958" s="42" t="n"/>
      <c r="G958" s="42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 ht="15.75" customHeight="1">
      <c r="A959" s="42" t="n"/>
      <c r="B959" s="42" t="n"/>
      <c r="C959" s="42" t="n"/>
      <c r="D959" s="42" t="n"/>
      <c r="E959" s="42" t="n"/>
      <c r="F959" s="42" t="n"/>
      <c r="G959" s="42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  <c r="X959" s="42" t="n"/>
      <c r="Y959" s="42" t="n"/>
      <c r="Z959" s="42" t="n"/>
    </row>
    <row r="960" ht="15.75" customHeight="1">
      <c r="A960" s="42" t="n"/>
      <c r="B960" s="42" t="n"/>
      <c r="C960" s="42" t="n"/>
      <c r="D960" s="42" t="n"/>
      <c r="E960" s="42" t="n"/>
      <c r="F960" s="42" t="n"/>
      <c r="G960" s="42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 ht="15.75" customHeight="1">
      <c r="A961" s="42" t="n"/>
      <c r="B961" s="42" t="n"/>
      <c r="C961" s="42" t="n"/>
      <c r="D961" s="42" t="n"/>
      <c r="E961" s="42" t="n"/>
      <c r="F961" s="42" t="n"/>
      <c r="G961" s="42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  <c r="X961" s="42" t="n"/>
      <c r="Y961" s="42" t="n"/>
      <c r="Z961" s="42" t="n"/>
    </row>
    <row r="962" ht="15.75" customHeight="1">
      <c r="A962" s="42" t="n"/>
      <c r="B962" s="42" t="n"/>
      <c r="C962" s="42" t="n"/>
      <c r="D962" s="42" t="n"/>
      <c r="E962" s="42" t="n"/>
      <c r="F962" s="42" t="n"/>
      <c r="G962" s="42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 ht="15.75" customHeight="1">
      <c r="A963" s="42" t="n"/>
      <c r="B963" s="42" t="n"/>
      <c r="C963" s="42" t="n"/>
      <c r="D963" s="42" t="n"/>
      <c r="E963" s="42" t="n"/>
      <c r="F963" s="42" t="n"/>
      <c r="G963" s="42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</row>
    <row r="964" ht="15.75" customHeight="1">
      <c r="A964" s="42" t="n"/>
      <c r="B964" s="42" t="n"/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 ht="15.75" customHeight="1">
      <c r="A965" s="42" t="n"/>
      <c r="B965" s="42" t="n"/>
      <c r="C965" s="42" t="n"/>
      <c r="D965" s="42" t="n"/>
      <c r="E965" s="42" t="n"/>
      <c r="F965" s="42" t="n"/>
      <c r="G965" s="42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</row>
    <row r="966" ht="15.75" customHeight="1">
      <c r="A966" s="42" t="n"/>
      <c r="B966" s="42" t="n"/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 ht="15.75" customHeight="1">
      <c r="A967" s="42" t="n"/>
      <c r="B967" s="42" t="n"/>
      <c r="C967" s="42" t="n"/>
      <c r="D967" s="42" t="n"/>
      <c r="E967" s="42" t="n"/>
      <c r="F967" s="42" t="n"/>
      <c r="G967" s="42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</row>
    <row r="968" ht="15.75" customHeight="1">
      <c r="A968" s="42" t="n"/>
      <c r="B968" s="42" t="n"/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 ht="15.75" customHeight="1">
      <c r="A969" s="42" t="n"/>
      <c r="B969" s="42" t="n"/>
      <c r="C969" s="42" t="n"/>
      <c r="D969" s="42" t="n"/>
      <c r="E969" s="42" t="n"/>
      <c r="F969" s="42" t="n"/>
      <c r="G969" s="42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</row>
    <row r="970" ht="15.75" customHeight="1">
      <c r="A970" s="42" t="n"/>
      <c r="B970" s="42" t="n"/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 ht="15.75" customHeight="1">
      <c r="A971" s="42" t="n"/>
      <c r="B971" s="42" t="n"/>
      <c r="C971" s="42" t="n"/>
      <c r="D971" s="42" t="n"/>
      <c r="E971" s="42" t="n"/>
      <c r="F971" s="42" t="n"/>
      <c r="G971" s="42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</row>
    <row r="972" ht="15.75" customHeight="1">
      <c r="A972" s="42" t="n"/>
      <c r="B972" s="42" t="n"/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 ht="15.75" customHeight="1">
      <c r="A973" s="42" t="n"/>
      <c r="B973" s="42" t="n"/>
      <c r="C973" s="42" t="n"/>
      <c r="D973" s="42" t="n"/>
      <c r="E973" s="42" t="n"/>
      <c r="F973" s="42" t="n"/>
      <c r="G973" s="42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</row>
    <row r="974" ht="15.75" customHeight="1">
      <c r="A974" s="42" t="n"/>
      <c r="B974" s="42" t="n"/>
      <c r="C974" s="42" t="n"/>
      <c r="D974" s="42" t="n"/>
      <c r="E974" s="42" t="n"/>
      <c r="F974" s="42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 ht="15.75" customHeight="1">
      <c r="A975" s="42" t="n"/>
      <c r="B975" s="42" t="n"/>
      <c r="C975" s="42" t="n"/>
      <c r="D975" s="42" t="n"/>
      <c r="E975" s="42" t="n"/>
      <c r="F975" s="42" t="n"/>
      <c r="G975" s="42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</row>
    <row r="976" ht="15.75" customHeight="1">
      <c r="A976" s="42" t="n"/>
      <c r="B976" s="42" t="n"/>
      <c r="C976" s="42" t="n"/>
      <c r="D976" s="42" t="n"/>
      <c r="E976" s="42" t="n"/>
      <c r="F976" s="42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 ht="15.75" customHeight="1">
      <c r="A977" s="42" t="n"/>
      <c r="B977" s="42" t="n"/>
      <c r="C977" s="42" t="n"/>
      <c r="D977" s="42" t="n"/>
      <c r="E977" s="42" t="n"/>
      <c r="F977" s="42" t="n"/>
      <c r="G977" s="42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</row>
    <row r="978" ht="15.75" customHeight="1">
      <c r="A978" s="42" t="n"/>
      <c r="B978" s="42" t="n"/>
      <c r="C978" s="42" t="n"/>
      <c r="D978" s="42" t="n"/>
      <c r="E978" s="42" t="n"/>
      <c r="F978" s="42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 ht="15.75" customHeight="1">
      <c r="A979" s="42" t="n"/>
      <c r="B979" s="42" t="n"/>
      <c r="C979" s="42" t="n"/>
      <c r="D979" s="42" t="n"/>
      <c r="E979" s="42" t="n"/>
      <c r="F979" s="42" t="n"/>
      <c r="G979" s="42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</row>
    <row r="980" ht="15.75" customHeight="1">
      <c r="A980" s="42" t="n"/>
      <c r="B980" s="42" t="n"/>
      <c r="C980" s="42" t="n"/>
      <c r="D980" s="42" t="n"/>
      <c r="E980" s="42" t="n"/>
      <c r="F980" s="42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 ht="15.75" customHeight="1">
      <c r="A981" s="42" t="n"/>
      <c r="B981" s="42" t="n"/>
      <c r="C981" s="42" t="n"/>
      <c r="D981" s="42" t="n"/>
      <c r="E981" s="42" t="n"/>
      <c r="F981" s="42" t="n"/>
      <c r="G981" s="42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</row>
    <row r="982" ht="15.75" customHeight="1">
      <c r="A982" s="42" t="n"/>
      <c r="B982" s="42" t="n"/>
      <c r="C982" s="42" t="n"/>
      <c r="D982" s="42" t="n"/>
      <c r="E982" s="42" t="n"/>
      <c r="F982" s="42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  <row r="983" ht="15.75" customHeight="1">
      <c r="A983" s="42" t="n"/>
      <c r="B983" s="42" t="n"/>
      <c r="C983" s="42" t="n"/>
      <c r="D983" s="42" t="n"/>
      <c r="E983" s="42" t="n"/>
      <c r="F983" s="42" t="n"/>
      <c r="G983" s="42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</row>
    <row r="984" ht="15.75" customHeight="1">
      <c r="A984" s="42" t="n"/>
      <c r="B984" s="42" t="n"/>
      <c r="C984" s="42" t="n"/>
      <c r="D984" s="42" t="n"/>
      <c r="E984" s="42" t="n"/>
      <c r="F984" s="42" t="n"/>
      <c r="G984" s="42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</row>
    <row r="985" ht="15.75" customHeight="1">
      <c r="A985" s="42" t="n"/>
      <c r="B985" s="42" t="n"/>
      <c r="C985" s="42" t="n"/>
      <c r="D985" s="42" t="n"/>
      <c r="E985" s="42" t="n"/>
      <c r="F985" s="42" t="n"/>
      <c r="G985" s="42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</row>
    <row r="986" ht="15.75" customHeight="1">
      <c r="A986" s="42" t="n"/>
      <c r="B986" s="42" t="n"/>
      <c r="C986" s="42" t="n"/>
      <c r="D986" s="42" t="n"/>
      <c r="E986" s="42" t="n"/>
      <c r="F986" s="42" t="n"/>
      <c r="G986" s="42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</row>
    <row r="987" ht="15.75" customHeight="1">
      <c r="A987" s="42" t="n"/>
      <c r="B987" s="42" t="n"/>
      <c r="C987" s="42" t="n"/>
      <c r="D987" s="42" t="n"/>
      <c r="E987" s="42" t="n"/>
      <c r="F987" s="42" t="n"/>
      <c r="G987" s="42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</row>
    <row r="988" ht="15.75" customHeight="1">
      <c r="A988" s="42" t="n"/>
      <c r="B988" s="42" t="n"/>
      <c r="C988" s="42" t="n"/>
      <c r="D988" s="42" t="n"/>
      <c r="E988" s="42" t="n"/>
      <c r="F988" s="42" t="n"/>
      <c r="G988" s="42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  <c r="T988" s="42" t="n"/>
      <c r="U988" s="42" t="n"/>
      <c r="V988" s="42" t="n"/>
      <c r="W988" s="42" t="n"/>
      <c r="X988" s="42" t="n"/>
      <c r="Y988" s="42" t="n"/>
      <c r="Z988" s="42" t="n"/>
    </row>
    <row r="989" ht="15.75" customHeight="1">
      <c r="A989" s="42" t="n"/>
      <c r="B989" s="42" t="n"/>
      <c r="C989" s="42" t="n"/>
      <c r="D989" s="42" t="n"/>
      <c r="E989" s="42" t="n"/>
      <c r="F989" s="42" t="n"/>
      <c r="G989" s="42" t="n"/>
      <c r="H989" s="42" t="n"/>
      <c r="I989" s="42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2" t="n"/>
      <c r="S989" s="42" t="n"/>
      <c r="T989" s="42" t="n"/>
      <c r="U989" s="42" t="n"/>
      <c r="V989" s="42" t="n"/>
      <c r="W989" s="42" t="n"/>
      <c r="X989" s="42" t="n"/>
      <c r="Y989" s="42" t="n"/>
      <c r="Z989" s="42" t="n"/>
    </row>
    <row r="990" ht="15.75" customHeight="1">
      <c r="A990" s="42" t="n"/>
      <c r="B990" s="42" t="n"/>
      <c r="C990" s="42" t="n"/>
      <c r="D990" s="42" t="n"/>
      <c r="E990" s="42" t="n"/>
      <c r="F990" s="42" t="n"/>
      <c r="G990" s="42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  <c r="T990" s="42" t="n"/>
      <c r="U990" s="42" t="n"/>
      <c r="V990" s="42" t="n"/>
      <c r="W990" s="42" t="n"/>
      <c r="X990" s="42" t="n"/>
      <c r="Y990" s="42" t="n"/>
      <c r="Z990" s="42" t="n"/>
    </row>
    <row r="991" ht="15.75" customHeight="1">
      <c r="A991" s="42" t="n"/>
      <c r="B991" s="42" t="n"/>
      <c r="C991" s="42" t="n"/>
      <c r="D991" s="42" t="n"/>
      <c r="E991" s="42" t="n"/>
      <c r="F991" s="42" t="n"/>
      <c r="G991" s="42" t="n"/>
      <c r="H991" s="42" t="n"/>
      <c r="I991" s="42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2" t="n"/>
      <c r="S991" s="42" t="n"/>
      <c r="T991" s="42" t="n"/>
      <c r="U991" s="42" t="n"/>
      <c r="V991" s="42" t="n"/>
      <c r="W991" s="42" t="n"/>
      <c r="X991" s="42" t="n"/>
      <c r="Y991" s="42" t="n"/>
      <c r="Z991" s="42" t="n"/>
    </row>
    <row r="992" ht="15.75" customHeight="1">
      <c r="A992" s="42" t="n"/>
      <c r="B992" s="42" t="n"/>
      <c r="C992" s="42" t="n"/>
      <c r="D992" s="42" t="n"/>
      <c r="E992" s="42" t="n"/>
      <c r="F992" s="42" t="n"/>
      <c r="G992" s="42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  <c r="T992" s="42" t="n"/>
      <c r="U992" s="42" t="n"/>
      <c r="V992" s="42" t="n"/>
      <c r="W992" s="42" t="n"/>
      <c r="X992" s="42" t="n"/>
      <c r="Y992" s="42" t="n"/>
      <c r="Z992" s="42" t="n"/>
    </row>
    <row r="993" ht="15.75" customHeight="1">
      <c r="A993" s="42" t="n"/>
      <c r="B993" s="42" t="n"/>
      <c r="C993" s="42" t="n"/>
      <c r="D993" s="42" t="n"/>
      <c r="E993" s="42" t="n"/>
      <c r="F993" s="42" t="n"/>
      <c r="G993" s="42" t="n"/>
      <c r="H993" s="42" t="n"/>
      <c r="I993" s="42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2" t="n"/>
      <c r="S993" s="42" t="n"/>
      <c r="T993" s="42" t="n"/>
      <c r="U993" s="42" t="n"/>
      <c r="V993" s="42" t="n"/>
      <c r="W993" s="42" t="n"/>
      <c r="X993" s="42" t="n"/>
      <c r="Y993" s="42" t="n"/>
      <c r="Z993" s="42" t="n"/>
    </row>
    <row r="994" ht="15.75" customHeight="1">
      <c r="A994" s="42" t="n"/>
      <c r="B994" s="42" t="n"/>
      <c r="C994" s="42" t="n"/>
      <c r="D994" s="42" t="n"/>
      <c r="E994" s="42" t="n"/>
      <c r="F994" s="42" t="n"/>
      <c r="G994" s="42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  <c r="T994" s="42" t="n"/>
      <c r="U994" s="42" t="n"/>
      <c r="V994" s="42" t="n"/>
      <c r="W994" s="42" t="n"/>
      <c r="X994" s="42" t="n"/>
      <c r="Y994" s="42" t="n"/>
      <c r="Z994" s="42" t="n"/>
    </row>
    <row r="995" ht="15.75" customHeight="1">
      <c r="A995" s="42" t="n"/>
      <c r="B995" s="42" t="n"/>
      <c r="C995" s="42" t="n"/>
      <c r="D995" s="42" t="n"/>
      <c r="E995" s="42" t="n"/>
      <c r="F995" s="42" t="n"/>
      <c r="G995" s="42" t="n"/>
      <c r="H995" s="42" t="n"/>
      <c r="I995" s="42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2" t="n"/>
      <c r="S995" s="42" t="n"/>
      <c r="T995" s="42" t="n"/>
      <c r="U995" s="42" t="n"/>
      <c r="V995" s="42" t="n"/>
      <c r="W995" s="42" t="n"/>
      <c r="X995" s="42" t="n"/>
      <c r="Y995" s="42" t="n"/>
      <c r="Z995" s="42" t="n"/>
    </row>
    <row r="996" ht="15.75" customHeight="1">
      <c r="A996" s="42" t="n"/>
      <c r="B996" s="42" t="n"/>
      <c r="C996" s="42" t="n"/>
      <c r="D996" s="42" t="n"/>
      <c r="E996" s="42" t="n"/>
      <c r="F996" s="42" t="n"/>
      <c r="G996" s="42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  <c r="T996" s="42" t="n"/>
      <c r="U996" s="42" t="n"/>
      <c r="V996" s="42" t="n"/>
      <c r="W996" s="42" t="n"/>
      <c r="X996" s="42" t="n"/>
      <c r="Y996" s="42" t="n"/>
      <c r="Z996" s="42" t="n"/>
    </row>
    <row r="997" ht="15.75" customHeight="1">
      <c r="A997" s="42" t="n"/>
      <c r="B997" s="42" t="n"/>
      <c r="C997" s="42" t="n"/>
      <c r="D997" s="42" t="n"/>
      <c r="E997" s="42" t="n"/>
      <c r="F997" s="42" t="n"/>
      <c r="G997" s="42" t="n"/>
      <c r="H997" s="42" t="n"/>
      <c r="I997" s="42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2" t="n"/>
      <c r="S997" s="42" t="n"/>
      <c r="T997" s="42" t="n"/>
      <c r="U997" s="42" t="n"/>
      <c r="V997" s="42" t="n"/>
      <c r="W997" s="42" t="n"/>
      <c r="X997" s="42" t="n"/>
      <c r="Y997" s="42" t="n"/>
      <c r="Z997" s="42" t="n"/>
    </row>
    <row r="998" ht="15.75" customHeight="1">
      <c r="A998" s="42" t="n"/>
      <c r="B998" s="42" t="n"/>
      <c r="C998" s="42" t="n"/>
      <c r="D998" s="42" t="n"/>
      <c r="E998" s="42" t="n"/>
      <c r="F998" s="42" t="n"/>
      <c r="G998" s="42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  <c r="T998" s="42" t="n"/>
      <c r="U998" s="42" t="n"/>
      <c r="V998" s="42" t="n"/>
      <c r="W998" s="42" t="n"/>
      <c r="X998" s="42" t="n"/>
      <c r="Y998" s="42" t="n"/>
      <c r="Z998" s="42" t="n"/>
    </row>
    <row r="999" ht="15.75" customHeight="1">
      <c r="A999" s="42" t="n"/>
      <c r="B999" s="42" t="n"/>
      <c r="C999" s="42" t="n"/>
      <c r="D999" s="42" t="n"/>
      <c r="E999" s="42" t="n"/>
      <c r="F999" s="42" t="n"/>
      <c r="G999" s="42" t="n"/>
      <c r="H999" s="42" t="n"/>
      <c r="I999" s="42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2" t="n"/>
      <c r="S999" s="42" t="n"/>
      <c r="T999" s="42" t="n"/>
      <c r="U999" s="42" t="n"/>
      <c r="V999" s="42" t="n"/>
      <c r="W999" s="42" t="n"/>
      <c r="X999" s="42" t="n"/>
      <c r="Y999" s="42" t="n"/>
      <c r="Z999" s="42" t="n"/>
    </row>
    <row r="1000" ht="15.75" customHeight="1">
      <c r="A1000" s="42" t="n"/>
      <c r="B1000" s="42" t="n"/>
      <c r="C1000" s="42" t="n"/>
      <c r="D1000" s="42" t="n"/>
      <c r="E1000" s="42" t="n"/>
      <c r="F1000" s="42" t="n"/>
      <c r="G1000" s="42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2" t="n"/>
      <c r="S1000" s="42" t="n"/>
      <c r="T1000" s="42" t="n"/>
      <c r="U1000" s="42" t="n"/>
      <c r="V1000" s="42" t="n"/>
      <c r="W1000" s="42" t="n"/>
      <c r="X1000" s="42" t="n"/>
      <c r="Y1000" s="42" t="n"/>
      <c r="Z1000" s="42" t="n"/>
    </row>
  </sheetData>
  <conditionalFormatting sqref="B6">
    <cfRule type="cellIs" priority="2" operator="greaterThanOrEqual" dxfId="2">
      <formula>1</formula>
    </cfRule>
  </conditionalFormatting>
  <conditionalFormatting sqref="B8">
    <cfRule type="cellIs" priority="1" operator="greaterThanOrEqual" dxfId="2">
      <formula>1</formula>
    </cfRule>
  </conditionalFormatting>
  <conditionalFormatting sqref="B4:E4">
    <cfRule type="cellIs" priority="3" operator="greaterThanOrEqual" dxfId="2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2026-10-28T04:23:25Z</dcterms:created>
  <dcterms:modified xsi:type="dcterms:W3CDTF">2026-10-28T04:23:29Z</dcterms:modified>
</cp:coreProperties>
</file>
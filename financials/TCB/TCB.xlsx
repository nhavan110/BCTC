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520" windowWidth="12000" windowHeight="7380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;\(#,##0\);&quot;-&quot;"/>
    <numFmt numFmtId="165" formatCode="_(* #,##0_);_(* \(#,##0\);_(* &quot;-&quot;??_);_(@_)"/>
    <numFmt numFmtId="166" formatCode="0.0%"/>
    <numFmt numFmtId="167" formatCode="#,##0;(#,##0);&quot;-&quot;"/>
  </numFmts>
  <fonts count="17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Tahoma"/>
      <family val="2"/>
      <i val="1"/>
      <color rgb="FF7030A0"/>
      <sz val="10"/>
    </font>
    <font>
      <name val="Tahoma"/>
      <family val="2"/>
      <i val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color theme="1"/>
      <sz val="11"/>
      <scheme val="minor"/>
    </font>
    <font>
      <name val="Tahoma"/>
      <family val="2"/>
      <b val="1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0" fillId="0" borderId="0"/>
    <xf numFmtId="9" fontId="10" fillId="0" borderId="0"/>
  </cellStyleXfs>
  <cellXfs count="54">
    <xf numFmtId="0" fontId="0" fillId="0" borderId="0" pivotButton="0" quotePrefix="0" xfId="0"/>
    <xf numFmtId="0" fontId="1" fillId="2" borderId="2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0" fontId="2" fillId="0" borderId="1" pivotButton="0" quotePrefix="0" xfId="0"/>
    <xf numFmtId="0" fontId="2" fillId="4" borderId="1" pivotButton="0" quotePrefix="0" xfId="0"/>
    <xf numFmtId="10" fontId="4" fillId="4" borderId="1" pivotButton="0" quotePrefix="0" xfId="0"/>
    <xf numFmtId="0" fontId="7" fillId="4" borderId="1" pivotButton="0" quotePrefix="0" xfId="0"/>
    <xf numFmtId="0" fontId="2" fillId="0" borderId="1" pivotButton="0" quotePrefix="1" xfId="0"/>
    <xf numFmtId="0" fontId="8" fillId="0" borderId="1" pivotButton="0" quotePrefix="0" xfId="0"/>
    <xf numFmtId="0" fontId="8" fillId="0" borderId="0" pivotButton="0" quotePrefix="0" xfId="0"/>
    <xf numFmtId="3" fontId="8" fillId="0" borderId="1" pivotButton="0" quotePrefix="0" xfId="0"/>
    <xf numFmtId="165" fontId="8" fillId="0" borderId="0" pivotButton="0" quotePrefix="0" xfId="0"/>
    <xf numFmtId="9" fontId="8" fillId="0" borderId="0" pivotButton="0" quotePrefix="0" xfId="0"/>
    <xf numFmtId="0" fontId="9" fillId="0" borderId="1" pivotButton="0" quotePrefix="0" xfId="0"/>
    <xf numFmtId="3" fontId="9" fillId="0" borderId="1" pivotButton="0" quotePrefix="0" xfId="0"/>
    <xf numFmtId="0" fontId="9" fillId="0" borderId="0" pivotButton="0" quotePrefix="0" xfId="0"/>
    <xf numFmtId="43" fontId="9" fillId="0" borderId="0" pivotButton="0" quotePrefix="0" xfId="0"/>
    <xf numFmtId="2" fontId="9" fillId="0" borderId="1" pivotButton="0" quotePrefix="0" xfId="0"/>
    <xf numFmtId="166" fontId="9" fillId="0" borderId="0" pivotButton="0" quotePrefix="0" xfId="0"/>
    <xf numFmtId="0" fontId="11" fillId="0" borderId="0" pivotButton="0" quotePrefix="0" xfId="0"/>
    <xf numFmtId="0" fontId="11" fillId="0" borderId="1" pivotButton="0" quotePrefix="0" xfId="0"/>
    <xf numFmtId="3" fontId="5" fillId="0" borderId="1" pivotButton="0" quotePrefix="0" xfId="0"/>
    <xf numFmtId="3" fontId="3" fillId="0" borderId="1" pivotButton="0" quotePrefix="0" xfId="0"/>
    <xf numFmtId="3" fontId="6" fillId="0" borderId="1" pivotButton="0" quotePrefix="0" xfId="0"/>
    <xf numFmtId="3" fontId="5" fillId="0" borderId="0" pivotButton="0" quotePrefix="0" xfId="0"/>
    <xf numFmtId="3" fontId="12" fillId="0" borderId="1" pivotButton="0" quotePrefix="0" xfId="0"/>
    <xf numFmtId="0" fontId="11" fillId="4" borderId="1" pivotButton="0" quotePrefix="0" xfId="0"/>
    <xf numFmtId="1" fontId="11" fillId="4" borderId="1" applyAlignment="1" pivotButton="0" quotePrefix="0" xfId="0">
      <alignment horizontal="center"/>
    </xf>
    <xf numFmtId="10" fontId="8" fillId="5" borderId="1" pivotButton="0" quotePrefix="0" xfId="0"/>
    <xf numFmtId="9" fontId="8" fillId="5" borderId="1" pivotButton="0" quotePrefix="0" xfId="0"/>
    <xf numFmtId="9" fontId="8" fillId="6" borderId="1" pivotButton="0" quotePrefix="0" xfId="0"/>
    <xf numFmtId="10" fontId="8" fillId="4" borderId="1" pivotButton="0" quotePrefix="0" xfId="0"/>
    <xf numFmtId="0" fontId="11" fillId="3" borderId="1" pivotButton="0" quotePrefix="0" xfId="0"/>
    <xf numFmtId="0" fontId="8" fillId="3" borderId="1" pivotButton="0" quotePrefix="0" xfId="0"/>
    <xf numFmtId="1" fontId="11" fillId="0" borderId="1" applyAlignment="1" pivotButton="0" quotePrefix="0" xfId="0">
      <alignment horizontal="center"/>
    </xf>
    <xf numFmtId="3" fontId="11" fillId="0" borderId="1" applyAlignment="1" pivotButton="0" quotePrefix="0" xfId="0">
      <alignment horizontal="center"/>
    </xf>
    <xf numFmtId="3" fontId="8" fillId="0" borderId="0" pivotButton="0" quotePrefix="0" xfId="0"/>
    <xf numFmtId="0" fontId="13" fillId="0" borderId="0" pivotButton="0" quotePrefix="0" xfId="0"/>
    <xf numFmtId="0" fontId="4" fillId="0" borderId="1" applyAlignment="1" pivotButton="0" quotePrefix="0" xfId="0">
      <alignment wrapText="1"/>
    </xf>
    <xf numFmtId="9" fontId="4" fillId="0" borderId="1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3" fontId="4" fillId="0" borderId="1" applyAlignment="1" pivotButton="0" quotePrefix="0" xfId="0">
      <alignment wrapText="1"/>
    </xf>
    <xf numFmtId="3" fontId="9" fillId="0" borderId="0" pivotButton="0" quotePrefix="0" xfId="0"/>
    <xf numFmtId="3" fontId="13" fillId="0" borderId="0" pivotButton="0" quotePrefix="0" xfId="0"/>
    <xf numFmtId="9" fontId="14" fillId="0" borderId="1" pivotButton="0" quotePrefix="0" xfId="1"/>
    <xf numFmtId="0" fontId="14" fillId="0" borderId="1" pivotButton="0" quotePrefix="0" xfId="0"/>
    <xf numFmtId="0" fontId="15" fillId="7" borderId="3" applyAlignment="1" pivotButton="0" quotePrefix="0" xfId="0">
      <alignment horizontal="left"/>
    </xf>
    <xf numFmtId="0" fontId="15" fillId="7" borderId="3" applyAlignment="1" pivotButton="0" quotePrefix="0" xfId="0">
      <alignment horizontal="center"/>
    </xf>
    <xf numFmtId="0" fontId="16" fillId="0" borderId="3" pivotButton="0" quotePrefix="0" xfId="0"/>
    <xf numFmtId="167" fontId="16" fillId="0" borderId="3" pivotButton="0" quotePrefix="0" xfId="0"/>
    <xf numFmtId="43" fontId="9" fillId="0" borderId="0" pivotButton="0" quotePrefix="0" xfId="0"/>
    <xf numFmtId="166" fontId="9" fillId="0" borderId="0" pivotButton="0" quotePrefix="0" xfId="0"/>
  </cellXfs>
  <cellStyles count="2">
    <cellStyle name="Normal" xfId="0" builtinId="0"/>
    <cellStyle name="Percent" xfId="1" builtinId="5"/>
  </cellStyles>
  <dxfs count="7">
    <dxf>
      <fill>
        <patternFill patternType="solid">
          <fgColor rgb="FF70AD47"/>
          <bgColor rgb="FF70AD47"/>
        </patternFill>
      </fill>
    </dxf>
    <dxf>
      <fill>
        <patternFill patternType="solid">
          <fgColor rgb="FF70AD47"/>
          <bgColor rgb="FF70AD47"/>
        </patternFill>
      </fill>
    </dxf>
    <dxf>
      <fill>
        <patternFill patternType="solid">
          <fgColor rgb="FF70AD47"/>
          <bgColor rgb="FF70AD47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&#273;c%20g&#7889;c/TCB/TCB_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B2">
            <v>26650</v>
          </cell>
          <cell r="C2">
            <v>31650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Phân tích"/>
      <sheetName val="Dự báo tăng trưởng"/>
      <sheetName val="Hiệu quả thực hiện KH"/>
    </sheetNames>
    <sheetDataSet>
      <sheetData sheetId="0" refreshError="1"/>
      <sheetData sheetId="1">
        <row r="18">
          <cell r="F18">
            <v>25568</v>
          </cell>
          <cell r="G18">
            <v>22888</v>
          </cell>
          <cell r="H18">
            <v>27538</v>
          </cell>
          <cell r="I18">
            <v>32538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48" t="inlineStr">
        <is>
          <t>item</t>
        </is>
      </c>
      <c r="B1" s="49" t="inlineStr">
        <is>
          <t>2018</t>
        </is>
      </c>
      <c r="C1" s="49" t="inlineStr">
        <is>
          <t>2019</t>
        </is>
      </c>
      <c r="D1" s="49" t="inlineStr">
        <is>
          <t>2020</t>
        </is>
      </c>
      <c r="E1" s="49" t="inlineStr">
        <is>
          <t>2021</t>
        </is>
      </c>
      <c r="F1" s="49" t="inlineStr">
        <is>
          <t>2022</t>
        </is>
      </c>
      <c r="G1" s="49" t="inlineStr">
        <is>
          <t>2023</t>
        </is>
      </c>
      <c r="H1" s="49" t="inlineStr">
        <is>
          <t>2024</t>
        </is>
      </c>
      <c r="I1" s="49" t="inlineStr">
        <is>
          <t>2025</t>
        </is>
      </c>
    </row>
    <row r="2">
      <c r="A2" s="50" t="inlineStr">
        <is>
          <t>Tiền mặt, vàng bạc, đá quý</t>
        </is>
      </c>
      <c r="B2" s="51" t="n">
        <v>2606467000000</v>
      </c>
      <c r="C2" s="51" t="n">
        <v>4820627000000</v>
      </c>
      <c r="D2" s="51" t="n">
        <v>3663615000000</v>
      </c>
      <c r="E2" s="51" t="n">
        <v>3578643000000</v>
      </c>
      <c r="F2" s="51" t="n">
        <v>4215721000000</v>
      </c>
      <c r="G2" s="51" t="n">
        <v>3620695000000</v>
      </c>
      <c r="H2" s="51" t="n">
        <v>3384770000000</v>
      </c>
      <c r="I2" s="51" t="n">
        <v>4360821000000</v>
      </c>
    </row>
    <row r="3">
      <c r="A3" s="50" t="inlineStr">
        <is>
          <t>Tài sản cố định</t>
        </is>
      </c>
      <c r="B3" s="51" t="n">
        <v>1718596000000</v>
      </c>
      <c r="C3" s="51" t="n">
        <v>3207777000000</v>
      </c>
      <c r="D3" s="51" t="n">
        <v>4613423000000</v>
      </c>
      <c r="E3" s="51" t="n">
        <v>7224481000000</v>
      </c>
      <c r="F3" s="51" t="n">
        <v>8411382000000</v>
      </c>
      <c r="G3" s="51" t="n">
        <v>8892697000000</v>
      </c>
      <c r="H3" s="51" t="n">
        <v>12466885000000</v>
      </c>
      <c r="I3" s="51" t="n">
        <v>12122934000000</v>
      </c>
    </row>
    <row r="4">
      <c r="A4" s="50" t="inlineStr">
        <is>
          <t>Tài sản cố định hữu hình</t>
        </is>
      </c>
      <c r="B4" s="51" t="n">
        <v>788016000000</v>
      </c>
      <c r="C4" s="51" t="n">
        <v>793484000000</v>
      </c>
      <c r="D4" s="51" t="n">
        <v>1470942000000</v>
      </c>
      <c r="E4" s="51" t="n">
        <v>3628732000000</v>
      </c>
      <c r="F4" s="51" t="n">
        <v>3696812000000</v>
      </c>
      <c r="G4" s="51" t="n">
        <v>3527586000000</v>
      </c>
      <c r="H4" s="51" t="n">
        <v>6576699000000</v>
      </c>
      <c r="I4" s="51" t="n">
        <v>6343732000000</v>
      </c>
    </row>
    <row r="5">
      <c r="A5" s="50" t="inlineStr">
        <is>
          <t>Nguyên giá TSCĐ hữu hình</t>
        </is>
      </c>
      <c r="B5" s="51" t="n">
        <v>1835272000000</v>
      </c>
      <c r="C5" s="51" t="n">
        <v>1761468000000</v>
      </c>
      <c r="D5" s="51" t="n">
        <v>2416349000000</v>
      </c>
      <c r="E5" s="51" t="n">
        <v>4824092000000</v>
      </c>
      <c r="F5" s="51" t="n">
        <v>5156346000000</v>
      </c>
      <c r="G5" s="51" t="n">
        <v>5492566000000</v>
      </c>
      <c r="H5" s="51" t="n">
        <v>9080615000000</v>
      </c>
      <c r="I5" s="51" t="n">
        <v>9539276000000</v>
      </c>
    </row>
    <row r="6">
      <c r="A6" s="50" t="inlineStr">
        <is>
          <t>Hao mòn TSCĐ hữu hình</t>
        </is>
      </c>
      <c r="B6" s="51" t="n">
        <v>-1047256000000</v>
      </c>
      <c r="C6" s="51" t="n">
        <v>-967984000000</v>
      </c>
      <c r="D6" s="51" t="n">
        <v>-945407000000</v>
      </c>
      <c r="E6" s="51" t="n">
        <v>-1195360000000</v>
      </c>
      <c r="F6" s="51" t="n">
        <v>-1459534000000</v>
      </c>
      <c r="G6" s="51" t="n">
        <v>-1964980000000</v>
      </c>
      <c r="H6" s="51" t="n">
        <v>-2503916000000</v>
      </c>
      <c r="I6" s="51" t="n">
        <v>-3195544000000</v>
      </c>
    </row>
    <row r="7">
      <c r="A7" s="50" t="inlineStr">
        <is>
          <t>Tài sản cố định thuê tài chính</t>
        </is>
      </c>
      <c r="B7" s="51" t="n">
        <v>0</v>
      </c>
      <c r="C7" s="51" t="n">
        <v>0</v>
      </c>
      <c r="D7" s="51" t="n">
        <v>0</v>
      </c>
      <c r="E7" s="51" t="n">
        <v>0</v>
      </c>
      <c r="F7" s="51" t="n">
        <v>0</v>
      </c>
      <c r="G7" s="51" t="n">
        <v>0</v>
      </c>
      <c r="H7" s="51" t="n">
        <v>0</v>
      </c>
      <c r="I7" s="51" t="n">
        <v>0</v>
      </c>
    </row>
    <row r="8">
      <c r="A8" s="50" t="inlineStr">
        <is>
          <t>Nguyên giá TSCĐ thuê tài chính</t>
        </is>
      </c>
      <c r="B8" s="51" t="n">
        <v>0</v>
      </c>
      <c r="C8" s="51" t="n">
        <v>0</v>
      </c>
      <c r="D8" s="51" t="n">
        <v>0</v>
      </c>
      <c r="E8" s="51" t="n">
        <v>0</v>
      </c>
      <c r="F8" s="51" t="n">
        <v>0</v>
      </c>
      <c r="G8" s="51" t="n">
        <v>0</v>
      </c>
      <c r="H8" s="51" t="n">
        <v>0</v>
      </c>
      <c r="I8" s="51" t="n">
        <v>0</v>
      </c>
    </row>
    <row r="9">
      <c r="A9" s="50" t="inlineStr">
        <is>
          <t>Hao mòn TSCĐ thuê tài chính</t>
        </is>
      </c>
      <c r="B9" s="51" t="n">
        <v>0</v>
      </c>
      <c r="C9" s="51" t="n">
        <v>0</v>
      </c>
      <c r="D9" s="51" t="n">
        <v>0</v>
      </c>
      <c r="E9" s="51" t="n">
        <v>0</v>
      </c>
      <c r="F9" s="51" t="n">
        <v>0</v>
      </c>
      <c r="G9" s="51" t="n">
        <v>0</v>
      </c>
      <c r="H9" s="51" t="n">
        <v>0</v>
      </c>
      <c r="I9" s="51" t="n">
        <v>0</v>
      </c>
    </row>
    <row r="10">
      <c r="A10" s="50" t="inlineStr">
        <is>
          <t>Tài sản cố định vô hình</t>
        </is>
      </c>
      <c r="B10" s="51" t="n">
        <v>930580000000</v>
      </c>
      <c r="C10" s="51" t="n">
        <v>2414293000000</v>
      </c>
      <c r="D10" s="51" t="n">
        <v>3142481000000</v>
      </c>
      <c r="E10" s="51" t="n">
        <v>3595749000000</v>
      </c>
      <c r="F10" s="51" t="n">
        <v>4714570000000</v>
      </c>
      <c r="G10" s="51" t="n">
        <v>5365111000000</v>
      </c>
      <c r="H10" s="51" t="n">
        <v>5890186000000</v>
      </c>
      <c r="I10" s="51" t="n">
        <v>5779202000000</v>
      </c>
    </row>
    <row r="11">
      <c r="A11" s="50" t="inlineStr">
        <is>
          <t>Nguyên giá TSCĐ vô hình</t>
        </is>
      </c>
      <c r="B11" s="51" t="n">
        <v>1540037000000</v>
      </c>
      <c r="C11" s="51" t="n">
        <v>3086148000000</v>
      </c>
      <c r="D11" s="51" t="n">
        <v>3923203000000</v>
      </c>
      <c r="E11" s="51" t="n">
        <v>4541141000000</v>
      </c>
      <c r="F11" s="51" t="n">
        <v>5913538000000</v>
      </c>
      <c r="G11" s="51" t="n">
        <v>7198784000000</v>
      </c>
      <c r="H11" s="51" t="n">
        <v>8485022000000</v>
      </c>
      <c r="I11" s="51" t="n">
        <v>9535997000000</v>
      </c>
    </row>
    <row r="12">
      <c r="A12" s="50" t="inlineStr">
        <is>
          <t>Hao mòn TSCĐ vô hình</t>
        </is>
      </c>
      <c r="B12" s="51" t="n">
        <v>-609457000000</v>
      </c>
      <c r="C12" s="51" t="n">
        <v>-671855000000</v>
      </c>
      <c r="D12" s="51" t="n">
        <v>-780722000000</v>
      </c>
      <c r="E12" s="51" t="n">
        <v>-945392000000</v>
      </c>
      <c r="F12" s="51" t="n">
        <v>-1198968000000</v>
      </c>
      <c r="G12" s="51" t="n">
        <v>-1833673000000</v>
      </c>
      <c r="H12" s="51" t="n">
        <v>-2594836000000</v>
      </c>
      <c r="I12" s="51" t="n">
        <v>-3756795000000</v>
      </c>
    </row>
    <row r="13">
      <c r="A13" s="50" t="inlineStr">
        <is>
          <t>Bất động sản đầu tư</t>
        </is>
      </c>
      <c r="B13" s="51" t="n">
        <v>1196324000000</v>
      </c>
      <c r="C13" s="51" t="n">
        <v>1160524000000</v>
      </c>
      <c r="D13" s="51" t="n">
        <v>1124724000000</v>
      </c>
      <c r="E13" s="51" t="n">
        <v>1088924000000</v>
      </c>
      <c r="F13" s="51" t="n">
        <v>1053124000000</v>
      </c>
      <c r="G13" s="51" t="n">
        <v>0</v>
      </c>
      <c r="H13" s="51" t="n">
        <v>0</v>
      </c>
      <c r="I13" s="51" t="n">
        <v>0</v>
      </c>
    </row>
    <row r="14">
      <c r="A14" s="50" t="inlineStr">
        <is>
          <t>Nguyên giá bất động sản đầu tư</t>
        </is>
      </c>
      <c r="B14" s="51" t="n">
        <v>1435699000000</v>
      </c>
      <c r="C14" s="51" t="n">
        <v>1435699000000</v>
      </c>
      <c r="D14" s="51" t="n">
        <v>1435699000000</v>
      </c>
      <c r="E14" s="51" t="n">
        <v>1435699000000</v>
      </c>
      <c r="F14" s="51" t="n">
        <v>1435699000000</v>
      </c>
      <c r="G14" s="51" t="n">
        <v>0</v>
      </c>
      <c r="H14" s="51" t="n">
        <v>0</v>
      </c>
      <c r="I14" s="51" t="n">
        <v>0</v>
      </c>
    </row>
    <row r="15">
      <c r="A15" s="50" t="inlineStr">
        <is>
          <t>Hao mòn bất động sản đầu tư</t>
        </is>
      </c>
      <c r="B15" s="51" t="n">
        <v>-239375000000</v>
      </c>
      <c r="C15" s="51" t="n">
        <v>-275175000000</v>
      </c>
      <c r="D15" s="51" t="n">
        <v>-310975000000</v>
      </c>
      <c r="E15" s="51" t="n">
        <v>-346775000000</v>
      </c>
      <c r="F15" s="51" t="n">
        <v>-382575000000</v>
      </c>
      <c r="G15" s="51" t="n">
        <v>0</v>
      </c>
      <c r="H15" s="51" t="n">
        <v>0</v>
      </c>
      <c r="I15" s="51" t="n">
        <v>0</v>
      </c>
    </row>
    <row r="16">
      <c r="A16" s="50" t="inlineStr">
        <is>
          <t>Góp vốn, đầu tư dài hạn</t>
        </is>
      </c>
      <c r="B16" s="51" t="n">
        <v>12223000000</v>
      </c>
      <c r="C16" s="51" t="n">
        <v>12223000000</v>
      </c>
      <c r="D16" s="51" t="n">
        <v>11806000000</v>
      </c>
      <c r="E16" s="51" t="n">
        <v>12813000000</v>
      </c>
      <c r="F16" s="51" t="n">
        <v>12813000000</v>
      </c>
      <c r="G16" s="51" t="n">
        <v>3046245000000</v>
      </c>
      <c r="H16" s="51" t="n">
        <v>3102523000000</v>
      </c>
      <c r="I16" s="51" t="n">
        <v>3246622000000</v>
      </c>
    </row>
    <row r="17">
      <c r="A17" s="50" t="inlineStr">
        <is>
          <t>Đầu tư vào công ty con</t>
        </is>
      </c>
      <c r="B17" s="51" t="n">
        <v>0</v>
      </c>
      <c r="C17" s="51" t="n">
        <v>0</v>
      </c>
      <c r="D17" s="51" t="n">
        <v>0</v>
      </c>
      <c r="E17" s="51" t="n">
        <v>0</v>
      </c>
      <c r="F17" s="51" t="n">
        <v>0</v>
      </c>
      <c r="G17" s="51" t="n">
        <v>0</v>
      </c>
      <c r="H17" s="51" t="n">
        <v>0</v>
      </c>
      <c r="I17" s="51" t="n">
        <v>0</v>
      </c>
    </row>
    <row r="18">
      <c r="A18" s="50" t="inlineStr">
        <is>
          <t>Đầu tư vào công ty liên doanh</t>
        </is>
      </c>
      <c r="B18" s="51" t="n">
        <v>0</v>
      </c>
      <c r="C18" s="51" t="n">
        <v>0</v>
      </c>
      <c r="D18" s="51" t="n">
        <v>0</v>
      </c>
      <c r="E18" s="51" t="n">
        <v>0</v>
      </c>
      <c r="F18" s="51" t="n">
        <v>0</v>
      </c>
      <c r="G18" s="51" t="n">
        <v>0</v>
      </c>
      <c r="H18" s="51" t="n">
        <v>0</v>
      </c>
      <c r="I18" s="51" t="n">
        <v>32263000000</v>
      </c>
    </row>
    <row r="19">
      <c r="A19" s="50" t="inlineStr">
        <is>
          <t>Đầu tư dài hạn khác</t>
        </is>
      </c>
      <c r="B19" s="51" t="n">
        <v>12883000000</v>
      </c>
      <c r="C19" s="51" t="n">
        <v>12883000000</v>
      </c>
      <c r="D19" s="51" t="n">
        <v>12466000000</v>
      </c>
      <c r="E19" s="51" t="n">
        <v>13962000000</v>
      </c>
      <c r="F19" s="51" t="n">
        <v>13962000000</v>
      </c>
      <c r="G19" s="51" t="n">
        <v>3047394000000</v>
      </c>
      <c r="H19" s="51" t="n">
        <v>3103672000000</v>
      </c>
      <c r="I19" s="51" t="n">
        <v>3215508000000</v>
      </c>
    </row>
    <row r="20">
      <c r="A20" s="50" t="inlineStr">
        <is>
          <t>Dự phòng giảm giá đầu tư dài hạn</t>
        </is>
      </c>
      <c r="B20" s="51" t="n">
        <v>-660000000</v>
      </c>
      <c r="C20" s="51" t="n">
        <v>-660000000</v>
      </c>
      <c r="D20" s="51" t="n">
        <v>-660000000</v>
      </c>
      <c r="E20" s="51" t="n">
        <v>-1149000000</v>
      </c>
      <c r="F20" s="51" t="n">
        <v>-1149000000</v>
      </c>
      <c r="G20" s="51" t="n">
        <v>-1149000000</v>
      </c>
      <c r="H20" s="51" t="n">
        <v>-1149000000</v>
      </c>
      <c r="I20" s="51" t="n">
        <v>-1149000000</v>
      </c>
    </row>
    <row r="21">
      <c r="A21" s="50" t="inlineStr">
        <is>
          <t>TỔNG TÀI SẢN</t>
        </is>
      </c>
      <c r="B21" s="51" t="n">
        <v>320988941000000</v>
      </c>
      <c r="C21" s="51" t="n">
        <v>383699461000000</v>
      </c>
      <c r="D21" s="51" t="n">
        <v>439602933000000</v>
      </c>
      <c r="E21" s="51" t="n">
        <v>568728950000000</v>
      </c>
      <c r="F21" s="51" t="n">
        <v>699032544000000</v>
      </c>
      <c r="G21" s="51" t="n">
        <v>849482012000000</v>
      </c>
      <c r="H21" s="51" t="n">
        <v>978798549000000</v>
      </c>
      <c r="I21" s="51" t="n">
        <v>1192344137000000</v>
      </c>
    </row>
    <row r="22">
      <c r="A22" s="50" t="inlineStr">
        <is>
          <t>TỔNG NỢ PHẢI TRẢ</t>
        </is>
      </c>
      <c r="B22" s="51" t="n">
        <v>269206236000000</v>
      </c>
      <c r="C22" s="51" t="n">
        <v>321626694000000</v>
      </c>
      <c r="D22" s="51" t="n">
        <v>364988147000000</v>
      </c>
      <c r="E22" s="51" t="n">
        <v>475687478000000</v>
      </c>
      <c r="F22" s="51" t="n">
        <v>585607578000000</v>
      </c>
      <c r="G22" s="51" t="n">
        <v>717865947000000</v>
      </c>
      <c r="H22" s="51" t="n">
        <v>830858928000000</v>
      </c>
      <c r="I22" s="51" t="n">
        <v>1012842695000000</v>
      </c>
    </row>
    <row r="23">
      <c r="A23" s="50" t="inlineStr">
        <is>
          <t>VỐN CHỦ SỞ HỮU</t>
        </is>
      </c>
      <c r="B23" s="51" t="n">
        <v>51782705000000</v>
      </c>
      <c r="C23" s="51" t="n">
        <v>62072767000000</v>
      </c>
      <c r="D23" s="51" t="n">
        <v>74614786000000</v>
      </c>
      <c r="E23" s="51" t="n">
        <v>93041472000000</v>
      </c>
      <c r="F23" s="51" t="n">
        <v>113424966000000</v>
      </c>
      <c r="G23" s="51" t="n">
        <v>131616065000000</v>
      </c>
      <c r="H23" s="51" t="n">
        <v>147939621000000</v>
      </c>
      <c r="I23" s="51" t="n">
        <v>179501442000000</v>
      </c>
    </row>
    <row r="24">
      <c r="A24" s="50" t="inlineStr">
        <is>
          <t>Vốn điều lệ</t>
        </is>
      </c>
      <c r="B24" s="51" t="n">
        <v>34965922000000</v>
      </c>
      <c r="C24" s="51" t="n">
        <v>35001400000000</v>
      </c>
      <c r="D24" s="51" t="n">
        <v>35049062000000</v>
      </c>
      <c r="E24" s="51" t="n">
        <v>35109148000000</v>
      </c>
      <c r="F24" s="51" t="n">
        <v>35172385000000</v>
      </c>
      <c r="G24" s="51" t="n">
        <v>35225108000000</v>
      </c>
      <c r="H24" s="51" t="n">
        <v>70648517000000</v>
      </c>
      <c r="I24" s="51" t="n">
        <v>70862404000000</v>
      </c>
    </row>
    <row r="25">
      <c r="A25" s="50" t="inlineStr">
        <is>
          <t>Thặng dư vốn cổ phần</t>
        </is>
      </c>
      <c r="B25" s="51" t="n">
        <v>476617000000</v>
      </c>
      <c r="C25" s="51" t="n">
        <v>476567000000</v>
      </c>
      <c r="D25" s="51" t="n">
        <v>476507000000</v>
      </c>
      <c r="E25" s="51" t="n">
        <v>476474000000</v>
      </c>
      <c r="F25" s="51" t="n">
        <v>476415000000</v>
      </c>
      <c r="G25" s="51" t="n">
        <v>476356000000</v>
      </c>
      <c r="H25" s="51" t="n">
        <v>-59000000</v>
      </c>
      <c r="I25" s="51" t="n">
        <v>-124000000</v>
      </c>
    </row>
    <row r="26">
      <c r="A26" s="50" t="inlineStr">
        <is>
          <t>Vốn khác</t>
        </is>
      </c>
      <c r="B26" s="51" t="n">
        <v>0</v>
      </c>
      <c r="C26" s="51" t="n">
        <v>0</v>
      </c>
      <c r="D26" s="51" t="n">
        <v>0</v>
      </c>
      <c r="E26" s="51" t="n">
        <v>0</v>
      </c>
      <c r="F26" s="51" t="n">
        <v>555997000000</v>
      </c>
      <c r="G26" s="51" t="n">
        <v>555997000000</v>
      </c>
      <c r="H26" s="51" t="n">
        <v>7764086000000</v>
      </c>
      <c r="I26" s="51" t="n">
        <v>7764086000000</v>
      </c>
    </row>
    <row r="27">
      <c r="A27" s="50" t="inlineStr">
        <is>
          <t>Cổ phiếu Quỹ</t>
        </is>
      </c>
      <c r="B27" s="51" t="n">
        <v>0</v>
      </c>
      <c r="C27" s="51" t="n">
        <v>0</v>
      </c>
      <c r="D27" s="51" t="n">
        <v>0</v>
      </c>
      <c r="E27" s="51" t="n">
        <v>0</v>
      </c>
      <c r="F27" s="51" t="n">
        <v>0</v>
      </c>
      <c r="G27" s="51" t="n">
        <v>0</v>
      </c>
      <c r="H27" s="51" t="n">
        <v>0</v>
      </c>
      <c r="I27" s="51" t="n">
        <v>0</v>
      </c>
    </row>
    <row r="28">
      <c r="A28" s="50" t="inlineStr">
        <is>
          <t>Chênh lệch đánh giá lại tài sản</t>
        </is>
      </c>
      <c r="B28" s="51" t="n">
        <v>0</v>
      </c>
      <c r="C28" s="51" t="n">
        <v>0</v>
      </c>
      <c r="D28" s="51" t="n">
        <v>0</v>
      </c>
      <c r="E28" s="51" t="n">
        <v>0</v>
      </c>
      <c r="F28" s="51" t="n">
        <v>0</v>
      </c>
      <c r="G28" s="51" t="n">
        <v>0</v>
      </c>
      <c r="H28" s="51" t="n">
        <v>0</v>
      </c>
      <c r="I28" s="51" t="n">
        <v>0</v>
      </c>
    </row>
    <row r="29">
      <c r="A29" s="50" t="inlineStr">
        <is>
          <t>Chênh lệch tỷ giá hối đoái</t>
        </is>
      </c>
      <c r="B29" s="51" t="n">
        <v>0</v>
      </c>
      <c r="C29" s="51" t="n">
        <v>0</v>
      </c>
      <c r="D29" s="51" t="n">
        <v>0</v>
      </c>
      <c r="E29" s="51" t="n">
        <v>0</v>
      </c>
      <c r="F29" s="51" t="n">
        <v>0</v>
      </c>
      <c r="G29" s="51" t="n">
        <v>0</v>
      </c>
      <c r="H29" s="51" t="n">
        <v>0</v>
      </c>
      <c r="I29" s="51" t="n">
        <v>0</v>
      </c>
    </row>
    <row r="30">
      <c r="A30" s="50" t="inlineStr">
        <is>
          <t>Lợi nhuận chưa phân phối</t>
        </is>
      </c>
      <c r="B30" s="51" t="n">
        <v>12403003000000</v>
      </c>
      <c r="C30" s="51" t="n">
        <v>21131391000000</v>
      </c>
      <c r="D30" s="51" t="n">
        <v>31815705000000</v>
      </c>
      <c r="E30" s="51" t="n">
        <v>47453056000000</v>
      </c>
      <c r="F30" s="51" t="n">
        <v>64482685000000</v>
      </c>
      <c r="G30" s="51" t="n">
        <v>49013144000000</v>
      </c>
      <c r="H30" s="51" t="n">
        <v>42219306000000</v>
      </c>
      <c r="I30" s="51" t="n">
        <v>62773576000000</v>
      </c>
    </row>
    <row r="31">
      <c r="A31" s="50" t="inlineStr">
        <is>
          <t>Lợi ích của cổ đông thiểu số (trước 2015)</t>
        </is>
      </c>
      <c r="B31" s="51" t="n">
        <v>0</v>
      </c>
      <c r="C31" s="51" t="n">
        <v>0</v>
      </c>
      <c r="D31" s="51" t="n">
        <v>0</v>
      </c>
      <c r="E31" s="51" t="n">
        <v>0</v>
      </c>
      <c r="F31" s="51" t="n">
        <v>0</v>
      </c>
      <c r="G31" s="51" t="n">
        <v>0</v>
      </c>
      <c r="H31" s="51" t="n">
        <v>0</v>
      </c>
      <c r="I31" s="51" t="n">
        <v>0</v>
      </c>
    </row>
    <row r="32">
      <c r="A32" s="50" t="inlineStr">
        <is>
          <t>NỢ PHẢI TRẢ VÀ VỐN CHỦ SỞ HỮU</t>
        </is>
      </c>
      <c r="B32" s="51" t="n">
        <v>320988941000000</v>
      </c>
      <c r="C32" s="51" t="n">
        <v>383699461000000</v>
      </c>
      <c r="D32" s="51" t="n">
        <v>439602933000000</v>
      </c>
      <c r="E32" s="51" t="n">
        <v>568728950000000</v>
      </c>
      <c r="F32" s="51" t="n">
        <v>699032544000000</v>
      </c>
      <c r="G32" s="51" t="n">
        <v>849482012000000</v>
      </c>
      <c r="H32" s="51" t="n">
        <v>978798549000000</v>
      </c>
      <c r="I32" s="51" t="n">
        <v>1192344137000000</v>
      </c>
    </row>
    <row r="33">
      <c r="A33" s="50" t="inlineStr">
        <is>
          <t>Tiền gửi tại Ngân hàng nhà nước Việt Nam</t>
        </is>
      </c>
      <c r="B33" s="51" t="n">
        <v>10555483000000</v>
      </c>
      <c r="C33" s="51" t="n">
        <v>3192256000000</v>
      </c>
      <c r="D33" s="51" t="n">
        <v>10253324000000</v>
      </c>
      <c r="E33" s="51" t="n">
        <v>4908529000000</v>
      </c>
      <c r="F33" s="51" t="n">
        <v>11475590000000</v>
      </c>
      <c r="G33" s="51" t="n">
        <v>27140592000000</v>
      </c>
      <c r="H33" s="51" t="n">
        <v>54353153000000</v>
      </c>
      <c r="I33" s="51" t="n">
        <v>82162772000000</v>
      </c>
    </row>
    <row r="34">
      <c r="A34" s="50" t="inlineStr">
        <is>
          <t>Tiền gửi tại các TCTD khác và cho vay các TCTD khác</t>
        </is>
      </c>
      <c r="B34" s="51" t="n">
        <v>35559363000000</v>
      </c>
      <c r="C34" s="51" t="n">
        <v>47990224000000</v>
      </c>
      <c r="D34" s="51" t="n">
        <v>28994954000000</v>
      </c>
      <c r="E34" s="51" t="n">
        <v>70515258000000</v>
      </c>
      <c r="F34" s="51" t="n">
        <v>82873754000000</v>
      </c>
      <c r="G34" s="51" t="n">
        <v>104072320000000</v>
      </c>
      <c r="H34" s="51" t="n">
        <v>84590474000000</v>
      </c>
      <c r="I34" s="51" t="n">
        <v>114958312000000</v>
      </c>
    </row>
    <row r="35">
      <c r="A35" s="50" t="inlineStr">
        <is>
          <t>Chứng khoán kinh doanh</t>
        </is>
      </c>
      <c r="B35" s="51" t="n">
        <v>7583090000000</v>
      </c>
      <c r="C35" s="51" t="n">
        <v>10052963000000</v>
      </c>
      <c r="D35" s="51" t="n">
        <v>8357447000000</v>
      </c>
      <c r="E35" s="51" t="n">
        <v>5074479000000</v>
      </c>
      <c r="F35" s="51" t="n">
        <v>961034000000</v>
      </c>
      <c r="G35" s="51" t="n">
        <v>4432778000000</v>
      </c>
      <c r="H35" s="51" t="n">
        <v>9000895000000</v>
      </c>
      <c r="I35" s="51" t="n">
        <v>4816831000000</v>
      </c>
    </row>
    <row r="36">
      <c r="A36" s="50" t="inlineStr">
        <is>
          <t>Chứng khoán kinh doanh</t>
        </is>
      </c>
      <c r="B36" s="51" t="n"/>
      <c r="C36" s="51" t="n"/>
      <c r="D36" s="51" t="n"/>
      <c r="E36" s="51" t="n"/>
      <c r="F36" s="51" t="n">
        <v>961034000000</v>
      </c>
      <c r="G36" s="51" t="n">
        <v>4432778000000</v>
      </c>
      <c r="H36" s="51" t="n">
        <v>9000895000000</v>
      </c>
      <c r="I36" s="51" t="n">
        <v>4816831000000</v>
      </c>
    </row>
    <row r="37">
      <c r="A37" s="50" t="inlineStr">
        <is>
          <t>Dự phòng giảm giá chứng khoán kinh doanh</t>
        </is>
      </c>
      <c r="B37" s="51" t="n">
        <v>-10861000000</v>
      </c>
      <c r="C37" s="51" t="n">
        <v>-11407000000</v>
      </c>
      <c r="D37" s="51" t="n">
        <v>-9871000000</v>
      </c>
      <c r="E37" s="51" t="n">
        <v>-3667000000</v>
      </c>
      <c r="F37" s="51" t="n">
        <v>0</v>
      </c>
      <c r="G37" s="51" t="n">
        <v>0</v>
      </c>
      <c r="H37" s="51" t="n">
        <v>-251000000</v>
      </c>
      <c r="I37" s="51" t="n">
        <v>-1054000000</v>
      </c>
    </row>
    <row r="38">
      <c r="A38" s="50" t="inlineStr">
        <is>
          <t>Các công cụ tài chính phái sinh và các tài sản tài chính khác</t>
        </is>
      </c>
      <c r="B38" s="51" t="n">
        <v>0</v>
      </c>
      <c r="C38" s="51" t="n">
        <v>0</v>
      </c>
      <c r="D38" s="51" t="n">
        <v>0</v>
      </c>
      <c r="E38" s="51" t="n">
        <v>293768000000</v>
      </c>
      <c r="F38" s="51" t="n">
        <v>0</v>
      </c>
      <c r="G38" s="51" t="n">
        <v>143611000000</v>
      </c>
      <c r="H38" s="51" t="n">
        <v>0</v>
      </c>
      <c r="I38" s="51" t="n">
        <v>0</v>
      </c>
    </row>
    <row r="39">
      <c r="A39" s="50" t="inlineStr">
        <is>
          <t>Cho vay khách hàng</t>
        </is>
      </c>
      <c r="B39" s="51" t="n">
        <v>159939217000000</v>
      </c>
      <c r="C39" s="51" t="n">
        <v>230802027000000</v>
      </c>
      <c r="D39" s="51" t="n">
        <v>277524615000000</v>
      </c>
      <c r="E39" s="51" t="n">
        <v>347341244000000</v>
      </c>
      <c r="F39" s="51" t="n">
        <v>420523705000000</v>
      </c>
      <c r="G39" s="51" t="n">
        <v>518641568000000</v>
      </c>
      <c r="H39" s="51" t="n">
        <v>631724964000000</v>
      </c>
      <c r="I39" s="51" t="n">
        <v>767617129000000</v>
      </c>
    </row>
    <row r="40">
      <c r="A40" s="50" t="inlineStr">
        <is>
          <t>Cho vay khách hàng</t>
        </is>
      </c>
      <c r="B40" s="51" t="n"/>
      <c r="C40" s="51" t="n"/>
      <c r="D40" s="51" t="n"/>
      <c r="E40" s="51" t="n"/>
      <c r="F40" s="51" t="n">
        <v>420523705000000</v>
      </c>
      <c r="G40" s="51" t="n">
        <v>518641568000000</v>
      </c>
      <c r="H40" s="51" t="n">
        <v>631724964000000</v>
      </c>
      <c r="I40" s="51" t="n">
        <v>767617129000000</v>
      </c>
    </row>
    <row r="41">
      <c r="A41" s="50" t="inlineStr">
        <is>
          <t>Dự phòng rủi ro cho vay khách hàng</t>
        </is>
      </c>
      <c r="B41" s="51" t="n">
        <v>-2385114000000</v>
      </c>
      <c r="C41" s="51" t="n">
        <v>-2916744000000</v>
      </c>
      <c r="D41" s="51" t="n">
        <v>-2214248000000</v>
      </c>
      <c r="E41" s="51" t="n">
        <v>-3735663000000</v>
      </c>
      <c r="F41" s="51" t="n">
        <v>-4771449000000</v>
      </c>
      <c r="G41" s="51" t="n">
        <v>-6127896000000</v>
      </c>
      <c r="H41" s="51" t="n">
        <v>-8090693000000</v>
      </c>
      <c r="I41" s="51" t="n">
        <v>-10498378000000</v>
      </c>
    </row>
    <row r="42">
      <c r="A42" s="50" t="inlineStr">
        <is>
          <t>Chứng khoán đầu tư</t>
        </is>
      </c>
      <c r="B42" s="51" t="n">
        <v>86512348000000</v>
      </c>
      <c r="C42" s="51" t="n">
        <v>66054597000000</v>
      </c>
      <c r="D42" s="51" t="n">
        <v>84447241000000</v>
      </c>
      <c r="E42" s="51" t="n">
        <v>97586088000000</v>
      </c>
      <c r="F42" s="51" t="n">
        <v>103651920000000</v>
      </c>
      <c r="G42" s="51" t="n">
        <v>104993945000000</v>
      </c>
      <c r="H42" s="51" t="n">
        <v>148623636000000</v>
      </c>
      <c r="I42" s="51" t="n">
        <v>145526404000000</v>
      </c>
    </row>
    <row r="43">
      <c r="A43" s="50" t="inlineStr">
        <is>
          <t>Chứng khoán đầu tư sẵn sàng để bán</t>
        </is>
      </c>
      <c r="B43" s="51" t="n">
        <v>66625261000000</v>
      </c>
      <c r="C43" s="51" t="n">
        <v>66158709000000</v>
      </c>
      <c r="D43" s="51" t="n">
        <v>84632952000000</v>
      </c>
      <c r="E43" s="51" t="n">
        <v>98092062000000</v>
      </c>
      <c r="F43" s="51" t="n">
        <v>104031921000000</v>
      </c>
      <c r="G43" s="51" t="n">
        <v>105356248000000</v>
      </c>
      <c r="H43" s="51" t="n">
        <v>142202792000000</v>
      </c>
      <c r="I43" s="51" t="n">
        <v>145942288000000</v>
      </c>
    </row>
    <row r="44">
      <c r="A44" s="50" t="inlineStr">
        <is>
          <t>Chứng khoán đầu tư giữ đến ngày đáo hạn</t>
        </is>
      </c>
      <c r="B44" s="51" t="n">
        <v>20236200000000</v>
      </c>
      <c r="C44" s="51" t="n">
        <v>202006000000</v>
      </c>
      <c r="D44" s="51" t="n">
        <v>200000000000</v>
      </c>
      <c r="E44" s="51" t="n">
        <v>200000000000</v>
      </c>
      <c r="F44" s="51" t="n">
        <v>0</v>
      </c>
      <c r="G44" s="51" t="n">
        <v>0</v>
      </c>
      <c r="H44" s="51" t="n">
        <v>6900000000000</v>
      </c>
      <c r="I44" s="51" t="n">
        <v>0</v>
      </c>
    </row>
    <row r="45">
      <c r="A45" s="50" t="inlineStr">
        <is>
          <t>Dự phòng giảm giá chứng khoán đầu tư</t>
        </is>
      </c>
      <c r="B45" s="51" t="n">
        <v>-349113000000</v>
      </c>
      <c r="C45" s="51" t="n">
        <v>-306118000000</v>
      </c>
      <c r="D45" s="51" t="n">
        <v>-385711000000</v>
      </c>
      <c r="E45" s="51" t="n">
        <v>-705974000000</v>
      </c>
      <c r="F45" s="51" t="n">
        <v>-380001000000</v>
      </c>
      <c r="G45" s="51" t="n">
        <v>-362303000000</v>
      </c>
      <c r="H45" s="51" t="n">
        <v>-479156000000</v>
      </c>
      <c r="I45" s="51" t="n">
        <v>-415884000000</v>
      </c>
    </row>
    <row r="46">
      <c r="A46" s="50" t="inlineStr">
        <is>
          <t>Tài sản Có khác</t>
        </is>
      </c>
      <c r="B46" s="51" t="n">
        <v>717481000000</v>
      </c>
      <c r="C46" s="51" t="n">
        <v>1055475000000</v>
      </c>
      <c r="D46" s="51" t="n">
        <v>1268562000000</v>
      </c>
      <c r="E46" s="51" t="n">
        <v>1448617000000</v>
      </c>
      <c r="F46" s="51" t="n">
        <v>1616735000000</v>
      </c>
      <c r="G46" s="51" t="n">
        <v>1650584000000</v>
      </c>
      <c r="H46" s="51" t="n">
        <v>1818676000000</v>
      </c>
      <c r="I46" s="51" t="n">
        <v>2070439000000</v>
      </c>
    </row>
    <row r="47">
      <c r="A47" s="50" t="inlineStr">
        <is>
          <t>Các khoản nợ chính phủ và NHNN Việt Nam</t>
        </is>
      </c>
      <c r="B47" s="51" t="n">
        <v>6025027000000</v>
      </c>
      <c r="C47" s="51" t="n">
        <v>0</v>
      </c>
      <c r="D47" s="51" t="n">
        <v>0</v>
      </c>
      <c r="E47" s="51" t="n">
        <v>842000000</v>
      </c>
      <c r="F47" s="51" t="n">
        <v>7826000000</v>
      </c>
      <c r="G47" s="51" t="n">
        <v>131000000</v>
      </c>
      <c r="H47" s="51" t="n">
        <v>11531000000</v>
      </c>
      <c r="I47" s="51" t="n">
        <v>4323867000000</v>
      </c>
    </row>
    <row r="48">
      <c r="A48" s="50" t="inlineStr">
        <is>
          <t>Tiền gửi và vay các Tổ chức tín dụng khác</t>
        </is>
      </c>
      <c r="B48" s="51" t="n">
        <v>36425560000000</v>
      </c>
      <c r="C48" s="51" t="n">
        <v>61266635000000</v>
      </c>
      <c r="D48" s="51" t="n">
        <v>47484812000000</v>
      </c>
      <c r="E48" s="51" t="n">
        <v>112458691000000</v>
      </c>
      <c r="F48" s="51" t="n">
        <v>167562969000000</v>
      </c>
      <c r="G48" s="51" t="n">
        <v>153173002000000</v>
      </c>
      <c r="H48" s="51" t="n">
        <v>132239088000000</v>
      </c>
      <c r="I48" s="51" t="n">
        <v>144982976000000</v>
      </c>
    </row>
    <row r="49">
      <c r="A49" s="50" t="inlineStr">
        <is>
          <t>Tiền gửi của khách hàng</t>
        </is>
      </c>
      <c r="B49" s="51" t="n">
        <v>201414532000000</v>
      </c>
      <c r="C49" s="51" t="n">
        <v>231296761000000</v>
      </c>
      <c r="D49" s="51" t="n">
        <v>277458651000000</v>
      </c>
      <c r="E49" s="51" t="n">
        <v>314752525000000</v>
      </c>
      <c r="F49" s="51" t="n">
        <v>358403785000000</v>
      </c>
      <c r="G49" s="51" t="n">
        <v>454660779000000</v>
      </c>
      <c r="H49" s="51" t="n">
        <v>533392350000000</v>
      </c>
      <c r="I49" s="51" t="n">
        <v>618911535000000</v>
      </c>
    </row>
    <row r="50">
      <c r="A50" s="50" t="inlineStr">
        <is>
          <t>Các công cụ tài chính phái sinh và các khoản nợ tài chính khác</t>
        </is>
      </c>
      <c r="B50" s="51" t="n">
        <v>310313000000</v>
      </c>
      <c r="C50" s="51" t="n">
        <v>434008000000</v>
      </c>
      <c r="D50" s="51" t="n">
        <v>266926000000</v>
      </c>
      <c r="E50" s="51" t="n">
        <v>0</v>
      </c>
      <c r="F50" s="51" t="n">
        <v>1851213000000</v>
      </c>
      <c r="G50" s="51" t="n">
        <v>0</v>
      </c>
      <c r="H50" s="51" t="n">
        <v>931231000000</v>
      </c>
      <c r="I50" s="51" t="n">
        <v>2416947000000</v>
      </c>
    </row>
    <row r="51">
      <c r="A51" s="50" t="inlineStr">
        <is>
          <t>Vốn tài trợ, uỷ thác đầu tư của Chính phủ và các tổ chức tín dụng khác</t>
        </is>
      </c>
      <c r="B51" s="51" t="n">
        <v>0</v>
      </c>
      <c r="C51" s="51" t="n">
        <v>0</v>
      </c>
      <c r="D51" s="51" t="n">
        <v>0</v>
      </c>
      <c r="E51" s="51" t="n">
        <v>0</v>
      </c>
      <c r="F51" s="51" t="n">
        <v>0</v>
      </c>
      <c r="G51" s="51" t="n">
        <v>0</v>
      </c>
      <c r="H51" s="51" t="n">
        <v>0</v>
      </c>
      <c r="I51" s="51" t="n">
        <v>0</v>
      </c>
    </row>
    <row r="52">
      <c r="A52" s="50" t="inlineStr">
        <is>
          <t>Phát hành giấy tờ có giá</t>
        </is>
      </c>
      <c r="B52" s="51" t="n">
        <v>13177959000000</v>
      </c>
      <c r="C52" s="51" t="n">
        <v>17460634000000</v>
      </c>
      <c r="D52" s="51" t="n">
        <v>27899640000000</v>
      </c>
      <c r="E52" s="51" t="n">
        <v>33679824000000</v>
      </c>
      <c r="F52" s="51" t="n">
        <v>34006619000000</v>
      </c>
      <c r="G52" s="51" t="n">
        <v>84703300000000</v>
      </c>
      <c r="H52" s="51" t="n">
        <v>140422321000000</v>
      </c>
      <c r="I52" s="51" t="n">
        <v>215330128000000</v>
      </c>
    </row>
    <row r="53">
      <c r="A53" s="50" t="inlineStr">
        <is>
          <t>Các khoản nợ khác</t>
        </is>
      </c>
      <c r="B53" s="51" t="n">
        <v>11852845000000</v>
      </c>
      <c r="C53" s="51" t="n">
        <v>11168656000000</v>
      </c>
      <c r="D53" s="51" t="n">
        <v>11878118000000</v>
      </c>
      <c r="E53" s="51" t="n">
        <v>14795596000000</v>
      </c>
      <c r="F53" s="51" t="n">
        <v>23775166000000</v>
      </c>
      <c r="G53" s="51" t="n">
        <v>25328735000000</v>
      </c>
      <c r="H53" s="51" t="n">
        <v>23862407000000</v>
      </c>
      <c r="I53" s="51" t="n">
        <v>26877242000000</v>
      </c>
    </row>
    <row r="54">
      <c r="A54" s="50" t="inlineStr">
        <is>
          <t>Vốn của tổ chức tín dụng</t>
        </is>
      </c>
      <c r="B54" s="51" t="n">
        <v>35442539000000</v>
      </c>
      <c r="C54" s="51" t="n">
        <v>35477967000000</v>
      </c>
      <c r="D54" s="51" t="n">
        <v>35525569000000</v>
      </c>
      <c r="E54" s="51" t="n">
        <v>35585622000000</v>
      </c>
      <c r="F54" s="51" t="n">
        <v>36204797000000</v>
      </c>
      <c r="G54" s="51" t="n">
        <v>36257461000000</v>
      </c>
      <c r="H54" s="51" t="n">
        <v>78412544000000</v>
      </c>
      <c r="I54" s="51" t="n">
        <v>78626366000000</v>
      </c>
    </row>
    <row r="55">
      <c r="A55" s="50" t="inlineStr">
        <is>
          <t>Vốn đầu tư XDCB</t>
        </is>
      </c>
      <c r="B55" s="51" t="n">
        <v>0</v>
      </c>
      <c r="C55" s="51" t="n">
        <v>0</v>
      </c>
      <c r="D55" s="51" t="n">
        <v>0</v>
      </c>
      <c r="E55" s="51" t="n">
        <v>0</v>
      </c>
      <c r="F55" s="51" t="n">
        <v>0</v>
      </c>
      <c r="G55" s="51" t="n">
        <v>0</v>
      </c>
      <c r="H55" s="51" t="n">
        <v>0</v>
      </c>
      <c r="I55" s="51" t="n">
        <v>0</v>
      </c>
    </row>
    <row r="56">
      <c r="A56" s="50" t="inlineStr">
        <is>
          <t>Cổ phiếu ưu đãi</t>
        </is>
      </c>
      <c r="B56" s="51" t="n">
        <v>0</v>
      </c>
      <c r="C56" s="51" t="n">
        <v>0</v>
      </c>
      <c r="D56" s="51" t="n">
        <v>0</v>
      </c>
      <c r="E56" s="51" t="n">
        <v>0</v>
      </c>
      <c r="F56" s="51" t="n">
        <v>0</v>
      </c>
      <c r="G56" s="51" t="n">
        <v>0</v>
      </c>
      <c r="H56" s="51" t="n">
        <v>0</v>
      </c>
      <c r="I56" s="51" t="n">
        <v>0</v>
      </c>
    </row>
    <row r="57">
      <c r="A57" s="50" t="inlineStr">
        <is>
          <t>Quỹ của tổ chức tín dụng</t>
        </is>
      </c>
      <c r="B57" s="51" t="n">
        <v>3867846000000</v>
      </c>
      <c r="C57" s="51" t="n">
        <v>5172684000000</v>
      </c>
      <c r="D57" s="51" t="n">
        <v>6789643000000</v>
      </c>
      <c r="E57" s="51" t="n">
        <v>9155896000000</v>
      </c>
      <c r="F57" s="51" t="n">
        <v>11608569000000</v>
      </c>
      <c r="G57" s="51" t="n">
        <v>45028627000000</v>
      </c>
      <c r="H57" s="51" t="n">
        <v>24787305000000</v>
      </c>
      <c r="I57" s="51" t="n">
        <v>28644562000000</v>
      </c>
    </row>
    <row r="58">
      <c r="A58" s="50" t="inlineStr">
        <is>
          <t>Bảo lãnh khác</t>
        </is>
      </c>
      <c r="B58" s="51" t="n">
        <v>19043774000000</v>
      </c>
      <c r="C58" s="51" t="n">
        <v>22285888000000</v>
      </c>
      <c r="D58" s="51" t="n">
        <v>21121837000000</v>
      </c>
      <c r="E58" s="51" t="n">
        <v>30068017000000</v>
      </c>
      <c r="F58" s="51" t="n">
        <v>44870251000000</v>
      </c>
      <c r="G58" s="51" t="n">
        <v>57648065000000</v>
      </c>
      <c r="H58" s="51" t="n">
        <v>58558478000000</v>
      </c>
      <c r="I58" s="51" t="n">
        <v>122225620000000</v>
      </c>
    </row>
    <row r="59">
      <c r="A59" s="50" t="inlineStr">
        <is>
          <t>Cam kết giao dịch hối đoái</t>
        </is>
      </c>
      <c r="B59" s="51" t="n">
        <v>38509000000</v>
      </c>
      <c r="C59" s="51" t="n">
        <v>38509000000</v>
      </c>
      <c r="D59" s="51" t="n">
        <v>34868000000</v>
      </c>
      <c r="E59" s="51" t="n">
        <v>56682000000</v>
      </c>
      <c r="F59" s="51" t="n">
        <v>13253457000000</v>
      </c>
      <c r="G59" s="51" t="n">
        <v>14935065000000</v>
      </c>
      <c r="H59" s="51" t="n">
        <v>11507947000000</v>
      </c>
      <c r="I59" s="51" t="n">
        <v>14965995000000</v>
      </c>
    </row>
    <row r="60">
      <c r="A60" s="50" t="inlineStr">
        <is>
          <t>Cam kết mua ngoại tệ</t>
        </is>
      </c>
      <c r="B60" s="51" t="n">
        <v>3305927000000</v>
      </c>
      <c r="C60" s="51" t="n">
        <v>1108119000000</v>
      </c>
      <c r="D60" s="51" t="n">
        <v>1605493000000</v>
      </c>
      <c r="E60" s="51" t="n">
        <v>1147456000000</v>
      </c>
      <c r="F60" s="51" t="n">
        <v>2450745000000</v>
      </c>
      <c r="G60" s="51" t="n">
        <v>4593012000000</v>
      </c>
      <c r="H60" s="51" t="n">
        <v>3062641000000</v>
      </c>
      <c r="I60" s="51" t="n">
        <v>6372664000000</v>
      </c>
    </row>
    <row r="61">
      <c r="A61" s="50" t="inlineStr">
        <is>
          <t>Cam kết bán ngoại tệ</t>
        </is>
      </c>
      <c r="B61" s="51" t="n">
        <v>7472531000000</v>
      </c>
      <c r="C61" s="51" t="n">
        <v>5611861000000</v>
      </c>
      <c r="D61" s="51" t="n">
        <v>3004364000000</v>
      </c>
      <c r="E61" s="51" t="n">
        <v>3155974000000</v>
      </c>
      <c r="F61" s="51" t="n">
        <v>1361969000000</v>
      </c>
      <c r="G61" s="51" t="n">
        <v>4415918000000</v>
      </c>
      <c r="H61" s="51" t="n">
        <v>3511618000000</v>
      </c>
      <c r="I61" s="51" t="n">
        <v>7295512000000</v>
      </c>
    </row>
    <row r="62">
      <c r="A62" s="50" t="inlineStr">
        <is>
          <t>Cam kết giao dịch hoán đổi</t>
        </is>
      </c>
      <c r="B62" s="51" t="n">
        <v>149821837000000</v>
      </c>
      <c r="C62" s="51" t="n">
        <v>221756824000000</v>
      </c>
      <c r="D62" s="51" t="n">
        <v>181340703000000</v>
      </c>
      <c r="E62" s="51" t="n">
        <v>275039014000000</v>
      </c>
      <c r="F62" s="51" t="n">
        <v>356308029000000</v>
      </c>
      <c r="G62" s="51" t="n">
        <v>341592612000000</v>
      </c>
      <c r="H62" s="51" t="n">
        <v>262819403000000</v>
      </c>
      <c r="I62" s="51" t="n">
        <v>403653327000000</v>
      </c>
    </row>
    <row r="63">
      <c r="A63" s="50" t="inlineStr">
        <is>
          <t>Cam kết giao dịch tương lai</t>
        </is>
      </c>
      <c r="B63" s="51" t="n">
        <v>0</v>
      </c>
      <c r="C63" s="51" t="n">
        <v>0</v>
      </c>
      <c r="D63" s="51" t="n">
        <v>0</v>
      </c>
      <c r="E63" s="51" t="n">
        <v>0</v>
      </c>
      <c r="F63" s="51" t="n">
        <v>0</v>
      </c>
      <c r="G63" s="51" t="n">
        <v>0</v>
      </c>
      <c r="H63" s="51" t="n">
        <v>0</v>
      </c>
      <c r="I63" s="51" t="n">
        <v>0</v>
      </c>
    </row>
    <row r="64">
      <c r="A64" s="50" t="inlineStr">
        <is>
          <t>Cam kết cho vay không hủy ngang</t>
        </is>
      </c>
      <c r="B64" s="51" t="n">
        <v>0</v>
      </c>
      <c r="C64" s="51" t="n">
        <v>0</v>
      </c>
      <c r="D64" s="51" t="n">
        <v>0</v>
      </c>
      <c r="E64" s="51" t="n">
        <v>0</v>
      </c>
      <c r="F64" s="51" t="n">
        <v>0</v>
      </c>
      <c r="G64" s="51" t="n">
        <v>0</v>
      </c>
      <c r="H64" s="51" t="n">
        <v>0</v>
      </c>
      <c r="I64" s="51" t="n">
        <v>0</v>
      </c>
    </row>
    <row r="65">
      <c r="A65" s="50" t="inlineStr">
        <is>
          <t>Cam kết trong nghiệp vụ L/C</t>
        </is>
      </c>
      <c r="B65" s="51" t="n">
        <v>12163321000000</v>
      </c>
      <c r="C65" s="51" t="n">
        <v>21909553000000</v>
      </c>
      <c r="D65" s="51" t="n">
        <v>30880187000000</v>
      </c>
      <c r="E65" s="51" t="n">
        <v>47054297000000</v>
      </c>
      <c r="F65" s="51" t="n">
        <v>64666942000000</v>
      </c>
      <c r="G65" s="51" t="n">
        <v>67845653000000</v>
      </c>
      <c r="H65" s="51" t="n">
        <v>38065747000000</v>
      </c>
      <c r="I65" s="51" t="n">
        <v>64314200000000</v>
      </c>
    </row>
    <row r="66">
      <c r="A66" s="50" t="inlineStr">
        <is>
          <t>Cam kết khác</t>
        </is>
      </c>
      <c r="B66" s="51" t="n">
        <v>210068172000000</v>
      </c>
      <c r="C66" s="51" t="n">
        <v>260721927000000</v>
      </c>
      <c r="D66" s="51" t="n">
        <v>302318864000000</v>
      </c>
      <c r="E66" s="51" t="n">
        <v>358478746000000</v>
      </c>
      <c r="F66" s="51" t="n">
        <v>449697675000000</v>
      </c>
      <c r="G66" s="51" t="n">
        <v>176065387000000</v>
      </c>
      <c r="H66" s="51" t="n">
        <v>213069830000000</v>
      </c>
      <c r="I66" s="51" t="n">
        <v>182638941000000</v>
      </c>
    </row>
    <row r="67">
      <c r="A67" s="50" t="inlineStr">
        <is>
          <t>Lợi ích của cổ đông thiểu số</t>
        </is>
      </c>
      <c r="B67" s="51" t="n">
        <v>69317000000</v>
      </c>
      <c r="C67" s="51" t="n">
        <v>290725000000</v>
      </c>
      <c r="D67" s="51" t="n">
        <v>483869000000</v>
      </c>
      <c r="E67" s="51" t="n">
        <v>846898000000</v>
      </c>
      <c r="F67" s="51" t="n">
        <v>1128915000000</v>
      </c>
      <c r="G67" s="51" t="n">
        <v>1316833000000</v>
      </c>
      <c r="H67" s="51" t="n">
        <v>2520466000000</v>
      </c>
      <c r="I67" s="51" t="n">
        <v>9456938000000</v>
      </c>
    </row>
    <row r="68">
      <c r="A68" s="50" t="inlineStr">
        <is>
          <t>Tiền gửi tại các TCTD khác</t>
        </is>
      </c>
      <c r="B68" s="51" t="n">
        <v>24169512000000</v>
      </c>
      <c r="C68" s="51" t="n">
        <v>38596420000000</v>
      </c>
      <c r="D68" s="51" t="n">
        <v>21112630000000</v>
      </c>
      <c r="E68" s="51" t="n">
        <v>39450727000000</v>
      </c>
      <c r="F68" s="51" t="n">
        <v>69925143000000</v>
      </c>
      <c r="G68" s="51" t="n">
        <v>80126897000000</v>
      </c>
      <c r="H68" s="51" t="n">
        <v>74887085000000</v>
      </c>
      <c r="I68" s="51" t="n">
        <v>108143393000000</v>
      </c>
    </row>
    <row r="69">
      <c r="A69" s="50" t="inlineStr">
        <is>
          <t>Cho vay các TCTD khác</t>
        </is>
      </c>
      <c r="B69" s="51" t="n">
        <v>11389851000000</v>
      </c>
      <c r="C69" s="51" t="n">
        <v>9393804000000</v>
      </c>
      <c r="D69" s="51" t="n">
        <v>7882324000000</v>
      </c>
      <c r="E69" s="51" t="n">
        <v>31064531000000</v>
      </c>
      <c r="F69" s="51" t="n">
        <v>13049711000000</v>
      </c>
      <c r="G69" s="51" t="n">
        <v>24046523000000</v>
      </c>
      <c r="H69" s="51" t="n">
        <v>9884539000000</v>
      </c>
      <c r="I69" s="51" t="n">
        <v>6996069000000</v>
      </c>
    </row>
    <row r="70">
      <c r="A70" s="50" t="inlineStr">
        <is>
          <t>Dự phòng rủi ro</t>
        </is>
      </c>
      <c r="B70" s="51" t="n">
        <v>0</v>
      </c>
      <c r="C70" s="51" t="n">
        <v>0</v>
      </c>
      <c r="D70" s="51" t="n">
        <v>0</v>
      </c>
      <c r="E70" s="51" t="n">
        <v>0</v>
      </c>
      <c r="F70" s="51" t="n">
        <v>-101100000000</v>
      </c>
      <c r="G70" s="51" t="n">
        <v>-101100000000</v>
      </c>
      <c r="H70" s="51" t="n">
        <v>-181150000000</v>
      </c>
      <c r="I70" s="51" t="n">
        <v>-181150000000</v>
      </c>
    </row>
    <row r="71">
      <c r="A71" s="50" t="inlineStr">
        <is>
          <t>Hoạt động mua nợ</t>
        </is>
      </c>
      <c r="B71" s="51" t="n">
        <v>0</v>
      </c>
      <c r="C71" s="51" t="n">
        <v>0</v>
      </c>
      <c r="D71" s="51" t="n">
        <v>0</v>
      </c>
      <c r="E71" s="51" t="n">
        <v>133418000000</v>
      </c>
      <c r="F71" s="51" t="n">
        <v>107725000000</v>
      </c>
      <c r="G71" s="51" t="n">
        <v>82033000000</v>
      </c>
      <c r="H71" s="51" t="n">
        <v>141628000000</v>
      </c>
      <c r="I71" s="51" t="n">
        <v>30647000000</v>
      </c>
    </row>
    <row r="72">
      <c r="A72" s="50" t="inlineStr">
        <is>
          <t>Mua nợ</t>
        </is>
      </c>
      <c r="B72" s="51" t="n">
        <v>1682000000</v>
      </c>
      <c r="C72" s="51" t="n">
        <v>1682000000</v>
      </c>
      <c r="D72" s="51" t="n">
        <v>1682000000</v>
      </c>
      <c r="E72" s="51" t="n">
        <v>136108000000</v>
      </c>
      <c r="F72" s="51" t="n">
        <v>110221000000</v>
      </c>
      <c r="G72" s="51" t="n">
        <v>84335000000</v>
      </c>
      <c r="H72" s="51" t="n">
        <v>144380000000</v>
      </c>
      <c r="I72" s="51" t="n">
        <v>32561000000</v>
      </c>
    </row>
    <row r="73">
      <c r="A73" s="50" t="inlineStr">
        <is>
          <t>Dự phòng rủi ro hoạt động mua nợ</t>
        </is>
      </c>
      <c r="B73" s="51" t="n">
        <v>-1682000000</v>
      </c>
      <c r="C73" s="51" t="n">
        <v>-1682000000</v>
      </c>
      <c r="D73" s="51" t="n">
        <v>-1682000000</v>
      </c>
      <c r="E73" s="51" t="n">
        <v>-2690000000</v>
      </c>
      <c r="F73" s="51" t="n">
        <v>-2496000000</v>
      </c>
      <c r="G73" s="51" t="n">
        <v>-2302000000</v>
      </c>
      <c r="H73" s="51" t="n">
        <v>-2752000000</v>
      </c>
      <c r="I73" s="51" t="n">
        <v>-1914000000</v>
      </c>
    </row>
    <row r="74">
      <c r="A74" s="50" t="inlineStr">
        <is>
          <t>Các khoản phải thu</t>
        </is>
      </c>
      <c r="B74" s="51" t="n">
        <v>11322256000000</v>
      </c>
      <c r="C74" s="51" t="n">
        <v>12954103000000</v>
      </c>
      <c r="D74" s="51" t="n">
        <v>16572411000000</v>
      </c>
      <c r="E74" s="51" t="n">
        <v>28117180000000</v>
      </c>
      <c r="F74" s="51" t="n">
        <v>61609133000000</v>
      </c>
      <c r="G74" s="51" t="n">
        <v>69834157000000</v>
      </c>
      <c r="H74" s="51" t="n">
        <v>29540943000000</v>
      </c>
      <c r="I74" s="51" t="n">
        <v>56111402000000</v>
      </c>
    </row>
    <row r="75">
      <c r="A75" s="50" t="inlineStr">
        <is>
          <t>Các khoản lãi và phí phải thu</t>
        </is>
      </c>
      <c r="B75" s="51" t="n">
        <v>5737907000000</v>
      </c>
      <c r="C75" s="51" t="n">
        <v>5553724000000</v>
      </c>
      <c r="D75" s="51" t="n">
        <v>5184822000000</v>
      </c>
      <c r="E75" s="51" t="n">
        <v>5807801000000</v>
      </c>
      <c r="F75" s="51" t="n">
        <v>8028730000000</v>
      </c>
      <c r="G75" s="51" t="n">
        <v>9681140000000</v>
      </c>
      <c r="H75" s="51" t="n">
        <v>8125964000000</v>
      </c>
      <c r="I75" s="51" t="n">
        <v>9787070000000</v>
      </c>
    </row>
    <row r="76">
      <c r="A76" s="50" t="inlineStr">
        <is>
          <t>Tài sản thuế TNDN hoãn lại</t>
        </is>
      </c>
      <c r="B76" s="51" t="n">
        <v>0</v>
      </c>
      <c r="C76" s="51" t="n">
        <v>0</v>
      </c>
      <c r="D76" s="51" t="n">
        <v>0</v>
      </c>
      <c r="E76" s="51" t="n">
        <v>17460000000</v>
      </c>
      <c r="F76" s="51" t="n">
        <v>61050000000</v>
      </c>
      <c r="G76" s="51" t="n">
        <v>70409000000</v>
      </c>
      <c r="H76" s="51" t="n">
        <v>79856000000</v>
      </c>
      <c r="I76" s="51" t="n">
        <v>40487000000</v>
      </c>
    </row>
    <row r="77">
      <c r="A77" s="50" t="inlineStr">
        <is>
          <t>Tài sản Có khác</t>
        </is>
      </c>
      <c r="B77" s="51" t="n"/>
      <c r="C77" s="51" t="n"/>
      <c r="D77" s="51" t="n"/>
      <c r="E77" s="51" t="n"/>
      <c r="F77" s="51" t="n">
        <v>1616735000000</v>
      </c>
      <c r="G77" s="51" t="n">
        <v>1650584000000</v>
      </c>
      <c r="H77" s="51" t="n">
        <v>1818676000000</v>
      </c>
      <c r="I77" s="51" t="n">
        <v>2070439000000</v>
      </c>
    </row>
    <row r="78">
      <c r="A78" s="50" t="inlineStr">
        <is>
          <t>Trong đó: Lợi thế thương mại</t>
        </is>
      </c>
      <c r="B78" s="51" t="n">
        <v>0</v>
      </c>
      <c r="C78" s="51" t="n">
        <v>0</v>
      </c>
      <c r="D78" s="51" t="n">
        <v>0</v>
      </c>
      <c r="E78" s="51" t="n">
        <v>0</v>
      </c>
      <c r="F78" s="51" t="n">
        <v>0</v>
      </c>
      <c r="G78" s="51" t="n">
        <v>0</v>
      </c>
      <c r="H78" s="51" t="n">
        <v>0</v>
      </c>
      <c r="I78" s="51" t="n">
        <v>0</v>
      </c>
    </row>
    <row r="79">
      <c r="A79" s="50" t="inlineStr">
        <is>
          <t>Các khoản dự phòng rủi ro cho các tài sản Có nội bảng khác</t>
        </is>
      </c>
      <c r="B79" s="51" t="n">
        <v>-75839000000</v>
      </c>
      <c r="C79" s="51" t="n">
        <v>-228908000000</v>
      </c>
      <c r="D79" s="51" t="n">
        <v>-189892000000</v>
      </c>
      <c r="E79" s="51" t="n">
        <v>-680423000000</v>
      </c>
      <c r="F79" s="51" t="n">
        <v>-798423000000</v>
      </c>
      <c r="G79" s="51" t="n">
        <v>-692866000000</v>
      </c>
      <c r="H79" s="51" t="n">
        <v>-64874000000</v>
      </c>
      <c r="I79" s="51" t="n">
        <v>-8301000000</v>
      </c>
    </row>
    <row r="80">
      <c r="A80" s="50" t="inlineStr">
        <is>
          <t>Tiền gửi của các tổ chức tín dụng khác</t>
        </is>
      </c>
      <c r="B80" s="51" t="n">
        <v>28973455000000</v>
      </c>
      <c r="C80" s="51" t="n">
        <v>38632337000000</v>
      </c>
      <c r="D80" s="51" t="n">
        <v>21232089000000</v>
      </c>
      <c r="E80" s="51" t="n">
        <v>45606142000000</v>
      </c>
      <c r="F80" s="51" t="n">
        <v>61293738000000</v>
      </c>
      <c r="G80" s="51" t="n">
        <v>50619678000000</v>
      </c>
      <c r="H80" s="51" t="n">
        <v>72210834000000</v>
      </c>
      <c r="I80" s="51" t="n">
        <v>83014313000000</v>
      </c>
    </row>
    <row r="81">
      <c r="A81" s="50" t="inlineStr">
        <is>
          <t>Vay các tổ chức tín dụng khác</t>
        </is>
      </c>
      <c r="B81" s="51" t="n">
        <v>7452105000000</v>
      </c>
      <c r="C81" s="51" t="n">
        <v>22634298000000</v>
      </c>
      <c r="D81" s="51" t="n">
        <v>26252723000000</v>
      </c>
      <c r="E81" s="51" t="n">
        <v>66852549000000</v>
      </c>
      <c r="F81" s="51" t="n">
        <v>106269231000000</v>
      </c>
      <c r="G81" s="51" t="n">
        <v>102553324000000</v>
      </c>
      <c r="H81" s="51" t="n">
        <v>60028254000000</v>
      </c>
      <c r="I81" s="51" t="n">
        <v>61968663000000</v>
      </c>
    </row>
    <row r="82">
      <c r="A82" s="50" t="inlineStr">
        <is>
          <t>Các khoản lãi, phí phải trả</t>
        </is>
      </c>
      <c r="B82" s="51" t="n">
        <v>3424068000000</v>
      </c>
      <c r="C82" s="51" t="n">
        <v>3479310000000</v>
      </c>
      <c r="D82" s="51" t="n">
        <v>3252009000000</v>
      </c>
      <c r="E82" s="51" t="n">
        <v>3121881000000</v>
      </c>
      <c r="F82" s="51" t="n">
        <v>6144022000000</v>
      </c>
      <c r="G82" s="51" t="n">
        <v>9418750000000</v>
      </c>
      <c r="H82" s="51" t="n">
        <v>7281567000000</v>
      </c>
      <c r="I82" s="51" t="n">
        <v>9448719000000</v>
      </c>
    </row>
    <row r="83">
      <c r="A83" s="50" t="inlineStr">
        <is>
          <t>Thuế TNDN hoãn lại phải trả</t>
        </is>
      </c>
      <c r="B83" s="51" t="n">
        <v>0</v>
      </c>
      <c r="C83" s="51" t="n">
        <v>0</v>
      </c>
      <c r="D83" s="51" t="n">
        <v>0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0</v>
      </c>
    </row>
    <row r="84">
      <c r="A84" s="50" t="inlineStr">
        <is>
          <t>Các khoản phải trả và công nợ khác</t>
        </is>
      </c>
      <c r="B84" s="51" t="n">
        <v>8428777000000</v>
      </c>
      <c r="C84" s="51" t="n">
        <v>7689346000000</v>
      </c>
      <c r="D84" s="51" t="n">
        <v>8626109000000</v>
      </c>
      <c r="E84" s="51" t="n">
        <v>11673715000000</v>
      </c>
      <c r="F84" s="51" t="n">
        <v>17631144000000</v>
      </c>
      <c r="G84" s="51" t="n">
        <v>15909985000000</v>
      </c>
      <c r="H84" s="51" t="n">
        <v>16580840000000</v>
      </c>
      <c r="I84" s="51" t="n">
        <v>17428523000000</v>
      </c>
    </row>
    <row r="85">
      <c r="A85" s="50" t="inlineStr">
        <is>
          <t>Dự phòng rủi ro khác</t>
        </is>
      </c>
      <c r="B85" s="51" t="n">
        <v>0</v>
      </c>
      <c r="C85" s="51" t="n">
        <v>0</v>
      </c>
      <c r="D85" s="51" t="n">
        <v>0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0</v>
      </c>
    </row>
    <row r="86">
      <c r="A86" s="50" t="inlineStr">
        <is>
          <t>Vốn Góp liên doanh</t>
        </is>
      </c>
      <c r="B86" s="51" t="n">
        <v>0</v>
      </c>
      <c r="C86" s="51" t="n">
        <v>0</v>
      </c>
      <c r="D86" s="51" t="n">
        <v>0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0</v>
      </c>
    </row>
    <row r="87">
      <c r="A87" s="50" t="inlineStr">
        <is>
          <t>Đầu tư vào công ty liên kết</t>
        </is>
      </c>
      <c r="B87" s="51" t="n">
        <v>0</v>
      </c>
      <c r="C87" s="51" t="n">
        <v>0</v>
      </c>
      <c r="D87" s="51" t="n">
        <v>0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8" t="inlineStr">
        <is>
          <t>item</t>
        </is>
      </c>
      <c r="B1" s="49" t="inlineStr">
        <is>
          <t>2018</t>
        </is>
      </c>
      <c r="C1" s="49" t="inlineStr">
        <is>
          <t>2019</t>
        </is>
      </c>
      <c r="D1" s="49" t="inlineStr">
        <is>
          <t>2020</t>
        </is>
      </c>
      <c r="E1" s="49" t="inlineStr">
        <is>
          <t>2021</t>
        </is>
      </c>
      <c r="F1" s="49" t="inlineStr">
        <is>
          <t>2022</t>
        </is>
      </c>
      <c r="G1" s="49" t="inlineStr">
        <is>
          <t>2023</t>
        </is>
      </c>
      <c r="H1" s="49" t="inlineStr">
        <is>
          <t>2024</t>
        </is>
      </c>
      <c r="I1" s="49" t="inlineStr">
        <is>
          <t>2025</t>
        </is>
      </c>
    </row>
    <row r="2">
      <c r="A2" s="50" t="inlineStr">
        <is>
          <t>Tổng lợi nhuận/lỗ trước thuế</t>
        </is>
      </c>
      <c r="B2" s="51" t="n">
        <v>10661016000000</v>
      </c>
      <c r="C2" s="51" t="n">
        <v>12838268000000</v>
      </c>
      <c r="D2" s="51" t="n">
        <v>15800296000000</v>
      </c>
      <c r="E2" s="51" t="n">
        <v>23238293000000</v>
      </c>
      <c r="F2" s="51" t="n">
        <v>25567768000000</v>
      </c>
      <c r="G2" s="51" t="n">
        <v>22888228000000</v>
      </c>
      <c r="H2" s="51" t="n">
        <v>27538368000000</v>
      </c>
      <c r="I2" s="51" t="n">
        <v>32538066000000</v>
      </c>
    </row>
    <row r="3">
      <c r="A3" s="50" t="inlineStr">
        <is>
          <t>Chi phí thuế TNDN hiện hành</t>
        </is>
      </c>
      <c r="B3" s="51" t="n">
        <v>-2185246000000</v>
      </c>
      <c r="C3" s="51" t="n">
        <v>-2612059000000</v>
      </c>
      <c r="D3" s="51" t="n">
        <v>-3217829000000</v>
      </c>
      <c r="E3" s="51" t="n">
        <v>-4840371000000</v>
      </c>
      <c r="F3" s="51" t="n">
        <v>-5174932000000</v>
      </c>
      <c r="G3" s="51" t="n">
        <v>-4706721000000</v>
      </c>
      <c r="H3" s="51" t="n">
        <v>-5787711000000</v>
      </c>
      <c r="I3" s="51" t="n">
        <v>-6544225000000</v>
      </c>
    </row>
    <row r="4">
      <c r="A4" s="50" t="inlineStr">
        <is>
          <t>Chi phí thuế TNDN hoãn lại</t>
        </is>
      </c>
      <c r="B4" s="51" t="n">
        <v>-1773000000</v>
      </c>
      <c r="C4" s="51" t="n">
        <v>0</v>
      </c>
      <c r="D4" s="51" t="n">
        <v>0</v>
      </c>
      <c r="E4" s="51" t="n">
        <v>17460000000</v>
      </c>
      <c r="F4" s="51" t="n">
        <v>43590000000</v>
      </c>
      <c r="G4" s="51" t="n">
        <v>9359000000</v>
      </c>
      <c r="H4" s="51" t="n">
        <v>9447000000</v>
      </c>
      <c r="I4" s="51" t="n">
        <v>-39369000000</v>
      </c>
    </row>
    <row r="5">
      <c r="A5" s="50" t="inlineStr">
        <is>
          <t>Chi phí thuế thu nhập doanh nghiệp</t>
        </is>
      </c>
      <c r="B5" s="51" t="n">
        <v>-2187019000000</v>
      </c>
      <c r="C5" s="51" t="n">
        <v>-2612059000000</v>
      </c>
      <c r="D5" s="51" t="n">
        <v>-3217829000000</v>
      </c>
      <c r="E5" s="51" t="n">
        <v>-4822911000000</v>
      </c>
      <c r="F5" s="51" t="n">
        <v>-5131342000000</v>
      </c>
      <c r="G5" s="51" t="n">
        <v>-4697362000000</v>
      </c>
      <c r="H5" s="51" t="n">
        <v>-5778264000000</v>
      </c>
      <c r="I5" s="51" t="n">
        <v>-6583594000000</v>
      </c>
    </row>
    <row r="6">
      <c r="A6" s="50" t="inlineStr">
        <is>
          <t>Lợi nhuận sau thuế</t>
        </is>
      </c>
      <c r="B6" s="51" t="n">
        <v>8473997000000</v>
      </c>
      <c r="C6" s="51" t="n">
        <v>10226209000000</v>
      </c>
      <c r="D6" s="51" t="n">
        <v>12582467000000</v>
      </c>
      <c r="E6" s="51" t="n">
        <v>18415382000000</v>
      </c>
      <c r="F6" s="51" t="n">
        <v>20436426000000</v>
      </c>
      <c r="G6" s="51" t="n">
        <v>18190866000000</v>
      </c>
      <c r="H6" s="51" t="n">
        <v>21760104000000</v>
      </c>
      <c r="I6" s="51" t="n">
        <v>25954472000000</v>
      </c>
    </row>
    <row r="7">
      <c r="A7" s="50" t="inlineStr">
        <is>
          <t>Lợi ích của cổ đông thiểu số</t>
        </is>
      </c>
      <c r="B7" s="51" t="n">
        <v>-11222000000</v>
      </c>
      <c r="C7" s="51" t="n">
        <v>-151070000000</v>
      </c>
      <c r="D7" s="51" t="n">
        <v>-257476000000</v>
      </c>
      <c r="E7" s="51" t="n">
        <v>-363132000000</v>
      </c>
      <c r="F7" s="51" t="n">
        <v>-286049000000</v>
      </c>
      <c r="G7" s="51" t="n">
        <v>-187064000000</v>
      </c>
      <c r="H7" s="51" t="n">
        <v>-237176000000</v>
      </c>
      <c r="I7" s="51" t="n">
        <v>-664242000000</v>
      </c>
    </row>
    <row r="8">
      <c r="A8" s="50" t="inlineStr">
        <is>
          <t>Cổ đông của Công ty mẹ</t>
        </is>
      </c>
      <c r="B8" s="51" t="n">
        <v>8462775000000</v>
      </c>
      <c r="C8" s="51" t="n">
        <v>10075139000000</v>
      </c>
      <c r="D8" s="51" t="n">
        <v>12324991000000</v>
      </c>
      <c r="E8" s="51" t="n">
        <v>18052250000000</v>
      </c>
      <c r="F8" s="51" t="n">
        <v>20150377000000</v>
      </c>
      <c r="G8" s="51" t="n">
        <v>18003802000000</v>
      </c>
      <c r="H8" s="51" t="n">
        <v>21522928000000</v>
      </c>
      <c r="I8" s="51" t="n">
        <v>25290230000000</v>
      </c>
    </row>
    <row r="9">
      <c r="A9" s="50" t="inlineStr">
        <is>
          <t>Lãi cơ bản trên cổ phiếu (VND)</t>
        </is>
      </c>
      <c r="B9" s="51" t="n">
        <v>3816</v>
      </c>
      <c r="C9" s="51" t="n">
        <v>2871</v>
      </c>
      <c r="D9" s="51" t="n">
        <v>3515</v>
      </c>
      <c r="E9" s="51" t="n">
        <v>5137</v>
      </c>
      <c r="F9" s="51" t="n">
        <v>5725</v>
      </c>
      <c r="G9" s="51" t="n">
        <v>2549</v>
      </c>
      <c r="H9" s="51" t="n">
        <v>3049</v>
      </c>
      <c r="I9" s="51" t="n">
        <v>3572</v>
      </c>
    </row>
    <row r="10">
      <c r="A10" s="50" t="inlineStr">
        <is>
          <t>Lãi trên cổ phiếu pha loãng (VND)</t>
        </is>
      </c>
      <c r="B10" s="51" t="n">
        <v>0</v>
      </c>
      <c r="C10" s="51" t="n">
        <v>0</v>
      </c>
      <c r="D10" s="51" t="n">
        <v>0</v>
      </c>
      <c r="E10" s="51" t="n">
        <v>0</v>
      </c>
      <c r="F10" s="51" t="n">
        <v>0</v>
      </c>
      <c r="G10" s="51" t="n">
        <v>0</v>
      </c>
      <c r="H10" s="51" t="n">
        <v>0</v>
      </c>
      <c r="I10" s="51" t="n">
        <v>0</v>
      </c>
    </row>
    <row r="11">
      <c r="A11" s="50" t="inlineStr">
        <is>
          <t>Thu nhập lãi và các khoản thu nhập tương tự</t>
        </is>
      </c>
      <c r="B11" s="51" t="n">
        <v>21413626000000</v>
      </c>
      <c r="C11" s="51" t="n">
        <v>25016341000000</v>
      </c>
      <c r="D11" s="51" t="n">
        <v>29001912000000</v>
      </c>
      <c r="E11" s="51" t="n">
        <v>35503251000000</v>
      </c>
      <c r="F11" s="51" t="n">
        <v>44752636000000</v>
      </c>
      <c r="G11" s="51" t="n">
        <v>56707759000000</v>
      </c>
      <c r="H11" s="51" t="n">
        <v>60089462000000</v>
      </c>
      <c r="I11" s="51" t="n">
        <v>68017450000000</v>
      </c>
    </row>
    <row r="12">
      <c r="A12" s="50" t="inlineStr">
        <is>
          <t>Chi phí lãi và các chi phí tương tự</t>
        </is>
      </c>
      <c r="B12" s="51" t="n">
        <v>-10023687000000</v>
      </c>
      <c r="C12" s="51" t="n">
        <v>-10758497000000</v>
      </c>
      <c r="D12" s="51" t="n">
        <v>-10250703000000</v>
      </c>
      <c r="E12" s="51" t="n">
        <v>-8804638000000</v>
      </c>
      <c r="F12" s="51" t="n">
        <v>-14462861000000</v>
      </c>
      <c r="G12" s="51" t="n">
        <v>-29016639000000</v>
      </c>
      <c r="H12" s="51" t="n">
        <v>-24581499000000</v>
      </c>
      <c r="I12" s="51" t="n">
        <v>-29862359000000</v>
      </c>
    </row>
    <row r="13">
      <c r="A13" s="50" t="inlineStr">
        <is>
          <t>Thu nhập lãi thuần</t>
        </is>
      </c>
      <c r="B13" s="51" t="n">
        <v>11389939000000</v>
      </c>
      <c r="C13" s="51" t="n">
        <v>14257844000000</v>
      </c>
      <c r="D13" s="51" t="n">
        <v>18751209000000</v>
      </c>
      <c r="E13" s="51" t="n">
        <v>26698613000000</v>
      </c>
      <c r="F13" s="51" t="n">
        <v>30289775000000</v>
      </c>
      <c r="G13" s="51" t="n">
        <v>27691120000000</v>
      </c>
      <c r="H13" s="51" t="n">
        <v>35507963000000</v>
      </c>
      <c r="I13" s="51" t="n">
        <v>38155091000000</v>
      </c>
    </row>
    <row r="14">
      <c r="A14" s="50" t="inlineStr">
        <is>
          <t>Thu nhập từ dịch vụ</t>
        </is>
      </c>
      <c r="B14" s="51" t="n">
        <v>4188317000000</v>
      </c>
      <c r="C14" s="51" t="n">
        <v>4884408000000</v>
      </c>
      <c r="D14" s="51" t="n">
        <v>6048443000000</v>
      </c>
      <c r="E14" s="51" t="n">
        <v>8239494000000</v>
      </c>
      <c r="F14" s="51" t="n">
        <v>10840337000000</v>
      </c>
      <c r="G14" s="51" t="n">
        <v>11378085000000</v>
      </c>
      <c r="H14" s="51" t="n">
        <v>10961642000000</v>
      </c>
      <c r="I14" s="51" t="n">
        <v>12526963000000</v>
      </c>
    </row>
    <row r="15">
      <c r="A15" s="50" t="inlineStr">
        <is>
          <t>Chi phí dịch vụ</t>
        </is>
      </c>
      <c r="B15" s="51" t="n">
        <v>-915737000000</v>
      </c>
      <c r="C15" s="51" t="n">
        <v>-1631055000000</v>
      </c>
      <c r="D15" s="51" t="n">
        <v>-1859665000000</v>
      </c>
      <c r="E15" s="51" t="n">
        <v>-1857254000000</v>
      </c>
      <c r="F15" s="51" t="n">
        <v>-2687732000000</v>
      </c>
      <c r="G15" s="51" t="n">
        <v>-2663188000000</v>
      </c>
      <c r="H15" s="51" t="n">
        <v>-2919394000000</v>
      </c>
      <c r="I15" s="51" t="n">
        <v>-3754968000000</v>
      </c>
    </row>
    <row r="16">
      <c r="A16" s="50" t="inlineStr">
        <is>
          <t>Lãi/Lỗ thuần từ hoạt động dịch vụ</t>
        </is>
      </c>
      <c r="B16" s="51" t="n">
        <v>3272580000000</v>
      </c>
      <c r="C16" s="51" t="n">
        <v>3253353000000</v>
      </c>
      <c r="D16" s="51" t="n">
        <v>4188778000000</v>
      </c>
      <c r="E16" s="51" t="n">
        <v>6382240000000</v>
      </c>
      <c r="F16" s="51" t="n">
        <v>8152605000000</v>
      </c>
      <c r="G16" s="51" t="n">
        <v>8714897000000</v>
      </c>
      <c r="H16" s="51" t="n">
        <v>8042248000000</v>
      </c>
      <c r="I16" s="51" t="n">
        <v>8771995000000</v>
      </c>
    </row>
    <row r="17">
      <c r="A17" s="50" t="inlineStr">
        <is>
          <t>Lãi/(lỗ) thuần từ hoạt động kinh doanh ngoại hối và vàng</t>
        </is>
      </c>
      <c r="B17" s="51" t="n">
        <v>233751000000</v>
      </c>
      <c r="C17" s="51" t="n">
        <v>104581000000</v>
      </c>
      <c r="D17" s="51" t="n">
        <v>745000000</v>
      </c>
      <c r="E17" s="51" t="n">
        <v>231416000000</v>
      </c>
      <c r="F17" s="51" t="n">
        <v>-275063000000</v>
      </c>
      <c r="G17" s="51" t="n">
        <v>195750000000</v>
      </c>
      <c r="H17" s="51" t="n">
        <v>592556000000</v>
      </c>
      <c r="I17" s="51" t="n">
        <v>1642201000000</v>
      </c>
    </row>
    <row r="18">
      <c r="A18" s="50" t="inlineStr">
        <is>
          <t>Lãi/(lỗ) thuần từ mua bán chứng khoán kinh doanh</t>
        </is>
      </c>
      <c r="B18" s="51" t="n">
        <v>168433000000</v>
      </c>
      <c r="C18" s="51" t="n">
        <v>397664000000</v>
      </c>
      <c r="D18" s="51" t="n">
        <v>321397000000</v>
      </c>
      <c r="E18" s="51" t="n">
        <v>152305000000</v>
      </c>
      <c r="F18" s="51" t="n">
        <v>-241845000000</v>
      </c>
      <c r="G18" s="51" t="n">
        <v>64620000000</v>
      </c>
      <c r="H18" s="51" t="n">
        <v>81301000000</v>
      </c>
      <c r="I18" s="51" t="n">
        <v>51974000000</v>
      </c>
    </row>
    <row r="19">
      <c r="A19" s="50" t="inlineStr">
        <is>
          <t>Lãi/(lỗ) thuần từ mua bán chứng khoán đầu tư</t>
        </is>
      </c>
      <c r="B19" s="51" t="n">
        <v>756585000000</v>
      </c>
      <c r="C19" s="51" t="n">
        <v>1243759000000</v>
      </c>
      <c r="D19" s="51" t="n">
        <v>1496997000000</v>
      </c>
      <c r="E19" s="51" t="n">
        <v>1804408000000</v>
      </c>
      <c r="F19" s="51" t="n">
        <v>425553000000</v>
      </c>
      <c r="G19" s="51" t="n">
        <v>925833000000</v>
      </c>
      <c r="H19" s="51" t="n">
        <v>2359057000000</v>
      </c>
      <c r="I19" s="51" t="n">
        <v>2846321000000</v>
      </c>
    </row>
    <row r="20">
      <c r="A20" s="50" t="inlineStr">
        <is>
          <t>Thu nhập khác</t>
        </is>
      </c>
      <c r="B20" s="51" t="n">
        <v>3147169000000</v>
      </c>
      <c r="C20" s="51" t="n">
        <v>4425079000000</v>
      </c>
      <c r="D20" s="51" t="n">
        <v>5460013000000</v>
      </c>
      <c r="E20" s="51" t="n">
        <v>4343731000000</v>
      </c>
      <c r="F20" s="51" t="n">
        <v>4499949000000</v>
      </c>
      <c r="G20" s="51" t="n">
        <v>6459694000000</v>
      </c>
      <c r="H20" s="51" t="n">
        <v>9324928000000</v>
      </c>
      <c r="I20" s="51" t="n">
        <v>6426334000000</v>
      </c>
    </row>
    <row r="21">
      <c r="A21" s="50" t="inlineStr">
        <is>
          <t>Chi phí khác</t>
        </is>
      </c>
      <c r="B21" s="51" t="n">
        <v>-1513392000000</v>
      </c>
      <c r="C21" s="51" t="n">
        <v>-2618351000000</v>
      </c>
      <c r="D21" s="51" t="n">
        <v>-3180804000000</v>
      </c>
      <c r="E21" s="51" t="n">
        <v>-2540485000000</v>
      </c>
      <c r="F21" s="51" t="n">
        <v>-2332574000000</v>
      </c>
      <c r="G21" s="51" t="n">
        <v>-4025578000000</v>
      </c>
      <c r="H21" s="51" t="n">
        <v>-8982217000000</v>
      </c>
      <c r="I21" s="51" t="n">
        <v>-4541992000000</v>
      </c>
    </row>
    <row r="22">
      <c r="A22" s="50" t="inlineStr">
        <is>
          <t>Lãi/(lỗ) thuần từ hoạt động khác</t>
        </is>
      </c>
      <c r="B22" s="51" t="n">
        <v>1633777000000</v>
      </c>
      <c r="C22" s="51" t="n">
        <v>1806728000000</v>
      </c>
      <c r="D22" s="51" t="n">
        <v>2279209000000</v>
      </c>
      <c r="E22" s="51" t="n">
        <v>1803246000000</v>
      </c>
      <c r="F22" s="51" t="n">
        <v>2167375000000</v>
      </c>
      <c r="G22" s="51" t="n">
        <v>2434116000000</v>
      </c>
      <c r="H22" s="51" t="n">
        <v>342711000000</v>
      </c>
      <c r="I22" s="51" t="n">
        <v>1884342000000</v>
      </c>
    </row>
    <row r="23">
      <c r="A23" s="50" t="inlineStr">
        <is>
          <t>Thu nhập từ cổ tức</t>
        </is>
      </c>
      <c r="B23" s="51" t="n">
        <v>894703000000</v>
      </c>
      <c r="C23" s="51" t="n">
        <v>4216000000</v>
      </c>
      <c r="D23" s="51" t="n">
        <v>4191000000</v>
      </c>
      <c r="E23" s="51" t="n">
        <v>4063000000</v>
      </c>
      <c r="F23" s="51" t="n">
        <v>8791000000</v>
      </c>
      <c r="G23" s="51" t="n">
        <v>34756000000</v>
      </c>
      <c r="H23" s="51" t="n">
        <v>64561000000</v>
      </c>
      <c r="I23" s="51" t="n">
        <v>39201000000</v>
      </c>
    </row>
    <row r="24">
      <c r="A24" s="50" t="inlineStr">
        <is>
          <t>Tổng thu nhập hoạt động</t>
        </is>
      </c>
      <c r="B24" s="51" t="n">
        <v>18349768000000</v>
      </c>
      <c r="C24" s="51" t="n">
        <v>21068145000000</v>
      </c>
      <c r="D24" s="51" t="n">
        <v>27042526000000</v>
      </c>
      <c r="E24" s="51" t="n">
        <v>37076291000000</v>
      </c>
      <c r="F24" s="51" t="n">
        <v>40527191000000</v>
      </c>
      <c r="G24" s="51" t="n">
        <v>40061092000000</v>
      </c>
      <c r="H24" s="51" t="n">
        <v>46990397000000</v>
      </c>
      <c r="I24" s="51" t="n">
        <v>53391125000000</v>
      </c>
    </row>
    <row r="25">
      <c r="A25" s="50" t="inlineStr">
        <is>
          <t>Chi phí quản lý doanh nghiệp</t>
        </is>
      </c>
      <c r="B25" s="51" t="n">
        <v>-5842507000000</v>
      </c>
      <c r="C25" s="51" t="n">
        <v>-7312509000000</v>
      </c>
      <c r="D25" s="51" t="n">
        <v>-8631195000000</v>
      </c>
      <c r="E25" s="51" t="n">
        <v>-11173395000000</v>
      </c>
      <c r="F25" s="51" t="n">
        <v>-13023129000000</v>
      </c>
      <c r="G25" s="51" t="n">
        <v>-13251796000000</v>
      </c>
      <c r="H25" s="51" t="n">
        <v>-15369735000000</v>
      </c>
      <c r="I25" s="51" t="n">
        <v>-16432434000000</v>
      </c>
    </row>
    <row r="26">
      <c r="A26" s="50" t="inlineStr">
        <is>
          <t>Lợi nhuận thuần hoạt động trước khi trích lập dự phòng tổn thất tín dụng</t>
        </is>
      </c>
      <c r="B26" s="51" t="n">
        <v>12507261000000</v>
      </c>
      <c r="C26" s="51" t="n">
        <v>13755636000000</v>
      </c>
      <c r="D26" s="51" t="n">
        <v>18411331000000</v>
      </c>
      <c r="E26" s="51" t="n">
        <v>25902896000000</v>
      </c>
      <c r="F26" s="51" t="n">
        <v>27504062000000</v>
      </c>
      <c r="G26" s="51" t="n">
        <v>26809296000000</v>
      </c>
      <c r="H26" s="51" t="n">
        <v>31620662000000</v>
      </c>
      <c r="I26" s="51" t="n">
        <v>36958691000000</v>
      </c>
    </row>
    <row r="27">
      <c r="A27" s="50" t="inlineStr">
        <is>
          <t>Trích lập dự phòng tổn thất tín dụng</t>
        </is>
      </c>
      <c r="B27" s="51" t="n">
        <v>-1846245000000</v>
      </c>
      <c r="C27" s="51" t="n">
        <v>-917368000000</v>
      </c>
      <c r="D27" s="51" t="n">
        <v>-2611035000000</v>
      </c>
      <c r="E27" s="51" t="n">
        <v>-2664603000000</v>
      </c>
      <c r="F27" s="51" t="n">
        <v>-1936294000000</v>
      </c>
      <c r="G27" s="51" t="n">
        <v>-3921068000000</v>
      </c>
      <c r="H27" s="51" t="n">
        <v>-4082294000000</v>
      </c>
      <c r="I27" s="51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48" t="inlineStr">
        <is>
          <t>item</t>
        </is>
      </c>
      <c r="B1" s="49" t="inlineStr">
        <is>
          <t>2018</t>
        </is>
      </c>
      <c r="C1" s="49" t="inlineStr">
        <is>
          <t>2019</t>
        </is>
      </c>
      <c r="D1" s="49" t="inlineStr">
        <is>
          <t>2020</t>
        </is>
      </c>
      <c r="E1" s="49" t="inlineStr">
        <is>
          <t>2021</t>
        </is>
      </c>
      <c r="F1" s="49" t="inlineStr">
        <is>
          <t>2022</t>
        </is>
      </c>
      <c r="G1" s="49" t="inlineStr">
        <is>
          <t>2023</t>
        </is>
      </c>
      <c r="H1" s="49" t="inlineStr">
        <is>
          <t>2024</t>
        </is>
      </c>
      <c r="I1" s="49" t="inlineStr">
        <is>
          <t>2025</t>
        </is>
      </c>
    </row>
    <row r="2">
      <c r="A2" s="50" t="inlineStr">
        <is>
          <t>Lưu chuyển tiền thuần từ hoạt động kinh doanh trước những thay đổi về tài sản và vốn lưu động</t>
        </is>
      </c>
      <c r="B2" s="51" t="n">
        <v>9926403000000</v>
      </c>
      <c r="C2" s="51" t="n">
        <v>13007909000000</v>
      </c>
      <c r="D2" s="51" t="n">
        <v>17631283000000</v>
      </c>
      <c r="E2" s="51" t="n">
        <v>23061616000000</v>
      </c>
      <c r="F2" s="51" t="n">
        <v>29013569000000</v>
      </c>
      <c r="G2" s="51" t="n">
        <v>24938816000000</v>
      </c>
      <c r="H2" s="51" t="n">
        <v>31037437000000</v>
      </c>
      <c r="I2" s="51" t="n">
        <v>33290586000000</v>
      </c>
    </row>
    <row r="3">
      <c r="A3" s="50" t="inlineStr">
        <is>
          <t>Thuế thu nhập doanh nghiệp đã trả</t>
        </is>
      </c>
      <c r="B3" s="51" t="n">
        <v>0</v>
      </c>
      <c r="C3" s="51" t="n">
        <v>0</v>
      </c>
      <c r="D3" s="51" t="n">
        <v>0</v>
      </c>
      <c r="E3" s="51" t="n">
        <v>0</v>
      </c>
      <c r="F3" s="51" t="n">
        <v>0</v>
      </c>
      <c r="G3" s="51" t="n">
        <v>0</v>
      </c>
      <c r="H3" s="51" t="n">
        <v>0</v>
      </c>
      <c r="I3" s="51" t="n">
        <v>0</v>
      </c>
    </row>
    <row r="4">
      <c r="A4" s="50" t="inlineStr">
        <is>
          <t>Lưu chuyển tiền thuần từ các hoạt động sản xuất kinh doanh</t>
        </is>
      </c>
      <c r="B4" s="51" t="n">
        <v>298932000000</v>
      </c>
      <c r="C4" s="51" t="n">
        <v>12631802000000</v>
      </c>
      <c r="D4" s="51" t="n">
        <v>-10088467000000</v>
      </c>
      <c r="E4" s="51" t="n">
        <v>12828221000000</v>
      </c>
      <c r="F4" s="51" t="n">
        <v>55468501000000</v>
      </c>
      <c r="G4" s="51" t="n">
        <v>12053287000000</v>
      </c>
      <c r="H4" s="51" t="n">
        <v>42376555000000</v>
      </c>
      <c r="I4" s="51" t="n">
        <v>39923618000000</v>
      </c>
    </row>
    <row r="5">
      <c r="A5" s="50" t="inlineStr">
        <is>
          <t>Mua sắm TSCĐ</t>
        </is>
      </c>
      <c r="B5" s="51" t="n">
        <v>-401574000000</v>
      </c>
      <c r="C5" s="51" t="n">
        <v>-257620000000</v>
      </c>
      <c r="D5" s="51" t="n">
        <v>-665860000000</v>
      </c>
      <c r="E5" s="51" t="n">
        <v>-939995000000</v>
      </c>
      <c r="F5" s="51" t="n">
        <v>-1110111000000</v>
      </c>
      <c r="G5" s="51" t="n">
        <v>-1232358000000</v>
      </c>
      <c r="H5" s="51" t="n">
        <v>-1618886000000</v>
      </c>
      <c r="I5" s="51" t="n">
        <v>-657030000000</v>
      </c>
    </row>
    <row r="6">
      <c r="A6" s="50" t="inlineStr">
        <is>
          <t>Tiền thu được từ thanh lý, nhượng bán tài sản cố định</t>
        </is>
      </c>
      <c r="B6" s="51" t="n">
        <v>6097000000</v>
      </c>
      <c r="C6" s="51" t="n">
        <v>31428000000</v>
      </c>
      <c r="D6" s="51" t="n">
        <v>6837000000</v>
      </c>
      <c r="E6" s="51" t="n">
        <v>57506000000</v>
      </c>
      <c r="F6" s="51" t="n">
        <v>44111000000</v>
      </c>
      <c r="G6" s="51" t="n">
        <v>22156000000</v>
      </c>
      <c r="H6" s="51" t="n">
        <v>1741528000000</v>
      </c>
      <c r="I6" s="51" t="n">
        <v>3503000000</v>
      </c>
    </row>
    <row r="7">
      <c r="A7" s="50" t="inlineStr">
        <is>
          <t>Tiền chi đầu tư, góp vốn vào các đơn vị khác</t>
        </is>
      </c>
      <c r="B7" s="51" t="n">
        <v>-799000000</v>
      </c>
      <c r="C7" s="51" t="n">
        <v>0</v>
      </c>
      <c r="D7" s="51" t="n">
        <v>0</v>
      </c>
      <c r="E7" s="51" t="n">
        <v>-1497000000</v>
      </c>
      <c r="F7" s="51" t="n">
        <v>0</v>
      </c>
      <c r="G7" s="51" t="n">
        <v>-3033432000000</v>
      </c>
      <c r="H7" s="51" t="n">
        <v>-56278000000</v>
      </c>
      <c r="I7" s="51" t="n">
        <v>-199836000000</v>
      </c>
    </row>
    <row r="8">
      <c r="A8" s="50" t="inlineStr">
        <is>
          <t>Tiền thu từ đầu tư, góp vốn vào các đơn vị khác</t>
        </is>
      </c>
      <c r="B8" s="51" t="n">
        <v>915560000000</v>
      </c>
      <c r="C8" s="51" t="n">
        <v>0</v>
      </c>
      <c r="D8" s="51" t="n">
        <v>0</v>
      </c>
      <c r="E8" s="51" t="n">
        <v>0</v>
      </c>
      <c r="F8" s="51" t="n">
        <v>0</v>
      </c>
      <c r="G8" s="51" t="n">
        <v>0</v>
      </c>
      <c r="H8" s="51" t="n">
        <v>0</v>
      </c>
      <c r="I8" s="51" t="n">
        <v>0</v>
      </c>
    </row>
    <row r="9">
      <c r="A9" s="50" t="inlineStr">
        <is>
          <t>Tiền thu cổ tức và lợi nhuận được chia từ các khoản đầu tư góp vốn dài hạn</t>
        </is>
      </c>
      <c r="B9" s="51" t="n">
        <v>275000000</v>
      </c>
      <c r="C9" s="51" t="n">
        <v>4216000000</v>
      </c>
      <c r="D9" s="51" t="n">
        <v>4191000000</v>
      </c>
      <c r="E9" s="51" t="n">
        <v>4043000000</v>
      </c>
      <c r="F9" s="51" t="n">
        <v>8776000000</v>
      </c>
      <c r="G9" s="51" t="n">
        <v>34756000000</v>
      </c>
      <c r="H9" s="51" t="n">
        <v>64561000000</v>
      </c>
      <c r="I9" s="51" t="n">
        <v>39938000000</v>
      </c>
    </row>
    <row r="10">
      <c r="A10" s="50" t="inlineStr">
        <is>
          <t>Lưu chuyển tiền thuần từ hoạt động đầu tư</t>
        </is>
      </c>
      <c r="B10" s="51" t="n">
        <v>519470000000</v>
      </c>
      <c r="C10" s="51" t="n">
        <v>-222244000000</v>
      </c>
      <c r="D10" s="51" t="n">
        <v>-655391000000</v>
      </c>
      <c r="E10" s="51" t="n">
        <v>-879943000000</v>
      </c>
      <c r="F10" s="51" t="n">
        <v>-1057275000000</v>
      </c>
      <c r="G10" s="51" t="n">
        <v>-2912466000000</v>
      </c>
      <c r="H10" s="51" t="n">
        <v>-382599000000</v>
      </c>
      <c r="I10" s="51" t="n">
        <v>-816440000000</v>
      </c>
    </row>
    <row r="11">
      <c r="A11" s="50" t="inlineStr">
        <is>
          <t>Tăng vốn cổ phần từ góp vốn và/hoặc phát hành cổ phiếu</t>
        </is>
      </c>
      <c r="B11" s="51" t="n">
        <v>0</v>
      </c>
      <c r="C11" s="51" t="n">
        <v>35428000000</v>
      </c>
      <c r="D11" s="51" t="n">
        <v>47602000000</v>
      </c>
      <c r="E11" s="51" t="n">
        <v>60053000000</v>
      </c>
      <c r="F11" s="51" t="n">
        <v>65072000000</v>
      </c>
      <c r="G11" s="51" t="n">
        <v>52664000000</v>
      </c>
      <c r="H11" s="51" t="n">
        <v>200495000000</v>
      </c>
      <c r="I11" s="51" t="n">
        <v>12320661000000</v>
      </c>
    </row>
    <row r="12">
      <c r="A12" s="50" t="inlineStr">
        <is>
          <t>Cổ tức trả cho cổ đông, lợi nhuận đã chia</t>
        </is>
      </c>
      <c r="B12" s="51" t="n">
        <v>0</v>
      </c>
      <c r="C12" s="51" t="n">
        <v>0</v>
      </c>
      <c r="D12" s="51" t="n">
        <v>-65086000000</v>
      </c>
      <c r="E12" s="51" t="n">
        <v>0</v>
      </c>
      <c r="F12" s="51" t="n">
        <v>-74648000000</v>
      </c>
      <c r="G12" s="51" t="n">
        <v>854000000</v>
      </c>
      <c r="H12" s="51" t="n">
        <v>-5210255000000</v>
      </c>
      <c r="I12" s="51" t="n">
        <v>-7084911000000</v>
      </c>
    </row>
    <row r="13">
      <c r="A13" s="50" t="inlineStr">
        <is>
          <t>Lưu chuyển tiền thuần trong kỳ</t>
        </is>
      </c>
      <c r="B13" s="51" t="n">
        <v>13699378000000</v>
      </c>
      <c r="C13" s="51" t="n">
        <v>-3094234000000</v>
      </c>
      <c r="D13" s="51" t="n">
        <v>-174546000000</v>
      </c>
      <c r="E13" s="51" t="n">
        <v>60053000000</v>
      </c>
      <c r="F13" s="51" t="n">
        <v>-709576000000</v>
      </c>
      <c r="G13" s="51" t="n">
        <v>53518000000</v>
      </c>
      <c r="H13" s="51" t="n">
        <v>-5009760000000</v>
      </c>
      <c r="I13" s="51" t="n">
        <v>5235750000000</v>
      </c>
    </row>
    <row r="14">
      <c r="A14" s="50" t="inlineStr">
        <is>
          <t>Tiền và các khoản tương đương tiền tài thời điểm đầu kỳ</t>
        </is>
      </c>
      <c r="B14" s="51" t="n">
        <v>22681199000000</v>
      </c>
      <c r="C14" s="51" t="n">
        <v>37198979000000</v>
      </c>
      <c r="D14" s="51" t="n">
        <v>46514303000000</v>
      </c>
      <c r="E14" s="51" t="n">
        <v>35595899000000</v>
      </c>
      <c r="F14" s="51" t="n">
        <v>47604230000000</v>
      </c>
      <c r="G14" s="51" t="n">
        <v>101305880000000</v>
      </c>
      <c r="H14" s="51" t="n">
        <v>110500219000000</v>
      </c>
      <c r="I14" s="51" t="n">
        <v>147484415000000</v>
      </c>
    </row>
    <row r="15">
      <c r="A15" s="50" t="inlineStr">
        <is>
          <t>Điều chỉnh ảnh hưởng của thay đổi tỷ giá</t>
        </is>
      </c>
      <c r="B15" s="51" t="n">
        <v>0</v>
      </c>
      <c r="C15" s="51" t="n">
        <v>0</v>
      </c>
      <c r="D15" s="51" t="n">
        <v>0</v>
      </c>
      <c r="E15" s="51" t="n">
        <v>0</v>
      </c>
      <c r="F15" s="51" t="n">
        <v>0</v>
      </c>
      <c r="G15" s="51" t="n">
        <v>0</v>
      </c>
      <c r="H15" s="51" t="n">
        <v>0</v>
      </c>
      <c r="I15" s="51" t="n">
        <v>0</v>
      </c>
    </row>
    <row r="16">
      <c r="A16" s="50" t="inlineStr">
        <is>
          <t>Tiền và các khoản tương đương tiền tại thời điểm cuối kỳ</t>
        </is>
      </c>
      <c r="B16" s="51" t="n">
        <v>37198979000000</v>
      </c>
      <c r="C16" s="51" t="n">
        <v>46514303000000</v>
      </c>
      <c r="D16" s="51" t="n">
        <v>35595899000000</v>
      </c>
      <c r="E16" s="51" t="n">
        <v>47604230000000</v>
      </c>
      <c r="F16" s="51" t="n">
        <v>101305880000000</v>
      </c>
      <c r="G16" s="51" t="n">
        <v>110500219000000</v>
      </c>
      <c r="H16" s="51" t="n">
        <v>147484415000000</v>
      </c>
      <c r="I16" s="51" t="n">
        <v>191827343000000</v>
      </c>
    </row>
    <row r="17">
      <c r="A17" s="50" t="inlineStr">
        <is>
          <t>Tiền thuế thu nhập thực nộp trong kỳ</t>
        </is>
      </c>
      <c r="B17" s="51" t="n">
        <v>-2140758000000</v>
      </c>
      <c r="C17" s="51" t="n">
        <v>-2678919000000</v>
      </c>
      <c r="D17" s="51" t="n">
        <v>-2881901000000</v>
      </c>
      <c r="E17" s="51" t="n">
        <v>-4829911000000</v>
      </c>
      <c r="F17" s="51" t="n">
        <v>-2301394000000</v>
      </c>
      <c r="G17" s="51" t="n">
        <v>-5048936000000</v>
      </c>
      <c r="H17" s="51" t="n">
        <v>-4089321000000</v>
      </c>
      <c r="I17" s="51" t="n">
        <v>-7177741000000</v>
      </c>
    </row>
    <row r="18">
      <c r="A18" s="50" t="inlineStr">
        <is>
          <t>Tiền gửi tại NHNN</t>
        </is>
      </c>
      <c r="B18" s="51" t="n">
        <v>0</v>
      </c>
      <c r="C18" s="51" t="n">
        <v>0</v>
      </c>
      <c r="D18" s="51" t="n">
        <v>0</v>
      </c>
      <c r="E18" s="51" t="n">
        <v>0</v>
      </c>
      <c r="F18" s="51" t="n">
        <v>0</v>
      </c>
      <c r="G18" s="51" t="n">
        <v>0</v>
      </c>
      <c r="H18" s="51" t="n">
        <v>0</v>
      </c>
      <c r="I18" s="51" t="n">
        <v>0</v>
      </c>
    </row>
    <row r="19">
      <c r="A19" s="50" t="inlineStr">
        <is>
          <t>Tăng/giảm các khoản tiền gửi và cho vay các tổ chức tín dụng khác</t>
        </is>
      </c>
      <c r="B19" s="51" t="n">
        <v>2576067000000</v>
      </c>
      <c r="C19" s="51" t="n">
        <v>2033530000000</v>
      </c>
      <c r="D19" s="51" t="n">
        <v>1401381000000</v>
      </c>
      <c r="E19" s="51" t="n">
        <v>-23454273000000</v>
      </c>
      <c r="F19" s="51" t="n">
        <v>18490986000000</v>
      </c>
      <c r="G19" s="51" t="n">
        <v>-12287858000000</v>
      </c>
      <c r="H19" s="51" t="n">
        <v>12721924000000</v>
      </c>
      <c r="I19" s="51" t="n">
        <v>1553157000000</v>
      </c>
    </row>
    <row r="20">
      <c r="A20" s="50" t="inlineStr">
        <is>
          <t>Tăng/giảm các khoản về kinh doanh chứng khoán</t>
        </is>
      </c>
      <c r="B20" s="51" t="n">
        <v>-35935551000000</v>
      </c>
      <c r="C20" s="51" t="n">
        <v>18030873000000</v>
      </c>
      <c r="D20" s="51" t="n">
        <v>-16005291000000</v>
      </c>
      <c r="E20" s="51" t="n">
        <v>-10804075000000</v>
      </c>
      <c r="F20" s="51" t="n">
        <v>13920515000000</v>
      </c>
      <c r="G20" s="51" t="n">
        <v>-19582416000000</v>
      </c>
      <c r="H20" s="51" t="n">
        <v>-31627229000000</v>
      </c>
      <c r="I20" s="51" t="n">
        <v>-9019169000000</v>
      </c>
    </row>
    <row r="21">
      <c r="A21" s="50" t="inlineStr">
        <is>
          <t>Tăng/giảm các công cụ tài chính phái sinh và các tài sản tài chính khác</t>
        </is>
      </c>
      <c r="B21" s="51" t="n">
        <v>36292000000</v>
      </c>
      <c r="C21" s="51" t="n">
        <v>0</v>
      </c>
      <c r="D21" s="51" t="n">
        <v>0</v>
      </c>
      <c r="E21" s="51" t="n">
        <v>-293768000000</v>
      </c>
      <c r="F21" s="51" t="n">
        <v>293768000000</v>
      </c>
      <c r="G21" s="51" t="n">
        <v>-143611000000</v>
      </c>
      <c r="H21" s="51" t="n">
        <v>143611000000</v>
      </c>
      <c r="I21" s="51" t="n">
        <v>0</v>
      </c>
    </row>
    <row r="22">
      <c r="A22" s="50" t="inlineStr">
        <is>
          <t>Tăng/giảm các khoản cho vay khách hàng</t>
        </is>
      </c>
      <c r="B22" s="51" t="n">
        <v>909820000000</v>
      </c>
      <c r="C22" s="51" t="n">
        <v>-70862810000000</v>
      </c>
      <c r="D22" s="51" t="n">
        <v>-46722588000000</v>
      </c>
      <c r="E22" s="51" t="n">
        <v>-69816629000000</v>
      </c>
      <c r="F22" s="51" t="n">
        <v>-73182461000000</v>
      </c>
      <c r="G22" s="51" t="n">
        <v>-98117863000000</v>
      </c>
      <c r="H22" s="51" t="n">
        <v>-113083396000000</v>
      </c>
      <c r="I22" s="51" t="n">
        <v>-135892165000000</v>
      </c>
    </row>
    <row r="23">
      <c r="A23" s="50" t="inlineStr">
        <is>
          <t>(Tăng)/Giảm lãi, phí phải thu</t>
        </is>
      </c>
      <c r="B23" s="51" t="n">
        <v>0</v>
      </c>
      <c r="C23" s="51" t="n">
        <v>0</v>
      </c>
      <c r="D23" s="51" t="n">
        <v>0</v>
      </c>
      <c r="E23" s="51" t="n">
        <v>0</v>
      </c>
      <c r="F23" s="51" t="n">
        <v>0</v>
      </c>
      <c r="G23" s="51" t="n">
        <v>0</v>
      </c>
      <c r="H23" s="51" t="n">
        <v>0</v>
      </c>
      <c r="I23" s="51" t="n">
        <v>0</v>
      </c>
    </row>
    <row r="24">
      <c r="A24" s="50" t="inlineStr">
        <is>
          <t>Tăng/giảm nguồn dự phòng để bù đắp tổn thất các khoản</t>
        </is>
      </c>
      <c r="B24" s="51" t="n">
        <v>-2553203000000</v>
      </c>
      <c r="C24" s="51" t="n">
        <v>-257259000000</v>
      </c>
      <c r="D24" s="51" t="n">
        <v>-3363570000000</v>
      </c>
      <c r="E24" s="51" t="n">
        <v>-626647000000</v>
      </c>
      <c r="F24" s="51" t="n">
        <v>-683006000000</v>
      </c>
      <c r="G24" s="51" t="n">
        <v>-2667877000000</v>
      </c>
      <c r="H24" s="51" t="n">
        <v>-2670781000000</v>
      </c>
      <c r="I24" s="51" t="n">
        <v>-2072791000000</v>
      </c>
    </row>
    <row r="25">
      <c r="A25" s="50" t="inlineStr">
        <is>
          <t>Tăng/giảm khác về tài sản hoạt động</t>
        </is>
      </c>
      <c r="B25" s="51" t="n">
        <v>-3308223000000</v>
      </c>
      <c r="C25" s="51" t="n">
        <v>-4670454000000</v>
      </c>
      <c r="D25" s="51" t="n">
        <v>-6261043000000</v>
      </c>
      <c r="E25" s="51" t="n">
        <v>-15607626000000</v>
      </c>
      <c r="F25" s="51" t="n">
        <v>-36029613000000</v>
      </c>
      <c r="G25" s="51" t="n">
        <v>-9317279000000</v>
      </c>
      <c r="H25" s="51" t="n">
        <v>34701809000000</v>
      </c>
      <c r="I25" s="51" t="n">
        <v>-29615168000000</v>
      </c>
    </row>
    <row r="26">
      <c r="A26" s="50" t="inlineStr">
        <is>
          <t>Tăng/(Giảm) các khoản nợ chính phủ và NHNN</t>
        </is>
      </c>
      <c r="B26" s="51" t="n">
        <v>4024907000000</v>
      </c>
      <c r="C26" s="51" t="n">
        <v>-4024907000000</v>
      </c>
      <c r="D26" s="51" t="n">
        <v>0</v>
      </c>
      <c r="E26" s="51" t="n">
        <v>0</v>
      </c>
      <c r="F26" s="51" t="n">
        <v>0</v>
      </c>
      <c r="G26" s="51" t="n">
        <v>0</v>
      </c>
      <c r="H26" s="51" t="n">
        <v>0</v>
      </c>
      <c r="I26" s="51" t="n">
        <v>4306722000000</v>
      </c>
    </row>
    <row r="27">
      <c r="A27" s="50" t="inlineStr">
        <is>
          <t>Tăng/(Giảm) các khoản tiền gửi và vay các TCTD khác</t>
        </is>
      </c>
      <c r="B27" s="51" t="n">
        <v>-9898265000000</v>
      </c>
      <c r="C27" s="51" t="n">
        <v>24841075000000</v>
      </c>
      <c r="D27" s="51" t="n">
        <v>-13781823000000</v>
      </c>
      <c r="E27" s="51" t="n">
        <v>64973879000000</v>
      </c>
      <c r="F27" s="51" t="n">
        <v>55104278000000</v>
      </c>
      <c r="G27" s="51" t="n">
        <v>-14389967000000</v>
      </c>
      <c r="H27" s="51" t="n">
        <v>-20933914000000</v>
      </c>
      <c r="I27" s="51" t="n">
        <v>12743888000000</v>
      </c>
    </row>
    <row r="28">
      <c r="A28" s="50" t="inlineStr">
        <is>
          <t>Tăng/(Giảm) tiền gửi của khách hàng</t>
        </is>
      </c>
      <c r="B28" s="51" t="n">
        <v>31443819000000</v>
      </c>
      <c r="C28" s="51" t="n">
        <v>27882109000000</v>
      </c>
      <c r="D28" s="51" t="n">
        <v>46161890000000</v>
      </c>
      <c r="E28" s="51" t="n">
        <v>37294716000000</v>
      </c>
      <c r="F28" s="51" t="n">
        <v>43658244000000</v>
      </c>
      <c r="G28" s="51" t="n">
        <v>96249299000000</v>
      </c>
      <c r="H28" s="51" t="n">
        <v>78742971000000</v>
      </c>
      <c r="I28" s="51" t="n">
        <v>85524799000000</v>
      </c>
    </row>
    <row r="29">
      <c r="A29" s="50" t="inlineStr">
        <is>
          <t>Tăng/(Giảm) các công cụ tài chính phái sinh và các khoản nợ tài chính khác</t>
        </is>
      </c>
      <c r="B29" s="51" t="n">
        <v>310313000000</v>
      </c>
      <c r="C29" s="51" t="n">
        <v>123695000000</v>
      </c>
      <c r="D29" s="51" t="n">
        <v>-167082000000</v>
      </c>
      <c r="E29" s="51" t="n">
        <v>-266926000000</v>
      </c>
      <c r="F29" s="51" t="n">
        <v>1851213000000</v>
      </c>
      <c r="G29" s="51" t="n">
        <v>-1851213000000</v>
      </c>
      <c r="H29" s="51" t="n">
        <v>931231000000</v>
      </c>
      <c r="I29" s="51" t="n">
        <v>1485716000000</v>
      </c>
    </row>
    <row r="30">
      <c r="A30" s="50" t="inlineStr">
        <is>
          <t>Tăng/(Giảm) vốn tài trợ, uỷ thác đầu tư của chính phủ và các TCTD khác</t>
        </is>
      </c>
      <c r="B30" s="51" t="n">
        <v>0</v>
      </c>
      <c r="C30" s="51" t="n">
        <v>0</v>
      </c>
      <c r="D30" s="51" t="n">
        <v>0</v>
      </c>
      <c r="E30" s="51" t="n">
        <v>0</v>
      </c>
      <c r="F30" s="51" t="n">
        <v>0</v>
      </c>
      <c r="G30" s="51" t="n">
        <v>0</v>
      </c>
      <c r="H30" s="51" t="n">
        <v>0</v>
      </c>
      <c r="I30" s="51" t="n">
        <v>0</v>
      </c>
    </row>
    <row r="31">
      <c r="A31" s="50" t="inlineStr">
        <is>
          <t>Tăng/(Giảm) phát hành giấy tờ có giá</t>
        </is>
      </c>
      <c r="B31" s="51" t="n">
        <v>-1762011000000</v>
      </c>
      <c r="C31" s="51" t="n">
        <v>7482675000000</v>
      </c>
      <c r="D31" s="51" t="n">
        <v>10596719000000</v>
      </c>
      <c r="E31" s="51" t="n">
        <v>5780184000000</v>
      </c>
      <c r="F31" s="51" t="n">
        <v>1026795000000</v>
      </c>
      <c r="G31" s="51" t="n">
        <v>50696681000000</v>
      </c>
      <c r="H31" s="51" t="n">
        <v>55719021000000</v>
      </c>
      <c r="I31" s="51" t="n">
        <v>74907807000000</v>
      </c>
    </row>
    <row r="32">
      <c r="A32" s="50" t="inlineStr">
        <is>
          <t>Tăng/(Giảm) lãi, phí phải trả</t>
        </is>
      </c>
      <c r="B32" s="51" t="n">
        <v>0</v>
      </c>
      <c r="C32" s="51" t="n">
        <v>0</v>
      </c>
      <c r="D32" s="51" t="n">
        <v>0</v>
      </c>
      <c r="E32" s="51" t="n">
        <v>0</v>
      </c>
      <c r="F32" s="51" t="n">
        <v>0</v>
      </c>
      <c r="G32" s="51" t="n">
        <v>0</v>
      </c>
      <c r="H32" s="51" t="n">
        <v>0</v>
      </c>
      <c r="I32" s="51" t="n">
        <v>0</v>
      </c>
    </row>
    <row r="33">
      <c r="A33" s="50" t="inlineStr">
        <is>
          <t>Tăng/(Giảm) khác về công nợ hoạt động</t>
        </is>
      </c>
      <c r="B33" s="51" t="n">
        <v>4528623000000</v>
      </c>
      <c r="C33" s="51" t="n">
        <v>-944721000000</v>
      </c>
      <c r="D33" s="51" t="n">
        <v>422272000000</v>
      </c>
      <c r="E33" s="51" t="n">
        <v>2598519000000</v>
      </c>
      <c r="F33" s="51" t="n">
        <v>2009069000000</v>
      </c>
      <c r="G33" s="51" t="n">
        <v>-1468412000000</v>
      </c>
      <c r="H33" s="51" t="n">
        <v>-3303550000000</v>
      </c>
      <c r="I33" s="51" t="n">
        <v>2712170000000</v>
      </c>
    </row>
    <row r="34">
      <c r="A34" s="50" t="inlineStr">
        <is>
          <t>Lưu chuyển tiền thuần từ hoạt động kinh doanh trước thuế thu nhập DN</t>
        </is>
      </c>
      <c r="B34" s="51" t="n">
        <v>298991000000</v>
      </c>
      <c r="C34" s="51" t="n">
        <v>12641715000000</v>
      </c>
      <c r="D34" s="51" t="n">
        <v>-10087852000000</v>
      </c>
      <c r="E34" s="51" t="n">
        <v>12838970000000</v>
      </c>
      <c r="F34" s="51" t="n">
        <v>55473357000000</v>
      </c>
      <c r="G34" s="51" t="n">
        <v>12058300000000</v>
      </c>
      <c r="H34" s="51" t="n">
        <v>42379134000000</v>
      </c>
      <c r="I34" s="51" t="n">
        <v>39925552000000</v>
      </c>
    </row>
    <row r="35">
      <c r="A35" s="50" t="inlineStr">
        <is>
          <t>Chi từ các quỹ của TCTD</t>
        </is>
      </c>
      <c r="B35" s="51" t="n">
        <v>-59000000</v>
      </c>
      <c r="C35" s="51" t="n">
        <v>-9913000000</v>
      </c>
      <c r="D35" s="51" t="n">
        <v>-615000000</v>
      </c>
      <c r="E35" s="51" t="n">
        <v>-10749000000</v>
      </c>
      <c r="F35" s="51" t="n">
        <v>-4856000000</v>
      </c>
      <c r="G35" s="51" t="n">
        <v>-5013000000</v>
      </c>
      <c r="H35" s="51" t="n">
        <v>-2579000000</v>
      </c>
      <c r="I35" s="51" t="n">
        <v>-1934000000</v>
      </c>
    </row>
    <row r="36">
      <c r="A36" s="50" t="inlineStr">
        <is>
          <t>Thu được từ nợ khó đòi</t>
        </is>
      </c>
      <c r="B36" s="51" t="n">
        <v>0</v>
      </c>
      <c r="C36" s="51" t="n">
        <v>0</v>
      </c>
      <c r="D36" s="51" t="n">
        <v>0</v>
      </c>
      <c r="E36" s="51" t="n">
        <v>0</v>
      </c>
      <c r="F36" s="51" t="n">
        <v>0</v>
      </c>
      <c r="G36" s="51" t="n">
        <v>0</v>
      </c>
      <c r="H36" s="51" t="n">
        <v>0</v>
      </c>
      <c r="I36" s="51" t="n">
        <v>0</v>
      </c>
    </row>
    <row r="37">
      <c r="A37" s="50" t="inlineStr">
        <is>
          <t>Tiền chi từ thanh lý, nhượng bán TSCĐ</t>
        </is>
      </c>
      <c r="B37" s="51" t="n">
        <v>-89000000</v>
      </c>
      <c r="C37" s="51" t="n">
        <v>-268000000</v>
      </c>
      <c r="D37" s="51" t="n">
        <v>-559000000</v>
      </c>
      <c r="E37" s="51" t="n">
        <v>0</v>
      </c>
      <c r="F37" s="51" t="n">
        <v>-51000000</v>
      </c>
      <c r="G37" s="51" t="n">
        <v>-35000000</v>
      </c>
      <c r="H37" s="51" t="n">
        <v>-1249743000000</v>
      </c>
      <c r="I37" s="51" t="n">
        <v>-3015000000</v>
      </c>
    </row>
    <row r="38">
      <c r="A38" s="50" t="inlineStr">
        <is>
          <t>Mua sắm Bất động sản đầu tư</t>
        </is>
      </c>
      <c r="B38" s="51" t="n">
        <v>0</v>
      </c>
      <c r="C38" s="51" t="n">
        <v>0</v>
      </c>
      <c r="D38" s="51" t="n">
        <v>0</v>
      </c>
      <c r="E38" s="51" t="n">
        <v>0</v>
      </c>
      <c r="F38" s="51" t="n">
        <v>0</v>
      </c>
      <c r="G38" s="51" t="n">
        <v>0</v>
      </c>
      <c r="H38" s="51" t="n">
        <v>0</v>
      </c>
      <c r="I38" s="51" t="n">
        <v>0</v>
      </c>
    </row>
    <row r="39">
      <c r="A39" s="50" t="inlineStr">
        <is>
          <t>Tiền thu từ bán, thanh lý bất động sản đầu tư</t>
        </is>
      </c>
      <c r="B39" s="51" t="n">
        <v>0</v>
      </c>
      <c r="C39" s="51" t="n">
        <v>0</v>
      </c>
      <c r="D39" s="51" t="n">
        <v>0</v>
      </c>
      <c r="E39" s="51" t="n">
        <v>0</v>
      </c>
      <c r="F39" s="51" t="n">
        <v>0</v>
      </c>
      <c r="G39" s="51" t="n">
        <v>1296447000000</v>
      </c>
      <c r="H39" s="51" t="n">
        <v>736219000000</v>
      </c>
      <c r="I39" s="51" t="n">
        <v>0</v>
      </c>
    </row>
    <row r="40">
      <c r="A40" s="50" t="inlineStr">
        <is>
          <t>Tiền chi ra do bán, thanh lý bất động sản đầu tư</t>
        </is>
      </c>
      <c r="B40" s="51" t="n">
        <v>0</v>
      </c>
      <c r="C40" s="51" t="n">
        <v>0</v>
      </c>
      <c r="D40" s="51" t="n">
        <v>0</v>
      </c>
      <c r="E40" s="51" t="n">
        <v>0</v>
      </c>
      <c r="F40" s="51" t="n">
        <v>0</v>
      </c>
      <c r="G40" s="51" t="n">
        <v>0</v>
      </c>
      <c r="H40" s="51" t="n">
        <v>0</v>
      </c>
      <c r="I40" s="51" t="n">
        <v>0</v>
      </c>
    </row>
    <row r="41">
      <c r="A41" s="50" t="inlineStr">
        <is>
          <t>Tiền thu từ phát hành giấy tờ có giá dài hạn đủ điều kiện tính vào vốn tự có và các khoản vốn vay dài hạn khác</t>
        </is>
      </c>
      <c r="B41" s="51" t="n">
        <v>310000000000</v>
      </c>
      <c r="C41" s="51" t="n">
        <v>0</v>
      </c>
      <c r="D41" s="51" t="n">
        <v>0</v>
      </c>
      <c r="E41" s="51" t="n">
        <v>0</v>
      </c>
      <c r="F41" s="51" t="n">
        <v>0</v>
      </c>
      <c r="G41" s="51" t="n">
        <v>0</v>
      </c>
      <c r="H41" s="51" t="n">
        <v>0</v>
      </c>
      <c r="I41" s="51" t="n">
        <v>0</v>
      </c>
    </row>
    <row r="42">
      <c r="A42" s="50" t="inlineStr">
        <is>
          <t>Tiền chi thanh toán giấy tờ có giá dài hạn đủ điều kiện tính vào vốn tự có và các khoản vốn vay dài hạn khác</t>
        </is>
      </c>
      <c r="B42" s="51" t="n">
        <v>-3010000000000</v>
      </c>
      <c r="C42" s="51" t="n">
        <v>-3200000000000</v>
      </c>
      <c r="D42" s="51" t="n">
        <v>-157713000000</v>
      </c>
      <c r="E42" s="51" t="n">
        <v>0</v>
      </c>
      <c r="F42" s="51" t="n">
        <v>-700000000000</v>
      </c>
      <c r="G42" s="51" t="n">
        <v>0</v>
      </c>
      <c r="H42" s="51" t="n">
        <v>0</v>
      </c>
      <c r="I42" s="51" t="n">
        <v>0</v>
      </c>
    </row>
    <row r="43">
      <c r="A43" s="50" t="inlineStr">
        <is>
          <t>Tiền chi ra mua cổ phiếu quỹ</t>
        </is>
      </c>
      <c r="B43" s="51" t="n">
        <v>0</v>
      </c>
      <c r="C43" s="51" t="n">
        <v>0</v>
      </c>
      <c r="D43" s="51" t="n">
        <v>0</v>
      </c>
      <c r="E43" s="51" t="n">
        <v>0</v>
      </c>
      <c r="F43" s="51" t="n">
        <v>0</v>
      </c>
      <c r="G43" s="51" t="n">
        <v>0</v>
      </c>
      <c r="H43" s="51" t="n">
        <v>0</v>
      </c>
      <c r="I43" s="51" t="n">
        <v>0</v>
      </c>
    </row>
    <row r="44">
      <c r="A44" s="50" t="inlineStr">
        <is>
          <t>Tiền thu được do bán cổ phiếu quỹ</t>
        </is>
      </c>
      <c r="B44" s="51" t="n">
        <v>16399378000000</v>
      </c>
      <c r="C44" s="51" t="n">
        <v>70338000000</v>
      </c>
      <c r="D44" s="51" t="n">
        <v>651000000</v>
      </c>
      <c r="E44" s="51" t="n">
        <v>0</v>
      </c>
      <c r="F44" s="51" t="n">
        <v>0</v>
      </c>
      <c r="G44" s="51" t="n">
        <v>0</v>
      </c>
      <c r="H44" s="51" t="n">
        <v>0</v>
      </c>
      <c r="I44" s="51" t="n">
        <v>0</v>
      </c>
    </row>
    <row r="45">
      <c r="A45" s="50" t="inlineStr">
        <is>
          <t>Thu nhập lãi và các khoản thu nhập tương tự nhận được</t>
        </is>
      </c>
      <c r="B45" s="51" t="n">
        <v>20445343000000</v>
      </c>
      <c r="C45" s="51" t="n">
        <v>25677175000000</v>
      </c>
      <c r="D45" s="51" t="n">
        <v>28933307000000</v>
      </c>
      <c r="E45" s="51" t="n">
        <v>35224259000000</v>
      </c>
      <c r="F45" s="51" t="n">
        <v>43558389000000</v>
      </c>
      <c r="G45" s="51" t="n">
        <v>53749365000000</v>
      </c>
      <c r="H45" s="51" t="n">
        <v>61748921000000</v>
      </c>
      <c r="I45" s="51" t="n">
        <v>67231128000000</v>
      </c>
    </row>
    <row r="46">
      <c r="A46" s="50" t="inlineStr">
        <is>
          <t>Chi phí lãi và các chi phí tương tự đã trả</t>
        </is>
      </c>
      <c r="B46" s="51" t="n">
        <v>-9797235000000</v>
      </c>
      <c r="C46" s="51" t="n">
        <v>-10865013000000</v>
      </c>
      <c r="D46" s="51" t="n">
        <v>-10155492000000</v>
      </c>
      <c r="E46" s="51" t="n">
        <v>-9042851000000</v>
      </c>
      <c r="F46" s="51" t="n">
        <v>-12185090000000</v>
      </c>
      <c r="G46" s="51" t="n">
        <v>-25941911000000</v>
      </c>
      <c r="H46" s="51" t="n">
        <v>-26124464000000</v>
      </c>
      <c r="I46" s="51" t="n">
        <v>-27761618000000</v>
      </c>
    </row>
    <row r="47">
      <c r="A47" s="50" t="inlineStr">
        <is>
          <t>Thu nhập từ hoạt động dịch vụ nhận được</t>
        </is>
      </c>
      <c r="B47" s="51" t="n">
        <v>2966562000000</v>
      </c>
      <c r="C47" s="51" t="n">
        <v>3170716000000</v>
      </c>
      <c r="D47" s="51" t="n">
        <v>4140309000000</v>
      </c>
      <c r="E47" s="51" t="n">
        <v>5958416000000</v>
      </c>
      <c r="F47" s="51" t="n">
        <v>8076844000000</v>
      </c>
      <c r="G47" s="51" t="n">
        <v>9134752000000</v>
      </c>
      <c r="H47" s="51" t="n">
        <v>7679933000000</v>
      </c>
      <c r="I47" s="51" t="n">
        <v>8396946000000</v>
      </c>
    </row>
    <row r="48">
      <c r="A48" s="50" t="inlineStr">
        <is>
          <t>Thu nhập thuần từ hoạt động kinh doanh ngoại hối và vàng</t>
        </is>
      </c>
      <c r="B48" s="51" t="n">
        <v>0</v>
      </c>
      <c r="C48" s="51" t="n">
        <v>0</v>
      </c>
      <c r="D48" s="51" t="n">
        <v>1897196000000</v>
      </c>
      <c r="E48" s="51" t="n">
        <v>2502188000000</v>
      </c>
      <c r="F48" s="51" t="n">
        <v>0</v>
      </c>
      <c r="G48" s="51" t="n">
        <v>0</v>
      </c>
      <c r="H48" s="51" t="n">
        <v>0</v>
      </c>
      <c r="I48" s="51" t="n">
        <v>0</v>
      </c>
    </row>
    <row r="49">
      <c r="A49" s="50" t="inlineStr">
        <is>
          <t>Thu nhập từ hoạt động kinh doanh chứng khoán</t>
        </is>
      </c>
      <c r="B49" s="51" t="n">
        <v>1310321000000</v>
      </c>
      <c r="C49" s="51" t="n">
        <v>1703869000000</v>
      </c>
      <c r="D49" s="51" t="n">
        <v>0</v>
      </c>
      <c r="E49" s="51" t="n">
        <v>0</v>
      </c>
      <c r="F49" s="51" t="n">
        <v>-420995000000</v>
      </c>
      <c r="G49" s="51" t="n">
        <v>1168505000000</v>
      </c>
      <c r="H49" s="51" t="n">
        <v>3150018000000</v>
      </c>
      <c r="I49" s="51" t="n">
        <v>4478027000000</v>
      </c>
    </row>
    <row r="50">
      <c r="A50" s="50" t="inlineStr">
        <is>
          <t>Thu nhập khác</t>
        </is>
      </c>
      <c r="B50" s="51" t="n">
        <v>151294000000</v>
      </c>
      <c r="C50" s="51" t="n">
        <v>485024000000</v>
      </c>
      <c r="D50" s="51" t="n">
        <v>1190483000000</v>
      </c>
      <c r="E50" s="51" t="n">
        <v>816228000000</v>
      </c>
      <c r="F50" s="51" t="n">
        <v>605946000000</v>
      </c>
      <c r="G50" s="51" t="n">
        <v>1384616000000</v>
      </c>
      <c r="H50" s="51" t="n">
        <v>-2359679000000</v>
      </c>
      <c r="I50" s="51" t="n">
        <v>96244000000</v>
      </c>
    </row>
    <row r="51">
      <c r="A51" s="50" t="inlineStr">
        <is>
          <t>Tiền chi trả cho nhân viên và hoạt động quản lý, cộng cụ</t>
        </is>
      </c>
      <c r="B51" s="51" t="n">
        <v>-4432019000000</v>
      </c>
      <c r="C51" s="51" t="n">
        <v>-5565179000000</v>
      </c>
      <c r="D51" s="51" t="n">
        <v>-6752272000000</v>
      </c>
      <c r="E51" s="51" t="n">
        <v>-8687948000000</v>
      </c>
      <c r="F51" s="51" t="n">
        <v>-9631184000000</v>
      </c>
      <c r="G51" s="51" t="n">
        <v>-10339365000000</v>
      </c>
      <c r="H51" s="51" t="n">
        <v>-10106171000000</v>
      </c>
      <c r="I51" s="51" t="n">
        <v>-13326686000000</v>
      </c>
    </row>
    <row r="52">
      <c r="A52" s="50" t="inlineStr">
        <is>
          <t>Tiền thu các khoản nợ đã được xử lý, xóa, bù đắp bằng nguồn rủi ro</t>
        </is>
      </c>
      <c r="B52" s="51" t="n">
        <v>1422895000000</v>
      </c>
      <c r="C52" s="51" t="n">
        <v>1080236000000</v>
      </c>
      <c r="D52" s="51" t="n">
        <v>1259653000000</v>
      </c>
      <c r="E52" s="51" t="n">
        <v>1121235000000</v>
      </c>
      <c r="F52" s="51" t="n">
        <v>1311053000000</v>
      </c>
      <c r="G52" s="51" t="n">
        <v>831790000000</v>
      </c>
      <c r="H52" s="51" t="n">
        <v>1138200000000</v>
      </c>
      <c r="I52" s="51" t="n">
        <v>1354286000000</v>
      </c>
    </row>
    <row r="53">
      <c r="A53" s="50" t="inlineStr">
        <is>
          <t>Chênh lệch số tiền thực thu/thực chi từ hoạt động kinh doanh</t>
        </is>
      </c>
      <c r="B53" s="51" t="n">
        <v>1310321000000</v>
      </c>
      <c r="C53" s="51" t="n">
        <v>1703869000000</v>
      </c>
      <c r="D53" s="51" t="n">
        <v>1897196000000</v>
      </c>
      <c r="E53" s="51" t="n">
        <v>2502188000000</v>
      </c>
      <c r="F53" s="51" t="n">
        <v>-420995000000</v>
      </c>
      <c r="G53" s="51" t="n">
        <v>1168505000000</v>
      </c>
      <c r="H53" s="51" t="n">
        <v>3150018000000</v>
      </c>
      <c r="I53" s="51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topLeftCell="D46" zoomScaleNormal="100" workbookViewId="0">
      <selection activeCell="J48" sqref="J48"/>
    </sheetView>
  </sheetViews>
  <sheetFormatPr baseColWidth="8" defaultRowHeight="12.75"/>
  <cols>
    <col width="60.875" bestFit="1" customWidth="1" style="11" min="1" max="1"/>
    <col width="17.125" bestFit="1" customWidth="1" style="11" min="2" max="2"/>
    <col width="10.625" customWidth="1" style="11" min="3" max="8"/>
    <col width="20.375" bestFit="1" customWidth="1" style="11" min="9" max="9"/>
    <col width="19.625" bestFit="1" customWidth="1" style="11" min="10" max="10"/>
    <col width="9" customWidth="1" style="11" min="11" max="16384"/>
  </cols>
  <sheetData>
    <row r="1">
      <c r="A1" s="28" t="inlineStr">
        <is>
          <t>Chỉ tiêu</t>
        </is>
      </c>
      <c r="B1" s="29">
        <f>balance_sheet!B1</f>
        <v/>
      </c>
      <c r="C1" s="29">
        <f>balance_sheet!C1</f>
        <v/>
      </c>
      <c r="D1" s="29">
        <f>balance_sheet!D1</f>
        <v/>
      </c>
      <c r="E1" s="29">
        <f>balance_sheet!E1</f>
        <v/>
      </c>
      <c r="F1" s="29">
        <f>balance_sheet!F1</f>
        <v/>
      </c>
      <c r="G1" s="29">
        <f>balance_sheet!G1</f>
        <v/>
      </c>
      <c r="H1" s="29">
        <f>balance_sheet!H1</f>
        <v/>
      </c>
      <c r="I1" s="29">
        <f>balance_sheet!I1</f>
        <v/>
      </c>
      <c r="J1" s="29" t="n">
        <v>2026</v>
      </c>
    </row>
    <row r="2">
      <c r="A2" s="6" t="inlineStr">
        <is>
          <t>ROE</t>
        </is>
      </c>
      <c r="B2" s="7" t="n"/>
      <c r="C2" s="30">
        <f>IFERROR(C$60/AVERAGE(B$48,C$48),"n/a")</f>
        <v/>
      </c>
      <c r="D2" s="30">
        <f>IFERROR(D$60/AVERAGE(C$48,D$48),"n/a")</f>
        <v/>
      </c>
      <c r="E2" s="30">
        <f>IFERROR(E$60/AVERAGE(D$48,E$48),"n/a")</f>
        <v/>
      </c>
      <c r="F2" s="30">
        <f>IFERROR(F$60/AVERAGE(E$48,F$48),"n/a")</f>
        <v/>
      </c>
      <c r="G2" s="30">
        <f>IFERROR(G$60/AVERAGE(F$48,G$48),"n/a")</f>
        <v/>
      </c>
      <c r="H2" s="30">
        <f>IFERROR(H$60/AVERAGE(G$48,H$48),"n/a")</f>
        <v/>
      </c>
      <c r="I2" s="30">
        <f>IFERROR(I$60/AVERAGE(H$48,I$48),"n/a")</f>
        <v/>
      </c>
    </row>
    <row r="3">
      <c r="A3" s="6" t="inlineStr">
        <is>
          <t>Tăng trưởng LNST</t>
        </is>
      </c>
      <c r="B3" s="7" t="n"/>
      <c r="C3" s="31">
        <f>IFERROR((C$60-B$60)/ABS(B$60),"n/a")</f>
        <v/>
      </c>
      <c r="D3" s="31">
        <f>IFERROR((D$60-C$60)/ABS(C$60),"n/a")</f>
        <v/>
      </c>
      <c r="E3" s="31">
        <f>IFERROR((E$60-D$60)/ABS(D$60),"n/a")</f>
        <v/>
      </c>
      <c r="F3" s="31">
        <f>IFERROR((F$60-E$60)/ABS(E$60),"n/a")</f>
        <v/>
      </c>
      <c r="G3" s="31">
        <f>IFERROR((G$60-F$60)/ABS(F$60),"n/a")</f>
        <v/>
      </c>
      <c r="H3" s="31">
        <f>IFERROR((H$60-G$60)/ABS(G$60),"n/a")</f>
        <v/>
      </c>
      <c r="I3" s="31">
        <f>IFERROR((I$60-H$60)/ABS(H$60),"n/a")</f>
        <v/>
      </c>
      <c r="J3" s="31">
        <f>IFERROR((J$60-I$60)/ABS(I$60),"n/a")</f>
        <v/>
      </c>
    </row>
    <row r="4">
      <c r="A4" s="6" t="inlineStr">
        <is>
          <t>Tăng trưởng thu nhập hoạt động</t>
        </is>
      </c>
      <c r="B4" s="7" t="n"/>
      <c r="C4" s="32">
        <f>IFERROR((C$54-B$54)/ABS(B$54),"n/a")</f>
        <v/>
      </c>
      <c r="D4" s="32">
        <f>IFERROR((D$54-C$54)/ABS(C$54),"n/a")</f>
        <v/>
      </c>
      <c r="E4" s="32">
        <f>IFERROR((E$54-D$54)/ABS(D$54),"n/a")</f>
        <v/>
      </c>
      <c r="F4" s="32">
        <f>IFERROR((F$54-E$54)/ABS(E$54),"n/a")</f>
        <v/>
      </c>
      <c r="G4" s="32">
        <f>IFERROR((G$54-F$54)/ABS(F$54),"n/a")</f>
        <v/>
      </c>
      <c r="H4" s="32">
        <f>IFERROR((H$54-G$54)/ABS(G$54),"n/a")</f>
        <v/>
      </c>
      <c r="I4" s="32">
        <f>IFERROR((I$54-H$54)/ABS(H$54),"n/a")</f>
        <v/>
      </c>
    </row>
    <row r="5">
      <c r="A5" s="6" t="inlineStr">
        <is>
          <t>% Dư nợ cho vay kinh doanh BĐS</t>
        </is>
      </c>
      <c r="B5" s="7">
        <f>IFERROR(B$36/#REF!,"n/a")</f>
        <v/>
      </c>
      <c r="C5" s="7">
        <f>IFERROR(C$36/#REF!,"n/a")</f>
        <v/>
      </c>
      <c r="D5" s="7">
        <f>IFERROR(D$36/#REF!,"n/a")</f>
        <v/>
      </c>
      <c r="E5" s="7">
        <f>IFERROR(E$36/#REF!,"n/a")</f>
        <v/>
      </c>
      <c r="F5" s="7">
        <f>IFERROR(F$36/#REF!,"n/a")</f>
        <v/>
      </c>
      <c r="G5" s="7">
        <f>IFERROR(G$36/#REF!,"n/a")</f>
        <v/>
      </c>
      <c r="H5" s="7">
        <f>IFERROR(H$36/#REF!,"n/a")</f>
        <v/>
      </c>
      <c r="I5" s="7">
        <f>IFERROR(I$36/#REF!,"n/a")</f>
        <v/>
      </c>
    </row>
    <row r="6">
      <c r="A6" s="8" t="inlineStr">
        <is>
          <t>NIM</t>
        </is>
      </c>
      <c r="B6" s="7">
        <f>IFERROR(B$54/AVERAGE(B$42,A42),"n/a")</f>
        <v/>
      </c>
      <c r="C6" s="7">
        <f>IFERROR(C$54/AVERAGE(C$42,B42),"n/a")</f>
        <v/>
      </c>
      <c r="D6" s="7">
        <f>IFERROR(D$54/AVERAGE(D$42,C42),"n/a")</f>
        <v/>
      </c>
      <c r="E6" s="7">
        <f>IFERROR(E$54/AVERAGE(E$42,D42),"n/a")</f>
        <v/>
      </c>
      <c r="F6" s="7">
        <f>IFERROR(F$54/AVERAGE(F$42,E42),"n/a")</f>
        <v/>
      </c>
      <c r="G6" s="7">
        <f>IFERROR(G$54/AVERAGE(G$42,F42),"n/a")</f>
        <v/>
      </c>
      <c r="H6" s="7">
        <f>IFERROR(H$54/AVERAGE(H$42,G42),"n/a")</f>
        <v/>
      </c>
      <c r="I6" s="7">
        <f>IFERROR(I$54/AVERAGE(I$42,H42),"n/a")</f>
        <v/>
      </c>
    </row>
    <row r="7">
      <c r="A7" s="6" t="inlineStr">
        <is>
          <t>CASA</t>
        </is>
      </c>
      <c r="B7" s="7" t="n"/>
      <c r="C7" s="7">
        <f>IFERROR((B$45+C$45+B$47+C$47)/(B$44+C$44),"n/a")</f>
        <v/>
      </c>
      <c r="D7" s="7">
        <f>IFERROR((C$45+D$45+C$47+D$47)/(C$44+D$44),"n/a")</f>
        <v/>
      </c>
      <c r="E7" s="7">
        <f>IFERROR((D$45+E$45+D$47+E$47)/(D$44+E$44),"n/a")</f>
        <v/>
      </c>
      <c r="F7" s="7">
        <f>IFERROR((E$45+F$45+E$47+F$47)/(E$44+F$44),"n/a")</f>
        <v/>
      </c>
      <c r="G7" s="7">
        <f>IFERROR((F$45+G$45+F$47+G$47)/(F$44+G$44),"n/a")</f>
        <v/>
      </c>
      <c r="H7" s="7">
        <f>IFERROR((G$45+H$45+G$47+H$47)/(G$44+H$44),"n/a")</f>
        <v/>
      </c>
      <c r="I7" s="7">
        <f>IFERROR((H$45+I$45+H$47+I$47)/(H$44+I$44),"n/a")</f>
        <v/>
      </c>
    </row>
    <row r="8">
      <c r="A8" s="6" t="inlineStr">
        <is>
          <t>NPL</t>
        </is>
      </c>
      <c r="B8" s="7" t="n"/>
      <c r="C8" s="7">
        <f>IFERROR((C$35/#REF!),"n/a")</f>
        <v/>
      </c>
      <c r="D8" s="7">
        <f>IFERROR((D$35/#REF!),"n/a")</f>
        <v/>
      </c>
      <c r="E8" s="7">
        <f>IFERROR((E$35/#REF!),"n/a")</f>
        <v/>
      </c>
      <c r="F8" s="7">
        <f>IFERROR((F$35/#REF!),"n/a")</f>
        <v/>
      </c>
      <c r="G8" s="7">
        <f>IFERROR((G$35/#REF!),"n/a")</f>
        <v/>
      </c>
      <c r="H8" s="7">
        <f>IFERROR((H$35/#REF!),"n/a")</f>
        <v/>
      </c>
      <c r="I8" s="7">
        <f>IFERROR((I$35/#REF!),"n/a")</f>
        <v/>
      </c>
    </row>
    <row r="9">
      <c r="A9" s="8" t="inlineStr">
        <is>
          <t>COF</t>
        </is>
      </c>
      <c r="B9" s="33" t="n"/>
      <c r="C9" s="33">
        <f>IFERROR(ABS(C$53)/AVERAGE(C$42,B42),"n/a")</f>
        <v/>
      </c>
      <c r="D9" s="33">
        <f>IFERROR(ABS(D$53)/AVERAGE(D$42,C42),"n/a")</f>
        <v/>
      </c>
      <c r="E9" s="33">
        <f>IFERROR(ABS(E$53)/AVERAGE(E$42,D42),"n/a")</f>
        <v/>
      </c>
      <c r="F9" s="33">
        <f>IFERROR(ABS(F$53)/AVERAGE(F$42,E42),"n/a")</f>
        <v/>
      </c>
      <c r="G9" s="33">
        <f>IFERROR(ABS(G$53)/AVERAGE(G$42,F42),"n/a")</f>
        <v/>
      </c>
      <c r="H9" s="33">
        <f>IFERROR(ABS(H$53)/AVERAGE(H$42,G42),"n/a")</f>
        <v/>
      </c>
      <c r="I9" s="33">
        <f>IFERROR(ABS(I$53)/AVERAGE(I$42,H42),"n/a")</f>
        <v/>
      </c>
    </row>
    <row r="10">
      <c r="A10" s="6" t="inlineStr">
        <is>
          <t>LLR</t>
        </is>
      </c>
      <c r="B10" s="7">
        <f>IFERROR(ABS(B$37)/B$35,"n/a")</f>
        <v/>
      </c>
      <c r="C10" s="7">
        <f>IFERROR(ABS(C$37)/C$35,"n/a")</f>
        <v/>
      </c>
      <c r="D10" s="7">
        <f>IFERROR(ABS(D$37)/D$35,"n/a")</f>
        <v/>
      </c>
      <c r="E10" s="7">
        <f>IFERROR(ABS(E$37)/E$35,"n/a")</f>
        <v/>
      </c>
      <c r="F10" s="7">
        <f>IFERROR(ABS(F$37)/F$35,"n/a")</f>
        <v/>
      </c>
      <c r="G10" s="7">
        <f>IFERROR(ABS(G$37)/G$35,"n/a")</f>
        <v/>
      </c>
      <c r="H10" s="7">
        <f>IFERROR(ABS(H$37)/H$35,"n/a")</f>
        <v/>
      </c>
      <c r="I10" s="7">
        <f>IFERROR(ABS(I$37)/I$35,"n/a")</f>
        <v/>
      </c>
    </row>
    <row r="11">
      <c r="A11" s="6" t="inlineStr">
        <is>
          <t>CAR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6" t="inlineStr">
        <is>
          <t>LDR</t>
        </is>
      </c>
      <c r="B12" s="7">
        <f>IFERROR(B$29/B$44,"n/a")</f>
        <v/>
      </c>
      <c r="C12" s="7">
        <f>IFERROR(C$29/C$44,"n/a")</f>
        <v/>
      </c>
      <c r="D12" s="7">
        <f>IFERROR(D$29/D$44,"n/a")</f>
        <v/>
      </c>
      <c r="E12" s="7">
        <f>IFERROR(E$29/E$44,"n/a")</f>
        <v/>
      </c>
      <c r="F12" s="7">
        <f>IFERROR(F$29/F$44,"n/a")</f>
        <v/>
      </c>
      <c r="G12" s="7">
        <f>IFERROR(G$29/G$44,"n/a")</f>
        <v/>
      </c>
      <c r="H12" s="7">
        <f>IFERROR(H$29/H$44,"n/a")</f>
        <v/>
      </c>
      <c r="I12" s="7">
        <f>IFERROR(I$29/I$44,"n/a")</f>
        <v/>
      </c>
    </row>
    <row r="13">
      <c r="A13" s="6" t="inlineStr">
        <is>
          <t>Tăng trưởng vốn huy động</t>
        </is>
      </c>
      <c r="B13" s="7" t="n"/>
      <c r="C13" s="7">
        <f>IFERROR((C$44-B$44)/ABS(B$44),"n/a")</f>
        <v/>
      </c>
      <c r="D13" s="7">
        <f>IFERROR((D$44-C$44)/ABS(C$44),"n/a")</f>
        <v/>
      </c>
      <c r="E13" s="7">
        <f>IFERROR((E$44-D$44)/ABS(D$44),"n/a")</f>
        <v/>
      </c>
      <c r="F13" s="7">
        <f>IFERROR((F$44-E$44)/ABS(E$44),"n/a")</f>
        <v/>
      </c>
      <c r="G13" s="7">
        <f>IFERROR((G$44-F$44)/ABS(F$44),"n/a")</f>
        <v/>
      </c>
      <c r="H13" s="7">
        <f>IFERROR((H$44-G$44)/ABS(G$44),"n/a")</f>
        <v/>
      </c>
      <c r="I13" s="7">
        <f>IFERROR((I$44-H$44)/ABS(H$44),"n/a")</f>
        <v/>
      </c>
    </row>
    <row r="14">
      <c r="A14" s="6" t="inlineStr">
        <is>
          <t>Tăng trưởng tín dụng</t>
        </is>
      </c>
      <c r="B14" s="7" t="n"/>
      <c r="C14" s="7">
        <f>IFERROR((C$29-B$29)/ABS(B$29),"n/a")</f>
        <v/>
      </c>
      <c r="D14" s="7">
        <f>IFERROR((D$29-C$29)/ABS(C$29),"n/a")</f>
        <v/>
      </c>
      <c r="E14" s="7">
        <f>IFERROR((E$29-D$29)/ABS(D$29),"n/a")</f>
        <v/>
      </c>
      <c r="F14" s="7">
        <f>IFERROR((F$29-E$29)/ABS(E$29),"n/a")</f>
        <v/>
      </c>
      <c r="G14" s="7">
        <f>IFERROR((G$29-F$29)/ABS(F$29),"n/a")</f>
        <v/>
      </c>
      <c r="H14" s="7">
        <f>IFERROR((H$29-G$29)/ABS(G$29),"n/a")</f>
        <v/>
      </c>
      <c r="I14" s="7">
        <f>IFERROR((I$29-H$29)/ABS(H$29),"n/a")</f>
        <v/>
      </c>
    </row>
    <row r="15">
      <c r="A15" s="6" t="inlineStr">
        <is>
          <t>CIR</t>
        </is>
      </c>
      <c r="B15" s="7">
        <f>IFERROR(ABS(B$57)/B$56,"n/a")</f>
        <v/>
      </c>
      <c r="C15" s="7">
        <f>IFERROR(ABS(C$57)/C$56,"n/a")</f>
        <v/>
      </c>
      <c r="D15" s="7">
        <f>IFERROR(ABS(D$57)/D$56,"n/a")</f>
        <v/>
      </c>
      <c r="E15" s="7">
        <f>IFERROR(ABS(E$57)/E$56,"n/a")</f>
        <v/>
      </c>
      <c r="F15" s="7">
        <f>IFERROR(ABS(F$57)/F$56,"n/a")</f>
        <v/>
      </c>
      <c r="G15" s="7">
        <f>IFERROR(ABS(G$57)/G$56,"n/a")</f>
        <v/>
      </c>
      <c r="H15" s="7">
        <f>IFERROR(ABS(H$57)/H$56,"n/a")</f>
        <v/>
      </c>
      <c r="I15" s="7">
        <f>IFERROR(ABS(I$57)/I$56,"n/a")</f>
        <v/>
      </c>
    </row>
    <row r="16">
      <c r="A16" s="8" t="inlineStr">
        <is>
          <t>VCSH/Tổng tài sản</t>
        </is>
      </c>
      <c r="B16" s="33">
        <f>IFERROR(B$48/B$24,"n/a")</f>
        <v/>
      </c>
      <c r="C16" s="33">
        <f>IFERROR(C$48/C$24,"n/a")</f>
        <v/>
      </c>
      <c r="D16" s="33">
        <f>IFERROR(D$48/D$24,"n/a")</f>
        <v/>
      </c>
      <c r="E16" s="33">
        <f>IFERROR(E$48/E$24,"n/a")</f>
        <v/>
      </c>
      <c r="F16" s="33">
        <f>IFERROR(F$48/F$24,"n/a")</f>
        <v/>
      </c>
      <c r="G16" s="33">
        <f>IFERROR(G$48/G$24,"n/a")</f>
        <v/>
      </c>
      <c r="H16" s="33">
        <f>IFERROR(H$48/H$24,"n/a")</f>
        <v/>
      </c>
      <c r="I16" s="33">
        <f>IFERROR(I$48/I$24,"n/a")</f>
        <v/>
      </c>
    </row>
    <row r="17">
      <c r="A17" s="8" t="inlineStr">
        <is>
          <t>Tỷ lệ lãi và phí phải thu/Thu nhập lãi</t>
        </is>
      </c>
      <c r="B17" s="33">
        <f>IFERROR(B58/B$52,"n/a")</f>
        <v/>
      </c>
      <c r="C17" s="33">
        <f>IFERROR(C58/C$52,"n/a")</f>
        <v/>
      </c>
      <c r="D17" s="33">
        <f>IFERROR(D58/D$52,"n/a")</f>
        <v/>
      </c>
      <c r="E17" s="33">
        <f>IFERROR(E58/E$52,"n/a")</f>
        <v/>
      </c>
      <c r="F17" s="33">
        <f>IFERROR(F58/F$52,"n/a")</f>
        <v/>
      </c>
      <c r="G17" s="33">
        <f>IFERROR(G58/G$52,"n/a")</f>
        <v/>
      </c>
      <c r="H17" s="33">
        <f>IFERROR(H58/H$52,"n/a")</f>
        <v/>
      </c>
      <c r="I17" s="33">
        <f>IFERROR(I58/I$52,"n/a")</f>
        <v/>
      </c>
    </row>
    <row r="18">
      <c r="A18" s="6" t="inlineStr">
        <is>
          <t>Thu nhập ngoài lãi/Thu nhập hoạt động</t>
        </is>
      </c>
      <c r="B18" s="7">
        <f>IFERROR(B$55/B$56,"n/a")</f>
        <v/>
      </c>
      <c r="C18" s="7">
        <f>IFERROR(C$55/C$56,"n/a")</f>
        <v/>
      </c>
      <c r="D18" s="7">
        <f>IFERROR(D$55/D$56,"n/a")</f>
        <v/>
      </c>
      <c r="E18" s="7">
        <f>IFERROR(E$55/E$56,"n/a")</f>
        <v/>
      </c>
      <c r="F18" s="7">
        <f>IFERROR(F$55/F$56,"n/a")</f>
        <v/>
      </c>
      <c r="G18" s="7">
        <f>IFERROR(G$55/G$56,"n/a")</f>
        <v/>
      </c>
      <c r="H18" s="7">
        <f>IFERROR(H$55/H$56,"n/a")</f>
        <v/>
      </c>
      <c r="I18" s="7">
        <f>IFERROR(I$55/I$56,"n/a")</f>
        <v/>
      </c>
    </row>
    <row r="20">
      <c r="A20" s="34" t="inlineStr">
        <is>
          <t>II. DỮ LIỆU TRÍCH XUẤT (tự động dò theo tên khoản mục)</t>
        </is>
      </c>
      <c r="B20" s="35" t="n"/>
      <c r="C20" s="35" t="n"/>
      <c r="D20" s="35" t="n"/>
      <c r="E20" s="35" t="n"/>
      <c r="F20" s="35" t="n"/>
      <c r="G20" s="35" t="n"/>
      <c r="H20" s="35" t="n"/>
      <c r="I20" s="35" t="n"/>
    </row>
    <row r="21">
      <c r="A21" s="22" t="inlineStr">
        <is>
          <t>Khoản mục</t>
        </is>
      </c>
      <c r="B21" s="36">
        <f>balance_sheet!B1</f>
        <v/>
      </c>
      <c r="C21" s="36">
        <f>balance_sheet!C1</f>
        <v/>
      </c>
      <c r="D21" s="36">
        <f>balance_sheet!D1</f>
        <v/>
      </c>
      <c r="E21" s="36">
        <f>balance_sheet!E1</f>
        <v/>
      </c>
      <c r="F21" s="36">
        <f>balance_sheet!F1</f>
        <v/>
      </c>
      <c r="G21" s="36">
        <f>balance_sheet!G1</f>
        <v/>
      </c>
      <c r="H21" s="36">
        <f>balance_sheet!H1</f>
        <v/>
      </c>
      <c r="I21" s="36">
        <f>balance_sheet!I1</f>
        <v/>
      </c>
    </row>
    <row r="22">
      <c r="A22" s="22" t="inlineStr">
        <is>
          <t>CĐKT</t>
        </is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8" t="n"/>
    </row>
    <row r="23">
      <c r="A23" s="22" t="inlineStr">
        <is>
          <t>Tài sản</t>
        </is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8" t="n"/>
    </row>
    <row r="24">
      <c r="A24" s="5" t="inlineStr">
        <is>
          <t>TỔNG TÀI SẢN</t>
        </is>
      </c>
      <c r="B24" s="23">
        <f>IFERROR(INDEX(balance_sheet!$B:$I,MATCH("TỔNG TÀI SẢN",balance_sheet!$A:$A,0),MATCH(B$21,balance_sheet!$B$1:$I$1,0)),"")</f>
        <v/>
      </c>
      <c r="C24" s="23">
        <f>IFERROR(INDEX(balance_sheet!$B:$I,MATCH("TỔNG TÀI SẢN",balance_sheet!$A:$A,0),MATCH(C$21,balance_sheet!$B$1:$I$1,0)),"")</f>
        <v/>
      </c>
      <c r="D24" s="23">
        <f>IFERROR(INDEX(balance_sheet!$B:$I,MATCH("TỔNG TÀI SẢN",balance_sheet!$A:$A,0),MATCH(D$21,balance_sheet!$B$1:$I$1,0)),"")</f>
        <v/>
      </c>
      <c r="E24" s="23">
        <f>IFERROR(INDEX(balance_sheet!$B:$I,MATCH("TỔNG TÀI SẢN",balance_sheet!$A:$A,0),MATCH(E$21,balance_sheet!$B$1:$I$1,0)),"")</f>
        <v/>
      </c>
      <c r="F24" s="23">
        <f>IFERROR(INDEX(balance_sheet!$B:$I,MATCH("TỔNG TÀI SẢN",balance_sheet!$A:$A,0),MATCH(F$21,balance_sheet!$B$1:$I$1,0)),"")</f>
        <v/>
      </c>
      <c r="G24" s="23">
        <f>IFERROR(INDEX(balance_sheet!$B:$I,MATCH("TỔNG TÀI SẢN",balance_sheet!$A:$A,0),MATCH(G$21,balance_sheet!$B$1:$I$1,0)),"")</f>
        <v/>
      </c>
      <c r="H24" s="23">
        <f>IFERROR(INDEX(balance_sheet!$B:$I,MATCH("TỔNG TÀI SẢN",balance_sheet!$A:$A,0),MATCH(H$21,balance_sheet!$B$1:$I$1,0)),"")</f>
        <v/>
      </c>
      <c r="I24" s="23">
        <f>IFERROR(INDEX(balance_sheet!$B:$I,MATCH("TỔNG TÀI SẢN",balance_sheet!$A:$A,0),MATCH(I$21,balance_sheet!$B$1:$I$1,0)),"")</f>
        <v/>
      </c>
      <c r="J24" s="38" t="n"/>
    </row>
    <row r="25">
      <c r="A25" s="5" t="inlineStr">
        <is>
          <t>Tiền gửi tại Ngân hàng nhà nước Việt Nam</t>
        </is>
      </c>
      <c r="B25" s="23">
        <f>IFERROR(INDEX(balance_sheet!$B:$I,MATCH("Tiền gửi tại Ngân hàng nhà nước Việt Nam",balance_sheet!$A:$A,0),MATCH(B$21,balance_sheet!$B$1:$I$1,0)),"")</f>
        <v/>
      </c>
      <c r="C25" s="23">
        <f>IFERROR(INDEX(balance_sheet!$B:$I,MATCH("Tiền gửi tại Ngân hàng nhà nước Việt Nam",balance_sheet!$A:$A,0),MATCH(C$21,balance_sheet!$B$1:$I$1,0)),"")</f>
        <v/>
      </c>
      <c r="D25" s="23">
        <f>IFERROR(INDEX(balance_sheet!$B:$I,MATCH("Tiền gửi tại Ngân hàng nhà nước Việt Nam",balance_sheet!$A:$A,0),MATCH(D$21,balance_sheet!$B$1:$I$1,0)),"")</f>
        <v/>
      </c>
      <c r="E25" s="23">
        <f>IFERROR(INDEX(balance_sheet!$B:$I,MATCH("Tiền gửi tại Ngân hàng nhà nước Việt Nam",balance_sheet!$A:$A,0),MATCH(E$21,balance_sheet!$B$1:$I$1,0)),"")</f>
        <v/>
      </c>
      <c r="F25" s="23">
        <f>IFERROR(INDEX(balance_sheet!$B:$I,MATCH("Tiền gửi tại Ngân hàng nhà nước Việt Nam",balance_sheet!$A:$A,0),MATCH(F$21,balance_sheet!$B$1:$I$1,0)),"")</f>
        <v/>
      </c>
      <c r="G25" s="23">
        <f>IFERROR(INDEX(balance_sheet!$B:$I,MATCH("Tiền gửi tại Ngân hàng nhà nước Việt Nam",balance_sheet!$A:$A,0),MATCH(G$21,balance_sheet!$B$1:$I$1,0)),"")</f>
        <v/>
      </c>
      <c r="H25" s="23">
        <f>IFERROR(INDEX(balance_sheet!$B:$I,MATCH("Tiền gửi tại Ngân hàng nhà nước Việt Nam",balance_sheet!$A:$A,0),MATCH(H$21,balance_sheet!$B$1:$I$1,0)),"")</f>
        <v/>
      </c>
      <c r="I25" s="23">
        <f>IFERROR(INDEX(balance_sheet!$B:$I,MATCH("Tiền gửi tại Ngân hàng nhà nước Việt Nam",balance_sheet!$A:$A,0),MATCH(I$21,balance_sheet!$B$1:$I$1,0)),"")</f>
        <v/>
      </c>
      <c r="J25" s="38" t="n"/>
    </row>
    <row r="26">
      <c r="A26" s="5" t="inlineStr">
        <is>
          <t>Tiền gửi tại các TCTD khác và cho vay các TCTD khác</t>
        </is>
      </c>
      <c r="B26" s="23">
        <f>IFERROR(INDEX(balance_sheet!$B:$I,MATCH("Tiền gửi tại các TCTD khác và cho vay các TCTD khác",balance_sheet!$A:$A,0),MATCH(B$21,balance_sheet!$B$1:$I$1,0)),"")</f>
        <v/>
      </c>
      <c r="C26" s="23">
        <f>IFERROR(INDEX(balance_sheet!$B:$I,MATCH("Tiền gửi tại các TCTD khác và cho vay các TCTD khác",balance_sheet!$A:$A,0),MATCH(C$21,balance_sheet!$B$1:$I$1,0)),"")</f>
        <v/>
      </c>
      <c r="D26" s="23">
        <f>IFERROR(INDEX(balance_sheet!$B:$I,MATCH("Tiền gửi tại các TCTD khác và cho vay các TCTD khác",balance_sheet!$A:$A,0),MATCH(D$21,balance_sheet!$B$1:$I$1,0)),"")</f>
        <v/>
      </c>
      <c r="E26" s="23">
        <f>IFERROR(INDEX(balance_sheet!$B:$I,MATCH("Tiền gửi tại các TCTD khác và cho vay các TCTD khác",balance_sheet!$A:$A,0),MATCH(E$21,balance_sheet!$B$1:$I$1,0)),"")</f>
        <v/>
      </c>
      <c r="F26" s="23">
        <f>IFERROR(INDEX(balance_sheet!$B:$I,MATCH("Tiền gửi tại các TCTD khác và cho vay các TCTD khác",balance_sheet!$A:$A,0),MATCH(F$21,balance_sheet!$B$1:$I$1,0)),"")</f>
        <v/>
      </c>
      <c r="G26" s="23">
        <f>IFERROR(INDEX(balance_sheet!$B:$I,MATCH("Tiền gửi tại các TCTD khác và cho vay các TCTD khác",balance_sheet!$A:$A,0),MATCH(G$21,balance_sheet!$B$1:$I$1,0)),"")</f>
        <v/>
      </c>
      <c r="H26" s="23">
        <f>IFERROR(INDEX(balance_sheet!$B:$I,MATCH("Tiền gửi tại các TCTD khác và cho vay các TCTD khác",balance_sheet!$A:$A,0),MATCH(H$21,balance_sheet!$B$1:$I$1,0)),"")</f>
        <v/>
      </c>
      <c r="I26" s="23">
        <f>IFERROR(INDEX(balance_sheet!$B:$I,MATCH("Tiền gửi tại các TCTD khác và cho vay các TCTD khác",balance_sheet!$A:$A,0),MATCH(I$21,balance_sheet!$B$1:$I$1,0)),"")</f>
        <v/>
      </c>
      <c r="J26" s="38" t="n"/>
    </row>
    <row r="27">
      <c r="A27" s="9" t="inlineStr">
        <is>
          <t>Dự phòng rủi ro cho vay các TCTD khác</t>
        </is>
      </c>
      <c r="B27" s="23">
        <f>IFERROR(INDEX(balance_sheet!$B:$I,MATCH("Dự phòng rủi ro",balance_sheet!$A:$A,0),MATCH(B$21,balance_sheet!$B$1:$I$1,0)),"")</f>
        <v/>
      </c>
      <c r="C27" s="23">
        <f>IFERROR(INDEX(balance_sheet!$B:$I,MATCH("Dự phòng rủi ro",balance_sheet!$A:$A,0),MATCH(C$21,balance_sheet!$B$1:$I$1,0)),"")</f>
        <v/>
      </c>
      <c r="D27" s="23">
        <f>IFERROR(INDEX(balance_sheet!$B:$I,MATCH("Dự phòng rủi ro",balance_sheet!$A:$A,0),MATCH(D$21,balance_sheet!$B$1:$I$1,0)),"")</f>
        <v/>
      </c>
      <c r="E27" s="23">
        <f>IFERROR(INDEX(balance_sheet!$B:$I,MATCH("Dự phòng rủi ro",balance_sheet!$A:$A,0),MATCH(E$21,balance_sheet!$B$1:$I$1,0)),"")</f>
        <v/>
      </c>
      <c r="F27" s="23">
        <f>IFERROR(INDEX(balance_sheet!$B:$I,MATCH("Dự phòng rủi ro",balance_sheet!$A:$A,0),MATCH(F$21,balance_sheet!$B$1:$I$1,0)),"")</f>
        <v/>
      </c>
      <c r="G27" s="23">
        <f>IFERROR(INDEX(balance_sheet!$B:$I,MATCH("Dự phòng rủi ro",balance_sheet!$A:$A,0),MATCH(G$21,balance_sheet!$B$1:$I$1,0)),"")</f>
        <v/>
      </c>
      <c r="H27" s="23">
        <f>IFERROR(INDEX(balance_sheet!$B:$I,MATCH("Dự phòng rủi ro",balance_sheet!$A:$A,0),MATCH(H$21,balance_sheet!$B$1:$I$1,0)),"")</f>
        <v/>
      </c>
      <c r="I27" s="23">
        <f>IFERROR(INDEX(balance_sheet!$B:$I,MATCH("Dự phòng rủi ro",balance_sheet!$A:$A,0),MATCH(I$21,balance_sheet!$B$1:$I$1,0)),"")</f>
        <v/>
      </c>
      <c r="J27" s="38" t="n"/>
    </row>
    <row r="28">
      <c r="A28" s="5" t="inlineStr">
        <is>
          <t>Chứng khoán kinh doanh</t>
        </is>
      </c>
      <c r="B28" s="23">
        <f>IFERROR(INDEX(balance_sheet!$B:$I,MATCH("Chứng khoán kinh doanh",balance_sheet!$A:$A,0),MATCH(B$21,balance_sheet!$B$1:$I$1,0)),"")</f>
        <v/>
      </c>
      <c r="C28" s="23">
        <f>IFERROR(INDEX(balance_sheet!$B:$I,MATCH("Chứng khoán kinh doanh",balance_sheet!$A:$A,0),MATCH(C$21,balance_sheet!$B$1:$I$1,0)),"")</f>
        <v/>
      </c>
      <c r="D28" s="23">
        <f>IFERROR(INDEX(balance_sheet!$B:$I,MATCH("Chứng khoán kinh doanh",balance_sheet!$A:$A,0),MATCH(D$21,balance_sheet!$B$1:$I$1,0)),"")</f>
        <v/>
      </c>
      <c r="E28" s="23">
        <f>IFERROR(INDEX(balance_sheet!$B:$I,MATCH("Chứng khoán kinh doanh",balance_sheet!$A:$A,0),MATCH(E$21,balance_sheet!$B$1:$I$1,0)),"")</f>
        <v/>
      </c>
      <c r="F28" s="23">
        <f>IFERROR(INDEX(balance_sheet!$B:$I,MATCH("Chứng khoán kinh doanh",balance_sheet!$A:$A,0),MATCH(F$21,balance_sheet!$B$1:$I$1,0)),"")</f>
        <v/>
      </c>
      <c r="G28" s="23">
        <f>IFERROR(INDEX(balance_sheet!$B:$I,MATCH("Chứng khoán kinh doanh",balance_sheet!$A:$A,0),MATCH(G$21,balance_sheet!$B$1:$I$1,0)),"")</f>
        <v/>
      </c>
      <c r="H28" s="23">
        <f>IFERROR(INDEX(balance_sheet!$B:$I,MATCH("Chứng khoán kinh doanh",balance_sheet!$A:$A,0),MATCH(H$21,balance_sheet!$B$1:$I$1,0)),"")</f>
        <v/>
      </c>
      <c r="I28" s="23">
        <f>IFERROR(INDEX(balance_sheet!$B:$I,MATCH("Chứng khoán kinh doanh",balance_sheet!$A:$A,0),MATCH(I$21,balance_sheet!$B$1:$I$1,0)),"")</f>
        <v/>
      </c>
      <c r="J28" s="38" t="n"/>
    </row>
    <row r="29">
      <c r="A29" s="5" t="inlineStr">
        <is>
          <t>Cho vay khách hàng</t>
        </is>
      </c>
      <c r="B29" s="23">
        <f>IFERROR(INDEX(balance_sheet!$B:$I,MATCH("Cho vay khách hàng",balance_sheet!$A:$A,0),MATCH(B$21,balance_sheet!$B$1:$I$1,0)),"")</f>
        <v/>
      </c>
      <c r="C29" s="23">
        <f>IFERROR(INDEX(balance_sheet!$B:$I,MATCH("Cho vay khách hàng",balance_sheet!$A:$A,0),MATCH(C$21,balance_sheet!$B$1:$I$1,0)),"")</f>
        <v/>
      </c>
      <c r="D29" s="23">
        <f>IFERROR(INDEX(balance_sheet!$B:$I,MATCH("Cho vay khách hàng",balance_sheet!$A:$A,0),MATCH(D$21,balance_sheet!$B$1:$I$1,0)),"")</f>
        <v/>
      </c>
      <c r="E29" s="23">
        <f>IFERROR(INDEX(balance_sheet!$B:$I,MATCH("Cho vay khách hàng",balance_sheet!$A:$A,0),MATCH(E$21,balance_sheet!$B$1:$I$1,0)),"")</f>
        <v/>
      </c>
      <c r="F29" s="23">
        <f>IFERROR(INDEX(balance_sheet!$B:$I,MATCH("Cho vay khách hàng",balance_sheet!$A:$A,0),MATCH(F$21,balance_sheet!$B$1:$I$1,0)),"")</f>
        <v/>
      </c>
      <c r="G29" s="23">
        <f>IFERROR(INDEX(balance_sheet!$B:$I,MATCH("Cho vay khách hàng",balance_sheet!$A:$A,0),MATCH(G$21,balance_sheet!$B$1:$I$1,0)),"")</f>
        <v/>
      </c>
      <c r="H29" s="23">
        <f>IFERROR(INDEX(balance_sheet!$B:$I,MATCH("Cho vay khách hàng",balance_sheet!$A:$A,0),MATCH(H$21,balance_sheet!$B$1:$I$1,0)),"")</f>
        <v/>
      </c>
      <c r="I29" s="23">
        <f>IFERROR(INDEX(balance_sheet!$B:$I,MATCH("Cho vay khách hàng",balance_sheet!$A:$A,0),MATCH(I$21,balance_sheet!$B$1:$I$1,0)),"")</f>
        <v/>
      </c>
      <c r="J29" s="38" t="n"/>
    </row>
    <row r="30">
      <c r="A30" s="9" t="inlineStr">
        <is>
          <t>+ Nợ đủ tiêu chuẩn</t>
        </is>
      </c>
      <c r="B30" s="24" t="n">
        <v>154548000000000</v>
      </c>
      <c r="C30" s="24" t="n">
        <v>225601000000000</v>
      </c>
      <c r="D30" s="24" t="n">
        <v>274424000000000</v>
      </c>
      <c r="E30" s="24" t="n">
        <v>342903000000000</v>
      </c>
      <c r="F30" s="24" t="n">
        <v>399403000000000</v>
      </c>
      <c r="G30" s="24" t="n">
        <v>491584000000000</v>
      </c>
      <c r="H30" s="24" t="n">
        <v>594272000000000</v>
      </c>
      <c r="I30" s="24" t="n">
        <v>711707000000000</v>
      </c>
      <c r="J30" s="38" t="n"/>
    </row>
    <row r="31">
      <c r="A31" s="9" t="inlineStr">
        <is>
          <t>+ Nợ cần chú ý</t>
        </is>
      </c>
      <c r="B31" s="24" t="n">
        <v>2588000000000</v>
      </c>
      <c r="C31" s="24" t="n">
        <v>2123000000000</v>
      </c>
      <c r="D31" s="24" t="n">
        <v>1806000000000</v>
      </c>
      <c r="E31" s="24" t="n">
        <v>2145000000000</v>
      </c>
      <c r="F31" s="24" t="n">
        <v>8733000000000</v>
      </c>
      <c r="G31" s="24" t="n">
        <v>4439000000000</v>
      </c>
      <c r="H31" s="24" t="n">
        <v>4441000000000</v>
      </c>
      <c r="I31" s="24" t="n">
        <v>3852000000000</v>
      </c>
      <c r="J31" s="38" t="n"/>
    </row>
    <row r="32">
      <c r="A32" s="9" t="inlineStr">
        <is>
          <t>+ Nợ dưới tiêu chuẩn</t>
        </is>
      </c>
      <c r="B32" s="24" t="n">
        <v>238000000000</v>
      </c>
      <c r="C32" s="24" t="n">
        <v>218000000000</v>
      </c>
      <c r="D32" s="24" t="n">
        <v>417000000000</v>
      </c>
      <c r="E32" s="24" t="n">
        <v>679000000000</v>
      </c>
      <c r="F32" s="24" t="n">
        <v>902000000000</v>
      </c>
      <c r="G32" s="24" t="n">
        <v>1857000000000</v>
      </c>
      <c r="H32" s="24" t="n">
        <v>1366000000000</v>
      </c>
      <c r="I32" s="24" t="n">
        <v>918000000000</v>
      </c>
      <c r="J32" s="38" t="n"/>
    </row>
    <row r="33">
      <c r="A33" s="9" t="inlineStr">
        <is>
          <t>+ Nợ nghi ngờ</t>
        </is>
      </c>
      <c r="B33" s="24" t="n">
        <v>86000000000</v>
      </c>
      <c r="C33" s="24" t="n">
        <v>31000000000</v>
      </c>
      <c r="D33" s="24" t="n">
        <v>534000000000</v>
      </c>
      <c r="E33" s="24" t="n">
        <v>860000000000</v>
      </c>
      <c r="F33" s="24" t="n">
        <v>1131000000000</v>
      </c>
      <c r="G33" s="24" t="n">
        <v>2762000000000</v>
      </c>
      <c r="H33" s="24" t="n">
        <v>2466000000000</v>
      </c>
      <c r="I33" s="24" t="n">
        <v>1339000000000</v>
      </c>
      <c r="J33" s="38" t="n"/>
    </row>
    <row r="34">
      <c r="A34" s="9" t="inlineStr">
        <is>
          <t>+ Nợ có khả năng mất vốn</t>
        </is>
      </c>
      <c r="B34" s="24" t="n">
        <v>1703000000000</v>
      </c>
      <c r="C34" s="24" t="n">
        <v>2555000000000</v>
      </c>
      <c r="D34" s="24" t="n">
        <v>344000000000</v>
      </c>
      <c r="E34" s="24" t="n">
        <v>755000000000</v>
      </c>
      <c r="F34" s="24" t="n">
        <v>1000000000000</v>
      </c>
      <c r="G34" s="24" t="n">
        <v>1380000000000</v>
      </c>
      <c r="H34" s="24" t="n">
        <v>3270000000000</v>
      </c>
      <c r="I34" s="24" t="n">
        <v>5941000000000</v>
      </c>
      <c r="J34" s="38" t="n"/>
    </row>
    <row r="35" customFormat="1" s="17">
      <c r="A35" s="15" t="inlineStr">
        <is>
          <t>Nợ xấu</t>
        </is>
      </c>
      <c r="B35" s="25">
        <f>SUM(B32:B34)</f>
        <v/>
      </c>
      <c r="C35" s="25">
        <f>SUM(C32:C34)</f>
        <v/>
      </c>
      <c r="D35" s="25">
        <f>SUM(D32:D34)</f>
        <v/>
      </c>
      <c r="E35" s="25">
        <f>SUM(E32:E34)</f>
        <v/>
      </c>
      <c r="F35" s="25">
        <f>SUM(F32:F34)</f>
        <v/>
      </c>
      <c r="G35" s="25">
        <f>SUM(G32:G34)</f>
        <v/>
      </c>
      <c r="H35" s="25">
        <f>SUM(H32:H34)</f>
        <v/>
      </c>
      <c r="I35" s="25">
        <f>SUM(I32:I34)</f>
        <v/>
      </c>
      <c r="J35" s="44" t="n"/>
    </row>
    <row r="36">
      <c r="A36" s="5" t="inlineStr">
        <is>
          <t>Cho vay KDBĐS</t>
        </is>
      </c>
      <c r="B36" s="24" t="n">
        <v>13555000000000</v>
      </c>
      <c r="C36" s="24" t="n">
        <v>50422000000000</v>
      </c>
      <c r="D36" s="24" t="n">
        <v>91361000000000</v>
      </c>
      <c r="E36" s="24" t="n">
        <v>95613000000000</v>
      </c>
      <c r="F36" s="24" t="n">
        <v>108805000000000</v>
      </c>
      <c r="G36" s="24" t="n">
        <v>176804000000000</v>
      </c>
      <c r="H36" s="24" t="n">
        <v>187100000000000</v>
      </c>
      <c r="I36" s="24" t="n">
        <v>207027000000000</v>
      </c>
      <c r="J36" s="38" t="n"/>
    </row>
    <row r="37">
      <c r="A37" s="5" t="inlineStr">
        <is>
          <t>Dự phòng rủi ro cho vay khách hàng</t>
        </is>
      </c>
      <c r="B37" s="23">
        <f>IFERROR(INDEX(balance_sheet!$B:$I,MATCH("Dự phòng rủi ro cho vay khách hàng",balance_sheet!$A:$A,0),MATCH(B$21,balance_sheet!$B$1:$I$1,0)),"")</f>
        <v/>
      </c>
      <c r="C37" s="23">
        <f>IFERROR(INDEX(balance_sheet!$B:$I,MATCH("Dự phòng rủi ro cho vay khách hàng",balance_sheet!$A:$A,0),MATCH(C$21,balance_sheet!$B$1:$I$1,0)),"")</f>
        <v/>
      </c>
      <c r="D37" s="23">
        <f>IFERROR(INDEX(balance_sheet!$B:$I,MATCH("Dự phòng rủi ro cho vay khách hàng",balance_sheet!$A:$A,0),MATCH(D$21,balance_sheet!$B$1:$I$1,0)),"")</f>
        <v/>
      </c>
      <c r="E37" s="23">
        <f>IFERROR(INDEX(balance_sheet!$B:$I,MATCH("Dự phòng rủi ro cho vay khách hàng",balance_sheet!$A:$A,0),MATCH(E$21,balance_sheet!$B$1:$I$1,0)),"")</f>
        <v/>
      </c>
      <c r="F37" s="23">
        <f>IFERROR(INDEX(balance_sheet!$B:$I,MATCH("Dự phòng rủi ro cho vay khách hàng",balance_sheet!$A:$A,0),MATCH(F$21,balance_sheet!$B$1:$I$1,0)),"")</f>
        <v/>
      </c>
      <c r="G37" s="23">
        <f>IFERROR(INDEX(balance_sheet!$B:$I,MATCH("Dự phòng rủi ro cho vay khách hàng",balance_sheet!$A:$A,0),MATCH(G$21,balance_sheet!$B$1:$I$1,0)),"")</f>
        <v/>
      </c>
      <c r="H37" s="23">
        <f>IFERROR(INDEX(balance_sheet!$B:$I,MATCH("Dự phòng rủi ro cho vay khách hàng",balance_sheet!$A:$A,0),MATCH(H$21,balance_sheet!$B$1:$I$1,0)),"")</f>
        <v/>
      </c>
      <c r="I37" s="23">
        <f>IFERROR(INDEX(balance_sheet!$B:$I,MATCH("Dự phòng rủi ro cho vay khách hàng",balance_sheet!$A:$A,0),MATCH(I$21,balance_sheet!$B$1:$I$1,0)),"")</f>
        <v/>
      </c>
      <c r="J37" s="38" t="n"/>
    </row>
    <row r="38">
      <c r="A38" s="5" t="inlineStr">
        <is>
          <t>Chứng khoán đầu tư</t>
        </is>
      </c>
      <c r="B38" s="23">
        <f>IFERROR(INDEX(balance_sheet!$B:$I,MATCH("Chứng khoán đầu tư",balance_sheet!$A:$A,0),MATCH(B$21,balance_sheet!$B$1:$I$1,0)),"")</f>
        <v/>
      </c>
      <c r="C38" s="23">
        <f>IFERROR(INDEX(balance_sheet!$B:$I,MATCH("Chứng khoán đầu tư",balance_sheet!$A:$A,0),MATCH(C$21,balance_sheet!$B$1:$I$1,0)),"")</f>
        <v/>
      </c>
      <c r="D38" s="23">
        <f>IFERROR(INDEX(balance_sheet!$B:$I,MATCH("Chứng khoán đầu tư",balance_sheet!$A:$A,0),MATCH(D$21,balance_sheet!$B$1:$I$1,0)),"")</f>
        <v/>
      </c>
      <c r="E38" s="23">
        <f>IFERROR(INDEX(balance_sheet!$B:$I,MATCH("Chứng khoán đầu tư",balance_sheet!$A:$A,0),MATCH(E$21,balance_sheet!$B$1:$I$1,0)),"")</f>
        <v/>
      </c>
      <c r="F38" s="23">
        <f>IFERROR(INDEX(balance_sheet!$B:$I,MATCH("Chứng khoán đầu tư",balance_sheet!$A:$A,0),MATCH(F$21,balance_sheet!$B$1:$I$1,0)),"")</f>
        <v/>
      </c>
      <c r="G38" s="23">
        <f>IFERROR(INDEX(balance_sheet!$B:$I,MATCH("Chứng khoán đầu tư",balance_sheet!$A:$A,0),MATCH(G$21,balance_sheet!$B$1:$I$1,0)),"")</f>
        <v/>
      </c>
      <c r="H38" s="23">
        <f>IFERROR(INDEX(balance_sheet!$B:$I,MATCH("Chứng khoán đầu tư",balance_sheet!$A:$A,0),MATCH(H$21,balance_sheet!$B$1:$I$1,0)),"")</f>
        <v/>
      </c>
      <c r="I38" s="23">
        <f>IFERROR(INDEX(balance_sheet!$B:$I,MATCH("Chứng khoán đầu tư",balance_sheet!$A:$A,0),MATCH(I$21,balance_sheet!$B$1:$I$1,0)),"")</f>
        <v/>
      </c>
      <c r="J38" s="38" t="n"/>
    </row>
    <row r="39">
      <c r="A39" s="5" t="inlineStr">
        <is>
          <t>Dự phòng giảm giá chứng khoán đầu tư</t>
        </is>
      </c>
      <c r="B39" s="23">
        <f>IFERROR(INDEX(balance_sheet!$B:$I,MATCH("Dự phòng giảm giá chứng khoán đầu tư",balance_sheet!$A:$A,0),MATCH(B$21,balance_sheet!$B$1:$I$1,0)),"")</f>
        <v/>
      </c>
      <c r="C39" s="23">
        <f>IFERROR(INDEX(balance_sheet!$B:$I,MATCH("Dự phòng giảm giá chứng khoán đầu tư",balance_sheet!$A:$A,0),MATCH(C$21,balance_sheet!$B$1:$I$1,0)),"")</f>
        <v/>
      </c>
      <c r="D39" s="23">
        <f>IFERROR(INDEX(balance_sheet!$B:$I,MATCH("Dự phòng giảm giá chứng khoán đầu tư",balance_sheet!$A:$A,0),MATCH(D$21,balance_sheet!$B$1:$I$1,0)),"")</f>
        <v/>
      </c>
      <c r="E39" s="23">
        <f>IFERROR(INDEX(balance_sheet!$B:$I,MATCH("Dự phòng giảm giá chứng khoán đầu tư",balance_sheet!$A:$A,0),MATCH(E$21,balance_sheet!$B$1:$I$1,0)),"")</f>
        <v/>
      </c>
      <c r="F39" s="23">
        <f>IFERROR(INDEX(balance_sheet!$B:$I,MATCH("Dự phòng giảm giá chứng khoán đầu tư",balance_sheet!$A:$A,0),MATCH(F$21,balance_sheet!$B$1:$I$1,0)),"")</f>
        <v/>
      </c>
      <c r="G39" s="23">
        <f>IFERROR(INDEX(balance_sheet!$B:$I,MATCH("Dự phòng giảm giá chứng khoán đầu tư",balance_sheet!$A:$A,0),MATCH(G$21,balance_sheet!$B$1:$I$1,0)),"")</f>
        <v/>
      </c>
      <c r="H39" s="23">
        <f>IFERROR(INDEX(balance_sheet!$B:$I,MATCH("Dự phòng giảm giá chứng khoán đầu tư",balance_sheet!$A:$A,0),MATCH(H$21,balance_sheet!$B$1:$I$1,0)),"")</f>
        <v/>
      </c>
      <c r="I39" s="23">
        <f>IFERROR(INDEX(balance_sheet!$B:$I,MATCH("Dự phòng giảm giá chứng khoán đầu tư",balance_sheet!$A:$A,0),MATCH(I$21,balance_sheet!$B$1:$I$1,0)),"")</f>
        <v/>
      </c>
      <c r="J39" s="38" t="n"/>
    </row>
    <row r="40">
      <c r="A40" s="5" t="inlineStr">
        <is>
          <t>Góp vốn, đầu tư dài hạn</t>
        </is>
      </c>
      <c r="B40" s="23">
        <f>IFERROR(INDEX(balance_sheet!$B:$I,MATCH("Góp vốn, đầu tư dài hạn",balance_sheet!$A:$A,0),MATCH(B$21,balance_sheet!$B$1:$I$1,0)),"")</f>
        <v/>
      </c>
      <c r="C40" s="23">
        <f>IFERROR(INDEX(balance_sheet!$B:$I,MATCH("Góp vốn, đầu tư dài hạn",balance_sheet!$A:$A,0),MATCH(C$21,balance_sheet!$B$1:$I$1,0)),"")</f>
        <v/>
      </c>
      <c r="D40" s="23">
        <f>IFERROR(INDEX(balance_sheet!$B:$I,MATCH("Góp vốn, đầu tư dài hạn",balance_sheet!$A:$A,0),MATCH(D$21,balance_sheet!$B$1:$I$1,0)),"")</f>
        <v/>
      </c>
      <c r="E40" s="23">
        <f>IFERROR(INDEX(balance_sheet!$B:$I,MATCH("Góp vốn, đầu tư dài hạn",balance_sheet!$A:$A,0),MATCH(E$21,balance_sheet!$B$1:$I$1,0)),"")</f>
        <v/>
      </c>
      <c r="F40" s="23">
        <f>IFERROR(INDEX(balance_sheet!$B:$I,MATCH("Góp vốn, đầu tư dài hạn",balance_sheet!$A:$A,0),MATCH(F$21,balance_sheet!$B$1:$I$1,0)),"")</f>
        <v/>
      </c>
      <c r="G40" s="23">
        <f>IFERROR(INDEX(balance_sheet!$B:$I,MATCH("Góp vốn, đầu tư dài hạn",balance_sheet!$A:$A,0),MATCH(G$21,balance_sheet!$B$1:$I$1,0)),"")</f>
        <v/>
      </c>
      <c r="H40" s="23">
        <f>IFERROR(INDEX(balance_sheet!$B:$I,MATCH("Góp vốn, đầu tư dài hạn",balance_sheet!$A:$A,0),MATCH(H$21,balance_sheet!$B$1:$I$1,0)),"")</f>
        <v/>
      </c>
      <c r="I40" s="23">
        <f>IFERROR(INDEX(balance_sheet!$B:$I,MATCH("Góp vốn, đầu tư dài hạn",balance_sheet!$A:$A,0),MATCH(I$21,balance_sheet!$B$1:$I$1,0)),"")</f>
        <v/>
      </c>
      <c r="J40" s="38" t="n"/>
    </row>
    <row r="41">
      <c r="A41" s="5" t="inlineStr">
        <is>
          <t>Dự phòng giảm giá đầu tư dài hạn</t>
        </is>
      </c>
      <c r="B41" s="23">
        <f>IFERROR(INDEX(balance_sheet!$B:$I,MATCH("Dự phòng giảm giá đầu tư dài hạn",balance_sheet!$A:$A,0),MATCH(B$21,balance_sheet!$B$1:$I$1,0)),"")</f>
        <v/>
      </c>
      <c r="C41" s="23">
        <f>IFERROR(INDEX(balance_sheet!$B:$I,MATCH("Dự phòng giảm giá đầu tư dài hạn",balance_sheet!$A:$A,0),MATCH(C$21,balance_sheet!$B$1:$I$1,0)),"")</f>
        <v/>
      </c>
      <c r="D41" s="23">
        <f>IFERROR(INDEX(balance_sheet!$B:$I,MATCH("Dự phòng giảm giá đầu tư dài hạn",balance_sheet!$A:$A,0),MATCH(D$21,balance_sheet!$B$1:$I$1,0)),"")</f>
        <v/>
      </c>
      <c r="E41" s="23">
        <f>IFERROR(INDEX(balance_sheet!$B:$I,MATCH("Dự phòng giảm giá đầu tư dài hạn",balance_sheet!$A:$A,0),MATCH(E$21,balance_sheet!$B$1:$I$1,0)),"")</f>
        <v/>
      </c>
      <c r="F41" s="23">
        <f>IFERROR(INDEX(balance_sheet!$B:$I,MATCH("Dự phòng giảm giá đầu tư dài hạn",balance_sheet!$A:$A,0),MATCH(F$21,balance_sheet!$B$1:$I$1,0)),"")</f>
        <v/>
      </c>
      <c r="G41" s="23">
        <f>IFERROR(INDEX(balance_sheet!$B:$I,MATCH("Dự phòng giảm giá đầu tư dài hạn",balance_sheet!$A:$A,0),MATCH(G$21,balance_sheet!$B$1:$I$1,0)),"")</f>
        <v/>
      </c>
      <c r="H41" s="23">
        <f>IFERROR(INDEX(balance_sheet!$B:$I,MATCH("Dự phòng giảm giá đầu tư dài hạn",balance_sheet!$A:$A,0),MATCH(H$21,balance_sheet!$B$1:$I$1,0)),"")</f>
        <v/>
      </c>
      <c r="I41" s="23">
        <f>IFERROR(INDEX(balance_sheet!$B:$I,MATCH("Dự phòng giảm giá đầu tư dài hạn",balance_sheet!$A:$A,0),MATCH(I$21,balance_sheet!$B$1:$I$1,0)),"")</f>
        <v/>
      </c>
      <c r="J41" s="38" t="n"/>
    </row>
    <row r="42">
      <c r="A42" s="5" t="inlineStr">
        <is>
          <t>Tài sản sinh lời</t>
        </is>
      </c>
      <c r="B42" s="25">
        <f>B25+B26-B27+B28+B29+B38-B39+B40-B41</f>
        <v/>
      </c>
      <c r="C42" s="25">
        <f>C25+C26-C27+C28+C29+C38-C39+C40-C41</f>
        <v/>
      </c>
      <c r="D42" s="25">
        <f>D25+D26-D27+D28+D29+D38-D39+D40-D41</f>
        <v/>
      </c>
      <c r="E42" s="25">
        <f>E25+E26-E27+E28+E29+E38-E39+E40-E41</f>
        <v/>
      </c>
      <c r="F42" s="25">
        <f>F25+F26-F27+F28+F29+F38-F39+F40-F41</f>
        <v/>
      </c>
      <c r="G42" s="25">
        <f>G25+G26-G27+G28+G29+G38-G39+G40-G41</f>
        <v/>
      </c>
      <c r="H42" s="25">
        <f>H25+H26-H27+H28+H29+H38-H39+H40-H41</f>
        <v/>
      </c>
      <c r="I42" s="25">
        <f>I25+I26-I27+I28+I29+I38-I39+I40-I41</f>
        <v/>
      </c>
      <c r="J42" s="38" t="n"/>
    </row>
    <row r="43">
      <c r="A43" s="21" t="inlineStr">
        <is>
          <t>Nguồn vốn</t>
        </is>
      </c>
      <c r="B43" s="26" t="n"/>
      <c r="C43" s="26" t="n"/>
      <c r="D43" s="26" t="n"/>
      <c r="E43" s="26" t="n"/>
      <c r="F43" s="26" t="n"/>
      <c r="G43" s="26" t="n"/>
      <c r="H43" s="26" t="n"/>
      <c r="I43" s="26" t="n"/>
      <c r="J43" s="38" t="n"/>
    </row>
    <row r="44">
      <c r="A44" s="5" t="inlineStr">
        <is>
          <t>Tiền gửi khách hàng</t>
        </is>
      </c>
      <c r="B44" s="23">
        <f>IFERROR(INDEX(balance_sheet!$B:$I,MATCH("Tiền gửi của khách hàng",balance_sheet!$A:$A,0),MATCH(B$21,balance_sheet!$B$1:$I$1,0)),"")</f>
        <v/>
      </c>
      <c r="C44" s="23">
        <f>IFERROR(INDEX(balance_sheet!$B:$I,MATCH("Tiền gửi của khách hàng",balance_sheet!$A:$A,0),MATCH(C$21,balance_sheet!$B$1:$I$1,0)),"")</f>
        <v/>
      </c>
      <c r="D44" s="23">
        <f>IFERROR(INDEX(balance_sheet!$B:$I,MATCH("Tiền gửi của khách hàng",balance_sheet!$A:$A,0),MATCH(D$21,balance_sheet!$B$1:$I$1,0)),"")</f>
        <v/>
      </c>
      <c r="E44" s="23">
        <f>IFERROR(INDEX(balance_sheet!$B:$I,MATCH("Tiền gửi của khách hàng",balance_sheet!$A:$A,0),MATCH(E$21,balance_sheet!$B$1:$I$1,0)),"")</f>
        <v/>
      </c>
      <c r="F44" s="23">
        <f>IFERROR(INDEX(balance_sheet!$B:$I,MATCH("Tiền gửi của khách hàng",balance_sheet!$A:$A,0),MATCH(F$21,balance_sheet!$B$1:$I$1,0)),"")</f>
        <v/>
      </c>
      <c r="G44" s="23">
        <f>IFERROR(INDEX(balance_sheet!$B:$I,MATCH("Tiền gửi của khách hàng",balance_sheet!$A:$A,0),MATCH(G$21,balance_sheet!$B$1:$I$1,0)),"")</f>
        <v/>
      </c>
      <c r="H44" s="23">
        <f>IFERROR(INDEX(balance_sheet!$B:$I,MATCH("Tiền gửi của khách hàng",balance_sheet!$A:$A,0),MATCH(H$21,balance_sheet!$B$1:$I$1,0)),"")</f>
        <v/>
      </c>
      <c r="I44" s="23">
        <f>IFERROR(INDEX(balance_sheet!$B:$I,MATCH("Tiền gửi của khách hàng",balance_sheet!$A:$A,0),MATCH(I$21,balance_sheet!$B$1:$I$1,0)),"")</f>
        <v/>
      </c>
      <c r="J44" s="38" t="n"/>
    </row>
    <row r="45">
      <c r="A45" s="9" t="inlineStr">
        <is>
          <t>+ Tiền gửi không kỳ hạn</t>
        </is>
      </c>
      <c r="B45" s="24" t="n">
        <v>54613000000000</v>
      </c>
      <c r="C45" s="24" t="n">
        <v>76053000000000</v>
      </c>
      <c r="D45" s="24" t="n">
        <v>116113000000000</v>
      </c>
      <c r="E45" s="24" t="n">
        <v>147861000000000</v>
      </c>
      <c r="F45" s="24" t="n">
        <v>123079000000000</v>
      </c>
      <c r="G45" s="24" t="n">
        <v>172756000000000</v>
      </c>
      <c r="H45" s="24" t="n">
        <v>191720000000000</v>
      </c>
      <c r="I45" s="24" t="n">
        <v>213415000000000</v>
      </c>
      <c r="J45" s="38" t="n"/>
    </row>
    <row r="46">
      <c r="A46" s="9" t="inlineStr">
        <is>
          <t>+ Tiền gửi có kỳ hạn</t>
        </is>
      </c>
      <c r="B46" s="24" t="n">
        <v>143613000000000</v>
      </c>
      <c r="C46" s="24" t="n">
        <v>151581000000000</v>
      </c>
      <c r="D46" s="24" t="n">
        <v>144128000000000</v>
      </c>
      <c r="E46" s="24" t="n">
        <v>155894000000000</v>
      </c>
      <c r="F46" s="24" t="n">
        <v>225942000000000</v>
      </c>
      <c r="G46" s="24" t="n">
        <v>273187000000000</v>
      </c>
      <c r="H46" s="24" t="n">
        <v>334150000000000</v>
      </c>
      <c r="I46" s="24" t="n">
        <v>396881000000000</v>
      </c>
      <c r="J46" s="38" t="n"/>
    </row>
    <row r="47">
      <c r="A47" s="9" t="inlineStr">
        <is>
          <t>+ Tiền ký quỹ</t>
        </is>
      </c>
      <c r="B47" s="24" t="n">
        <v>319000000000</v>
      </c>
      <c r="C47" s="24" t="n">
        <v>366000000000</v>
      </c>
      <c r="D47" s="24" t="n">
        <v>4987000000000</v>
      </c>
      <c r="E47" s="24" t="n">
        <v>10997000000000</v>
      </c>
      <c r="F47" s="24" t="n">
        <v>9383000000000</v>
      </c>
      <c r="G47" s="24" t="n">
        <v>8718000000000</v>
      </c>
      <c r="H47" s="24" t="n">
        <v>7523000000000</v>
      </c>
      <c r="I47" s="24" t="n">
        <v>8615000000000</v>
      </c>
      <c r="J47" s="38" t="n"/>
    </row>
    <row r="48" customFormat="1" s="39">
      <c r="A48" s="22" t="inlineStr">
        <is>
          <t>VỐN CHỦ SỞ HỮU</t>
        </is>
      </c>
      <c r="B48" s="27">
        <f>IFERROR(INDEX(balance_sheet!$B:$I,MATCH("VỐN CHỦ SỞ HỮU",balance_sheet!$A:$A,0),MATCH(B$21,balance_sheet!$B$1:$I$1,0)),"")</f>
        <v/>
      </c>
      <c r="C48" s="27">
        <f>IFERROR(INDEX(balance_sheet!$B:$I,MATCH("VỐN CHỦ SỞ HỮU",balance_sheet!$A:$A,0),MATCH(C$21,balance_sheet!$B$1:$I$1,0)),"")</f>
        <v/>
      </c>
      <c r="D48" s="27">
        <f>IFERROR(INDEX(balance_sheet!$B:$I,MATCH("VỐN CHỦ SỞ HỮU",balance_sheet!$A:$A,0),MATCH(D$21,balance_sheet!$B$1:$I$1,0)),"")</f>
        <v/>
      </c>
      <c r="E48" s="27">
        <f>IFERROR(INDEX(balance_sheet!$B:$I,MATCH("VỐN CHỦ SỞ HỮU",balance_sheet!$A:$A,0),MATCH(E$21,balance_sheet!$B$1:$I$1,0)),"")</f>
        <v/>
      </c>
      <c r="F48" s="27">
        <f>IFERROR(INDEX(balance_sheet!$B:$I,MATCH("VỐN CHỦ SỞ HỮU",balance_sheet!$A:$A,0),MATCH(F$21,balance_sheet!$B$1:$I$1,0)),"")</f>
        <v/>
      </c>
      <c r="G48" s="27">
        <f>IFERROR(INDEX(balance_sheet!$B:$I,MATCH("VỐN CHỦ SỞ HỮU",balance_sheet!$A:$A,0),MATCH(G$21,balance_sheet!$B$1:$I$1,0)),"")</f>
        <v/>
      </c>
      <c r="H48" s="27">
        <f>IFERROR(INDEX(balance_sheet!$B:$I,MATCH("VỐN CHỦ SỞ HỮU",balance_sheet!$A:$A,0),MATCH(H$21,balance_sheet!$B$1:$I$1,0)),"")</f>
        <v/>
      </c>
      <c r="I48" s="27">
        <f>IFERROR(INDEX(balance_sheet!$B:$I,MATCH("VỐN CHỦ SỞ HỮU",balance_sheet!$A:$A,0),MATCH(I$21,balance_sheet!$B$1:$I$1,0)),"")</f>
        <v/>
      </c>
      <c r="J48" s="27">
        <f>I48+J60</f>
        <v/>
      </c>
    </row>
    <row r="49" customFormat="1" s="39">
      <c r="A49" s="47" t="inlineStr">
        <is>
          <t>Tăng VCSH/LN cty mẹ</t>
        </is>
      </c>
      <c r="B49" s="46" t="n"/>
      <c r="C49" s="46">
        <f>(C48-B48)/C60</f>
        <v/>
      </c>
      <c r="D49" s="46">
        <f>(D48-C48)/D60</f>
        <v/>
      </c>
      <c r="E49" s="46">
        <f>(E48-D48)/E60</f>
        <v/>
      </c>
      <c r="F49" s="46">
        <f>(F48-E48)/F60</f>
        <v/>
      </c>
      <c r="G49" s="46">
        <f>(G48-F48)/G60</f>
        <v/>
      </c>
      <c r="H49" s="46">
        <f>(H48-G48)/H60</f>
        <v/>
      </c>
      <c r="I49" s="46">
        <f>(I48-H48)/I60</f>
        <v/>
      </c>
      <c r="J49" s="45" t="n"/>
    </row>
    <row r="50" customFormat="1" s="39">
      <c r="A50" s="22" t="inlineStr">
        <is>
          <t>Lợi ích của cổ đông thiểu số</t>
        </is>
      </c>
      <c r="B50" s="27">
        <f>IFERROR(INDEX(balance_sheet!$B:$I,MATCH("Lợi ích của cổ đông thiểu số",balance_sheet!$A:$A,0),MATCH(B$21,balance_sheet!$B$1:$I$1,0)),"")</f>
        <v/>
      </c>
      <c r="C50" s="27">
        <f>IFERROR(INDEX(balance_sheet!$B:$I,MATCH("Lợi ích của cổ đông thiểu số",balance_sheet!$A:$A,0),MATCH(C$21,balance_sheet!$B$1:$I$1,0)),"")</f>
        <v/>
      </c>
      <c r="D50" s="27">
        <f>IFERROR(INDEX(balance_sheet!$B:$I,MATCH("Lợi ích của cổ đông thiểu số",balance_sheet!$A:$A,0),MATCH(D$21,balance_sheet!$B$1:$I$1,0)),"")</f>
        <v/>
      </c>
      <c r="E50" s="27">
        <f>IFERROR(INDEX(balance_sheet!$B:$I,MATCH("Lợi ích của cổ đông thiểu số",balance_sheet!$A:$A,0),MATCH(E$21,balance_sheet!$B$1:$I$1,0)),"")</f>
        <v/>
      </c>
      <c r="F50" s="27">
        <f>IFERROR(INDEX(balance_sheet!$B:$I,MATCH("Lợi ích của cổ đông thiểu số",balance_sheet!$A:$A,0),MATCH(F$21,balance_sheet!$B$1:$I$1,0)),"")</f>
        <v/>
      </c>
      <c r="G50" s="27">
        <f>IFERROR(INDEX(balance_sheet!$B:$I,MATCH("Lợi ích của cổ đông thiểu số",balance_sheet!$A:$A,0),MATCH(G$21,balance_sheet!$B$1:$I$1,0)),"")</f>
        <v/>
      </c>
      <c r="H50" s="27">
        <f>IFERROR(INDEX(balance_sheet!$B:$I,MATCH("Lợi ích của cổ đông thiểu số",balance_sheet!$A:$A,0),MATCH(H$21,balance_sheet!$B$1:$I$1,0)),"")</f>
        <v/>
      </c>
      <c r="I50" s="27">
        <f>IFERROR(INDEX(balance_sheet!$B:$I,MATCH("Lợi ích của cổ đông thiểu số",balance_sheet!$A:$A,0),MATCH(I$21,balance_sheet!$B$1:$I$1,0)),"")</f>
        <v/>
      </c>
    </row>
    <row r="51">
      <c r="A51" s="22" t="inlineStr">
        <is>
          <t>Kết quả hoạt động kinh doanh</t>
        </is>
      </c>
      <c r="B51" s="23" t="n"/>
      <c r="C51" s="23" t="n"/>
      <c r="D51" s="23" t="n"/>
      <c r="E51" s="23" t="n"/>
      <c r="F51" s="23" t="n"/>
      <c r="G51" s="23" t="n"/>
      <c r="H51" s="23" t="n"/>
      <c r="I51" s="23" t="n"/>
      <c r="J51" s="38" t="n"/>
    </row>
    <row r="52">
      <c r="A52" s="5" t="inlineStr">
        <is>
          <t>Thu nhập lãi</t>
        </is>
      </c>
      <c r="B52" s="23">
        <f>IFERROR(INDEX(income_statement!$B:$I,MATCH("Thu nhập lãi và các khoản thu nhập tương tự",income_statement!$A:$A,0),MATCH(B$21,income_statement!$B$1:$I$1,0)),"")</f>
        <v/>
      </c>
      <c r="C52" s="23">
        <f>IFERROR(INDEX(income_statement!$B:$I,MATCH("Thu nhập lãi và các khoản thu nhập tương tự",income_statement!$A:$A,0),MATCH(C$21,income_statement!$B$1:$I$1,0)),"")</f>
        <v/>
      </c>
      <c r="D52" s="23">
        <f>IFERROR(INDEX(income_statement!$B:$I,MATCH("Thu nhập lãi và các khoản thu nhập tương tự",income_statement!$A:$A,0),MATCH(D$21,income_statement!$B$1:$I$1,0)),"")</f>
        <v/>
      </c>
      <c r="E52" s="23">
        <f>IFERROR(INDEX(income_statement!$B:$I,MATCH("Thu nhập lãi và các khoản thu nhập tương tự",income_statement!$A:$A,0),MATCH(E$21,income_statement!$B$1:$I$1,0)),"")</f>
        <v/>
      </c>
      <c r="F52" s="23">
        <f>IFERROR(INDEX(income_statement!$B:$I,MATCH("Thu nhập lãi và các khoản thu nhập tương tự",income_statement!$A:$A,0),MATCH(F$21,income_statement!$B$1:$I$1,0)),"")</f>
        <v/>
      </c>
      <c r="G52" s="23">
        <f>IFERROR(INDEX(income_statement!$B:$I,MATCH("Thu nhập lãi và các khoản thu nhập tương tự",income_statement!$A:$A,0),MATCH(G$21,income_statement!$B$1:$I$1,0)),"")</f>
        <v/>
      </c>
      <c r="H52" s="23">
        <f>IFERROR(INDEX(income_statement!$B:$I,MATCH("Thu nhập lãi và các khoản thu nhập tương tự",income_statement!$A:$A,0),MATCH(H$21,income_statement!$B$1:$I$1,0)),"")</f>
        <v/>
      </c>
      <c r="I52" s="23">
        <f>IFERROR(INDEX(income_statement!$B:$I,MATCH("Thu nhập lãi và các khoản thu nhập tương tự",income_statement!$A:$A,0),MATCH(I$21,income_statement!$B$1:$I$1,0)),"")</f>
        <v/>
      </c>
      <c r="J52" s="38" t="n"/>
    </row>
    <row r="53">
      <c r="A53" s="5" t="inlineStr">
        <is>
          <t>Chi phí lãi</t>
        </is>
      </c>
      <c r="B53" s="23">
        <f>IFERROR(INDEX(income_statement!$B:$I,MATCH("Chi phí lãi và các chi phí tương tự",income_statement!$A:$A,0),MATCH(B$21,income_statement!$B$1:$I$1,0)),"")</f>
        <v/>
      </c>
      <c r="C53" s="23">
        <f>IFERROR(INDEX(income_statement!$B:$I,MATCH("Chi phí lãi và các chi phí tương tự",income_statement!$A:$A,0),MATCH(C$21,income_statement!$B$1:$I$1,0)),"")</f>
        <v/>
      </c>
      <c r="D53" s="23">
        <f>IFERROR(INDEX(income_statement!$B:$I,MATCH("Chi phí lãi và các chi phí tương tự",income_statement!$A:$A,0),MATCH(D$21,income_statement!$B$1:$I$1,0)),"")</f>
        <v/>
      </c>
      <c r="E53" s="23">
        <f>IFERROR(INDEX(income_statement!$B:$I,MATCH("Chi phí lãi và các chi phí tương tự",income_statement!$A:$A,0),MATCH(E$21,income_statement!$B$1:$I$1,0)),"")</f>
        <v/>
      </c>
      <c r="F53" s="23">
        <f>IFERROR(INDEX(income_statement!$B:$I,MATCH("Chi phí lãi và các chi phí tương tự",income_statement!$A:$A,0),MATCH(F$21,income_statement!$B$1:$I$1,0)),"")</f>
        <v/>
      </c>
      <c r="G53" s="23">
        <f>IFERROR(INDEX(income_statement!$B:$I,MATCH("Chi phí lãi và các chi phí tương tự",income_statement!$A:$A,0),MATCH(G$21,income_statement!$B$1:$I$1,0)),"")</f>
        <v/>
      </c>
      <c r="H53" s="23">
        <f>IFERROR(INDEX(income_statement!$B:$I,MATCH("Chi phí lãi và các chi phí tương tự",income_statement!$A:$A,0),MATCH(H$21,income_statement!$B$1:$I$1,0)),"")</f>
        <v/>
      </c>
      <c r="I53" s="23">
        <f>IFERROR(INDEX(income_statement!$B:$I,MATCH("Chi phí lãi và các chi phí tương tự",income_statement!$A:$A,0),MATCH(I$21,income_statement!$B$1:$I$1,0)),"")</f>
        <v/>
      </c>
      <c r="J53" s="38" t="n"/>
    </row>
    <row r="54" customFormat="1" s="39">
      <c r="A54" s="22" t="inlineStr">
        <is>
          <t>Thu nhập lãi thuần</t>
        </is>
      </c>
      <c r="B54" s="27">
        <f>IFERROR(INDEX(income_statement!$B:$I,MATCH("Thu nhập lãi thuần",income_statement!$A:$A,0),MATCH(B$21,income_statement!$B$1:$I$1,0)),"")</f>
        <v/>
      </c>
      <c r="C54" s="27">
        <f>IFERROR(INDEX(income_statement!$B:$I,MATCH("Thu nhập lãi thuần",income_statement!$A:$A,0),MATCH(C$21,income_statement!$B$1:$I$1,0)),"")</f>
        <v/>
      </c>
      <c r="D54" s="27">
        <f>IFERROR(INDEX(income_statement!$B:$I,MATCH("Thu nhập lãi thuần",income_statement!$A:$A,0),MATCH(D$21,income_statement!$B$1:$I$1,0)),"")</f>
        <v/>
      </c>
      <c r="E54" s="27">
        <f>IFERROR(INDEX(income_statement!$B:$I,MATCH("Thu nhập lãi thuần",income_statement!$A:$A,0),MATCH(E$21,income_statement!$B$1:$I$1,0)),"")</f>
        <v/>
      </c>
      <c r="F54" s="27">
        <f>IFERROR(INDEX(income_statement!$B:$I,MATCH("Thu nhập lãi thuần",income_statement!$A:$A,0),MATCH(F$21,income_statement!$B$1:$I$1,0)),"")</f>
        <v/>
      </c>
      <c r="G54" s="27">
        <f>IFERROR(INDEX(income_statement!$B:$I,MATCH("Thu nhập lãi thuần",income_statement!$A:$A,0),MATCH(G$21,income_statement!$B$1:$I$1,0)),"")</f>
        <v/>
      </c>
      <c r="H54" s="27">
        <f>IFERROR(INDEX(income_statement!$B:$I,MATCH("Thu nhập lãi thuần",income_statement!$A:$A,0),MATCH(H$21,income_statement!$B$1:$I$1,0)),"")</f>
        <v/>
      </c>
      <c r="I54" s="27">
        <f>IFERROR(INDEX(income_statement!$B:$I,MATCH("Thu nhập lãi thuần",income_statement!$A:$A,0),MATCH(I$21,income_statement!$B$1:$I$1,0)),"")</f>
        <v/>
      </c>
      <c r="J54" s="27" t="n">
        <v>50000000000000</v>
      </c>
    </row>
    <row r="55">
      <c r="A55" s="5" t="inlineStr">
        <is>
          <t>Thu nhập ngoài lãi</t>
        </is>
      </c>
      <c r="B55" s="25">
        <f>IF(OR(B$56="",B$54=""),"",B$56-B$54)</f>
        <v/>
      </c>
      <c r="C55" s="25">
        <f>IF(OR(C$56="",C$54=""),"",C$56-C$54)</f>
        <v/>
      </c>
      <c r="D55" s="25">
        <f>IF(OR(D$56="",D$54=""),"",D$56-D$54)</f>
        <v/>
      </c>
      <c r="E55" s="25">
        <f>IF(OR(E$56="",E$54=""),"",E$56-E$54)</f>
        <v/>
      </c>
      <c r="F55" s="25">
        <f>IF(OR(F$56="",F$54=""),"",F$56-F$54)</f>
        <v/>
      </c>
      <c r="G55" s="25">
        <f>IF(OR(G$56="",G$54=""),"",G$56-G$54)</f>
        <v/>
      </c>
      <c r="H55" s="25">
        <f>IF(OR(H$56="",H$54=""),"",H$56-H$54)</f>
        <v/>
      </c>
      <c r="I55" s="25">
        <f>IF(OR(I$56="",I$54=""),"",I$56-I$54)</f>
        <v/>
      </c>
      <c r="J55" s="38" t="n"/>
    </row>
    <row r="56">
      <c r="A56" s="5" t="inlineStr">
        <is>
          <t>Tổng thu nhập hoạt động</t>
        </is>
      </c>
      <c r="B56" s="23">
        <f>IFERROR(INDEX(income_statement!$B:$I,MATCH("Tổng thu nhập hoạt động",income_statement!$A:$A,0),MATCH(B$21,income_statement!$B$1:$I$1,0)),"")</f>
        <v/>
      </c>
      <c r="C56" s="23">
        <f>IFERROR(INDEX(income_statement!$B:$I,MATCH("Tổng thu nhập hoạt động",income_statement!$A:$A,0),MATCH(C$21,income_statement!$B$1:$I$1,0)),"")</f>
        <v/>
      </c>
      <c r="D56" s="23">
        <f>IFERROR(INDEX(income_statement!$B:$I,MATCH("Tổng thu nhập hoạt động",income_statement!$A:$A,0),MATCH(D$21,income_statement!$B$1:$I$1,0)),"")</f>
        <v/>
      </c>
      <c r="E56" s="23">
        <f>IFERROR(INDEX(income_statement!$B:$I,MATCH("Tổng thu nhập hoạt động",income_statement!$A:$A,0),MATCH(E$21,income_statement!$B$1:$I$1,0)),"")</f>
        <v/>
      </c>
      <c r="F56" s="23">
        <f>IFERROR(INDEX(income_statement!$B:$I,MATCH("Tổng thu nhập hoạt động",income_statement!$A:$A,0),MATCH(F$21,income_statement!$B$1:$I$1,0)),"")</f>
        <v/>
      </c>
      <c r="G56" s="23">
        <f>IFERROR(INDEX(income_statement!$B:$I,MATCH("Tổng thu nhập hoạt động",income_statement!$A:$A,0),MATCH(G$21,income_statement!$B$1:$I$1,0)),"")</f>
        <v/>
      </c>
      <c r="H56" s="23">
        <f>IFERROR(INDEX(income_statement!$B:$I,MATCH("Tổng thu nhập hoạt động",income_statement!$A:$A,0),MATCH(H$21,income_statement!$B$1:$I$1,0)),"")</f>
        <v/>
      </c>
      <c r="I56" s="23">
        <f>IFERROR(INDEX(income_statement!$B:$I,MATCH("Tổng thu nhập hoạt động",income_statement!$A:$A,0),MATCH(I$21,income_statement!$B$1:$I$1,0)),"")</f>
        <v/>
      </c>
      <c r="J56" s="38" t="n"/>
    </row>
    <row r="57">
      <c r="A57" s="5" t="inlineStr">
        <is>
          <t>Chi phí hoạt động</t>
        </is>
      </c>
      <c r="B57" s="23">
        <f>IFERROR(INDEX(income_statement!$B:$I,MATCH("Chi phí quản lý doanh nghiệp",income_statement!$A:$A,0),MATCH(B$21,income_statement!$B$1:$I$1,0)),"")</f>
        <v/>
      </c>
      <c r="C57" s="23">
        <f>IFERROR(INDEX(income_statement!$B:$I,MATCH("Chi phí quản lý doanh nghiệp",income_statement!$A:$A,0),MATCH(C$21,income_statement!$B$1:$I$1,0)),"")</f>
        <v/>
      </c>
      <c r="D57" s="23">
        <f>IFERROR(INDEX(income_statement!$B:$I,MATCH("Chi phí quản lý doanh nghiệp",income_statement!$A:$A,0),MATCH(D$21,income_statement!$B$1:$I$1,0)),"")</f>
        <v/>
      </c>
      <c r="E57" s="23">
        <f>IFERROR(INDEX(income_statement!$B:$I,MATCH("Chi phí quản lý doanh nghiệp",income_statement!$A:$A,0),MATCH(E$21,income_statement!$B$1:$I$1,0)),"")</f>
        <v/>
      </c>
      <c r="F57" s="23">
        <f>IFERROR(INDEX(income_statement!$B:$I,MATCH("Chi phí quản lý doanh nghiệp",income_statement!$A:$A,0),MATCH(F$21,income_statement!$B$1:$I$1,0)),"")</f>
        <v/>
      </c>
      <c r="G57" s="23">
        <f>IFERROR(INDEX(income_statement!$B:$I,MATCH("Chi phí quản lý doanh nghiệp",income_statement!$A:$A,0),MATCH(G$21,income_statement!$B$1:$I$1,0)),"")</f>
        <v/>
      </c>
      <c r="H57" s="23">
        <f>IFERROR(INDEX(income_statement!$B:$I,MATCH("Chi phí quản lý doanh nghiệp",income_statement!$A:$A,0),MATCH(H$21,income_statement!$B$1:$I$1,0)),"")</f>
        <v/>
      </c>
      <c r="I57" s="23">
        <f>IFERROR(INDEX(income_statement!$B:$I,MATCH("Chi phí quản lý doanh nghiệp",income_statement!$A:$A,0),MATCH(I$21,income_statement!$B$1:$I$1,0)),"")</f>
        <v/>
      </c>
      <c r="J57" s="38" t="n"/>
    </row>
    <row r="58">
      <c r="A58" s="5" t="inlineStr">
        <is>
          <t>Lãi và phí phải thu</t>
        </is>
      </c>
      <c r="B58" s="23">
        <f>IFERROR(INDEX(balance_sheet!$B:$I,MATCH("Các khoản lãi và phí phải thu",balance_sheet!$A:$A,0),MATCH(B$21,balance_sheet!$B$1:$I$1,0)),"")</f>
        <v/>
      </c>
      <c r="C58" s="23">
        <f>IFERROR(INDEX(balance_sheet!$B:$I,MATCH("Các khoản lãi và phí phải thu",balance_sheet!$A:$A,0),MATCH(C$21,balance_sheet!$B$1:$I$1,0)),"")</f>
        <v/>
      </c>
      <c r="D58" s="23">
        <f>IFERROR(INDEX(balance_sheet!$B:$I,MATCH("Các khoản lãi và phí phải thu",balance_sheet!$A:$A,0),MATCH(D$21,balance_sheet!$B$1:$I$1,0)),"")</f>
        <v/>
      </c>
      <c r="E58" s="23">
        <f>IFERROR(INDEX(balance_sheet!$B:$I,MATCH("Các khoản lãi và phí phải thu",balance_sheet!$A:$A,0),MATCH(E$21,balance_sheet!$B$1:$I$1,0)),"")</f>
        <v/>
      </c>
      <c r="F58" s="23">
        <f>IFERROR(INDEX(balance_sheet!$B:$I,MATCH("Các khoản lãi và phí phải thu",balance_sheet!$A:$A,0),MATCH(F$21,balance_sheet!$B$1:$I$1,0)),"")</f>
        <v/>
      </c>
      <c r="G58" s="23">
        <f>IFERROR(INDEX(balance_sheet!$B:$I,MATCH("Các khoản lãi và phí phải thu",balance_sheet!$A:$A,0),MATCH(G$21,balance_sheet!$B$1:$I$1,0)),"")</f>
        <v/>
      </c>
      <c r="H58" s="23">
        <f>IFERROR(INDEX(balance_sheet!$B:$I,MATCH("Các khoản lãi và phí phải thu",balance_sheet!$A:$A,0),MATCH(H$21,balance_sheet!$B$1:$I$1,0)),"")</f>
        <v/>
      </c>
      <c r="I58" s="23">
        <f>IFERROR(INDEX(balance_sheet!$B:$I,MATCH("Các khoản lãi và phí phải thu",balance_sheet!$A:$A,0),MATCH(I$21,balance_sheet!$B$1:$I$1,0)),"")</f>
        <v/>
      </c>
      <c r="J58" s="38" t="n"/>
    </row>
    <row r="59" customFormat="1" s="39">
      <c r="A59" s="22" t="inlineStr">
        <is>
          <t>LNST</t>
        </is>
      </c>
      <c r="B59" s="27">
        <f>IFERROR(INDEX(income_statement!$B:$I,MATCH("Lợi nhuận sau thuế",income_statement!$A:$A,0),MATCH(B$21,income_statement!$B$1:$I$1,0)),"")</f>
        <v/>
      </c>
      <c r="C59" s="27">
        <f>IFERROR(INDEX(income_statement!$B:$I,MATCH("Lợi nhuận sau thuế",income_statement!$A:$A,0),MATCH(C$21,income_statement!$B$1:$I$1,0)),"")</f>
        <v/>
      </c>
      <c r="D59" s="27">
        <f>IFERROR(INDEX(income_statement!$B:$I,MATCH("Lợi nhuận sau thuế",income_statement!$A:$A,0),MATCH(D$21,income_statement!$B$1:$I$1,0)),"")</f>
        <v/>
      </c>
      <c r="E59" s="27">
        <f>IFERROR(INDEX(income_statement!$B:$I,MATCH("Lợi nhuận sau thuế",income_statement!$A:$A,0),MATCH(E$21,income_statement!$B$1:$I$1,0)),"")</f>
        <v/>
      </c>
      <c r="F59" s="27">
        <f>IFERROR(INDEX(income_statement!$B:$I,MATCH("Lợi nhuận sau thuế",income_statement!$A:$A,0),MATCH(F$21,income_statement!$B$1:$I$1,0)),"")</f>
        <v/>
      </c>
      <c r="G59" s="27">
        <f>IFERROR(INDEX(income_statement!$B:$I,MATCH("Lợi nhuận sau thuế",income_statement!$A:$A,0),MATCH(G$21,income_statement!$B$1:$I$1,0)),"")</f>
        <v/>
      </c>
      <c r="H59" s="27">
        <f>IFERROR(INDEX(income_statement!$B:$I,MATCH("Lợi nhuận sau thuế",income_statement!$A:$A,0),MATCH(H$21,income_statement!$B$1:$I$1,0)),"")</f>
        <v/>
      </c>
      <c r="I59" s="27">
        <f>IFERROR(INDEX(income_statement!$B:$I,MATCH("Lợi nhuận sau thuế",income_statement!$A:$A,0),MATCH(I$21,income_statement!$B$1:$I$1,0)),"")</f>
        <v/>
      </c>
      <c r="J59" s="27" t="n">
        <v>28000000000000</v>
      </c>
    </row>
    <row r="60" customFormat="1" s="39">
      <c r="A60" s="22" t="inlineStr">
        <is>
          <t>LNST CĐ Công ty mẹ</t>
        </is>
      </c>
      <c r="B60" s="27">
        <f>IFERROR(INDEX(income_statement!$B:$I,MATCH("Cổ đông của Công ty mẹ",income_statement!$A:$A,0),MATCH(B$21,income_statement!$B$1:$I$1,0)),"")</f>
        <v/>
      </c>
      <c r="C60" s="27">
        <f>IFERROR(INDEX(income_statement!$B:$I,MATCH("Cổ đông của Công ty mẹ",income_statement!$A:$A,0),MATCH(C$21,income_statement!$B$1:$I$1,0)),"")</f>
        <v/>
      </c>
      <c r="D60" s="27">
        <f>IFERROR(INDEX(income_statement!$B:$I,MATCH("Cổ đông của Công ty mẹ",income_statement!$A:$A,0),MATCH(D$21,income_statement!$B$1:$I$1,0)),"")</f>
        <v/>
      </c>
      <c r="E60" s="27">
        <f>IFERROR(INDEX(income_statement!$B:$I,MATCH("Cổ đông của Công ty mẹ",income_statement!$A:$A,0),MATCH(E$21,income_statement!$B$1:$I$1,0)),"")</f>
        <v/>
      </c>
      <c r="F60" s="27">
        <f>IFERROR(INDEX(income_statement!$B:$I,MATCH("Cổ đông của Công ty mẹ",income_statement!$A:$A,0),MATCH(F$21,income_statement!$B$1:$I$1,0)),"")</f>
        <v/>
      </c>
      <c r="G60" s="27">
        <f>IFERROR(INDEX(income_statement!$B:$I,MATCH("Cổ đông của Công ty mẹ",income_statement!$A:$A,0),MATCH(G$21,income_statement!$B$1:$I$1,0)),"")</f>
        <v/>
      </c>
      <c r="H60" s="27">
        <f>IFERROR(INDEX(income_statement!$B:$I,MATCH("Cổ đông của Công ty mẹ",income_statement!$A:$A,0),MATCH(H$21,income_statement!$B$1:$I$1,0)),"")</f>
        <v/>
      </c>
      <c r="I60" s="27">
        <f>IFERROR(INDEX(income_statement!$B:$I,MATCH("Cổ đông của Công ty mẹ",income_statement!$A:$A,0),MATCH(I$21,income_statement!$B$1:$I$1,0)),"")</f>
        <v/>
      </c>
      <c r="J60" s="27" t="n">
        <v>28000000000000</v>
      </c>
    </row>
  </sheetData>
  <conditionalFormatting sqref="C2:I2">
    <cfRule type="cellIs" priority="5" operator="lessThan" dxfId="4">
      <formula>0.15</formula>
    </cfRule>
    <cfRule type="cellIs" priority="6" operator="greaterThanOrEqual" dxfId="3">
      <formula>0.15</formula>
    </cfRule>
  </conditionalFormatting>
  <conditionalFormatting sqref="C3:I4 J3">
    <cfRule type="cellIs" priority="1" operator="lessThan" dxfId="4">
      <formula>0.1</formula>
    </cfRule>
    <cfRule type="cellIs" priority="2" operator="greaterThan" dxfId="3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6"/>
  <sheetViews>
    <sheetView tabSelected="1" topLeftCell="A3" workbookViewId="0">
      <selection activeCell="C6" sqref="C6"/>
    </sheetView>
  </sheetViews>
  <sheetFormatPr baseColWidth="8" defaultColWidth="21.75" defaultRowHeight="12.75"/>
  <cols>
    <col width="7" bestFit="1" customWidth="1" style="11" min="1" max="1"/>
    <col width="16.125" bestFit="1" customWidth="1" style="11" min="2" max="5"/>
    <col width="21.75" customWidth="1" style="11" min="6" max="16384"/>
  </cols>
  <sheetData>
    <row r="1" ht="15" customHeight="1">
      <c r="A1" s="10" t="n"/>
      <c r="B1" s="10" t="inlineStr">
        <is>
          <t>Q1/2026</t>
        </is>
      </c>
      <c r="C1" s="10" t="inlineStr">
        <is>
          <t>Q2/2026</t>
        </is>
      </c>
      <c r="D1" s="10" t="inlineStr">
        <is>
          <t>Q3/2026</t>
        </is>
      </c>
      <c r="E1" s="10" t="inlineStr">
        <is>
          <t>Q4/2026</t>
        </is>
      </c>
    </row>
    <row r="2" ht="14.25" customHeight="1">
      <c r="A2" s="10" t="inlineStr">
        <is>
          <t>Số CP</t>
        </is>
      </c>
      <c r="B2" s="12" t="n">
        <v>7086240414</v>
      </c>
      <c r="C2" s="12" t="n">
        <v>7086240414</v>
      </c>
      <c r="D2" s="12" t="n">
        <v>7086240414</v>
      </c>
      <c r="E2" s="12" t="n">
        <v>7086240414</v>
      </c>
    </row>
    <row r="3" ht="14.25" customHeight="1">
      <c r="A3" s="10" t="inlineStr">
        <is>
          <t>Thị giá</t>
        </is>
      </c>
      <c r="B3" s="12">
        <f>[1]Sheet1!C2</f>
        <v/>
      </c>
      <c r="C3" s="12">
        <f>[1]Sheet1!C2</f>
        <v/>
      </c>
      <c r="D3" s="12">
        <f>[1]Sheet1!C2</f>
        <v/>
      </c>
      <c r="E3" s="12">
        <f>[1]Sheet1!C2</f>
        <v/>
      </c>
    </row>
    <row r="4" ht="14.25" customHeight="1">
      <c r="A4" s="10" t="inlineStr">
        <is>
          <t>Vốn hoá</t>
        </is>
      </c>
      <c r="B4" s="12">
        <f>B2*B3</f>
        <v/>
      </c>
      <c r="C4" s="12">
        <f>C2*C3</f>
        <v/>
      </c>
      <c r="D4" s="12">
        <f>D2*D3</f>
        <v/>
      </c>
      <c r="E4" s="12">
        <f>E2*E3</f>
        <v/>
      </c>
    </row>
    <row r="5" ht="14.25" customHeight="1"/>
    <row r="6" ht="14.25" customHeight="1">
      <c r="A6" s="10" t="inlineStr">
        <is>
          <t>VCSH</t>
        </is>
      </c>
      <c r="B6" s="12" t="n">
        <v>186683000000000</v>
      </c>
      <c r="C6" s="12">
        <f>B$6*(($E$6/$B$6)^(1/3))</f>
        <v/>
      </c>
      <c r="D6" s="12">
        <f>B$6*(($E$6/$B$6)^(2/3))</f>
        <v/>
      </c>
      <c r="E6" s="12">
        <f>chi_so_tai_chinh!J48</f>
        <v/>
      </c>
      <c r="F6" s="13" t="n"/>
      <c r="G6" s="13" t="n"/>
      <c r="H6" s="13" t="n"/>
    </row>
    <row r="7" ht="14.25" customHeight="1">
      <c r="A7" s="10" t="inlineStr">
        <is>
          <t>LICĐKKS</t>
        </is>
      </c>
      <c r="B7" s="12" t="n">
        <v>9787000000000</v>
      </c>
      <c r="C7" s="12">
        <f>C6*0.02</f>
        <v/>
      </c>
      <c r="D7" s="12">
        <f>D6*0.02</f>
        <v/>
      </c>
      <c r="E7" s="12">
        <f>E6*0.02</f>
        <v/>
      </c>
      <c r="F7" s="14" t="n"/>
      <c r="G7" s="14" t="n"/>
      <c r="H7" s="14" t="n"/>
    </row>
    <row r="8" ht="14.25" customHeight="1">
      <c r="A8" s="10" t="inlineStr">
        <is>
          <t>BV</t>
        </is>
      </c>
      <c r="B8" s="12">
        <f>B6-B7</f>
        <v/>
      </c>
      <c r="C8" s="12">
        <f>C6-C7</f>
        <v/>
      </c>
      <c r="D8" s="12">
        <f>D6-D7</f>
        <v/>
      </c>
      <c r="E8" s="12">
        <f>E6-E7</f>
        <v/>
      </c>
    </row>
    <row r="9" ht="14.25" customHeight="1">
      <c r="A9" s="15" t="inlineStr">
        <is>
          <t>BVPS</t>
        </is>
      </c>
      <c r="B9" s="16">
        <f>B8/B2</f>
        <v/>
      </c>
      <c r="C9" s="16">
        <f>C8/C2</f>
        <v/>
      </c>
      <c r="D9" s="16">
        <f>D8/D2</f>
        <v/>
      </c>
      <c r="E9" s="16">
        <f>E8/E2</f>
        <v/>
      </c>
      <c r="F9" s="17" t="n"/>
      <c r="G9" s="52" t="n"/>
      <c r="H9" s="52" t="n"/>
    </row>
    <row r="10" ht="14.25" customHeight="1">
      <c r="A10" s="15" t="inlineStr">
        <is>
          <t>PB</t>
        </is>
      </c>
      <c r="B10" s="19">
        <f>B3/B9</f>
        <v/>
      </c>
      <c r="C10" s="19">
        <f>C3/C9</f>
        <v/>
      </c>
      <c r="D10" s="19">
        <f>D3/D9</f>
        <v/>
      </c>
      <c r="E10" s="19">
        <f>E3/E9</f>
        <v/>
      </c>
      <c r="F10" s="17" t="n"/>
      <c r="G10" s="17" t="n"/>
      <c r="H10" s="53" t="n"/>
    </row>
    <row r="11" ht="14.25" customHeight="1">
      <c r="E11" s="17" t="n"/>
      <c r="F11" s="17" t="n"/>
      <c r="G11" s="17" t="n"/>
      <c r="H11" s="17" t="n"/>
      <c r="I11" s="17" t="n"/>
    </row>
    <row r="12" ht="14.25" customHeight="1">
      <c r="F12" s="17" t="n"/>
      <c r="H12" s="17" t="n"/>
      <c r="I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</row>
    <row r="13" ht="14.25" customHeight="1">
      <c r="F13" s="17" t="n"/>
      <c r="G13" s="17" t="n"/>
      <c r="H13" s="17" t="n"/>
      <c r="I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</row>
    <row r="14" ht="14.25" customHeight="1">
      <c r="F14" s="17" t="n"/>
      <c r="G14" s="17" t="n"/>
      <c r="H14" s="17" t="n"/>
      <c r="I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</row>
    <row r="15" ht="14.25" customHeight="1">
      <c r="F15" s="17" t="n"/>
      <c r="G15" s="17" t="n"/>
    </row>
    <row r="16" ht="14.25" customHeight="1">
      <c r="G16" s="17" t="n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C8" sqref="C8"/>
    </sheetView>
  </sheetViews>
  <sheetFormatPr baseColWidth="8" defaultColWidth="12.625" defaultRowHeight="12.75"/>
  <cols>
    <col width="18.625" bestFit="1" customWidth="1" style="11" min="1" max="1"/>
    <col width="11.375" bestFit="1" customWidth="1" style="11" min="2" max="5"/>
    <col width="12.125" customWidth="1" style="11" min="6" max="7"/>
    <col width="8.875" customWidth="1" style="11" min="8" max="26"/>
    <col width="12.625" customWidth="1" style="11" min="27" max="16384"/>
  </cols>
  <sheetData>
    <row r="1">
      <c r="A1" s="40" t="inlineStr">
        <is>
          <t>Chỉ tiêu</t>
        </is>
      </c>
      <c r="B1" s="40" t="n">
        <v>2022</v>
      </c>
      <c r="C1" s="40" t="n">
        <v>2023</v>
      </c>
      <c r="D1" s="40" t="n">
        <v>2024</v>
      </c>
      <c r="E1" s="40" t="n">
        <v>2025</v>
      </c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42" t="n"/>
      <c r="W1" s="42" t="n"/>
      <c r="X1" s="42" t="n"/>
      <c r="Y1" s="42" t="n"/>
      <c r="Z1" s="42" t="n"/>
    </row>
    <row r="2" ht="25.5" customHeight="1">
      <c r="A2" s="40" t="inlineStr">
        <is>
          <t>Lợi nhuận trước thuế kế hoạch</t>
        </is>
      </c>
      <c r="B2" s="43" t="n">
        <v>27000000</v>
      </c>
      <c r="C2" s="43" t="n">
        <v>22000000</v>
      </c>
      <c r="D2" s="43" t="n">
        <v>27100000</v>
      </c>
      <c r="E2" s="43" t="n">
        <v>31500000</v>
      </c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  <c r="O2" s="42" t="n"/>
      <c r="P2" s="42" t="n"/>
      <c r="Q2" s="42" t="n"/>
      <c r="R2" s="42" t="n"/>
      <c r="S2" s="42" t="n"/>
      <c r="T2" s="42" t="n"/>
      <c r="U2" s="42" t="n"/>
      <c r="V2" s="42" t="n"/>
      <c r="W2" s="42" t="n"/>
      <c r="X2" s="42" t="n"/>
      <c r="Y2" s="42" t="n"/>
      <c r="Z2" s="42" t="n"/>
    </row>
    <row r="3" ht="25.5" customHeight="1">
      <c r="A3" s="40" t="inlineStr">
        <is>
          <t>Lợi nhuận trước thuế thu nhập doanh nghiệp</t>
        </is>
      </c>
      <c r="B3" s="43">
        <f>[2]KQHĐKD!F18*1000</f>
        <v/>
      </c>
      <c r="C3" s="43">
        <f>[2]KQHĐKD!G18*1000</f>
        <v/>
      </c>
      <c r="D3" s="43">
        <f>[2]KQHĐKD!H18*1000</f>
        <v/>
      </c>
      <c r="E3" s="43">
        <f>[2]KQHĐKD!I18*1000</f>
        <v/>
      </c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>
      <c r="A4" s="40" t="inlineStr">
        <is>
          <t>%thực hiện</t>
        </is>
      </c>
      <c r="B4" s="41">
        <f>B3/B2</f>
        <v/>
      </c>
      <c r="C4" s="41">
        <f>C3/C2</f>
        <v/>
      </c>
      <c r="D4" s="41">
        <f>D3/D2</f>
        <v/>
      </c>
      <c r="E4" s="41">
        <f>E3/E2</f>
        <v/>
      </c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ht="25.5" customHeight="1">
      <c r="A6" s="40" t="inlineStr">
        <is>
          <t>Trung vị %thực hiện LN trước thuế</t>
        </is>
      </c>
      <c r="B6" s="41">
        <f>MEDIAN(B4:E4)</f>
        <v/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 ht="25.5" customHeight="1">
      <c r="A8" s="40" t="inlineStr">
        <is>
          <t>Tỷ lệ hoàn thành LNTT trên 95%</t>
        </is>
      </c>
      <c r="B8" s="41">
        <f>COUNTIF(B4:E4,"&gt;=95%")/COUNT(B4:D4)</f>
        <v/>
      </c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 ht="15.75" customHeight="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 ht="15.75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 ht="15.75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 ht="15.75" customHeight="1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 ht="15.75" customHeight="1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 ht="15.75" customHeight="1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 ht="15.75" customHeight="1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 ht="15.75" customHeight="1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 ht="15.75" customHeight="1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 ht="15.75" customHeight="1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 ht="15.75" customHeight="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 ht="15.75" customHeight="1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 ht="15.75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 ht="15.75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 ht="15.75" customHeight="1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 ht="15.75" customHeight="1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 ht="15.75" customHeight="1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 ht="15.75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 ht="15.75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 ht="15.75" customHeight="1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 ht="15.75" customHeight="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 ht="15.75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 ht="15.75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 ht="15.75" customHeight="1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 ht="15.75" customHeight="1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 ht="15.75" customHeight="1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 ht="15.75" customHeight="1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15.75" customHeight="1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15.75" customHeight="1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15.75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15.75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15.75" customHeight="1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15.75" customHeight="1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15.75" customHeight="1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15.75" customHeight="1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15.75" customHeight="1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15.75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15.75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15.75" customHeight="1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15.75" customHeight="1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15.75" customHeight="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15.75" customHeight="1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15.75" customHeight="1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15.75" customHeight="1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15.75" customHeight="1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15.75" customHeight="1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15.75" customHeight="1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15.75" customHeight="1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15.75" customHeight="1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15.75" customHeight="1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15.75" customHeight="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15.75" customHeight="1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15.75" customHeight="1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15.75" customHeight="1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15.75" customHeight="1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15.75" customHeight="1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15.75" customHeight="1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15.75" customHeight="1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15.75" customHeight="1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15.75" customHeight="1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15.75" customHeight="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15.75" customHeight="1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15.75" customHeight="1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15.75" customHeight="1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15.75" customHeight="1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15.75" customHeight="1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15.75" customHeight="1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15.75" customHeight="1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15.75" customHeight="1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15.75" customHeight="1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15.75" customHeight="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15.75" customHeight="1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15.75" customHeight="1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15.75" customHeight="1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15.75" customHeight="1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15.75" customHeight="1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15.75" customHeight="1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15.75" customHeight="1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15.75" customHeight="1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15.75" customHeight="1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15.75" customHeight="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15.75" customHeight="1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15.75" customHeight="1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15.75" customHeight="1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15.75" customHeight="1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15.75" customHeight="1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15.75" customHeight="1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15.75" customHeight="1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15.75" customHeight="1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15.75" customHeight="1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15.75" customHeight="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15.75" customHeight="1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15.75" customHeight="1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15.75" customHeight="1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15.75" customHeight="1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15.75" customHeight="1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15.75" customHeight="1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15.75" customHeight="1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5.75" customHeight="1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15.75" customHeight="1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15.75" customHeight="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15.75" customHeight="1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15.75" customHeight="1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15.75" customHeight="1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15.75" customHeight="1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15.75" customHeight="1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15.75" customHeight="1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15.75" customHeight="1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15.75" customHeight="1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15.7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15.75" customHeight="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15.75" customHeight="1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15.75" customHeight="1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15.75" customHeight="1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15.75" customHeight="1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15.75" customHeight="1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15.75" customHeight="1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15.75" customHeight="1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15.75" customHeight="1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15.75" customHeight="1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15.75" customHeight="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15.75" customHeight="1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15.75" customHeight="1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15.75" customHeight="1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15.75" customHeight="1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15.75" customHeight="1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15.75" customHeight="1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15.75" customHeight="1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15.75" customHeight="1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15.75" customHeight="1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15.75" customHeight="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15.75" customHeight="1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15.75" customHeight="1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15.75" customHeight="1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15.75" customHeight="1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15.75" customHeight="1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15.75" customHeight="1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15.75" customHeight="1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15.75" customHeight="1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15.75" customHeight="1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15.75" customHeight="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15.75" customHeight="1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15.75" customHeight="1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15.75" customHeight="1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15.75" customHeight="1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15.75" customHeight="1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15.75" customHeight="1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15.75" customHeight="1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15.75" customHeight="1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15.75" customHeight="1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15.75" customHeight="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15.75" customHeight="1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15.75" customHeight="1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15.75" customHeight="1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15.75" customHeight="1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15.75" customHeight="1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15.75" customHeight="1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15.75" customHeight="1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15.75" customHeight="1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15.75" customHeight="1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15.75" customHeight="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15.75" customHeight="1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15.75" customHeight="1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15.75" customHeight="1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15.75" customHeight="1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15.75" customHeight="1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15.75" customHeight="1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15.75" customHeight="1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15.75" customHeight="1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15.75" customHeight="1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15.75" customHeight="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15.75" customHeight="1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15.75" customHeight="1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15.75" customHeight="1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15.75" customHeight="1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15.75" customHeight="1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15.75" customHeight="1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15.75" customHeight="1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15.75" customHeight="1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15.75" customHeight="1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15.75" customHeight="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15.75" customHeight="1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15.75" customHeight="1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15.75" customHeight="1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15.75" customHeight="1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15.75" customHeight="1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15.75" customHeight="1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15.75" customHeight="1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15.75" customHeight="1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15.75" customHeight="1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15.75" customHeight="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15.75" customHeight="1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15.75" customHeight="1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15.75" customHeight="1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15.75" customHeight="1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15.75" customHeight="1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15.75" customHeight="1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15.75" customHeight="1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15.75" customHeight="1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15.75" customHeight="1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15.75" customHeight="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15.75" customHeight="1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15.75" customHeight="1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15.75" customHeight="1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 ht="15.75" customHeight="1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 ht="15.75" customHeight="1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 ht="15.75" customHeight="1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 ht="15.75" customHeight="1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 ht="15.75" customHeight="1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 ht="15.75" customHeight="1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 ht="15.75" customHeight="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 ht="15.75" customHeight="1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 ht="15.75" customHeight="1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 ht="15.75" customHeight="1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 ht="15.75" customHeight="1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 ht="15.75" customHeight="1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 ht="15.75" customHeight="1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 ht="15.75" customHeight="1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 ht="15.75" customHeight="1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 ht="15.75" customHeight="1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 ht="15.75" customHeight="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 ht="15.75" customHeight="1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 ht="15.75" customHeight="1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 ht="15.75" customHeight="1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 ht="15.75" customHeight="1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 ht="15.75" customHeight="1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 ht="15.75" customHeight="1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 ht="15.75" customHeight="1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 ht="15.75" customHeight="1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 ht="15.75" customHeight="1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 ht="15.75" customHeight="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 ht="15.75" customHeight="1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 ht="15.75" customHeight="1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 ht="15.75" customHeight="1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 ht="15.75" customHeight="1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 ht="15.75" customHeight="1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 ht="15.75" customHeight="1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 ht="15.75" customHeight="1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 ht="15.75" customHeight="1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 ht="15.75" customHeight="1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 ht="15.75" customHeight="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 ht="15.75" customHeight="1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 ht="15.75" customHeight="1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 ht="15.75" customHeight="1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 ht="15.75" customHeight="1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 ht="15.75" customHeight="1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 ht="15.75" customHeight="1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 ht="15.75" customHeight="1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 ht="15.75" customHeight="1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 ht="15.75" customHeight="1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 ht="15.75" customHeight="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 ht="15.75" customHeight="1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 ht="15.75" customHeight="1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 ht="15.75" customHeight="1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 ht="15.75" customHeight="1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 ht="15.75" customHeight="1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 ht="15.75" customHeight="1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 ht="15.75" customHeight="1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 ht="15.75" customHeight="1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 ht="15.75" customHeight="1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 ht="15.75" customHeight="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 ht="15.75" customHeight="1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 ht="15.75" customHeight="1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 ht="15.75" customHeight="1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 ht="15.75" customHeight="1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 ht="15.75" customHeight="1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 ht="15.75" customHeight="1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 ht="15.75" customHeight="1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 ht="15.75" customHeight="1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 ht="15.75" customHeight="1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 ht="15.75" customHeight="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 ht="15.75" customHeight="1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 ht="15.75" customHeight="1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 ht="15.75" customHeight="1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 ht="15.75" customHeight="1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 ht="15.75" customHeight="1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 ht="15.75" customHeight="1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 ht="15.75" customHeight="1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 ht="15.75" customHeight="1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 ht="15.75" customHeight="1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 ht="15.75" customHeight="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 ht="15.75" customHeight="1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 ht="15.75" customHeight="1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 ht="15.75" customHeight="1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 ht="15.75" customHeight="1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 ht="15.75" customHeight="1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 ht="15.75" customHeight="1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 ht="15.75" customHeight="1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 ht="15.75" customHeight="1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 ht="15.75" customHeight="1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 ht="15.75" customHeight="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 ht="15.75" customHeight="1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 ht="15.75" customHeight="1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 ht="15.75" customHeight="1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 ht="15.75" customHeight="1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 ht="15.75" customHeight="1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 ht="15.75" customHeight="1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 ht="15.75" customHeight="1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 ht="15.75" customHeight="1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 ht="15.75" customHeight="1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 ht="15.75" customHeight="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 ht="15.75" customHeight="1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 ht="15.75" customHeight="1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 ht="15.75" customHeight="1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 ht="15.75" customHeight="1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 ht="15.75" customHeight="1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 ht="15.75" customHeight="1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 ht="15.75" customHeight="1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 ht="15.75" customHeight="1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 ht="15.75" customHeight="1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 ht="15.75" customHeight="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 ht="15.75" customHeight="1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 ht="15.75" customHeight="1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 ht="15.75" customHeight="1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 ht="15.75" customHeight="1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 ht="15.75" customHeight="1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 ht="15.75" customHeight="1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 ht="15.75" customHeight="1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 ht="15.75" customHeight="1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 ht="15.75" customHeight="1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 ht="15.75" customHeight="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 ht="15.75" customHeight="1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 ht="15.75" customHeight="1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 ht="15.75" customHeight="1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 ht="15.75" customHeight="1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 ht="15.75" customHeight="1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 ht="15.75" customHeight="1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 ht="15.75" customHeight="1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 ht="15.75" customHeight="1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 ht="15.75" customHeight="1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 ht="15.75" customHeight="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 ht="15.75" customHeight="1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 ht="15.75" customHeight="1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 ht="15.75" customHeight="1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 ht="15.75" customHeight="1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 ht="15.75" customHeight="1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 ht="15.75" customHeight="1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 ht="15.75" customHeight="1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 ht="15.75" customHeight="1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 ht="15.75" customHeight="1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 ht="15.75" customHeight="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 ht="15.75" customHeight="1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 ht="15.75" customHeight="1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 ht="15.75" customHeight="1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 ht="15.75" customHeight="1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 ht="15.75" customHeight="1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 ht="15.75" customHeight="1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 ht="15.75" customHeight="1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 ht="15.75" customHeight="1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 ht="15.75" customHeight="1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 ht="15.75" customHeight="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 ht="15.75" customHeight="1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 ht="15.75" customHeight="1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 ht="15.75" customHeight="1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 ht="15.75" customHeight="1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 ht="15.75" customHeight="1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 ht="15.75" customHeight="1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 ht="15.75" customHeight="1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 ht="15.75" customHeight="1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 ht="15.75" customHeight="1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 ht="15.75" customHeight="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 ht="15.75" customHeight="1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 ht="15.75" customHeight="1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 ht="15.75" customHeight="1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 ht="15.75" customHeight="1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 ht="15.75" customHeight="1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 ht="15.75" customHeight="1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 ht="15.75" customHeight="1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 ht="15.75" customHeight="1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 ht="15.75" customHeight="1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 ht="15.75" customHeight="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 ht="15.75" customHeight="1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 ht="15.75" customHeight="1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 ht="15.75" customHeight="1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 ht="15.75" customHeight="1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 ht="15.75" customHeight="1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 ht="15.75" customHeight="1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 ht="15.75" customHeight="1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 ht="15.75" customHeight="1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 ht="15.75" customHeight="1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 ht="15.75" customHeight="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 ht="15.75" customHeight="1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 ht="15.75" customHeight="1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 ht="15.75" customHeight="1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 ht="15.75" customHeight="1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 ht="15.75" customHeight="1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 ht="15.75" customHeight="1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 ht="15.75" customHeight="1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 ht="15.75" customHeight="1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 ht="15.75" customHeight="1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 ht="15.75" customHeight="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 ht="15.75" customHeight="1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 ht="15.75" customHeight="1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 ht="15.75" customHeight="1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 ht="15.75" customHeight="1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 ht="15.75" customHeight="1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 ht="15.75" customHeight="1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 ht="15.75" customHeight="1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 ht="15.75" customHeight="1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 ht="15.75" customHeight="1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 ht="15.75" customHeight="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 ht="15.75" customHeight="1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 ht="15.75" customHeight="1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 ht="15.75" customHeight="1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 ht="15.75" customHeight="1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 ht="15.75" customHeight="1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 ht="15.75" customHeight="1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 ht="15.75" customHeight="1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 ht="15.75" customHeight="1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 ht="15.75" customHeight="1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 ht="15.75" customHeight="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 ht="15.75" customHeight="1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 ht="15.75" customHeight="1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 ht="15.75" customHeight="1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 ht="15.75" customHeight="1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 ht="15.75" customHeight="1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 ht="15.75" customHeight="1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 ht="15.75" customHeight="1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 ht="15.75" customHeight="1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 ht="15.75" customHeight="1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 ht="15.75" customHeight="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 ht="15.75" customHeight="1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 ht="15.75" customHeight="1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 ht="15.75" customHeight="1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 ht="15.75" customHeight="1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 ht="15.75" customHeight="1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 ht="15.75" customHeight="1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 ht="15.75" customHeight="1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 ht="15.75" customHeight="1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 ht="15.75" customHeight="1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 ht="15.75" customHeight="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 ht="15.75" customHeight="1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 ht="15.75" customHeight="1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 ht="15.75" customHeight="1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 ht="15.75" customHeight="1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 ht="15.75" customHeight="1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 ht="15.75" customHeight="1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 ht="15.75" customHeight="1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 ht="15.75" customHeight="1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 ht="15.75" customHeight="1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 ht="15.75" customHeight="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 ht="15.75" customHeight="1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 ht="15.75" customHeight="1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 ht="15.75" customHeight="1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 ht="15.75" customHeight="1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 ht="15.75" customHeight="1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 ht="15.75" customHeight="1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 ht="15.75" customHeight="1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 ht="15.75" customHeight="1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 ht="15.75" customHeight="1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 ht="15.75" customHeight="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 ht="15.75" customHeight="1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 ht="15.75" customHeight="1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 ht="15.75" customHeight="1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 ht="15.75" customHeight="1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 ht="15.75" customHeight="1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 ht="15.75" customHeight="1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 ht="15.75" customHeight="1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 ht="15.75" customHeight="1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 ht="15.75" customHeight="1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 ht="15.75" customHeight="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 ht="15.75" customHeight="1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 ht="15.75" customHeight="1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 ht="15.75" customHeight="1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 ht="15.75" customHeight="1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 ht="15.75" customHeight="1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 ht="15.75" customHeight="1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 ht="15.75" customHeight="1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 ht="15.75" customHeight="1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 ht="15.75" customHeight="1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 ht="15.75" customHeight="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 ht="15.75" customHeight="1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 ht="15.75" customHeight="1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 ht="15.75" customHeight="1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 ht="15.75" customHeight="1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 ht="15.75" customHeight="1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 ht="15.75" customHeight="1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 ht="15.75" customHeight="1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 ht="15.75" customHeight="1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 ht="15.75" customHeight="1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 ht="15.75" customHeight="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 ht="15.75" customHeight="1">
      <c r="A502" s="42" t="n"/>
      <c r="B502" s="42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  <c r="P502" s="42" t="n"/>
      <c r="Q502" s="42" t="n"/>
      <c r="R502" s="42" t="n"/>
      <c r="S502" s="42" t="n"/>
      <c r="T502" s="42" t="n"/>
      <c r="U502" s="42" t="n"/>
      <c r="V502" s="42" t="n"/>
      <c r="W502" s="42" t="n"/>
      <c r="X502" s="42" t="n"/>
      <c r="Y502" s="42" t="n"/>
      <c r="Z502" s="42" t="n"/>
    </row>
    <row r="503" ht="15.75" customHeight="1">
      <c r="A503" s="42" t="n"/>
      <c r="B503" s="42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  <c r="P503" s="42" t="n"/>
      <c r="Q503" s="42" t="n"/>
      <c r="R503" s="42" t="n"/>
      <c r="S503" s="42" t="n"/>
      <c r="T503" s="42" t="n"/>
      <c r="U503" s="42" t="n"/>
      <c r="V503" s="42" t="n"/>
      <c r="W503" s="42" t="n"/>
      <c r="X503" s="42" t="n"/>
      <c r="Y503" s="42" t="n"/>
      <c r="Z503" s="42" t="n"/>
    </row>
    <row r="504" ht="15.75" customHeight="1">
      <c r="A504" s="42" t="n"/>
      <c r="B504" s="42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  <c r="P504" s="42" t="n"/>
      <c r="Q504" s="42" t="n"/>
      <c r="R504" s="42" t="n"/>
      <c r="S504" s="42" t="n"/>
      <c r="T504" s="42" t="n"/>
      <c r="U504" s="42" t="n"/>
      <c r="V504" s="42" t="n"/>
      <c r="W504" s="42" t="n"/>
      <c r="X504" s="42" t="n"/>
      <c r="Y504" s="42" t="n"/>
      <c r="Z504" s="42" t="n"/>
    </row>
    <row r="505" ht="15.75" customHeight="1">
      <c r="A505" s="42" t="n"/>
      <c r="B505" s="42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  <c r="P505" s="42" t="n"/>
      <c r="Q505" s="42" t="n"/>
      <c r="R505" s="42" t="n"/>
      <c r="S505" s="42" t="n"/>
      <c r="T505" s="42" t="n"/>
      <c r="U505" s="42" t="n"/>
      <c r="V505" s="42" t="n"/>
      <c r="W505" s="42" t="n"/>
      <c r="X505" s="42" t="n"/>
      <c r="Y505" s="42" t="n"/>
      <c r="Z505" s="42" t="n"/>
    </row>
    <row r="506" ht="15.75" customHeight="1">
      <c r="A506" s="42" t="n"/>
      <c r="B506" s="42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  <c r="P506" s="42" t="n"/>
      <c r="Q506" s="42" t="n"/>
      <c r="R506" s="42" t="n"/>
      <c r="S506" s="42" t="n"/>
      <c r="T506" s="42" t="n"/>
      <c r="U506" s="42" t="n"/>
      <c r="V506" s="42" t="n"/>
      <c r="W506" s="42" t="n"/>
      <c r="X506" s="42" t="n"/>
      <c r="Y506" s="42" t="n"/>
      <c r="Z506" s="42" t="n"/>
    </row>
    <row r="507" ht="15.75" customHeight="1">
      <c r="A507" s="42" t="n"/>
      <c r="B507" s="42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  <c r="P507" s="42" t="n"/>
      <c r="Q507" s="42" t="n"/>
      <c r="R507" s="42" t="n"/>
      <c r="S507" s="42" t="n"/>
      <c r="T507" s="42" t="n"/>
      <c r="U507" s="42" t="n"/>
      <c r="V507" s="42" t="n"/>
      <c r="W507" s="42" t="n"/>
      <c r="X507" s="42" t="n"/>
      <c r="Y507" s="42" t="n"/>
      <c r="Z507" s="42" t="n"/>
    </row>
    <row r="508" ht="15.75" customHeight="1">
      <c r="A508" s="42" t="n"/>
      <c r="B508" s="42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  <c r="P508" s="42" t="n"/>
      <c r="Q508" s="42" t="n"/>
      <c r="R508" s="42" t="n"/>
      <c r="S508" s="42" t="n"/>
      <c r="T508" s="42" t="n"/>
      <c r="U508" s="42" t="n"/>
      <c r="V508" s="42" t="n"/>
      <c r="W508" s="42" t="n"/>
      <c r="X508" s="42" t="n"/>
      <c r="Y508" s="42" t="n"/>
      <c r="Z508" s="42" t="n"/>
    </row>
    <row r="509" ht="15.75" customHeight="1">
      <c r="A509" s="42" t="n"/>
      <c r="B509" s="42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  <c r="P509" s="42" t="n"/>
      <c r="Q509" s="42" t="n"/>
      <c r="R509" s="42" t="n"/>
      <c r="S509" s="42" t="n"/>
      <c r="T509" s="42" t="n"/>
      <c r="U509" s="42" t="n"/>
      <c r="V509" s="42" t="n"/>
      <c r="W509" s="42" t="n"/>
      <c r="X509" s="42" t="n"/>
      <c r="Y509" s="42" t="n"/>
      <c r="Z509" s="42" t="n"/>
    </row>
    <row r="510" ht="15.75" customHeight="1">
      <c r="A510" s="42" t="n"/>
      <c r="B510" s="42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  <c r="P510" s="42" t="n"/>
      <c r="Q510" s="42" t="n"/>
      <c r="R510" s="42" t="n"/>
      <c r="S510" s="42" t="n"/>
      <c r="T510" s="42" t="n"/>
      <c r="U510" s="42" t="n"/>
      <c r="V510" s="42" t="n"/>
      <c r="W510" s="42" t="n"/>
      <c r="X510" s="42" t="n"/>
      <c r="Y510" s="42" t="n"/>
      <c r="Z510" s="42" t="n"/>
    </row>
    <row r="511" ht="15.75" customHeight="1">
      <c r="A511" s="42" t="n"/>
      <c r="B511" s="42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  <c r="P511" s="42" t="n"/>
      <c r="Q511" s="42" t="n"/>
      <c r="R511" s="42" t="n"/>
      <c r="S511" s="42" t="n"/>
      <c r="T511" s="42" t="n"/>
      <c r="U511" s="42" t="n"/>
      <c r="V511" s="42" t="n"/>
      <c r="W511" s="42" t="n"/>
      <c r="X511" s="42" t="n"/>
      <c r="Y511" s="42" t="n"/>
      <c r="Z511" s="42" t="n"/>
    </row>
    <row r="512" ht="15.75" customHeight="1">
      <c r="A512" s="42" t="n"/>
      <c r="B512" s="42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  <c r="P512" s="42" t="n"/>
      <c r="Q512" s="42" t="n"/>
      <c r="R512" s="42" t="n"/>
      <c r="S512" s="42" t="n"/>
      <c r="T512" s="42" t="n"/>
      <c r="U512" s="42" t="n"/>
      <c r="V512" s="42" t="n"/>
      <c r="W512" s="42" t="n"/>
      <c r="X512" s="42" t="n"/>
      <c r="Y512" s="42" t="n"/>
      <c r="Z512" s="42" t="n"/>
    </row>
    <row r="513" ht="15.75" customHeight="1">
      <c r="A513" s="42" t="n"/>
      <c r="B513" s="42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  <c r="P513" s="42" t="n"/>
      <c r="Q513" s="42" t="n"/>
      <c r="R513" s="42" t="n"/>
      <c r="S513" s="42" t="n"/>
      <c r="T513" s="42" t="n"/>
      <c r="U513" s="42" t="n"/>
      <c r="V513" s="42" t="n"/>
      <c r="W513" s="42" t="n"/>
      <c r="X513" s="42" t="n"/>
      <c r="Y513" s="42" t="n"/>
      <c r="Z513" s="42" t="n"/>
    </row>
    <row r="514" ht="15.75" customHeight="1">
      <c r="A514" s="42" t="n"/>
      <c r="B514" s="42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  <c r="P514" s="42" t="n"/>
      <c r="Q514" s="42" t="n"/>
      <c r="R514" s="42" t="n"/>
      <c r="S514" s="42" t="n"/>
      <c r="T514" s="42" t="n"/>
      <c r="U514" s="42" t="n"/>
      <c r="V514" s="42" t="n"/>
      <c r="W514" s="42" t="n"/>
      <c r="X514" s="42" t="n"/>
      <c r="Y514" s="42" t="n"/>
      <c r="Z514" s="42" t="n"/>
    </row>
    <row r="515" ht="15.75" customHeight="1">
      <c r="A515" s="42" t="n"/>
      <c r="B515" s="42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  <c r="P515" s="42" t="n"/>
      <c r="Q515" s="42" t="n"/>
      <c r="R515" s="42" t="n"/>
      <c r="S515" s="42" t="n"/>
      <c r="T515" s="42" t="n"/>
      <c r="U515" s="42" t="n"/>
      <c r="V515" s="42" t="n"/>
      <c r="W515" s="42" t="n"/>
      <c r="X515" s="42" t="n"/>
      <c r="Y515" s="42" t="n"/>
      <c r="Z515" s="42" t="n"/>
    </row>
    <row r="516" ht="15.75" customHeight="1">
      <c r="A516" s="42" t="n"/>
      <c r="B516" s="42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  <c r="P516" s="42" t="n"/>
      <c r="Q516" s="42" t="n"/>
      <c r="R516" s="42" t="n"/>
      <c r="S516" s="42" t="n"/>
      <c r="T516" s="42" t="n"/>
      <c r="U516" s="42" t="n"/>
      <c r="V516" s="42" t="n"/>
      <c r="W516" s="42" t="n"/>
      <c r="X516" s="42" t="n"/>
      <c r="Y516" s="42" t="n"/>
      <c r="Z516" s="42" t="n"/>
    </row>
    <row r="517" ht="15.75" customHeight="1">
      <c r="A517" s="42" t="n"/>
      <c r="B517" s="42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  <c r="P517" s="42" t="n"/>
      <c r="Q517" s="42" t="n"/>
      <c r="R517" s="42" t="n"/>
      <c r="S517" s="42" t="n"/>
      <c r="T517" s="42" t="n"/>
      <c r="U517" s="42" t="n"/>
      <c r="V517" s="42" t="n"/>
      <c r="W517" s="42" t="n"/>
      <c r="X517" s="42" t="n"/>
      <c r="Y517" s="42" t="n"/>
      <c r="Z517" s="42" t="n"/>
    </row>
    <row r="518" ht="15.75" customHeight="1">
      <c r="A518" s="42" t="n"/>
      <c r="B518" s="42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  <c r="P518" s="42" t="n"/>
      <c r="Q518" s="42" t="n"/>
      <c r="R518" s="42" t="n"/>
      <c r="S518" s="42" t="n"/>
      <c r="T518" s="42" t="n"/>
      <c r="U518" s="42" t="n"/>
      <c r="V518" s="42" t="n"/>
      <c r="W518" s="42" t="n"/>
      <c r="X518" s="42" t="n"/>
      <c r="Y518" s="42" t="n"/>
      <c r="Z518" s="42" t="n"/>
    </row>
    <row r="519" ht="15.75" customHeight="1">
      <c r="A519" s="42" t="n"/>
      <c r="B519" s="42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  <c r="P519" s="42" t="n"/>
      <c r="Q519" s="42" t="n"/>
      <c r="R519" s="42" t="n"/>
      <c r="S519" s="42" t="n"/>
      <c r="T519" s="42" t="n"/>
      <c r="U519" s="42" t="n"/>
      <c r="V519" s="42" t="n"/>
      <c r="W519" s="42" t="n"/>
      <c r="X519" s="42" t="n"/>
      <c r="Y519" s="42" t="n"/>
      <c r="Z519" s="42" t="n"/>
    </row>
    <row r="520" ht="15.75" customHeight="1">
      <c r="A520" s="42" t="n"/>
      <c r="B520" s="42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  <c r="P520" s="42" t="n"/>
      <c r="Q520" s="42" t="n"/>
      <c r="R520" s="42" t="n"/>
      <c r="S520" s="42" t="n"/>
      <c r="T520" s="42" t="n"/>
      <c r="U520" s="42" t="n"/>
      <c r="V520" s="42" t="n"/>
      <c r="W520" s="42" t="n"/>
      <c r="X520" s="42" t="n"/>
      <c r="Y520" s="42" t="n"/>
      <c r="Z520" s="42" t="n"/>
    </row>
    <row r="521" ht="15.75" customHeight="1">
      <c r="A521" s="42" t="n"/>
      <c r="B521" s="42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  <c r="P521" s="42" t="n"/>
      <c r="Q521" s="42" t="n"/>
      <c r="R521" s="42" t="n"/>
      <c r="S521" s="42" t="n"/>
      <c r="T521" s="42" t="n"/>
      <c r="U521" s="42" t="n"/>
      <c r="V521" s="42" t="n"/>
      <c r="W521" s="42" t="n"/>
      <c r="X521" s="42" t="n"/>
      <c r="Y521" s="42" t="n"/>
      <c r="Z521" s="42" t="n"/>
    </row>
    <row r="522" ht="15.75" customHeight="1">
      <c r="A522" s="42" t="n"/>
      <c r="B522" s="42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  <c r="P522" s="42" t="n"/>
      <c r="Q522" s="42" t="n"/>
      <c r="R522" s="42" t="n"/>
      <c r="S522" s="42" t="n"/>
      <c r="T522" s="42" t="n"/>
      <c r="U522" s="42" t="n"/>
      <c r="V522" s="42" t="n"/>
      <c r="W522" s="42" t="n"/>
      <c r="X522" s="42" t="n"/>
      <c r="Y522" s="42" t="n"/>
      <c r="Z522" s="42" t="n"/>
    </row>
    <row r="523" ht="15.75" customHeight="1">
      <c r="A523" s="42" t="n"/>
      <c r="B523" s="42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  <c r="P523" s="42" t="n"/>
      <c r="Q523" s="42" t="n"/>
      <c r="R523" s="42" t="n"/>
      <c r="S523" s="42" t="n"/>
      <c r="T523" s="42" t="n"/>
      <c r="U523" s="42" t="n"/>
      <c r="V523" s="42" t="n"/>
      <c r="W523" s="42" t="n"/>
      <c r="X523" s="42" t="n"/>
      <c r="Y523" s="42" t="n"/>
      <c r="Z523" s="42" t="n"/>
    </row>
    <row r="524" ht="15.75" customHeight="1">
      <c r="A524" s="42" t="n"/>
      <c r="B524" s="42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  <c r="P524" s="42" t="n"/>
      <c r="Q524" s="42" t="n"/>
      <c r="R524" s="42" t="n"/>
      <c r="S524" s="42" t="n"/>
      <c r="T524" s="42" t="n"/>
      <c r="U524" s="42" t="n"/>
      <c r="V524" s="42" t="n"/>
      <c r="W524" s="42" t="n"/>
      <c r="X524" s="42" t="n"/>
      <c r="Y524" s="42" t="n"/>
      <c r="Z524" s="42" t="n"/>
    </row>
    <row r="525" ht="15.75" customHeight="1">
      <c r="A525" s="42" t="n"/>
      <c r="B525" s="42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  <c r="P525" s="42" t="n"/>
      <c r="Q525" s="42" t="n"/>
      <c r="R525" s="42" t="n"/>
      <c r="S525" s="42" t="n"/>
      <c r="T525" s="42" t="n"/>
      <c r="U525" s="42" t="n"/>
      <c r="V525" s="42" t="n"/>
      <c r="W525" s="42" t="n"/>
      <c r="X525" s="42" t="n"/>
      <c r="Y525" s="42" t="n"/>
      <c r="Z525" s="42" t="n"/>
    </row>
    <row r="526" ht="15.75" customHeight="1">
      <c r="A526" s="42" t="n"/>
      <c r="B526" s="42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  <c r="P526" s="42" t="n"/>
      <c r="Q526" s="42" t="n"/>
      <c r="R526" s="42" t="n"/>
      <c r="S526" s="42" t="n"/>
      <c r="T526" s="42" t="n"/>
      <c r="U526" s="42" t="n"/>
      <c r="V526" s="42" t="n"/>
      <c r="W526" s="42" t="n"/>
      <c r="X526" s="42" t="n"/>
      <c r="Y526" s="42" t="n"/>
      <c r="Z526" s="42" t="n"/>
    </row>
    <row r="527" ht="15.75" customHeight="1">
      <c r="A527" s="42" t="n"/>
      <c r="B527" s="42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  <c r="P527" s="42" t="n"/>
      <c r="Q527" s="42" t="n"/>
      <c r="R527" s="42" t="n"/>
      <c r="S527" s="42" t="n"/>
      <c r="T527" s="42" t="n"/>
      <c r="U527" s="42" t="n"/>
      <c r="V527" s="42" t="n"/>
      <c r="W527" s="42" t="n"/>
      <c r="X527" s="42" t="n"/>
      <c r="Y527" s="42" t="n"/>
      <c r="Z527" s="42" t="n"/>
    </row>
    <row r="528" ht="15.75" customHeight="1">
      <c r="A528" s="42" t="n"/>
      <c r="B528" s="42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  <c r="P528" s="42" t="n"/>
      <c r="Q528" s="42" t="n"/>
      <c r="R528" s="42" t="n"/>
      <c r="S528" s="42" t="n"/>
      <c r="T528" s="42" t="n"/>
      <c r="U528" s="42" t="n"/>
      <c r="V528" s="42" t="n"/>
      <c r="W528" s="42" t="n"/>
      <c r="X528" s="42" t="n"/>
      <c r="Y528" s="42" t="n"/>
      <c r="Z528" s="42" t="n"/>
    </row>
    <row r="529" ht="15.75" customHeight="1">
      <c r="A529" s="42" t="n"/>
      <c r="B529" s="42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  <c r="P529" s="42" t="n"/>
      <c r="Q529" s="42" t="n"/>
      <c r="R529" s="42" t="n"/>
      <c r="S529" s="42" t="n"/>
      <c r="T529" s="42" t="n"/>
      <c r="U529" s="42" t="n"/>
      <c r="V529" s="42" t="n"/>
      <c r="W529" s="42" t="n"/>
      <c r="X529" s="42" t="n"/>
      <c r="Y529" s="42" t="n"/>
      <c r="Z529" s="42" t="n"/>
    </row>
    <row r="530" ht="15.75" customHeight="1">
      <c r="A530" s="42" t="n"/>
      <c r="B530" s="42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  <c r="P530" s="42" t="n"/>
      <c r="Q530" s="42" t="n"/>
      <c r="R530" s="42" t="n"/>
      <c r="S530" s="42" t="n"/>
      <c r="T530" s="42" t="n"/>
      <c r="U530" s="42" t="n"/>
      <c r="V530" s="42" t="n"/>
      <c r="W530" s="42" t="n"/>
      <c r="X530" s="42" t="n"/>
      <c r="Y530" s="42" t="n"/>
      <c r="Z530" s="42" t="n"/>
    </row>
    <row r="531" ht="15.75" customHeight="1">
      <c r="A531" s="42" t="n"/>
      <c r="B531" s="42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  <c r="P531" s="42" t="n"/>
      <c r="Q531" s="42" t="n"/>
      <c r="R531" s="42" t="n"/>
      <c r="S531" s="42" t="n"/>
      <c r="T531" s="42" t="n"/>
      <c r="U531" s="42" t="n"/>
      <c r="V531" s="42" t="n"/>
      <c r="W531" s="42" t="n"/>
      <c r="X531" s="42" t="n"/>
      <c r="Y531" s="42" t="n"/>
      <c r="Z531" s="42" t="n"/>
    </row>
    <row r="532" ht="15.75" customHeight="1">
      <c r="A532" s="42" t="n"/>
      <c r="B532" s="42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  <c r="P532" s="42" t="n"/>
      <c r="Q532" s="42" t="n"/>
      <c r="R532" s="42" t="n"/>
      <c r="S532" s="42" t="n"/>
      <c r="T532" s="42" t="n"/>
      <c r="U532" s="42" t="n"/>
      <c r="V532" s="42" t="n"/>
      <c r="W532" s="42" t="n"/>
      <c r="X532" s="42" t="n"/>
      <c r="Y532" s="42" t="n"/>
      <c r="Z532" s="42" t="n"/>
    </row>
    <row r="533" ht="15.75" customHeight="1">
      <c r="A533" s="42" t="n"/>
      <c r="B533" s="42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  <c r="P533" s="42" t="n"/>
      <c r="Q533" s="42" t="n"/>
      <c r="R533" s="42" t="n"/>
      <c r="S533" s="42" t="n"/>
      <c r="T533" s="42" t="n"/>
      <c r="U533" s="42" t="n"/>
      <c r="V533" s="42" t="n"/>
      <c r="W533" s="42" t="n"/>
      <c r="X533" s="42" t="n"/>
      <c r="Y533" s="42" t="n"/>
      <c r="Z533" s="42" t="n"/>
    </row>
    <row r="534" ht="15.75" customHeight="1">
      <c r="A534" s="42" t="n"/>
      <c r="B534" s="42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  <c r="P534" s="42" t="n"/>
      <c r="Q534" s="42" t="n"/>
      <c r="R534" s="42" t="n"/>
      <c r="S534" s="42" t="n"/>
      <c r="T534" s="42" t="n"/>
      <c r="U534" s="42" t="n"/>
      <c r="V534" s="42" t="n"/>
      <c r="W534" s="42" t="n"/>
      <c r="X534" s="42" t="n"/>
      <c r="Y534" s="42" t="n"/>
      <c r="Z534" s="42" t="n"/>
    </row>
    <row r="535" ht="15.75" customHeight="1">
      <c r="A535" s="42" t="n"/>
      <c r="B535" s="42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  <c r="P535" s="42" t="n"/>
      <c r="Q535" s="42" t="n"/>
      <c r="R535" s="42" t="n"/>
      <c r="S535" s="42" t="n"/>
      <c r="T535" s="42" t="n"/>
      <c r="U535" s="42" t="n"/>
      <c r="V535" s="42" t="n"/>
      <c r="W535" s="42" t="n"/>
      <c r="X535" s="42" t="n"/>
      <c r="Y535" s="42" t="n"/>
      <c r="Z535" s="42" t="n"/>
    </row>
    <row r="536" ht="15.75" customHeight="1">
      <c r="A536" s="42" t="n"/>
      <c r="B536" s="42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  <c r="P536" s="42" t="n"/>
      <c r="Q536" s="42" t="n"/>
      <c r="R536" s="42" t="n"/>
      <c r="S536" s="42" t="n"/>
      <c r="T536" s="42" t="n"/>
      <c r="U536" s="42" t="n"/>
      <c r="V536" s="42" t="n"/>
      <c r="W536" s="42" t="n"/>
      <c r="X536" s="42" t="n"/>
      <c r="Y536" s="42" t="n"/>
      <c r="Z536" s="42" t="n"/>
    </row>
    <row r="537" ht="15.75" customHeight="1">
      <c r="A537" s="42" t="n"/>
      <c r="B537" s="42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  <c r="P537" s="42" t="n"/>
      <c r="Q537" s="42" t="n"/>
      <c r="R537" s="42" t="n"/>
      <c r="S537" s="42" t="n"/>
      <c r="T537" s="42" t="n"/>
      <c r="U537" s="42" t="n"/>
      <c r="V537" s="42" t="n"/>
      <c r="W537" s="42" t="n"/>
      <c r="X537" s="42" t="n"/>
      <c r="Y537" s="42" t="n"/>
      <c r="Z537" s="42" t="n"/>
    </row>
    <row r="538" ht="15.75" customHeight="1">
      <c r="A538" s="42" t="n"/>
      <c r="B538" s="42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  <c r="P538" s="42" t="n"/>
      <c r="Q538" s="42" t="n"/>
      <c r="R538" s="42" t="n"/>
      <c r="S538" s="42" t="n"/>
      <c r="T538" s="42" t="n"/>
      <c r="U538" s="42" t="n"/>
      <c r="V538" s="42" t="n"/>
      <c r="W538" s="42" t="n"/>
      <c r="X538" s="42" t="n"/>
      <c r="Y538" s="42" t="n"/>
      <c r="Z538" s="42" t="n"/>
    </row>
    <row r="539" ht="15.75" customHeight="1">
      <c r="A539" s="42" t="n"/>
      <c r="B539" s="42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  <c r="P539" s="42" t="n"/>
      <c r="Q539" s="42" t="n"/>
      <c r="R539" s="42" t="n"/>
      <c r="S539" s="42" t="n"/>
      <c r="T539" s="42" t="n"/>
      <c r="U539" s="42" t="n"/>
      <c r="V539" s="42" t="n"/>
      <c r="W539" s="42" t="n"/>
      <c r="X539" s="42" t="n"/>
      <c r="Y539" s="42" t="n"/>
      <c r="Z539" s="42" t="n"/>
    </row>
    <row r="540" ht="15.75" customHeight="1">
      <c r="A540" s="42" t="n"/>
      <c r="B540" s="42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  <c r="P540" s="42" t="n"/>
      <c r="Q540" s="42" t="n"/>
      <c r="R540" s="42" t="n"/>
      <c r="S540" s="42" t="n"/>
      <c r="T540" s="42" t="n"/>
      <c r="U540" s="42" t="n"/>
      <c r="V540" s="42" t="n"/>
      <c r="W540" s="42" t="n"/>
      <c r="X540" s="42" t="n"/>
      <c r="Y540" s="42" t="n"/>
      <c r="Z540" s="42" t="n"/>
    </row>
    <row r="541" ht="15.75" customHeight="1">
      <c r="A541" s="42" t="n"/>
      <c r="B541" s="42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  <c r="P541" s="42" t="n"/>
      <c r="Q541" s="42" t="n"/>
      <c r="R541" s="42" t="n"/>
      <c r="S541" s="42" t="n"/>
      <c r="T541" s="42" t="n"/>
      <c r="U541" s="42" t="n"/>
      <c r="V541" s="42" t="n"/>
      <c r="W541" s="42" t="n"/>
      <c r="X541" s="42" t="n"/>
      <c r="Y541" s="42" t="n"/>
      <c r="Z541" s="42" t="n"/>
    </row>
    <row r="542" ht="15.75" customHeight="1">
      <c r="A542" s="42" t="n"/>
      <c r="B542" s="42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  <c r="P542" s="42" t="n"/>
      <c r="Q542" s="42" t="n"/>
      <c r="R542" s="42" t="n"/>
      <c r="S542" s="42" t="n"/>
      <c r="T542" s="42" t="n"/>
      <c r="U542" s="42" t="n"/>
      <c r="V542" s="42" t="n"/>
      <c r="W542" s="42" t="n"/>
      <c r="X542" s="42" t="n"/>
      <c r="Y542" s="42" t="n"/>
      <c r="Z542" s="42" t="n"/>
    </row>
    <row r="543" ht="15.75" customHeight="1">
      <c r="A543" s="42" t="n"/>
      <c r="B543" s="42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  <c r="P543" s="42" t="n"/>
      <c r="Q543" s="42" t="n"/>
      <c r="R543" s="42" t="n"/>
      <c r="S543" s="42" t="n"/>
      <c r="T543" s="42" t="n"/>
      <c r="U543" s="42" t="n"/>
      <c r="V543" s="42" t="n"/>
      <c r="W543" s="42" t="n"/>
      <c r="X543" s="42" t="n"/>
      <c r="Y543" s="42" t="n"/>
      <c r="Z543" s="42" t="n"/>
    </row>
    <row r="544" ht="15.75" customHeight="1">
      <c r="A544" s="42" t="n"/>
      <c r="B544" s="42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  <c r="P544" s="42" t="n"/>
      <c r="Q544" s="42" t="n"/>
      <c r="R544" s="42" t="n"/>
      <c r="S544" s="42" t="n"/>
      <c r="T544" s="42" t="n"/>
      <c r="U544" s="42" t="n"/>
      <c r="V544" s="42" t="n"/>
      <c r="W544" s="42" t="n"/>
      <c r="X544" s="42" t="n"/>
      <c r="Y544" s="42" t="n"/>
      <c r="Z544" s="42" t="n"/>
    </row>
    <row r="545" ht="15.75" customHeight="1">
      <c r="A545" s="42" t="n"/>
      <c r="B545" s="42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  <c r="P545" s="42" t="n"/>
      <c r="Q545" s="42" t="n"/>
      <c r="R545" s="42" t="n"/>
      <c r="S545" s="42" t="n"/>
      <c r="T545" s="42" t="n"/>
      <c r="U545" s="42" t="n"/>
      <c r="V545" s="42" t="n"/>
      <c r="W545" s="42" t="n"/>
      <c r="X545" s="42" t="n"/>
      <c r="Y545" s="42" t="n"/>
      <c r="Z545" s="42" t="n"/>
    </row>
    <row r="546" ht="15.75" customHeight="1">
      <c r="A546" s="42" t="n"/>
      <c r="B546" s="42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  <c r="P546" s="42" t="n"/>
      <c r="Q546" s="42" t="n"/>
      <c r="R546" s="42" t="n"/>
      <c r="S546" s="42" t="n"/>
      <c r="T546" s="42" t="n"/>
      <c r="U546" s="42" t="n"/>
      <c r="V546" s="42" t="n"/>
      <c r="W546" s="42" t="n"/>
      <c r="X546" s="42" t="n"/>
      <c r="Y546" s="42" t="n"/>
      <c r="Z546" s="42" t="n"/>
    </row>
    <row r="547" ht="15.75" customHeight="1">
      <c r="A547" s="42" t="n"/>
      <c r="B547" s="42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  <c r="P547" s="42" t="n"/>
      <c r="Q547" s="42" t="n"/>
      <c r="R547" s="42" t="n"/>
      <c r="S547" s="42" t="n"/>
      <c r="T547" s="42" t="n"/>
      <c r="U547" s="42" t="n"/>
      <c r="V547" s="42" t="n"/>
      <c r="W547" s="42" t="n"/>
      <c r="X547" s="42" t="n"/>
      <c r="Y547" s="42" t="n"/>
      <c r="Z547" s="42" t="n"/>
    </row>
    <row r="548" ht="15.75" customHeight="1">
      <c r="A548" s="42" t="n"/>
      <c r="B548" s="42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  <c r="P548" s="42" t="n"/>
      <c r="Q548" s="42" t="n"/>
      <c r="R548" s="42" t="n"/>
      <c r="S548" s="42" t="n"/>
      <c r="T548" s="42" t="n"/>
      <c r="U548" s="42" t="n"/>
      <c r="V548" s="42" t="n"/>
      <c r="W548" s="42" t="n"/>
      <c r="X548" s="42" t="n"/>
      <c r="Y548" s="42" t="n"/>
      <c r="Z548" s="42" t="n"/>
    </row>
    <row r="549" ht="15.75" customHeight="1">
      <c r="A549" s="42" t="n"/>
      <c r="B549" s="42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  <c r="P549" s="42" t="n"/>
      <c r="Q549" s="42" t="n"/>
      <c r="R549" s="42" t="n"/>
      <c r="S549" s="42" t="n"/>
      <c r="T549" s="42" t="n"/>
      <c r="U549" s="42" t="n"/>
      <c r="V549" s="42" t="n"/>
      <c r="W549" s="42" t="n"/>
      <c r="X549" s="42" t="n"/>
      <c r="Y549" s="42" t="n"/>
      <c r="Z549" s="42" t="n"/>
    </row>
    <row r="550" ht="15.75" customHeight="1">
      <c r="A550" s="42" t="n"/>
      <c r="B550" s="42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  <c r="P550" s="42" t="n"/>
      <c r="Q550" s="42" t="n"/>
      <c r="R550" s="42" t="n"/>
      <c r="S550" s="42" t="n"/>
      <c r="T550" s="42" t="n"/>
      <c r="U550" s="42" t="n"/>
      <c r="V550" s="42" t="n"/>
      <c r="W550" s="42" t="n"/>
      <c r="X550" s="42" t="n"/>
      <c r="Y550" s="42" t="n"/>
      <c r="Z550" s="42" t="n"/>
    </row>
    <row r="551" ht="15.75" customHeight="1">
      <c r="A551" s="42" t="n"/>
      <c r="B551" s="42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  <c r="P551" s="42" t="n"/>
      <c r="Q551" s="42" t="n"/>
      <c r="R551" s="42" t="n"/>
      <c r="S551" s="42" t="n"/>
      <c r="T551" s="42" t="n"/>
      <c r="U551" s="42" t="n"/>
      <c r="V551" s="42" t="n"/>
      <c r="W551" s="42" t="n"/>
      <c r="X551" s="42" t="n"/>
      <c r="Y551" s="42" t="n"/>
      <c r="Z551" s="42" t="n"/>
    </row>
    <row r="552" ht="15.75" customHeight="1">
      <c r="A552" s="42" t="n"/>
      <c r="B552" s="42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  <c r="P552" s="42" t="n"/>
      <c r="Q552" s="42" t="n"/>
      <c r="R552" s="42" t="n"/>
      <c r="S552" s="42" t="n"/>
      <c r="T552" s="42" t="n"/>
      <c r="U552" s="42" t="n"/>
      <c r="V552" s="42" t="n"/>
      <c r="W552" s="42" t="n"/>
      <c r="X552" s="42" t="n"/>
      <c r="Y552" s="42" t="n"/>
      <c r="Z552" s="42" t="n"/>
    </row>
    <row r="553" ht="15.75" customHeight="1">
      <c r="A553" s="42" t="n"/>
      <c r="B553" s="42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  <c r="P553" s="42" t="n"/>
      <c r="Q553" s="42" t="n"/>
      <c r="R553" s="42" t="n"/>
      <c r="S553" s="42" t="n"/>
      <c r="T553" s="42" t="n"/>
      <c r="U553" s="42" t="n"/>
      <c r="V553" s="42" t="n"/>
      <c r="W553" s="42" t="n"/>
      <c r="X553" s="42" t="n"/>
      <c r="Y553" s="42" t="n"/>
      <c r="Z553" s="42" t="n"/>
    </row>
    <row r="554" ht="15.75" customHeight="1">
      <c r="A554" s="42" t="n"/>
      <c r="B554" s="42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  <c r="P554" s="42" t="n"/>
      <c r="Q554" s="42" t="n"/>
      <c r="R554" s="42" t="n"/>
      <c r="S554" s="42" t="n"/>
      <c r="T554" s="42" t="n"/>
      <c r="U554" s="42" t="n"/>
      <c r="V554" s="42" t="n"/>
      <c r="W554" s="42" t="n"/>
      <c r="X554" s="42" t="n"/>
      <c r="Y554" s="42" t="n"/>
      <c r="Z554" s="42" t="n"/>
    </row>
    <row r="555" ht="15.75" customHeight="1">
      <c r="A555" s="42" t="n"/>
      <c r="B555" s="42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  <c r="P555" s="42" t="n"/>
      <c r="Q555" s="42" t="n"/>
      <c r="R555" s="42" t="n"/>
      <c r="S555" s="42" t="n"/>
      <c r="T555" s="42" t="n"/>
      <c r="U555" s="42" t="n"/>
      <c r="V555" s="42" t="n"/>
      <c r="W555" s="42" t="n"/>
      <c r="X555" s="42" t="n"/>
      <c r="Y555" s="42" t="n"/>
      <c r="Z555" s="42" t="n"/>
    </row>
    <row r="556" ht="15.75" customHeight="1">
      <c r="A556" s="42" t="n"/>
      <c r="B556" s="42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  <c r="P556" s="42" t="n"/>
      <c r="Q556" s="42" t="n"/>
      <c r="R556" s="42" t="n"/>
      <c r="S556" s="42" t="n"/>
      <c r="T556" s="42" t="n"/>
      <c r="U556" s="42" t="n"/>
      <c r="V556" s="42" t="n"/>
      <c r="W556" s="42" t="n"/>
      <c r="X556" s="42" t="n"/>
      <c r="Y556" s="42" t="n"/>
      <c r="Z556" s="42" t="n"/>
    </row>
    <row r="557" ht="15.75" customHeight="1">
      <c r="A557" s="42" t="n"/>
      <c r="B557" s="42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  <c r="P557" s="42" t="n"/>
      <c r="Q557" s="42" t="n"/>
      <c r="R557" s="42" t="n"/>
      <c r="S557" s="42" t="n"/>
      <c r="T557" s="42" t="n"/>
      <c r="U557" s="42" t="n"/>
      <c r="V557" s="42" t="n"/>
      <c r="W557" s="42" t="n"/>
      <c r="X557" s="42" t="n"/>
      <c r="Y557" s="42" t="n"/>
      <c r="Z557" s="42" t="n"/>
    </row>
    <row r="558" ht="15.75" customHeight="1">
      <c r="A558" s="42" t="n"/>
      <c r="B558" s="42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  <c r="P558" s="42" t="n"/>
      <c r="Q558" s="42" t="n"/>
      <c r="R558" s="42" t="n"/>
      <c r="S558" s="42" t="n"/>
      <c r="T558" s="42" t="n"/>
      <c r="U558" s="42" t="n"/>
      <c r="V558" s="42" t="n"/>
      <c r="W558" s="42" t="n"/>
      <c r="X558" s="42" t="n"/>
      <c r="Y558" s="42" t="n"/>
      <c r="Z558" s="42" t="n"/>
    </row>
    <row r="559" ht="15.75" customHeight="1">
      <c r="A559" s="42" t="n"/>
      <c r="B559" s="42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  <c r="P559" s="42" t="n"/>
      <c r="Q559" s="42" t="n"/>
      <c r="R559" s="42" t="n"/>
      <c r="S559" s="42" t="n"/>
      <c r="T559" s="42" t="n"/>
      <c r="U559" s="42" t="n"/>
      <c r="V559" s="42" t="n"/>
      <c r="W559" s="42" t="n"/>
      <c r="X559" s="42" t="n"/>
      <c r="Y559" s="42" t="n"/>
      <c r="Z559" s="42" t="n"/>
    </row>
    <row r="560" ht="15.75" customHeight="1">
      <c r="A560" s="42" t="n"/>
      <c r="B560" s="42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  <c r="P560" s="42" t="n"/>
      <c r="Q560" s="42" t="n"/>
      <c r="R560" s="42" t="n"/>
      <c r="S560" s="42" t="n"/>
      <c r="T560" s="42" t="n"/>
      <c r="U560" s="42" t="n"/>
      <c r="V560" s="42" t="n"/>
      <c r="W560" s="42" t="n"/>
      <c r="X560" s="42" t="n"/>
      <c r="Y560" s="42" t="n"/>
      <c r="Z560" s="42" t="n"/>
    </row>
    <row r="561" ht="15.75" customHeight="1">
      <c r="A561" s="42" t="n"/>
      <c r="B561" s="42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  <c r="P561" s="42" t="n"/>
      <c r="Q561" s="42" t="n"/>
      <c r="R561" s="42" t="n"/>
      <c r="S561" s="42" t="n"/>
      <c r="T561" s="42" t="n"/>
      <c r="U561" s="42" t="n"/>
      <c r="V561" s="42" t="n"/>
      <c r="W561" s="42" t="n"/>
      <c r="X561" s="42" t="n"/>
      <c r="Y561" s="42" t="n"/>
      <c r="Z561" s="42" t="n"/>
    </row>
    <row r="562" ht="15.75" customHeight="1">
      <c r="A562" s="42" t="n"/>
      <c r="B562" s="42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  <c r="P562" s="42" t="n"/>
      <c r="Q562" s="42" t="n"/>
      <c r="R562" s="42" t="n"/>
      <c r="S562" s="42" t="n"/>
      <c r="T562" s="42" t="n"/>
      <c r="U562" s="42" t="n"/>
      <c r="V562" s="42" t="n"/>
      <c r="W562" s="42" t="n"/>
      <c r="X562" s="42" t="n"/>
      <c r="Y562" s="42" t="n"/>
      <c r="Z562" s="42" t="n"/>
    </row>
    <row r="563" ht="15.75" customHeight="1">
      <c r="A563" s="42" t="n"/>
      <c r="B563" s="42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  <c r="P563" s="42" t="n"/>
      <c r="Q563" s="42" t="n"/>
      <c r="R563" s="42" t="n"/>
      <c r="S563" s="42" t="n"/>
      <c r="T563" s="42" t="n"/>
      <c r="U563" s="42" t="n"/>
      <c r="V563" s="42" t="n"/>
      <c r="W563" s="42" t="n"/>
      <c r="X563" s="42" t="n"/>
      <c r="Y563" s="42" t="n"/>
      <c r="Z563" s="42" t="n"/>
    </row>
    <row r="564" ht="15.75" customHeight="1">
      <c r="A564" s="42" t="n"/>
      <c r="B564" s="42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  <c r="P564" s="42" t="n"/>
      <c r="Q564" s="42" t="n"/>
      <c r="R564" s="42" t="n"/>
      <c r="S564" s="42" t="n"/>
      <c r="T564" s="42" t="n"/>
      <c r="U564" s="42" t="n"/>
      <c r="V564" s="42" t="n"/>
      <c r="W564" s="42" t="n"/>
      <c r="X564" s="42" t="n"/>
      <c r="Y564" s="42" t="n"/>
      <c r="Z564" s="42" t="n"/>
    </row>
    <row r="565" ht="15.75" customHeight="1">
      <c r="A565" s="42" t="n"/>
      <c r="B565" s="42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  <c r="P565" s="42" t="n"/>
      <c r="Q565" s="42" t="n"/>
      <c r="R565" s="42" t="n"/>
      <c r="S565" s="42" t="n"/>
      <c r="T565" s="42" t="n"/>
      <c r="U565" s="42" t="n"/>
      <c r="V565" s="42" t="n"/>
      <c r="W565" s="42" t="n"/>
      <c r="X565" s="42" t="n"/>
      <c r="Y565" s="42" t="n"/>
      <c r="Z565" s="42" t="n"/>
    </row>
    <row r="566" ht="15.75" customHeight="1">
      <c r="A566" s="42" t="n"/>
      <c r="B566" s="42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  <c r="P566" s="42" t="n"/>
      <c r="Q566" s="42" t="n"/>
      <c r="R566" s="42" t="n"/>
      <c r="S566" s="42" t="n"/>
      <c r="T566" s="42" t="n"/>
      <c r="U566" s="42" t="n"/>
      <c r="V566" s="42" t="n"/>
      <c r="W566" s="42" t="n"/>
      <c r="X566" s="42" t="n"/>
      <c r="Y566" s="42" t="n"/>
      <c r="Z566" s="42" t="n"/>
    </row>
    <row r="567" ht="15.75" customHeight="1">
      <c r="A567" s="42" t="n"/>
      <c r="B567" s="42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  <c r="P567" s="42" t="n"/>
      <c r="Q567" s="42" t="n"/>
      <c r="R567" s="42" t="n"/>
      <c r="S567" s="42" t="n"/>
      <c r="T567" s="42" t="n"/>
      <c r="U567" s="42" t="n"/>
      <c r="V567" s="42" t="n"/>
      <c r="W567" s="42" t="n"/>
      <c r="X567" s="42" t="n"/>
      <c r="Y567" s="42" t="n"/>
      <c r="Z567" s="42" t="n"/>
    </row>
    <row r="568" ht="15.75" customHeight="1">
      <c r="A568" s="42" t="n"/>
      <c r="B568" s="42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  <c r="P568" s="42" t="n"/>
      <c r="Q568" s="42" t="n"/>
      <c r="R568" s="42" t="n"/>
      <c r="S568" s="42" t="n"/>
      <c r="T568" s="42" t="n"/>
      <c r="U568" s="42" t="n"/>
      <c r="V568" s="42" t="n"/>
      <c r="W568" s="42" t="n"/>
      <c r="X568" s="42" t="n"/>
      <c r="Y568" s="42" t="n"/>
      <c r="Z568" s="42" t="n"/>
    </row>
    <row r="569" ht="15.75" customHeight="1">
      <c r="A569" s="42" t="n"/>
      <c r="B569" s="42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  <c r="P569" s="42" t="n"/>
      <c r="Q569" s="42" t="n"/>
      <c r="R569" s="42" t="n"/>
      <c r="S569" s="42" t="n"/>
      <c r="T569" s="42" t="n"/>
      <c r="U569" s="42" t="n"/>
      <c r="V569" s="42" t="n"/>
      <c r="W569" s="42" t="n"/>
      <c r="X569" s="42" t="n"/>
      <c r="Y569" s="42" t="n"/>
      <c r="Z569" s="42" t="n"/>
    </row>
    <row r="570" ht="15.75" customHeight="1">
      <c r="A570" s="42" t="n"/>
      <c r="B570" s="42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  <c r="P570" s="42" t="n"/>
      <c r="Q570" s="42" t="n"/>
      <c r="R570" s="42" t="n"/>
      <c r="S570" s="42" t="n"/>
      <c r="T570" s="42" t="n"/>
      <c r="U570" s="42" t="n"/>
      <c r="V570" s="42" t="n"/>
      <c r="W570" s="42" t="n"/>
      <c r="X570" s="42" t="n"/>
      <c r="Y570" s="42" t="n"/>
      <c r="Z570" s="42" t="n"/>
    </row>
    <row r="571" ht="15.75" customHeight="1">
      <c r="A571" s="42" t="n"/>
      <c r="B571" s="42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  <c r="P571" s="42" t="n"/>
      <c r="Q571" s="42" t="n"/>
      <c r="R571" s="42" t="n"/>
      <c r="S571" s="42" t="n"/>
      <c r="T571" s="42" t="n"/>
      <c r="U571" s="42" t="n"/>
      <c r="V571" s="42" t="n"/>
      <c r="W571" s="42" t="n"/>
      <c r="X571" s="42" t="n"/>
      <c r="Y571" s="42" t="n"/>
      <c r="Z571" s="42" t="n"/>
    </row>
    <row r="572" ht="15.75" customHeight="1">
      <c r="A572" s="42" t="n"/>
      <c r="B572" s="42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  <c r="P572" s="42" t="n"/>
      <c r="Q572" s="42" t="n"/>
      <c r="R572" s="42" t="n"/>
      <c r="S572" s="42" t="n"/>
      <c r="T572" s="42" t="n"/>
      <c r="U572" s="42" t="n"/>
      <c r="V572" s="42" t="n"/>
      <c r="W572" s="42" t="n"/>
      <c r="X572" s="42" t="n"/>
      <c r="Y572" s="42" t="n"/>
      <c r="Z572" s="42" t="n"/>
    </row>
    <row r="573" ht="15.75" customHeight="1">
      <c r="A573" s="42" t="n"/>
      <c r="B573" s="42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  <c r="P573" s="42" t="n"/>
      <c r="Q573" s="42" t="n"/>
      <c r="R573" s="42" t="n"/>
      <c r="S573" s="42" t="n"/>
      <c r="T573" s="42" t="n"/>
      <c r="U573" s="42" t="n"/>
      <c r="V573" s="42" t="n"/>
      <c r="W573" s="42" t="n"/>
      <c r="X573" s="42" t="n"/>
      <c r="Y573" s="42" t="n"/>
      <c r="Z573" s="42" t="n"/>
    </row>
    <row r="574" ht="15.75" customHeight="1">
      <c r="A574" s="42" t="n"/>
      <c r="B574" s="42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  <c r="P574" s="42" t="n"/>
      <c r="Q574" s="42" t="n"/>
      <c r="R574" s="42" t="n"/>
      <c r="S574" s="42" t="n"/>
      <c r="T574" s="42" t="n"/>
      <c r="U574" s="42" t="n"/>
      <c r="V574" s="42" t="n"/>
      <c r="W574" s="42" t="n"/>
      <c r="X574" s="42" t="n"/>
      <c r="Y574" s="42" t="n"/>
      <c r="Z574" s="42" t="n"/>
    </row>
    <row r="575" ht="15.75" customHeight="1">
      <c r="A575" s="42" t="n"/>
      <c r="B575" s="42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  <c r="P575" s="42" t="n"/>
      <c r="Q575" s="42" t="n"/>
      <c r="R575" s="42" t="n"/>
      <c r="S575" s="42" t="n"/>
      <c r="T575" s="42" t="n"/>
      <c r="U575" s="42" t="n"/>
      <c r="V575" s="42" t="n"/>
      <c r="W575" s="42" t="n"/>
      <c r="X575" s="42" t="n"/>
      <c r="Y575" s="42" t="n"/>
      <c r="Z575" s="42" t="n"/>
    </row>
    <row r="576" ht="15.75" customHeight="1">
      <c r="A576" s="42" t="n"/>
      <c r="B576" s="42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  <c r="P576" s="42" t="n"/>
      <c r="Q576" s="42" t="n"/>
      <c r="R576" s="42" t="n"/>
      <c r="S576" s="42" t="n"/>
      <c r="T576" s="42" t="n"/>
      <c r="U576" s="42" t="n"/>
      <c r="V576" s="42" t="n"/>
      <c r="W576" s="42" t="n"/>
      <c r="X576" s="42" t="n"/>
      <c r="Y576" s="42" t="n"/>
      <c r="Z576" s="42" t="n"/>
    </row>
    <row r="577" ht="15.75" customHeight="1">
      <c r="A577" s="42" t="n"/>
      <c r="B577" s="42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  <c r="P577" s="42" t="n"/>
      <c r="Q577" s="42" t="n"/>
      <c r="R577" s="42" t="n"/>
      <c r="S577" s="42" t="n"/>
      <c r="T577" s="42" t="n"/>
      <c r="U577" s="42" t="n"/>
      <c r="V577" s="42" t="n"/>
      <c r="W577" s="42" t="n"/>
      <c r="X577" s="42" t="n"/>
      <c r="Y577" s="42" t="n"/>
      <c r="Z577" s="42" t="n"/>
    </row>
    <row r="578" ht="15.75" customHeight="1">
      <c r="A578" s="42" t="n"/>
      <c r="B578" s="42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  <c r="P578" s="42" t="n"/>
      <c r="Q578" s="42" t="n"/>
      <c r="R578" s="42" t="n"/>
      <c r="S578" s="42" t="n"/>
      <c r="T578" s="42" t="n"/>
      <c r="U578" s="42" t="n"/>
      <c r="V578" s="42" t="n"/>
      <c r="W578" s="42" t="n"/>
      <c r="X578" s="42" t="n"/>
      <c r="Y578" s="42" t="n"/>
      <c r="Z578" s="42" t="n"/>
    </row>
    <row r="579" ht="15.75" customHeight="1">
      <c r="A579" s="42" t="n"/>
      <c r="B579" s="42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  <c r="P579" s="42" t="n"/>
      <c r="Q579" s="42" t="n"/>
      <c r="R579" s="42" t="n"/>
      <c r="S579" s="42" t="n"/>
      <c r="T579" s="42" t="n"/>
      <c r="U579" s="42" t="n"/>
      <c r="V579" s="42" t="n"/>
      <c r="W579" s="42" t="n"/>
      <c r="X579" s="42" t="n"/>
      <c r="Y579" s="42" t="n"/>
      <c r="Z579" s="42" t="n"/>
    </row>
    <row r="580" ht="15.75" customHeight="1">
      <c r="A580" s="42" t="n"/>
      <c r="B580" s="42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  <c r="P580" s="42" t="n"/>
      <c r="Q580" s="42" t="n"/>
      <c r="R580" s="42" t="n"/>
      <c r="S580" s="42" t="n"/>
      <c r="T580" s="42" t="n"/>
      <c r="U580" s="42" t="n"/>
      <c r="V580" s="42" t="n"/>
      <c r="W580" s="42" t="n"/>
      <c r="X580" s="42" t="n"/>
      <c r="Y580" s="42" t="n"/>
      <c r="Z580" s="42" t="n"/>
    </row>
    <row r="581" ht="15.75" customHeight="1">
      <c r="A581" s="42" t="n"/>
      <c r="B581" s="42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  <c r="P581" s="42" t="n"/>
      <c r="Q581" s="42" t="n"/>
      <c r="R581" s="42" t="n"/>
      <c r="S581" s="42" t="n"/>
      <c r="T581" s="42" t="n"/>
      <c r="U581" s="42" t="n"/>
      <c r="V581" s="42" t="n"/>
      <c r="W581" s="42" t="n"/>
      <c r="X581" s="42" t="n"/>
      <c r="Y581" s="42" t="n"/>
      <c r="Z581" s="42" t="n"/>
    </row>
    <row r="582" ht="15.75" customHeight="1">
      <c r="A582" s="42" t="n"/>
      <c r="B582" s="42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  <c r="P582" s="42" t="n"/>
      <c r="Q582" s="42" t="n"/>
      <c r="R582" s="42" t="n"/>
      <c r="S582" s="42" t="n"/>
      <c r="T582" s="42" t="n"/>
      <c r="U582" s="42" t="n"/>
      <c r="V582" s="42" t="n"/>
      <c r="W582" s="42" t="n"/>
      <c r="X582" s="42" t="n"/>
      <c r="Y582" s="42" t="n"/>
      <c r="Z582" s="42" t="n"/>
    </row>
    <row r="583" ht="15.75" customHeight="1">
      <c r="A583" s="42" t="n"/>
      <c r="B583" s="42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  <c r="P583" s="42" t="n"/>
      <c r="Q583" s="42" t="n"/>
      <c r="R583" s="42" t="n"/>
      <c r="S583" s="42" t="n"/>
      <c r="T583" s="42" t="n"/>
      <c r="U583" s="42" t="n"/>
      <c r="V583" s="42" t="n"/>
      <c r="W583" s="42" t="n"/>
      <c r="X583" s="42" t="n"/>
      <c r="Y583" s="42" t="n"/>
      <c r="Z583" s="42" t="n"/>
    </row>
    <row r="584" ht="15.75" customHeight="1">
      <c r="A584" s="42" t="n"/>
      <c r="B584" s="42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  <c r="P584" s="42" t="n"/>
      <c r="Q584" s="42" t="n"/>
      <c r="R584" s="42" t="n"/>
      <c r="S584" s="42" t="n"/>
      <c r="T584" s="42" t="n"/>
      <c r="U584" s="42" t="n"/>
      <c r="V584" s="42" t="n"/>
      <c r="W584" s="42" t="n"/>
      <c r="X584" s="42" t="n"/>
      <c r="Y584" s="42" t="n"/>
      <c r="Z584" s="42" t="n"/>
    </row>
    <row r="585" ht="15.75" customHeight="1">
      <c r="A585" s="42" t="n"/>
      <c r="B585" s="42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  <c r="P585" s="42" t="n"/>
      <c r="Q585" s="42" t="n"/>
      <c r="R585" s="42" t="n"/>
      <c r="S585" s="42" t="n"/>
      <c r="T585" s="42" t="n"/>
      <c r="U585" s="42" t="n"/>
      <c r="V585" s="42" t="n"/>
      <c r="W585" s="42" t="n"/>
      <c r="X585" s="42" t="n"/>
      <c r="Y585" s="42" t="n"/>
      <c r="Z585" s="42" t="n"/>
    </row>
    <row r="586" ht="15.75" customHeight="1">
      <c r="A586" s="42" t="n"/>
      <c r="B586" s="42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  <c r="P586" s="42" t="n"/>
      <c r="Q586" s="42" t="n"/>
      <c r="R586" s="42" t="n"/>
      <c r="S586" s="42" t="n"/>
      <c r="T586" s="42" t="n"/>
      <c r="U586" s="42" t="n"/>
      <c r="V586" s="42" t="n"/>
      <c r="W586" s="42" t="n"/>
      <c r="X586" s="42" t="n"/>
      <c r="Y586" s="42" t="n"/>
      <c r="Z586" s="42" t="n"/>
    </row>
    <row r="587" ht="15.75" customHeight="1">
      <c r="A587" s="42" t="n"/>
      <c r="B587" s="42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  <c r="P587" s="42" t="n"/>
      <c r="Q587" s="42" t="n"/>
      <c r="R587" s="42" t="n"/>
      <c r="S587" s="42" t="n"/>
      <c r="T587" s="42" t="n"/>
      <c r="U587" s="42" t="n"/>
      <c r="V587" s="42" t="n"/>
      <c r="W587" s="42" t="n"/>
      <c r="X587" s="42" t="n"/>
      <c r="Y587" s="42" t="n"/>
      <c r="Z587" s="42" t="n"/>
    </row>
    <row r="588" ht="15.75" customHeight="1">
      <c r="A588" s="42" t="n"/>
      <c r="B588" s="42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  <c r="P588" s="42" t="n"/>
      <c r="Q588" s="42" t="n"/>
      <c r="R588" s="42" t="n"/>
      <c r="S588" s="42" t="n"/>
      <c r="T588" s="42" t="n"/>
      <c r="U588" s="42" t="n"/>
      <c r="V588" s="42" t="n"/>
      <c r="W588" s="42" t="n"/>
      <c r="X588" s="42" t="n"/>
      <c r="Y588" s="42" t="n"/>
      <c r="Z588" s="42" t="n"/>
    </row>
    <row r="589" ht="15.75" customHeight="1">
      <c r="A589" s="42" t="n"/>
      <c r="B589" s="42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  <c r="P589" s="42" t="n"/>
      <c r="Q589" s="42" t="n"/>
      <c r="R589" s="42" t="n"/>
      <c r="S589" s="42" t="n"/>
      <c r="T589" s="42" t="n"/>
      <c r="U589" s="42" t="n"/>
      <c r="V589" s="42" t="n"/>
      <c r="W589" s="42" t="n"/>
      <c r="X589" s="42" t="n"/>
      <c r="Y589" s="42" t="n"/>
      <c r="Z589" s="42" t="n"/>
    </row>
    <row r="590" ht="15.75" customHeight="1">
      <c r="A590" s="42" t="n"/>
      <c r="B590" s="42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  <c r="P590" s="42" t="n"/>
      <c r="Q590" s="42" t="n"/>
      <c r="R590" s="42" t="n"/>
      <c r="S590" s="42" t="n"/>
      <c r="T590" s="42" t="n"/>
      <c r="U590" s="42" t="n"/>
      <c r="V590" s="42" t="n"/>
      <c r="W590" s="42" t="n"/>
      <c r="X590" s="42" t="n"/>
      <c r="Y590" s="42" t="n"/>
      <c r="Z590" s="42" t="n"/>
    </row>
    <row r="591" ht="15.75" customHeight="1">
      <c r="A591" s="42" t="n"/>
      <c r="B591" s="42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  <c r="P591" s="42" t="n"/>
      <c r="Q591" s="42" t="n"/>
      <c r="R591" s="42" t="n"/>
      <c r="S591" s="42" t="n"/>
      <c r="T591" s="42" t="n"/>
      <c r="U591" s="42" t="n"/>
      <c r="V591" s="42" t="n"/>
      <c r="W591" s="42" t="n"/>
      <c r="X591" s="42" t="n"/>
      <c r="Y591" s="42" t="n"/>
      <c r="Z591" s="42" t="n"/>
    </row>
    <row r="592" ht="15.75" customHeight="1">
      <c r="A592" s="42" t="n"/>
      <c r="B592" s="42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  <c r="P592" s="42" t="n"/>
      <c r="Q592" s="42" t="n"/>
      <c r="R592" s="42" t="n"/>
      <c r="S592" s="42" t="n"/>
      <c r="T592" s="42" t="n"/>
      <c r="U592" s="42" t="n"/>
      <c r="V592" s="42" t="n"/>
      <c r="W592" s="42" t="n"/>
      <c r="X592" s="42" t="n"/>
      <c r="Y592" s="42" t="n"/>
      <c r="Z592" s="42" t="n"/>
    </row>
    <row r="593" ht="15.75" customHeight="1">
      <c r="A593" s="42" t="n"/>
      <c r="B593" s="42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  <c r="P593" s="42" t="n"/>
      <c r="Q593" s="42" t="n"/>
      <c r="R593" s="42" t="n"/>
      <c r="S593" s="42" t="n"/>
      <c r="T593" s="42" t="n"/>
      <c r="U593" s="42" t="n"/>
      <c r="V593" s="42" t="n"/>
      <c r="W593" s="42" t="n"/>
      <c r="X593" s="42" t="n"/>
      <c r="Y593" s="42" t="n"/>
      <c r="Z593" s="42" t="n"/>
    </row>
    <row r="594" ht="15.75" customHeight="1">
      <c r="A594" s="42" t="n"/>
      <c r="B594" s="42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  <c r="P594" s="42" t="n"/>
      <c r="Q594" s="42" t="n"/>
      <c r="R594" s="42" t="n"/>
      <c r="S594" s="42" t="n"/>
      <c r="T594" s="42" t="n"/>
      <c r="U594" s="42" t="n"/>
      <c r="V594" s="42" t="n"/>
      <c r="W594" s="42" t="n"/>
      <c r="X594" s="42" t="n"/>
      <c r="Y594" s="42" t="n"/>
      <c r="Z594" s="42" t="n"/>
    </row>
    <row r="595" ht="15.75" customHeight="1">
      <c r="A595" s="42" t="n"/>
      <c r="B595" s="42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  <c r="P595" s="42" t="n"/>
      <c r="Q595" s="42" t="n"/>
      <c r="R595" s="42" t="n"/>
      <c r="S595" s="42" t="n"/>
      <c r="T595" s="42" t="n"/>
      <c r="U595" s="42" t="n"/>
      <c r="V595" s="42" t="n"/>
      <c r="W595" s="42" t="n"/>
      <c r="X595" s="42" t="n"/>
      <c r="Y595" s="42" t="n"/>
      <c r="Z595" s="42" t="n"/>
    </row>
    <row r="596" ht="15.75" customHeight="1">
      <c r="A596" s="42" t="n"/>
      <c r="B596" s="42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  <c r="P596" s="42" t="n"/>
      <c r="Q596" s="42" t="n"/>
      <c r="R596" s="42" t="n"/>
      <c r="S596" s="42" t="n"/>
      <c r="T596" s="42" t="n"/>
      <c r="U596" s="42" t="n"/>
      <c r="V596" s="42" t="n"/>
      <c r="W596" s="42" t="n"/>
      <c r="X596" s="42" t="n"/>
      <c r="Y596" s="42" t="n"/>
      <c r="Z596" s="42" t="n"/>
    </row>
    <row r="597" ht="15.75" customHeight="1">
      <c r="A597" s="42" t="n"/>
      <c r="B597" s="42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  <c r="P597" s="42" t="n"/>
      <c r="Q597" s="42" t="n"/>
      <c r="R597" s="42" t="n"/>
      <c r="S597" s="42" t="n"/>
      <c r="T597" s="42" t="n"/>
      <c r="U597" s="42" t="n"/>
      <c r="V597" s="42" t="n"/>
      <c r="W597" s="42" t="n"/>
      <c r="X597" s="42" t="n"/>
      <c r="Y597" s="42" t="n"/>
      <c r="Z597" s="42" t="n"/>
    </row>
    <row r="598" ht="15.75" customHeight="1">
      <c r="A598" s="42" t="n"/>
      <c r="B598" s="42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  <c r="P598" s="42" t="n"/>
      <c r="Q598" s="42" t="n"/>
      <c r="R598" s="42" t="n"/>
      <c r="S598" s="42" t="n"/>
      <c r="T598" s="42" t="n"/>
      <c r="U598" s="42" t="n"/>
      <c r="V598" s="42" t="n"/>
      <c r="W598" s="42" t="n"/>
      <c r="X598" s="42" t="n"/>
      <c r="Y598" s="42" t="n"/>
      <c r="Z598" s="42" t="n"/>
    </row>
    <row r="599" ht="15.75" customHeight="1">
      <c r="A599" s="42" t="n"/>
      <c r="B599" s="42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  <c r="P599" s="42" t="n"/>
      <c r="Q599" s="42" t="n"/>
      <c r="R599" s="42" t="n"/>
      <c r="S599" s="42" t="n"/>
      <c r="T599" s="42" t="n"/>
      <c r="U599" s="42" t="n"/>
      <c r="V599" s="42" t="n"/>
      <c r="W599" s="42" t="n"/>
      <c r="X599" s="42" t="n"/>
      <c r="Y599" s="42" t="n"/>
      <c r="Z599" s="42" t="n"/>
    </row>
    <row r="600" ht="15.75" customHeight="1">
      <c r="A600" s="42" t="n"/>
      <c r="B600" s="42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  <c r="P600" s="42" t="n"/>
      <c r="Q600" s="42" t="n"/>
      <c r="R600" s="42" t="n"/>
      <c r="S600" s="42" t="n"/>
      <c r="T600" s="42" t="n"/>
      <c r="U600" s="42" t="n"/>
      <c r="V600" s="42" t="n"/>
      <c r="W600" s="42" t="n"/>
      <c r="X600" s="42" t="n"/>
      <c r="Y600" s="42" t="n"/>
      <c r="Z600" s="42" t="n"/>
    </row>
    <row r="601" ht="15.75" customHeight="1">
      <c r="A601" s="42" t="n"/>
      <c r="B601" s="42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  <c r="P601" s="42" t="n"/>
      <c r="Q601" s="42" t="n"/>
      <c r="R601" s="42" t="n"/>
      <c r="S601" s="42" t="n"/>
      <c r="T601" s="42" t="n"/>
      <c r="U601" s="42" t="n"/>
      <c r="V601" s="42" t="n"/>
      <c r="W601" s="42" t="n"/>
      <c r="X601" s="42" t="n"/>
      <c r="Y601" s="42" t="n"/>
      <c r="Z601" s="42" t="n"/>
    </row>
    <row r="602" ht="15.75" customHeight="1">
      <c r="A602" s="42" t="n"/>
      <c r="B602" s="42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  <c r="P602" s="42" t="n"/>
      <c r="Q602" s="42" t="n"/>
      <c r="R602" s="42" t="n"/>
      <c r="S602" s="42" t="n"/>
      <c r="T602" s="42" t="n"/>
      <c r="U602" s="42" t="n"/>
      <c r="V602" s="42" t="n"/>
      <c r="W602" s="42" t="n"/>
      <c r="X602" s="42" t="n"/>
      <c r="Y602" s="42" t="n"/>
      <c r="Z602" s="42" t="n"/>
    </row>
    <row r="603" ht="15.75" customHeight="1">
      <c r="A603" s="42" t="n"/>
      <c r="B603" s="42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  <c r="P603" s="42" t="n"/>
      <c r="Q603" s="42" t="n"/>
      <c r="R603" s="42" t="n"/>
      <c r="S603" s="42" t="n"/>
      <c r="T603" s="42" t="n"/>
      <c r="U603" s="42" t="n"/>
      <c r="V603" s="42" t="n"/>
      <c r="W603" s="42" t="n"/>
      <c r="X603" s="42" t="n"/>
      <c r="Y603" s="42" t="n"/>
      <c r="Z603" s="42" t="n"/>
    </row>
    <row r="604" ht="15.75" customHeight="1">
      <c r="A604" s="42" t="n"/>
      <c r="B604" s="42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  <c r="P604" s="42" t="n"/>
      <c r="Q604" s="42" t="n"/>
      <c r="R604" s="42" t="n"/>
      <c r="S604" s="42" t="n"/>
      <c r="T604" s="42" t="n"/>
      <c r="U604" s="42" t="n"/>
      <c r="V604" s="42" t="n"/>
      <c r="W604" s="42" t="n"/>
      <c r="X604" s="42" t="n"/>
      <c r="Y604" s="42" t="n"/>
      <c r="Z604" s="42" t="n"/>
    </row>
    <row r="605" ht="15.75" customHeight="1">
      <c r="A605" s="42" t="n"/>
      <c r="B605" s="42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  <c r="P605" s="42" t="n"/>
      <c r="Q605" s="42" t="n"/>
      <c r="R605" s="42" t="n"/>
      <c r="S605" s="42" t="n"/>
      <c r="T605" s="42" t="n"/>
      <c r="U605" s="42" t="n"/>
      <c r="V605" s="42" t="n"/>
      <c r="W605" s="42" t="n"/>
      <c r="X605" s="42" t="n"/>
      <c r="Y605" s="42" t="n"/>
      <c r="Z605" s="42" t="n"/>
    </row>
    <row r="606" ht="15.75" customHeight="1">
      <c r="A606" s="42" t="n"/>
      <c r="B606" s="42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  <c r="P606" s="42" t="n"/>
      <c r="Q606" s="42" t="n"/>
      <c r="R606" s="42" t="n"/>
      <c r="S606" s="42" t="n"/>
      <c r="T606" s="42" t="n"/>
      <c r="U606" s="42" t="n"/>
      <c r="V606" s="42" t="n"/>
      <c r="W606" s="42" t="n"/>
      <c r="X606" s="42" t="n"/>
      <c r="Y606" s="42" t="n"/>
      <c r="Z606" s="42" t="n"/>
    </row>
    <row r="607" ht="15.75" customHeight="1">
      <c r="A607" s="42" t="n"/>
      <c r="B607" s="42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  <c r="P607" s="42" t="n"/>
      <c r="Q607" s="42" t="n"/>
      <c r="R607" s="42" t="n"/>
      <c r="S607" s="42" t="n"/>
      <c r="T607" s="42" t="n"/>
      <c r="U607" s="42" t="n"/>
      <c r="V607" s="42" t="n"/>
      <c r="W607" s="42" t="n"/>
      <c r="X607" s="42" t="n"/>
      <c r="Y607" s="42" t="n"/>
      <c r="Z607" s="42" t="n"/>
    </row>
    <row r="608" ht="15.75" customHeight="1">
      <c r="A608" s="42" t="n"/>
      <c r="B608" s="42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  <c r="P608" s="42" t="n"/>
      <c r="Q608" s="42" t="n"/>
      <c r="R608" s="42" t="n"/>
      <c r="S608" s="42" t="n"/>
      <c r="T608" s="42" t="n"/>
      <c r="U608" s="42" t="n"/>
      <c r="V608" s="42" t="n"/>
      <c r="W608" s="42" t="n"/>
      <c r="X608" s="42" t="n"/>
      <c r="Y608" s="42" t="n"/>
      <c r="Z608" s="42" t="n"/>
    </row>
    <row r="609" ht="15.75" customHeight="1">
      <c r="A609" s="42" t="n"/>
      <c r="B609" s="42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  <c r="P609" s="42" t="n"/>
      <c r="Q609" s="42" t="n"/>
      <c r="R609" s="42" t="n"/>
      <c r="S609" s="42" t="n"/>
      <c r="T609" s="42" t="n"/>
      <c r="U609" s="42" t="n"/>
      <c r="V609" s="42" t="n"/>
      <c r="W609" s="42" t="n"/>
      <c r="X609" s="42" t="n"/>
      <c r="Y609" s="42" t="n"/>
      <c r="Z609" s="42" t="n"/>
    </row>
    <row r="610" ht="15.75" customHeight="1">
      <c r="A610" s="42" t="n"/>
      <c r="B610" s="42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  <c r="P610" s="42" t="n"/>
      <c r="Q610" s="42" t="n"/>
      <c r="R610" s="42" t="n"/>
      <c r="S610" s="42" t="n"/>
      <c r="T610" s="42" t="n"/>
      <c r="U610" s="42" t="n"/>
      <c r="V610" s="42" t="n"/>
      <c r="W610" s="42" t="n"/>
      <c r="X610" s="42" t="n"/>
      <c r="Y610" s="42" t="n"/>
      <c r="Z610" s="42" t="n"/>
    </row>
    <row r="611" ht="15.75" customHeight="1">
      <c r="A611" s="42" t="n"/>
      <c r="B611" s="42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  <c r="P611" s="42" t="n"/>
      <c r="Q611" s="42" t="n"/>
      <c r="R611" s="42" t="n"/>
      <c r="S611" s="42" t="n"/>
      <c r="T611" s="42" t="n"/>
      <c r="U611" s="42" t="n"/>
      <c r="V611" s="42" t="n"/>
      <c r="W611" s="42" t="n"/>
      <c r="X611" s="42" t="n"/>
      <c r="Y611" s="42" t="n"/>
      <c r="Z611" s="42" t="n"/>
    </row>
    <row r="612" ht="15.75" customHeight="1">
      <c r="A612" s="42" t="n"/>
      <c r="B612" s="42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  <c r="P612" s="42" t="n"/>
      <c r="Q612" s="42" t="n"/>
      <c r="R612" s="42" t="n"/>
      <c r="S612" s="42" t="n"/>
      <c r="T612" s="42" t="n"/>
      <c r="U612" s="42" t="n"/>
      <c r="V612" s="42" t="n"/>
      <c r="W612" s="42" t="n"/>
      <c r="X612" s="42" t="n"/>
      <c r="Y612" s="42" t="n"/>
      <c r="Z612" s="42" t="n"/>
    </row>
    <row r="613" ht="15.75" customHeight="1">
      <c r="A613" s="42" t="n"/>
      <c r="B613" s="42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  <c r="P613" s="42" t="n"/>
      <c r="Q613" s="42" t="n"/>
      <c r="R613" s="42" t="n"/>
      <c r="S613" s="42" t="n"/>
      <c r="T613" s="42" t="n"/>
      <c r="U613" s="42" t="n"/>
      <c r="V613" s="42" t="n"/>
      <c r="W613" s="42" t="n"/>
      <c r="X613" s="42" t="n"/>
      <c r="Y613" s="42" t="n"/>
      <c r="Z613" s="42" t="n"/>
    </row>
    <row r="614" ht="15.75" customHeight="1">
      <c r="A614" s="42" t="n"/>
      <c r="B614" s="42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  <c r="P614" s="42" t="n"/>
      <c r="Q614" s="42" t="n"/>
      <c r="R614" s="42" t="n"/>
      <c r="S614" s="42" t="n"/>
      <c r="T614" s="42" t="n"/>
      <c r="U614" s="42" t="n"/>
      <c r="V614" s="42" t="n"/>
      <c r="W614" s="42" t="n"/>
      <c r="X614" s="42" t="n"/>
      <c r="Y614" s="42" t="n"/>
      <c r="Z614" s="42" t="n"/>
    </row>
    <row r="615" ht="15.75" customHeight="1">
      <c r="A615" s="42" t="n"/>
      <c r="B615" s="42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  <c r="P615" s="42" t="n"/>
      <c r="Q615" s="42" t="n"/>
      <c r="R615" s="42" t="n"/>
      <c r="S615" s="42" t="n"/>
      <c r="T615" s="42" t="n"/>
      <c r="U615" s="42" t="n"/>
      <c r="V615" s="42" t="n"/>
      <c r="W615" s="42" t="n"/>
      <c r="X615" s="42" t="n"/>
      <c r="Y615" s="42" t="n"/>
      <c r="Z615" s="42" t="n"/>
    </row>
    <row r="616" ht="15.75" customHeight="1">
      <c r="A616" s="42" t="n"/>
      <c r="B616" s="42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  <c r="P616" s="42" t="n"/>
      <c r="Q616" s="42" t="n"/>
      <c r="R616" s="42" t="n"/>
      <c r="S616" s="42" t="n"/>
      <c r="T616" s="42" t="n"/>
      <c r="U616" s="42" t="n"/>
      <c r="V616" s="42" t="n"/>
      <c r="W616" s="42" t="n"/>
      <c r="X616" s="42" t="n"/>
      <c r="Y616" s="42" t="n"/>
      <c r="Z616" s="42" t="n"/>
    </row>
    <row r="617" ht="15.75" customHeight="1">
      <c r="A617" s="42" t="n"/>
      <c r="B617" s="42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  <c r="P617" s="42" t="n"/>
      <c r="Q617" s="42" t="n"/>
      <c r="R617" s="42" t="n"/>
      <c r="S617" s="42" t="n"/>
      <c r="T617" s="42" t="n"/>
      <c r="U617" s="42" t="n"/>
      <c r="V617" s="42" t="n"/>
      <c r="W617" s="42" t="n"/>
      <c r="X617" s="42" t="n"/>
      <c r="Y617" s="42" t="n"/>
      <c r="Z617" s="42" t="n"/>
    </row>
    <row r="618" ht="15.75" customHeight="1">
      <c r="A618" s="42" t="n"/>
      <c r="B618" s="42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  <c r="P618" s="42" t="n"/>
      <c r="Q618" s="42" t="n"/>
      <c r="R618" s="42" t="n"/>
      <c r="S618" s="42" t="n"/>
      <c r="T618" s="42" t="n"/>
      <c r="U618" s="42" t="n"/>
      <c r="V618" s="42" t="n"/>
      <c r="W618" s="42" t="n"/>
      <c r="X618" s="42" t="n"/>
      <c r="Y618" s="42" t="n"/>
      <c r="Z618" s="42" t="n"/>
    </row>
    <row r="619" ht="15.75" customHeight="1">
      <c r="A619" s="42" t="n"/>
      <c r="B619" s="42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  <c r="P619" s="42" t="n"/>
      <c r="Q619" s="42" t="n"/>
      <c r="R619" s="42" t="n"/>
      <c r="S619" s="42" t="n"/>
      <c r="T619" s="42" t="n"/>
      <c r="U619" s="42" t="n"/>
      <c r="V619" s="42" t="n"/>
      <c r="W619" s="42" t="n"/>
      <c r="X619" s="42" t="n"/>
      <c r="Y619" s="42" t="n"/>
      <c r="Z619" s="42" t="n"/>
    </row>
    <row r="620" ht="15.75" customHeight="1">
      <c r="A620" s="42" t="n"/>
      <c r="B620" s="42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  <c r="P620" s="42" t="n"/>
      <c r="Q620" s="42" t="n"/>
      <c r="R620" s="42" t="n"/>
      <c r="S620" s="42" t="n"/>
      <c r="T620" s="42" t="n"/>
      <c r="U620" s="42" t="n"/>
      <c r="V620" s="42" t="n"/>
      <c r="W620" s="42" t="n"/>
      <c r="X620" s="42" t="n"/>
      <c r="Y620" s="42" t="n"/>
      <c r="Z620" s="42" t="n"/>
    </row>
    <row r="621" ht="15.75" customHeight="1">
      <c r="A621" s="42" t="n"/>
      <c r="B621" s="42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  <c r="P621" s="42" t="n"/>
      <c r="Q621" s="42" t="n"/>
      <c r="R621" s="42" t="n"/>
      <c r="S621" s="42" t="n"/>
      <c r="T621" s="42" t="n"/>
      <c r="U621" s="42" t="n"/>
      <c r="V621" s="42" t="n"/>
      <c r="W621" s="42" t="n"/>
      <c r="X621" s="42" t="n"/>
      <c r="Y621" s="42" t="n"/>
      <c r="Z621" s="42" t="n"/>
    </row>
    <row r="622" ht="15.75" customHeight="1">
      <c r="A622" s="42" t="n"/>
      <c r="B622" s="42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  <c r="P622" s="42" t="n"/>
      <c r="Q622" s="42" t="n"/>
      <c r="R622" s="42" t="n"/>
      <c r="S622" s="42" t="n"/>
      <c r="T622" s="42" t="n"/>
      <c r="U622" s="42" t="n"/>
      <c r="V622" s="42" t="n"/>
      <c r="W622" s="42" t="n"/>
      <c r="X622" s="42" t="n"/>
      <c r="Y622" s="42" t="n"/>
      <c r="Z622" s="42" t="n"/>
    </row>
    <row r="623" ht="15.75" customHeight="1">
      <c r="A623" s="42" t="n"/>
      <c r="B623" s="42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  <c r="P623" s="42" t="n"/>
      <c r="Q623" s="42" t="n"/>
      <c r="R623" s="42" t="n"/>
      <c r="S623" s="42" t="n"/>
      <c r="T623" s="42" t="n"/>
      <c r="U623" s="42" t="n"/>
      <c r="V623" s="42" t="n"/>
      <c r="W623" s="42" t="n"/>
      <c r="X623" s="42" t="n"/>
      <c r="Y623" s="42" t="n"/>
      <c r="Z623" s="42" t="n"/>
    </row>
    <row r="624" ht="15.75" customHeight="1">
      <c r="A624" s="42" t="n"/>
      <c r="B624" s="42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  <c r="P624" s="42" t="n"/>
      <c r="Q624" s="42" t="n"/>
      <c r="R624" s="42" t="n"/>
      <c r="S624" s="42" t="n"/>
      <c r="T624" s="42" t="n"/>
      <c r="U624" s="42" t="n"/>
      <c r="V624" s="42" t="n"/>
      <c r="W624" s="42" t="n"/>
      <c r="X624" s="42" t="n"/>
      <c r="Y624" s="42" t="n"/>
      <c r="Z624" s="42" t="n"/>
    </row>
    <row r="625" ht="15.75" customHeight="1">
      <c r="A625" s="42" t="n"/>
      <c r="B625" s="42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  <c r="P625" s="42" t="n"/>
      <c r="Q625" s="42" t="n"/>
      <c r="R625" s="42" t="n"/>
      <c r="S625" s="42" t="n"/>
      <c r="T625" s="42" t="n"/>
      <c r="U625" s="42" t="n"/>
      <c r="V625" s="42" t="n"/>
      <c r="W625" s="42" t="n"/>
      <c r="X625" s="42" t="n"/>
      <c r="Y625" s="42" t="n"/>
      <c r="Z625" s="42" t="n"/>
    </row>
    <row r="626" ht="15.75" customHeight="1">
      <c r="A626" s="42" t="n"/>
      <c r="B626" s="42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  <c r="P626" s="42" t="n"/>
      <c r="Q626" s="42" t="n"/>
      <c r="R626" s="42" t="n"/>
      <c r="S626" s="42" t="n"/>
      <c r="T626" s="42" t="n"/>
      <c r="U626" s="42" t="n"/>
      <c r="V626" s="42" t="n"/>
      <c r="W626" s="42" t="n"/>
      <c r="X626" s="42" t="n"/>
      <c r="Y626" s="42" t="n"/>
      <c r="Z626" s="42" t="n"/>
    </row>
    <row r="627" ht="15.75" customHeight="1">
      <c r="A627" s="42" t="n"/>
      <c r="B627" s="42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  <c r="P627" s="42" t="n"/>
      <c r="Q627" s="42" t="n"/>
      <c r="R627" s="42" t="n"/>
      <c r="S627" s="42" t="n"/>
      <c r="T627" s="42" t="n"/>
      <c r="U627" s="42" t="n"/>
      <c r="V627" s="42" t="n"/>
      <c r="W627" s="42" t="n"/>
      <c r="X627" s="42" t="n"/>
      <c r="Y627" s="42" t="n"/>
      <c r="Z627" s="42" t="n"/>
    </row>
    <row r="628" ht="15.75" customHeight="1">
      <c r="A628" s="42" t="n"/>
      <c r="B628" s="42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  <c r="P628" s="42" t="n"/>
      <c r="Q628" s="42" t="n"/>
      <c r="R628" s="42" t="n"/>
      <c r="S628" s="42" t="n"/>
      <c r="T628" s="42" t="n"/>
      <c r="U628" s="42" t="n"/>
      <c r="V628" s="42" t="n"/>
      <c r="W628" s="42" t="n"/>
      <c r="X628" s="42" t="n"/>
      <c r="Y628" s="42" t="n"/>
      <c r="Z628" s="42" t="n"/>
    </row>
    <row r="629" ht="15.75" customHeight="1">
      <c r="A629" s="42" t="n"/>
      <c r="B629" s="42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  <c r="P629" s="42" t="n"/>
      <c r="Q629" s="42" t="n"/>
      <c r="R629" s="42" t="n"/>
      <c r="S629" s="42" t="n"/>
      <c r="T629" s="42" t="n"/>
      <c r="U629" s="42" t="n"/>
      <c r="V629" s="42" t="n"/>
      <c r="W629" s="42" t="n"/>
      <c r="X629" s="42" t="n"/>
      <c r="Y629" s="42" t="n"/>
      <c r="Z629" s="42" t="n"/>
    </row>
    <row r="630" ht="15.75" customHeight="1">
      <c r="A630" s="42" t="n"/>
      <c r="B630" s="42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  <c r="P630" s="42" t="n"/>
      <c r="Q630" s="42" t="n"/>
      <c r="R630" s="42" t="n"/>
      <c r="S630" s="42" t="n"/>
      <c r="T630" s="42" t="n"/>
      <c r="U630" s="42" t="n"/>
      <c r="V630" s="42" t="n"/>
      <c r="W630" s="42" t="n"/>
      <c r="X630" s="42" t="n"/>
      <c r="Y630" s="42" t="n"/>
      <c r="Z630" s="42" t="n"/>
    </row>
    <row r="631" ht="15.75" customHeight="1">
      <c r="A631" s="42" t="n"/>
      <c r="B631" s="42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  <c r="P631" s="42" t="n"/>
      <c r="Q631" s="42" t="n"/>
      <c r="R631" s="42" t="n"/>
      <c r="S631" s="42" t="n"/>
      <c r="T631" s="42" t="n"/>
      <c r="U631" s="42" t="n"/>
      <c r="V631" s="42" t="n"/>
      <c r="W631" s="42" t="n"/>
      <c r="X631" s="42" t="n"/>
      <c r="Y631" s="42" t="n"/>
      <c r="Z631" s="42" t="n"/>
    </row>
    <row r="632" ht="15.75" customHeight="1">
      <c r="A632" s="42" t="n"/>
      <c r="B632" s="42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  <c r="P632" s="42" t="n"/>
      <c r="Q632" s="42" t="n"/>
      <c r="R632" s="42" t="n"/>
      <c r="S632" s="42" t="n"/>
      <c r="T632" s="42" t="n"/>
      <c r="U632" s="42" t="n"/>
      <c r="V632" s="42" t="n"/>
      <c r="W632" s="42" t="n"/>
      <c r="X632" s="42" t="n"/>
      <c r="Y632" s="42" t="n"/>
      <c r="Z632" s="42" t="n"/>
    </row>
    <row r="633" ht="15.75" customHeight="1">
      <c r="A633" s="42" t="n"/>
      <c r="B633" s="42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  <c r="P633" s="42" t="n"/>
      <c r="Q633" s="42" t="n"/>
      <c r="R633" s="42" t="n"/>
      <c r="S633" s="42" t="n"/>
      <c r="T633" s="42" t="n"/>
      <c r="U633" s="42" t="n"/>
      <c r="V633" s="42" t="n"/>
      <c r="W633" s="42" t="n"/>
      <c r="X633" s="42" t="n"/>
      <c r="Y633" s="42" t="n"/>
      <c r="Z633" s="42" t="n"/>
    </row>
    <row r="634" ht="15.75" customHeight="1">
      <c r="A634" s="42" t="n"/>
      <c r="B634" s="42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  <c r="P634" s="42" t="n"/>
      <c r="Q634" s="42" t="n"/>
      <c r="R634" s="42" t="n"/>
      <c r="S634" s="42" t="n"/>
      <c r="T634" s="42" t="n"/>
      <c r="U634" s="42" t="n"/>
      <c r="V634" s="42" t="n"/>
      <c r="W634" s="42" t="n"/>
      <c r="X634" s="42" t="n"/>
      <c r="Y634" s="42" t="n"/>
      <c r="Z634" s="42" t="n"/>
    </row>
    <row r="635" ht="15.75" customHeight="1">
      <c r="A635" s="42" t="n"/>
      <c r="B635" s="42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  <c r="P635" s="42" t="n"/>
      <c r="Q635" s="42" t="n"/>
      <c r="R635" s="42" t="n"/>
      <c r="S635" s="42" t="n"/>
      <c r="T635" s="42" t="n"/>
      <c r="U635" s="42" t="n"/>
      <c r="V635" s="42" t="n"/>
      <c r="W635" s="42" t="n"/>
      <c r="X635" s="42" t="n"/>
      <c r="Y635" s="42" t="n"/>
      <c r="Z635" s="42" t="n"/>
    </row>
    <row r="636" ht="15.75" customHeight="1">
      <c r="A636" s="42" t="n"/>
      <c r="B636" s="42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  <c r="P636" s="42" t="n"/>
      <c r="Q636" s="42" t="n"/>
      <c r="R636" s="42" t="n"/>
      <c r="S636" s="42" t="n"/>
      <c r="T636" s="42" t="n"/>
      <c r="U636" s="42" t="n"/>
      <c r="V636" s="42" t="n"/>
      <c r="W636" s="42" t="n"/>
      <c r="X636" s="42" t="n"/>
      <c r="Y636" s="42" t="n"/>
      <c r="Z636" s="42" t="n"/>
    </row>
    <row r="637" ht="15.75" customHeight="1">
      <c r="A637" s="42" t="n"/>
      <c r="B637" s="42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  <c r="P637" s="42" t="n"/>
      <c r="Q637" s="42" t="n"/>
      <c r="R637" s="42" t="n"/>
      <c r="S637" s="42" t="n"/>
      <c r="T637" s="42" t="n"/>
      <c r="U637" s="42" t="n"/>
      <c r="V637" s="42" t="n"/>
      <c r="W637" s="42" t="n"/>
      <c r="X637" s="42" t="n"/>
      <c r="Y637" s="42" t="n"/>
      <c r="Z637" s="42" t="n"/>
    </row>
    <row r="638" ht="15.75" customHeight="1">
      <c r="A638" s="42" t="n"/>
      <c r="B638" s="42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  <c r="P638" s="42" t="n"/>
      <c r="Q638" s="42" t="n"/>
      <c r="R638" s="42" t="n"/>
      <c r="S638" s="42" t="n"/>
      <c r="T638" s="42" t="n"/>
      <c r="U638" s="42" t="n"/>
      <c r="V638" s="42" t="n"/>
      <c r="W638" s="42" t="n"/>
      <c r="X638" s="42" t="n"/>
      <c r="Y638" s="42" t="n"/>
      <c r="Z638" s="42" t="n"/>
    </row>
    <row r="639" ht="15.75" customHeight="1">
      <c r="A639" s="42" t="n"/>
      <c r="B639" s="42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  <c r="P639" s="42" t="n"/>
      <c r="Q639" s="42" t="n"/>
      <c r="R639" s="42" t="n"/>
      <c r="S639" s="42" t="n"/>
      <c r="T639" s="42" t="n"/>
      <c r="U639" s="42" t="n"/>
      <c r="V639" s="42" t="n"/>
      <c r="W639" s="42" t="n"/>
      <c r="X639" s="42" t="n"/>
      <c r="Y639" s="42" t="n"/>
      <c r="Z639" s="42" t="n"/>
    </row>
    <row r="640" ht="15.75" customHeight="1">
      <c r="A640" s="42" t="n"/>
      <c r="B640" s="42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  <c r="P640" s="42" t="n"/>
      <c r="Q640" s="42" t="n"/>
      <c r="R640" s="42" t="n"/>
      <c r="S640" s="42" t="n"/>
      <c r="T640" s="42" t="n"/>
      <c r="U640" s="42" t="n"/>
      <c r="V640" s="42" t="n"/>
      <c r="W640" s="42" t="n"/>
      <c r="X640" s="42" t="n"/>
      <c r="Y640" s="42" t="n"/>
      <c r="Z640" s="42" t="n"/>
    </row>
    <row r="641" ht="15.75" customHeight="1">
      <c r="A641" s="42" t="n"/>
      <c r="B641" s="42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  <c r="P641" s="42" t="n"/>
      <c r="Q641" s="42" t="n"/>
      <c r="R641" s="42" t="n"/>
      <c r="S641" s="42" t="n"/>
      <c r="T641" s="42" t="n"/>
      <c r="U641" s="42" t="n"/>
      <c r="V641" s="42" t="n"/>
      <c r="W641" s="42" t="n"/>
      <c r="X641" s="42" t="n"/>
      <c r="Y641" s="42" t="n"/>
      <c r="Z641" s="42" t="n"/>
    </row>
    <row r="642" ht="15.75" customHeight="1">
      <c r="A642" s="42" t="n"/>
      <c r="B642" s="42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  <c r="P642" s="42" t="n"/>
      <c r="Q642" s="42" t="n"/>
      <c r="R642" s="42" t="n"/>
      <c r="S642" s="42" t="n"/>
      <c r="T642" s="42" t="n"/>
      <c r="U642" s="42" t="n"/>
      <c r="V642" s="42" t="n"/>
      <c r="W642" s="42" t="n"/>
      <c r="X642" s="42" t="n"/>
      <c r="Y642" s="42" t="n"/>
      <c r="Z642" s="42" t="n"/>
    </row>
    <row r="643" ht="15.75" customHeight="1">
      <c r="A643" s="42" t="n"/>
      <c r="B643" s="42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  <c r="P643" s="42" t="n"/>
      <c r="Q643" s="42" t="n"/>
      <c r="R643" s="42" t="n"/>
      <c r="S643" s="42" t="n"/>
      <c r="T643" s="42" t="n"/>
      <c r="U643" s="42" t="n"/>
      <c r="V643" s="42" t="n"/>
      <c r="W643" s="42" t="n"/>
      <c r="X643" s="42" t="n"/>
      <c r="Y643" s="42" t="n"/>
      <c r="Z643" s="42" t="n"/>
    </row>
    <row r="644" ht="15.75" customHeight="1">
      <c r="A644" s="42" t="n"/>
      <c r="B644" s="42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  <c r="P644" s="42" t="n"/>
      <c r="Q644" s="42" t="n"/>
      <c r="R644" s="42" t="n"/>
      <c r="S644" s="42" t="n"/>
      <c r="T644" s="42" t="n"/>
      <c r="U644" s="42" t="n"/>
      <c r="V644" s="42" t="n"/>
      <c r="W644" s="42" t="n"/>
      <c r="X644" s="42" t="n"/>
      <c r="Y644" s="42" t="n"/>
      <c r="Z644" s="42" t="n"/>
    </row>
    <row r="645" ht="15.75" customHeight="1">
      <c r="A645" s="42" t="n"/>
      <c r="B645" s="42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  <c r="P645" s="42" t="n"/>
      <c r="Q645" s="42" t="n"/>
      <c r="R645" s="42" t="n"/>
      <c r="S645" s="42" t="n"/>
      <c r="T645" s="42" t="n"/>
      <c r="U645" s="42" t="n"/>
      <c r="V645" s="42" t="n"/>
      <c r="W645" s="42" t="n"/>
      <c r="X645" s="42" t="n"/>
      <c r="Y645" s="42" t="n"/>
      <c r="Z645" s="42" t="n"/>
    </row>
    <row r="646" ht="15.75" customHeight="1">
      <c r="A646" s="42" t="n"/>
      <c r="B646" s="42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  <c r="P646" s="42" t="n"/>
      <c r="Q646" s="42" t="n"/>
      <c r="R646" s="42" t="n"/>
      <c r="S646" s="42" t="n"/>
      <c r="T646" s="42" t="n"/>
      <c r="U646" s="42" t="n"/>
      <c r="V646" s="42" t="n"/>
      <c r="W646" s="42" t="n"/>
      <c r="X646" s="42" t="n"/>
      <c r="Y646" s="42" t="n"/>
      <c r="Z646" s="42" t="n"/>
    </row>
    <row r="647" ht="15.75" customHeight="1">
      <c r="A647" s="42" t="n"/>
      <c r="B647" s="42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  <c r="P647" s="42" t="n"/>
      <c r="Q647" s="42" t="n"/>
      <c r="R647" s="42" t="n"/>
      <c r="S647" s="42" t="n"/>
      <c r="T647" s="42" t="n"/>
      <c r="U647" s="42" t="n"/>
      <c r="V647" s="42" t="n"/>
      <c r="W647" s="42" t="n"/>
      <c r="X647" s="42" t="n"/>
      <c r="Y647" s="42" t="n"/>
      <c r="Z647" s="42" t="n"/>
    </row>
    <row r="648" ht="15.75" customHeight="1">
      <c r="A648" s="42" t="n"/>
      <c r="B648" s="42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  <c r="P648" s="42" t="n"/>
      <c r="Q648" s="42" t="n"/>
      <c r="R648" s="42" t="n"/>
      <c r="S648" s="42" t="n"/>
      <c r="T648" s="42" t="n"/>
      <c r="U648" s="42" t="n"/>
      <c r="V648" s="42" t="n"/>
      <c r="W648" s="42" t="n"/>
      <c r="X648" s="42" t="n"/>
      <c r="Y648" s="42" t="n"/>
      <c r="Z648" s="42" t="n"/>
    </row>
    <row r="649" ht="15.75" customHeight="1">
      <c r="A649" s="42" t="n"/>
      <c r="B649" s="42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  <c r="P649" s="42" t="n"/>
      <c r="Q649" s="42" t="n"/>
      <c r="R649" s="42" t="n"/>
      <c r="S649" s="42" t="n"/>
      <c r="T649" s="42" t="n"/>
      <c r="U649" s="42" t="n"/>
      <c r="V649" s="42" t="n"/>
      <c r="W649" s="42" t="n"/>
      <c r="X649" s="42" t="n"/>
      <c r="Y649" s="42" t="n"/>
      <c r="Z649" s="42" t="n"/>
    </row>
    <row r="650" ht="15.75" customHeight="1">
      <c r="A650" s="42" t="n"/>
      <c r="B650" s="42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  <c r="P650" s="42" t="n"/>
      <c r="Q650" s="42" t="n"/>
      <c r="R650" s="42" t="n"/>
      <c r="S650" s="42" t="n"/>
      <c r="T650" s="42" t="n"/>
      <c r="U650" s="42" t="n"/>
      <c r="V650" s="42" t="n"/>
      <c r="W650" s="42" t="n"/>
      <c r="X650" s="42" t="n"/>
      <c r="Y650" s="42" t="n"/>
      <c r="Z650" s="42" t="n"/>
    </row>
    <row r="651" ht="15.75" customHeight="1">
      <c r="A651" s="42" t="n"/>
      <c r="B651" s="42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  <c r="P651" s="42" t="n"/>
      <c r="Q651" s="42" t="n"/>
      <c r="R651" s="42" t="n"/>
      <c r="S651" s="42" t="n"/>
      <c r="T651" s="42" t="n"/>
      <c r="U651" s="42" t="n"/>
      <c r="V651" s="42" t="n"/>
      <c r="W651" s="42" t="n"/>
      <c r="X651" s="42" t="n"/>
      <c r="Y651" s="42" t="n"/>
      <c r="Z651" s="42" t="n"/>
    </row>
    <row r="652" ht="15.75" customHeight="1">
      <c r="A652" s="42" t="n"/>
      <c r="B652" s="42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  <c r="P652" s="42" t="n"/>
      <c r="Q652" s="42" t="n"/>
      <c r="R652" s="42" t="n"/>
      <c r="S652" s="42" t="n"/>
      <c r="T652" s="42" t="n"/>
      <c r="U652" s="42" t="n"/>
      <c r="V652" s="42" t="n"/>
      <c r="W652" s="42" t="n"/>
      <c r="X652" s="42" t="n"/>
      <c r="Y652" s="42" t="n"/>
      <c r="Z652" s="42" t="n"/>
    </row>
    <row r="653" ht="15.75" customHeight="1">
      <c r="A653" s="42" t="n"/>
      <c r="B653" s="42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  <c r="P653" s="42" t="n"/>
      <c r="Q653" s="42" t="n"/>
      <c r="R653" s="42" t="n"/>
      <c r="S653" s="42" t="n"/>
      <c r="T653" s="42" t="n"/>
      <c r="U653" s="42" t="n"/>
      <c r="V653" s="42" t="n"/>
      <c r="W653" s="42" t="n"/>
      <c r="X653" s="42" t="n"/>
      <c r="Y653" s="42" t="n"/>
      <c r="Z653" s="42" t="n"/>
    </row>
    <row r="654" ht="15.75" customHeight="1">
      <c r="A654" s="42" t="n"/>
      <c r="B654" s="42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  <c r="P654" s="42" t="n"/>
      <c r="Q654" s="42" t="n"/>
      <c r="R654" s="42" t="n"/>
      <c r="S654" s="42" t="n"/>
      <c r="T654" s="42" t="n"/>
      <c r="U654" s="42" t="n"/>
      <c r="V654" s="42" t="n"/>
      <c r="W654" s="42" t="n"/>
      <c r="X654" s="42" t="n"/>
      <c r="Y654" s="42" t="n"/>
      <c r="Z654" s="42" t="n"/>
    </row>
    <row r="655" ht="15.75" customHeight="1">
      <c r="A655" s="42" t="n"/>
      <c r="B655" s="42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  <c r="P655" s="42" t="n"/>
      <c r="Q655" s="42" t="n"/>
      <c r="R655" s="42" t="n"/>
      <c r="S655" s="42" t="n"/>
      <c r="T655" s="42" t="n"/>
      <c r="U655" s="42" t="n"/>
      <c r="V655" s="42" t="n"/>
      <c r="W655" s="42" t="n"/>
      <c r="X655" s="42" t="n"/>
      <c r="Y655" s="42" t="n"/>
      <c r="Z655" s="42" t="n"/>
    </row>
    <row r="656" ht="15.75" customHeight="1">
      <c r="A656" s="42" t="n"/>
      <c r="B656" s="42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  <c r="P656" s="42" t="n"/>
      <c r="Q656" s="42" t="n"/>
      <c r="R656" s="42" t="n"/>
      <c r="S656" s="42" t="n"/>
      <c r="T656" s="42" t="n"/>
      <c r="U656" s="42" t="n"/>
      <c r="V656" s="42" t="n"/>
      <c r="W656" s="42" t="n"/>
      <c r="X656" s="42" t="n"/>
      <c r="Y656" s="42" t="n"/>
      <c r="Z656" s="42" t="n"/>
    </row>
    <row r="657" ht="15.75" customHeight="1">
      <c r="A657" s="42" t="n"/>
      <c r="B657" s="42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  <c r="P657" s="42" t="n"/>
      <c r="Q657" s="42" t="n"/>
      <c r="R657" s="42" t="n"/>
      <c r="S657" s="42" t="n"/>
      <c r="T657" s="42" t="n"/>
      <c r="U657" s="42" t="n"/>
      <c r="V657" s="42" t="n"/>
      <c r="W657" s="42" t="n"/>
      <c r="X657" s="42" t="n"/>
      <c r="Y657" s="42" t="n"/>
      <c r="Z657" s="42" t="n"/>
    </row>
    <row r="658" ht="15.75" customHeight="1">
      <c r="A658" s="42" t="n"/>
      <c r="B658" s="42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  <c r="P658" s="42" t="n"/>
      <c r="Q658" s="42" t="n"/>
      <c r="R658" s="42" t="n"/>
      <c r="S658" s="42" t="n"/>
      <c r="T658" s="42" t="n"/>
      <c r="U658" s="42" t="n"/>
      <c r="V658" s="42" t="n"/>
      <c r="W658" s="42" t="n"/>
      <c r="X658" s="42" t="n"/>
      <c r="Y658" s="42" t="n"/>
      <c r="Z658" s="42" t="n"/>
    </row>
    <row r="659" ht="15.75" customHeight="1">
      <c r="A659" s="42" t="n"/>
      <c r="B659" s="42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  <c r="P659" s="42" t="n"/>
      <c r="Q659" s="42" t="n"/>
      <c r="R659" s="42" t="n"/>
      <c r="S659" s="42" t="n"/>
      <c r="T659" s="42" t="n"/>
      <c r="U659" s="42" t="n"/>
      <c r="V659" s="42" t="n"/>
      <c r="W659" s="42" t="n"/>
      <c r="X659" s="42" t="n"/>
      <c r="Y659" s="42" t="n"/>
      <c r="Z659" s="42" t="n"/>
    </row>
    <row r="660" ht="15.75" customHeight="1">
      <c r="A660" s="42" t="n"/>
      <c r="B660" s="42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  <c r="P660" s="42" t="n"/>
      <c r="Q660" s="42" t="n"/>
      <c r="R660" s="42" t="n"/>
      <c r="S660" s="42" t="n"/>
      <c r="T660" s="42" t="n"/>
      <c r="U660" s="42" t="n"/>
      <c r="V660" s="42" t="n"/>
      <c r="W660" s="42" t="n"/>
      <c r="X660" s="42" t="n"/>
      <c r="Y660" s="42" t="n"/>
      <c r="Z660" s="42" t="n"/>
    </row>
    <row r="661" ht="15.75" customHeight="1">
      <c r="A661" s="42" t="n"/>
      <c r="B661" s="42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  <c r="P661" s="42" t="n"/>
      <c r="Q661" s="42" t="n"/>
      <c r="R661" s="42" t="n"/>
      <c r="S661" s="42" t="n"/>
      <c r="T661" s="42" t="n"/>
      <c r="U661" s="42" t="n"/>
      <c r="V661" s="42" t="n"/>
      <c r="W661" s="42" t="n"/>
      <c r="X661" s="42" t="n"/>
      <c r="Y661" s="42" t="n"/>
      <c r="Z661" s="42" t="n"/>
    </row>
    <row r="662" ht="15.75" customHeight="1">
      <c r="A662" s="42" t="n"/>
      <c r="B662" s="42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  <c r="P662" s="42" t="n"/>
      <c r="Q662" s="42" t="n"/>
      <c r="R662" s="42" t="n"/>
      <c r="S662" s="42" t="n"/>
      <c r="T662" s="42" t="n"/>
      <c r="U662" s="42" t="n"/>
      <c r="V662" s="42" t="n"/>
      <c r="W662" s="42" t="n"/>
      <c r="X662" s="42" t="n"/>
      <c r="Y662" s="42" t="n"/>
      <c r="Z662" s="42" t="n"/>
    </row>
    <row r="663" ht="15.75" customHeight="1">
      <c r="A663" s="42" t="n"/>
      <c r="B663" s="42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  <c r="P663" s="42" t="n"/>
      <c r="Q663" s="42" t="n"/>
      <c r="R663" s="42" t="n"/>
      <c r="S663" s="42" t="n"/>
      <c r="T663" s="42" t="n"/>
      <c r="U663" s="42" t="n"/>
      <c r="V663" s="42" t="n"/>
      <c r="W663" s="42" t="n"/>
      <c r="X663" s="42" t="n"/>
      <c r="Y663" s="42" t="n"/>
      <c r="Z663" s="42" t="n"/>
    </row>
    <row r="664" ht="15.75" customHeight="1">
      <c r="A664" s="42" t="n"/>
      <c r="B664" s="42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  <c r="P664" s="42" t="n"/>
      <c r="Q664" s="42" t="n"/>
      <c r="R664" s="42" t="n"/>
      <c r="S664" s="42" t="n"/>
      <c r="T664" s="42" t="n"/>
      <c r="U664" s="42" t="n"/>
      <c r="V664" s="42" t="n"/>
      <c r="W664" s="42" t="n"/>
      <c r="X664" s="42" t="n"/>
      <c r="Y664" s="42" t="n"/>
      <c r="Z664" s="42" t="n"/>
    </row>
    <row r="665" ht="15.75" customHeight="1">
      <c r="A665" s="42" t="n"/>
      <c r="B665" s="42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  <c r="P665" s="42" t="n"/>
      <c r="Q665" s="42" t="n"/>
      <c r="R665" s="42" t="n"/>
      <c r="S665" s="42" t="n"/>
      <c r="T665" s="42" t="n"/>
      <c r="U665" s="42" t="n"/>
      <c r="V665" s="42" t="n"/>
      <c r="W665" s="42" t="n"/>
      <c r="X665" s="42" t="n"/>
      <c r="Y665" s="42" t="n"/>
      <c r="Z665" s="42" t="n"/>
    </row>
    <row r="666" ht="15.75" customHeight="1">
      <c r="A666" s="42" t="n"/>
      <c r="B666" s="42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  <c r="P666" s="42" t="n"/>
      <c r="Q666" s="42" t="n"/>
      <c r="R666" s="42" t="n"/>
      <c r="S666" s="42" t="n"/>
      <c r="T666" s="42" t="n"/>
      <c r="U666" s="42" t="n"/>
      <c r="V666" s="42" t="n"/>
      <c r="W666" s="42" t="n"/>
      <c r="X666" s="42" t="n"/>
      <c r="Y666" s="42" t="n"/>
      <c r="Z666" s="42" t="n"/>
    </row>
    <row r="667" ht="15.75" customHeight="1">
      <c r="A667" s="42" t="n"/>
      <c r="B667" s="42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  <c r="P667" s="42" t="n"/>
      <c r="Q667" s="42" t="n"/>
      <c r="R667" s="42" t="n"/>
      <c r="S667" s="42" t="n"/>
      <c r="T667" s="42" t="n"/>
      <c r="U667" s="42" t="n"/>
      <c r="V667" s="42" t="n"/>
      <c r="W667" s="42" t="n"/>
      <c r="X667" s="42" t="n"/>
      <c r="Y667" s="42" t="n"/>
      <c r="Z667" s="42" t="n"/>
    </row>
    <row r="668" ht="15.75" customHeight="1">
      <c r="A668" s="42" t="n"/>
      <c r="B668" s="42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  <c r="P668" s="42" t="n"/>
      <c r="Q668" s="42" t="n"/>
      <c r="R668" s="42" t="n"/>
      <c r="S668" s="42" t="n"/>
      <c r="T668" s="42" t="n"/>
      <c r="U668" s="42" t="n"/>
      <c r="V668" s="42" t="n"/>
      <c r="W668" s="42" t="n"/>
      <c r="X668" s="42" t="n"/>
      <c r="Y668" s="42" t="n"/>
      <c r="Z668" s="42" t="n"/>
    </row>
    <row r="669" ht="15.75" customHeight="1">
      <c r="A669" s="42" t="n"/>
      <c r="B669" s="42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  <c r="P669" s="42" t="n"/>
      <c r="Q669" s="42" t="n"/>
      <c r="R669" s="42" t="n"/>
      <c r="S669" s="42" t="n"/>
      <c r="T669" s="42" t="n"/>
      <c r="U669" s="42" t="n"/>
      <c r="V669" s="42" t="n"/>
      <c r="W669" s="42" t="n"/>
      <c r="X669" s="42" t="n"/>
      <c r="Y669" s="42" t="n"/>
      <c r="Z669" s="42" t="n"/>
    </row>
    <row r="670" ht="15.75" customHeight="1">
      <c r="A670" s="42" t="n"/>
      <c r="B670" s="42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  <c r="P670" s="42" t="n"/>
      <c r="Q670" s="42" t="n"/>
      <c r="R670" s="42" t="n"/>
      <c r="S670" s="42" t="n"/>
      <c r="T670" s="42" t="n"/>
      <c r="U670" s="42" t="n"/>
      <c r="V670" s="42" t="n"/>
      <c r="W670" s="42" t="n"/>
      <c r="X670" s="42" t="n"/>
      <c r="Y670" s="42" t="n"/>
      <c r="Z670" s="42" t="n"/>
    </row>
    <row r="671" ht="15.75" customHeight="1">
      <c r="A671" s="42" t="n"/>
      <c r="B671" s="42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  <c r="P671" s="42" t="n"/>
      <c r="Q671" s="42" t="n"/>
      <c r="R671" s="42" t="n"/>
      <c r="S671" s="42" t="n"/>
      <c r="T671" s="42" t="n"/>
      <c r="U671" s="42" t="n"/>
      <c r="V671" s="42" t="n"/>
      <c r="W671" s="42" t="n"/>
      <c r="X671" s="42" t="n"/>
      <c r="Y671" s="42" t="n"/>
      <c r="Z671" s="42" t="n"/>
    </row>
    <row r="672" ht="15.75" customHeight="1">
      <c r="A672" s="42" t="n"/>
      <c r="B672" s="42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  <c r="P672" s="42" t="n"/>
      <c r="Q672" s="42" t="n"/>
      <c r="R672" s="42" t="n"/>
      <c r="S672" s="42" t="n"/>
      <c r="T672" s="42" t="n"/>
      <c r="U672" s="42" t="n"/>
      <c r="V672" s="42" t="n"/>
      <c r="W672" s="42" t="n"/>
      <c r="X672" s="42" t="n"/>
      <c r="Y672" s="42" t="n"/>
      <c r="Z672" s="42" t="n"/>
    </row>
    <row r="673" ht="15.75" customHeight="1">
      <c r="A673" s="42" t="n"/>
      <c r="B673" s="42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  <c r="P673" s="42" t="n"/>
      <c r="Q673" s="42" t="n"/>
      <c r="R673" s="42" t="n"/>
      <c r="S673" s="42" t="n"/>
      <c r="T673" s="42" t="n"/>
      <c r="U673" s="42" t="n"/>
      <c r="V673" s="42" t="n"/>
      <c r="W673" s="42" t="n"/>
      <c r="X673" s="42" t="n"/>
      <c r="Y673" s="42" t="n"/>
      <c r="Z673" s="42" t="n"/>
    </row>
    <row r="674" ht="15.75" customHeight="1">
      <c r="A674" s="42" t="n"/>
      <c r="B674" s="42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  <c r="P674" s="42" t="n"/>
      <c r="Q674" s="42" t="n"/>
      <c r="R674" s="42" t="n"/>
      <c r="S674" s="42" t="n"/>
      <c r="T674" s="42" t="n"/>
      <c r="U674" s="42" t="n"/>
      <c r="V674" s="42" t="n"/>
      <c r="W674" s="42" t="n"/>
      <c r="X674" s="42" t="n"/>
      <c r="Y674" s="42" t="n"/>
      <c r="Z674" s="42" t="n"/>
    </row>
    <row r="675" ht="15.75" customHeight="1">
      <c r="A675" s="42" t="n"/>
      <c r="B675" s="42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  <c r="P675" s="42" t="n"/>
      <c r="Q675" s="42" t="n"/>
      <c r="R675" s="42" t="n"/>
      <c r="S675" s="42" t="n"/>
      <c r="T675" s="42" t="n"/>
      <c r="U675" s="42" t="n"/>
      <c r="V675" s="42" t="n"/>
      <c r="W675" s="42" t="n"/>
      <c r="X675" s="42" t="n"/>
      <c r="Y675" s="42" t="n"/>
      <c r="Z675" s="42" t="n"/>
    </row>
    <row r="676" ht="15.75" customHeight="1">
      <c r="A676" s="42" t="n"/>
      <c r="B676" s="42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  <c r="P676" s="42" t="n"/>
      <c r="Q676" s="42" t="n"/>
      <c r="R676" s="42" t="n"/>
      <c r="S676" s="42" t="n"/>
      <c r="T676" s="42" t="n"/>
      <c r="U676" s="42" t="n"/>
      <c r="V676" s="42" t="n"/>
      <c r="W676" s="42" t="n"/>
      <c r="X676" s="42" t="n"/>
      <c r="Y676" s="42" t="n"/>
      <c r="Z676" s="42" t="n"/>
    </row>
    <row r="677" ht="15.75" customHeight="1">
      <c r="A677" s="42" t="n"/>
      <c r="B677" s="42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  <c r="P677" s="42" t="n"/>
      <c r="Q677" s="42" t="n"/>
      <c r="R677" s="42" t="n"/>
      <c r="S677" s="42" t="n"/>
      <c r="T677" s="42" t="n"/>
      <c r="U677" s="42" t="n"/>
      <c r="V677" s="42" t="n"/>
      <c r="W677" s="42" t="n"/>
      <c r="X677" s="42" t="n"/>
      <c r="Y677" s="42" t="n"/>
      <c r="Z677" s="42" t="n"/>
    </row>
    <row r="678" ht="15.75" customHeight="1">
      <c r="A678" s="42" t="n"/>
      <c r="B678" s="42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  <c r="P678" s="42" t="n"/>
      <c r="Q678" s="42" t="n"/>
      <c r="R678" s="42" t="n"/>
      <c r="S678" s="42" t="n"/>
      <c r="T678" s="42" t="n"/>
      <c r="U678" s="42" t="n"/>
      <c r="V678" s="42" t="n"/>
      <c r="W678" s="42" t="n"/>
      <c r="X678" s="42" t="n"/>
      <c r="Y678" s="42" t="n"/>
      <c r="Z678" s="42" t="n"/>
    </row>
    <row r="679" ht="15.75" customHeight="1">
      <c r="A679" s="42" t="n"/>
      <c r="B679" s="42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  <c r="P679" s="42" t="n"/>
      <c r="Q679" s="42" t="n"/>
      <c r="R679" s="42" t="n"/>
      <c r="S679" s="42" t="n"/>
      <c r="T679" s="42" t="n"/>
      <c r="U679" s="42" t="n"/>
      <c r="V679" s="42" t="n"/>
      <c r="W679" s="42" t="n"/>
      <c r="X679" s="42" t="n"/>
      <c r="Y679" s="42" t="n"/>
      <c r="Z679" s="42" t="n"/>
    </row>
    <row r="680" ht="15.75" customHeight="1">
      <c r="A680" s="42" t="n"/>
      <c r="B680" s="42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  <c r="P680" s="42" t="n"/>
      <c r="Q680" s="42" t="n"/>
      <c r="R680" s="42" t="n"/>
      <c r="S680" s="42" t="n"/>
      <c r="T680" s="42" t="n"/>
      <c r="U680" s="42" t="n"/>
      <c r="V680" s="42" t="n"/>
      <c r="W680" s="42" t="n"/>
      <c r="X680" s="42" t="n"/>
      <c r="Y680" s="42" t="n"/>
      <c r="Z680" s="42" t="n"/>
    </row>
    <row r="681" ht="15.75" customHeight="1">
      <c r="A681" s="42" t="n"/>
      <c r="B681" s="42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  <c r="P681" s="42" t="n"/>
      <c r="Q681" s="42" t="n"/>
      <c r="R681" s="42" t="n"/>
      <c r="S681" s="42" t="n"/>
      <c r="T681" s="42" t="n"/>
      <c r="U681" s="42" t="n"/>
      <c r="V681" s="42" t="n"/>
      <c r="W681" s="42" t="n"/>
      <c r="X681" s="42" t="n"/>
      <c r="Y681" s="42" t="n"/>
      <c r="Z681" s="42" t="n"/>
    </row>
    <row r="682" ht="15.75" customHeight="1">
      <c r="A682" s="42" t="n"/>
      <c r="B682" s="42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  <c r="P682" s="42" t="n"/>
      <c r="Q682" s="42" t="n"/>
      <c r="R682" s="42" t="n"/>
      <c r="S682" s="42" t="n"/>
      <c r="T682" s="42" t="n"/>
      <c r="U682" s="42" t="n"/>
      <c r="V682" s="42" t="n"/>
      <c r="W682" s="42" t="n"/>
      <c r="X682" s="42" t="n"/>
      <c r="Y682" s="42" t="n"/>
      <c r="Z682" s="42" t="n"/>
    </row>
    <row r="683" ht="15.75" customHeight="1">
      <c r="A683" s="42" t="n"/>
      <c r="B683" s="42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  <c r="P683" s="42" t="n"/>
      <c r="Q683" s="42" t="n"/>
      <c r="R683" s="42" t="n"/>
      <c r="S683" s="42" t="n"/>
      <c r="T683" s="42" t="n"/>
      <c r="U683" s="42" t="n"/>
      <c r="V683" s="42" t="n"/>
      <c r="W683" s="42" t="n"/>
      <c r="X683" s="42" t="n"/>
      <c r="Y683" s="42" t="n"/>
      <c r="Z683" s="42" t="n"/>
    </row>
    <row r="684" ht="15.75" customHeight="1">
      <c r="A684" s="42" t="n"/>
      <c r="B684" s="42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  <c r="P684" s="42" t="n"/>
      <c r="Q684" s="42" t="n"/>
      <c r="R684" s="42" t="n"/>
      <c r="S684" s="42" t="n"/>
      <c r="T684" s="42" t="n"/>
      <c r="U684" s="42" t="n"/>
      <c r="V684" s="42" t="n"/>
      <c r="W684" s="42" t="n"/>
      <c r="X684" s="42" t="n"/>
      <c r="Y684" s="42" t="n"/>
      <c r="Z684" s="42" t="n"/>
    </row>
    <row r="685" ht="15.75" customHeight="1">
      <c r="A685" s="42" t="n"/>
      <c r="B685" s="42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  <c r="P685" s="42" t="n"/>
      <c r="Q685" s="42" t="n"/>
      <c r="R685" s="42" t="n"/>
      <c r="S685" s="42" t="n"/>
      <c r="T685" s="42" t="n"/>
      <c r="U685" s="42" t="n"/>
      <c r="V685" s="42" t="n"/>
      <c r="W685" s="42" t="n"/>
      <c r="X685" s="42" t="n"/>
      <c r="Y685" s="42" t="n"/>
      <c r="Z685" s="42" t="n"/>
    </row>
    <row r="686" ht="15.75" customHeight="1">
      <c r="A686" s="42" t="n"/>
      <c r="B686" s="42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  <c r="P686" s="42" t="n"/>
      <c r="Q686" s="42" t="n"/>
      <c r="R686" s="42" t="n"/>
      <c r="S686" s="42" t="n"/>
      <c r="T686" s="42" t="n"/>
      <c r="U686" s="42" t="n"/>
      <c r="V686" s="42" t="n"/>
      <c r="W686" s="42" t="n"/>
      <c r="X686" s="42" t="n"/>
      <c r="Y686" s="42" t="n"/>
      <c r="Z686" s="42" t="n"/>
    </row>
    <row r="687" ht="15.75" customHeight="1">
      <c r="A687" s="42" t="n"/>
      <c r="B687" s="42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  <c r="P687" s="42" t="n"/>
      <c r="Q687" s="42" t="n"/>
      <c r="R687" s="42" t="n"/>
      <c r="S687" s="42" t="n"/>
      <c r="T687" s="42" t="n"/>
      <c r="U687" s="42" t="n"/>
      <c r="V687" s="42" t="n"/>
      <c r="W687" s="42" t="n"/>
      <c r="X687" s="42" t="n"/>
      <c r="Y687" s="42" t="n"/>
      <c r="Z687" s="42" t="n"/>
    </row>
    <row r="688" ht="15.75" customHeight="1">
      <c r="A688" s="42" t="n"/>
      <c r="B688" s="42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  <c r="P688" s="42" t="n"/>
      <c r="Q688" s="42" t="n"/>
      <c r="R688" s="42" t="n"/>
      <c r="S688" s="42" t="n"/>
      <c r="T688" s="42" t="n"/>
      <c r="U688" s="42" t="n"/>
      <c r="V688" s="42" t="n"/>
      <c r="W688" s="42" t="n"/>
      <c r="X688" s="42" t="n"/>
      <c r="Y688" s="42" t="n"/>
      <c r="Z688" s="42" t="n"/>
    </row>
    <row r="689" ht="15.75" customHeight="1">
      <c r="A689" s="42" t="n"/>
      <c r="B689" s="42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  <c r="P689" s="42" t="n"/>
      <c r="Q689" s="42" t="n"/>
      <c r="R689" s="42" t="n"/>
      <c r="S689" s="42" t="n"/>
      <c r="T689" s="42" t="n"/>
      <c r="U689" s="42" t="n"/>
      <c r="V689" s="42" t="n"/>
      <c r="W689" s="42" t="n"/>
      <c r="X689" s="42" t="n"/>
      <c r="Y689" s="42" t="n"/>
      <c r="Z689" s="42" t="n"/>
    </row>
    <row r="690" ht="15.75" customHeight="1">
      <c r="A690" s="42" t="n"/>
      <c r="B690" s="42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  <c r="P690" s="42" t="n"/>
      <c r="Q690" s="42" t="n"/>
      <c r="R690" s="42" t="n"/>
      <c r="S690" s="42" t="n"/>
      <c r="T690" s="42" t="n"/>
      <c r="U690" s="42" t="n"/>
      <c r="V690" s="42" t="n"/>
      <c r="W690" s="42" t="n"/>
      <c r="X690" s="42" t="n"/>
      <c r="Y690" s="42" t="n"/>
      <c r="Z690" s="42" t="n"/>
    </row>
    <row r="691" ht="15.75" customHeight="1">
      <c r="A691" s="42" t="n"/>
      <c r="B691" s="42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  <c r="P691" s="42" t="n"/>
      <c r="Q691" s="42" t="n"/>
      <c r="R691" s="42" t="n"/>
      <c r="S691" s="42" t="n"/>
      <c r="T691" s="42" t="n"/>
      <c r="U691" s="42" t="n"/>
      <c r="V691" s="42" t="n"/>
      <c r="W691" s="42" t="n"/>
      <c r="X691" s="42" t="n"/>
      <c r="Y691" s="42" t="n"/>
      <c r="Z691" s="42" t="n"/>
    </row>
    <row r="692" ht="15.75" customHeight="1">
      <c r="A692" s="42" t="n"/>
      <c r="B692" s="42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  <c r="P692" s="42" t="n"/>
      <c r="Q692" s="42" t="n"/>
      <c r="R692" s="42" t="n"/>
      <c r="S692" s="42" t="n"/>
      <c r="T692" s="42" t="n"/>
      <c r="U692" s="42" t="n"/>
      <c r="V692" s="42" t="n"/>
      <c r="W692" s="42" t="n"/>
      <c r="X692" s="42" t="n"/>
      <c r="Y692" s="42" t="n"/>
      <c r="Z692" s="42" t="n"/>
    </row>
    <row r="693" ht="15.75" customHeight="1">
      <c r="A693" s="42" t="n"/>
      <c r="B693" s="42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  <c r="P693" s="42" t="n"/>
      <c r="Q693" s="42" t="n"/>
      <c r="R693" s="42" t="n"/>
      <c r="S693" s="42" t="n"/>
      <c r="T693" s="42" t="n"/>
      <c r="U693" s="42" t="n"/>
      <c r="V693" s="42" t="n"/>
      <c r="W693" s="42" t="n"/>
      <c r="X693" s="42" t="n"/>
      <c r="Y693" s="42" t="n"/>
      <c r="Z693" s="42" t="n"/>
    </row>
    <row r="694" ht="15.75" customHeight="1">
      <c r="A694" s="42" t="n"/>
      <c r="B694" s="42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  <c r="P694" s="42" t="n"/>
      <c r="Q694" s="42" t="n"/>
      <c r="R694" s="42" t="n"/>
      <c r="S694" s="42" t="n"/>
      <c r="T694" s="42" t="n"/>
      <c r="U694" s="42" t="n"/>
      <c r="V694" s="42" t="n"/>
      <c r="W694" s="42" t="n"/>
      <c r="X694" s="42" t="n"/>
      <c r="Y694" s="42" t="n"/>
      <c r="Z694" s="42" t="n"/>
    </row>
    <row r="695" ht="15.75" customHeight="1">
      <c r="A695" s="42" t="n"/>
      <c r="B695" s="42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  <c r="P695" s="42" t="n"/>
      <c r="Q695" s="42" t="n"/>
      <c r="R695" s="42" t="n"/>
      <c r="S695" s="42" t="n"/>
      <c r="T695" s="42" t="n"/>
      <c r="U695" s="42" t="n"/>
      <c r="V695" s="42" t="n"/>
      <c r="W695" s="42" t="n"/>
      <c r="X695" s="42" t="n"/>
      <c r="Y695" s="42" t="n"/>
      <c r="Z695" s="42" t="n"/>
    </row>
    <row r="696" ht="15.75" customHeight="1">
      <c r="A696" s="42" t="n"/>
      <c r="B696" s="42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  <c r="P696" s="42" t="n"/>
      <c r="Q696" s="42" t="n"/>
      <c r="R696" s="42" t="n"/>
      <c r="S696" s="42" t="n"/>
      <c r="T696" s="42" t="n"/>
      <c r="U696" s="42" t="n"/>
      <c r="V696" s="42" t="n"/>
      <c r="W696" s="42" t="n"/>
      <c r="X696" s="42" t="n"/>
      <c r="Y696" s="42" t="n"/>
      <c r="Z696" s="42" t="n"/>
    </row>
    <row r="697" ht="15.75" customHeight="1">
      <c r="A697" s="42" t="n"/>
      <c r="B697" s="42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  <c r="P697" s="42" t="n"/>
      <c r="Q697" s="42" t="n"/>
      <c r="R697" s="42" t="n"/>
      <c r="S697" s="42" t="n"/>
      <c r="T697" s="42" t="n"/>
      <c r="U697" s="42" t="n"/>
      <c r="V697" s="42" t="n"/>
      <c r="W697" s="42" t="n"/>
      <c r="X697" s="42" t="n"/>
      <c r="Y697" s="42" t="n"/>
      <c r="Z697" s="42" t="n"/>
    </row>
    <row r="698" ht="15.75" customHeight="1">
      <c r="A698" s="42" t="n"/>
      <c r="B698" s="42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  <c r="P698" s="42" t="n"/>
      <c r="Q698" s="42" t="n"/>
      <c r="R698" s="42" t="n"/>
      <c r="S698" s="42" t="n"/>
      <c r="T698" s="42" t="n"/>
      <c r="U698" s="42" t="n"/>
      <c r="V698" s="42" t="n"/>
      <c r="W698" s="42" t="n"/>
      <c r="X698" s="42" t="n"/>
      <c r="Y698" s="42" t="n"/>
      <c r="Z698" s="42" t="n"/>
    </row>
    <row r="699" ht="15.75" customHeight="1">
      <c r="A699" s="42" t="n"/>
      <c r="B699" s="42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  <c r="P699" s="42" t="n"/>
      <c r="Q699" s="42" t="n"/>
      <c r="R699" s="42" t="n"/>
      <c r="S699" s="42" t="n"/>
      <c r="T699" s="42" t="n"/>
      <c r="U699" s="42" t="n"/>
      <c r="V699" s="42" t="n"/>
      <c r="W699" s="42" t="n"/>
      <c r="X699" s="42" t="n"/>
      <c r="Y699" s="42" t="n"/>
      <c r="Z699" s="42" t="n"/>
    </row>
    <row r="700" ht="15.75" customHeight="1">
      <c r="A700" s="42" t="n"/>
      <c r="B700" s="42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  <c r="P700" s="42" t="n"/>
      <c r="Q700" s="42" t="n"/>
      <c r="R700" s="42" t="n"/>
      <c r="S700" s="42" t="n"/>
      <c r="T700" s="42" t="n"/>
      <c r="U700" s="42" t="n"/>
      <c r="V700" s="42" t="n"/>
      <c r="W700" s="42" t="n"/>
      <c r="X700" s="42" t="n"/>
      <c r="Y700" s="42" t="n"/>
      <c r="Z700" s="42" t="n"/>
    </row>
    <row r="701" ht="15.75" customHeight="1">
      <c r="A701" s="42" t="n"/>
      <c r="B701" s="42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  <c r="P701" s="42" t="n"/>
      <c r="Q701" s="42" t="n"/>
      <c r="R701" s="42" t="n"/>
      <c r="S701" s="42" t="n"/>
      <c r="T701" s="42" t="n"/>
      <c r="U701" s="42" t="n"/>
      <c r="V701" s="42" t="n"/>
      <c r="W701" s="42" t="n"/>
      <c r="X701" s="42" t="n"/>
      <c r="Y701" s="42" t="n"/>
      <c r="Z701" s="42" t="n"/>
    </row>
    <row r="702" ht="15.75" customHeight="1">
      <c r="A702" s="42" t="n"/>
      <c r="B702" s="42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  <c r="P702" s="42" t="n"/>
      <c r="Q702" s="42" t="n"/>
      <c r="R702" s="42" t="n"/>
      <c r="S702" s="42" t="n"/>
      <c r="T702" s="42" t="n"/>
      <c r="U702" s="42" t="n"/>
      <c r="V702" s="42" t="n"/>
      <c r="W702" s="42" t="n"/>
      <c r="X702" s="42" t="n"/>
      <c r="Y702" s="42" t="n"/>
      <c r="Z702" s="42" t="n"/>
    </row>
    <row r="703" ht="15.75" customHeight="1">
      <c r="A703" s="42" t="n"/>
      <c r="B703" s="42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  <c r="P703" s="42" t="n"/>
      <c r="Q703" s="42" t="n"/>
      <c r="R703" s="42" t="n"/>
      <c r="S703" s="42" t="n"/>
      <c r="T703" s="42" t="n"/>
      <c r="U703" s="42" t="n"/>
      <c r="V703" s="42" t="n"/>
      <c r="W703" s="42" t="n"/>
      <c r="X703" s="42" t="n"/>
      <c r="Y703" s="42" t="n"/>
      <c r="Z703" s="42" t="n"/>
    </row>
    <row r="704" ht="15.75" customHeight="1">
      <c r="A704" s="42" t="n"/>
      <c r="B704" s="42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  <c r="P704" s="42" t="n"/>
      <c r="Q704" s="42" t="n"/>
      <c r="R704" s="42" t="n"/>
      <c r="S704" s="42" t="n"/>
      <c r="T704" s="42" t="n"/>
      <c r="U704" s="42" t="n"/>
      <c r="V704" s="42" t="n"/>
      <c r="W704" s="42" t="n"/>
      <c r="X704" s="42" t="n"/>
      <c r="Y704" s="42" t="n"/>
      <c r="Z704" s="42" t="n"/>
    </row>
    <row r="705" ht="15.75" customHeight="1">
      <c r="A705" s="42" t="n"/>
      <c r="B705" s="42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  <c r="P705" s="42" t="n"/>
      <c r="Q705" s="42" t="n"/>
      <c r="R705" s="42" t="n"/>
      <c r="S705" s="42" t="n"/>
      <c r="T705" s="42" t="n"/>
      <c r="U705" s="42" t="n"/>
      <c r="V705" s="42" t="n"/>
      <c r="W705" s="42" t="n"/>
      <c r="X705" s="42" t="n"/>
      <c r="Y705" s="42" t="n"/>
      <c r="Z705" s="42" t="n"/>
    </row>
    <row r="706" ht="15.75" customHeight="1">
      <c r="A706" s="42" t="n"/>
      <c r="B706" s="42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  <c r="P706" s="42" t="n"/>
      <c r="Q706" s="42" t="n"/>
      <c r="R706" s="42" t="n"/>
      <c r="S706" s="42" t="n"/>
      <c r="T706" s="42" t="n"/>
      <c r="U706" s="42" t="n"/>
      <c r="V706" s="42" t="n"/>
      <c r="W706" s="42" t="n"/>
      <c r="X706" s="42" t="n"/>
      <c r="Y706" s="42" t="n"/>
      <c r="Z706" s="42" t="n"/>
    </row>
    <row r="707" ht="15.75" customHeight="1">
      <c r="A707" s="42" t="n"/>
      <c r="B707" s="42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  <c r="P707" s="42" t="n"/>
      <c r="Q707" s="42" t="n"/>
      <c r="R707" s="42" t="n"/>
      <c r="S707" s="42" t="n"/>
      <c r="T707" s="42" t="n"/>
      <c r="U707" s="42" t="n"/>
      <c r="V707" s="42" t="n"/>
      <c r="W707" s="42" t="n"/>
      <c r="X707" s="42" t="n"/>
      <c r="Y707" s="42" t="n"/>
      <c r="Z707" s="42" t="n"/>
    </row>
    <row r="708" ht="15.75" customHeight="1">
      <c r="A708" s="42" t="n"/>
      <c r="B708" s="42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  <c r="P708" s="42" t="n"/>
      <c r="Q708" s="42" t="n"/>
      <c r="R708" s="42" t="n"/>
      <c r="S708" s="42" t="n"/>
      <c r="T708" s="42" t="n"/>
      <c r="U708" s="42" t="n"/>
      <c r="V708" s="42" t="n"/>
      <c r="W708" s="42" t="n"/>
      <c r="X708" s="42" t="n"/>
      <c r="Y708" s="42" t="n"/>
      <c r="Z708" s="42" t="n"/>
    </row>
    <row r="709" ht="15.75" customHeight="1">
      <c r="A709" s="42" t="n"/>
      <c r="B709" s="42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  <c r="P709" s="42" t="n"/>
      <c r="Q709" s="42" t="n"/>
      <c r="R709" s="42" t="n"/>
      <c r="S709" s="42" t="n"/>
      <c r="T709" s="42" t="n"/>
      <c r="U709" s="42" t="n"/>
      <c r="V709" s="42" t="n"/>
      <c r="W709" s="42" t="n"/>
      <c r="X709" s="42" t="n"/>
      <c r="Y709" s="42" t="n"/>
      <c r="Z709" s="42" t="n"/>
    </row>
    <row r="710" ht="15.75" customHeight="1">
      <c r="A710" s="42" t="n"/>
      <c r="B710" s="42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  <c r="P710" s="42" t="n"/>
      <c r="Q710" s="42" t="n"/>
      <c r="R710" s="42" t="n"/>
      <c r="S710" s="42" t="n"/>
      <c r="T710" s="42" t="n"/>
      <c r="U710" s="42" t="n"/>
      <c r="V710" s="42" t="n"/>
      <c r="W710" s="42" t="n"/>
      <c r="X710" s="42" t="n"/>
      <c r="Y710" s="42" t="n"/>
      <c r="Z710" s="42" t="n"/>
    </row>
    <row r="711" ht="15.75" customHeight="1">
      <c r="A711" s="42" t="n"/>
      <c r="B711" s="42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  <c r="P711" s="42" t="n"/>
      <c r="Q711" s="42" t="n"/>
      <c r="R711" s="42" t="n"/>
      <c r="S711" s="42" t="n"/>
      <c r="T711" s="42" t="n"/>
      <c r="U711" s="42" t="n"/>
      <c r="V711" s="42" t="n"/>
      <c r="W711" s="42" t="n"/>
      <c r="X711" s="42" t="n"/>
      <c r="Y711" s="42" t="n"/>
      <c r="Z711" s="42" t="n"/>
    </row>
    <row r="712" ht="15.75" customHeight="1">
      <c r="A712" s="42" t="n"/>
      <c r="B712" s="42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  <c r="P712" s="42" t="n"/>
      <c r="Q712" s="42" t="n"/>
      <c r="R712" s="42" t="n"/>
      <c r="S712" s="42" t="n"/>
      <c r="T712" s="42" t="n"/>
      <c r="U712" s="42" t="n"/>
      <c r="V712" s="42" t="n"/>
      <c r="W712" s="42" t="n"/>
      <c r="X712" s="42" t="n"/>
      <c r="Y712" s="42" t="n"/>
      <c r="Z712" s="42" t="n"/>
    </row>
    <row r="713" ht="15.75" customHeight="1">
      <c r="A713" s="42" t="n"/>
      <c r="B713" s="42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  <c r="P713" s="42" t="n"/>
      <c r="Q713" s="42" t="n"/>
      <c r="R713" s="42" t="n"/>
      <c r="S713" s="42" t="n"/>
      <c r="T713" s="42" t="n"/>
      <c r="U713" s="42" t="n"/>
      <c r="V713" s="42" t="n"/>
      <c r="W713" s="42" t="n"/>
      <c r="X713" s="42" t="n"/>
      <c r="Y713" s="42" t="n"/>
      <c r="Z713" s="42" t="n"/>
    </row>
    <row r="714" ht="15.75" customHeight="1">
      <c r="A714" s="42" t="n"/>
      <c r="B714" s="42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  <c r="P714" s="42" t="n"/>
      <c r="Q714" s="42" t="n"/>
      <c r="R714" s="42" t="n"/>
      <c r="S714" s="42" t="n"/>
      <c r="T714" s="42" t="n"/>
      <c r="U714" s="42" t="n"/>
      <c r="V714" s="42" t="n"/>
      <c r="W714" s="42" t="n"/>
      <c r="X714" s="42" t="n"/>
      <c r="Y714" s="42" t="n"/>
      <c r="Z714" s="42" t="n"/>
    </row>
    <row r="715" ht="15.75" customHeight="1">
      <c r="A715" s="42" t="n"/>
      <c r="B715" s="42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  <c r="P715" s="42" t="n"/>
      <c r="Q715" s="42" t="n"/>
      <c r="R715" s="42" t="n"/>
      <c r="S715" s="42" t="n"/>
      <c r="T715" s="42" t="n"/>
      <c r="U715" s="42" t="n"/>
      <c r="V715" s="42" t="n"/>
      <c r="W715" s="42" t="n"/>
      <c r="X715" s="42" t="n"/>
      <c r="Y715" s="42" t="n"/>
      <c r="Z715" s="42" t="n"/>
    </row>
    <row r="716" ht="15.75" customHeight="1">
      <c r="A716" s="42" t="n"/>
      <c r="B716" s="42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  <c r="P716" s="42" t="n"/>
      <c r="Q716" s="42" t="n"/>
      <c r="R716" s="42" t="n"/>
      <c r="S716" s="42" t="n"/>
      <c r="T716" s="42" t="n"/>
      <c r="U716" s="42" t="n"/>
      <c r="V716" s="42" t="n"/>
      <c r="W716" s="42" t="n"/>
      <c r="X716" s="42" t="n"/>
      <c r="Y716" s="42" t="n"/>
      <c r="Z716" s="42" t="n"/>
    </row>
    <row r="717" ht="15.75" customHeight="1">
      <c r="A717" s="42" t="n"/>
      <c r="B717" s="42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  <c r="P717" s="42" t="n"/>
      <c r="Q717" s="42" t="n"/>
      <c r="R717" s="42" t="n"/>
      <c r="S717" s="42" t="n"/>
      <c r="T717" s="42" t="n"/>
      <c r="U717" s="42" t="n"/>
      <c r="V717" s="42" t="n"/>
      <c r="W717" s="42" t="n"/>
      <c r="X717" s="42" t="n"/>
      <c r="Y717" s="42" t="n"/>
      <c r="Z717" s="42" t="n"/>
    </row>
    <row r="718" ht="15.75" customHeight="1">
      <c r="A718" s="42" t="n"/>
      <c r="B718" s="42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  <c r="P718" s="42" t="n"/>
      <c r="Q718" s="42" t="n"/>
      <c r="R718" s="42" t="n"/>
      <c r="S718" s="42" t="n"/>
      <c r="T718" s="42" t="n"/>
      <c r="U718" s="42" t="n"/>
      <c r="V718" s="42" t="n"/>
      <c r="W718" s="42" t="n"/>
      <c r="X718" s="42" t="n"/>
      <c r="Y718" s="42" t="n"/>
      <c r="Z718" s="42" t="n"/>
    </row>
    <row r="719" ht="15.75" customHeight="1">
      <c r="A719" s="42" t="n"/>
      <c r="B719" s="42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  <c r="P719" s="42" t="n"/>
      <c r="Q719" s="42" t="n"/>
      <c r="R719" s="42" t="n"/>
      <c r="S719" s="42" t="n"/>
      <c r="T719" s="42" t="n"/>
      <c r="U719" s="42" t="n"/>
      <c r="V719" s="42" t="n"/>
      <c r="W719" s="42" t="n"/>
      <c r="X719" s="42" t="n"/>
      <c r="Y719" s="42" t="n"/>
      <c r="Z719" s="42" t="n"/>
    </row>
    <row r="720" ht="15.75" customHeight="1">
      <c r="A720" s="42" t="n"/>
      <c r="B720" s="42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  <c r="P720" s="42" t="n"/>
      <c r="Q720" s="42" t="n"/>
      <c r="R720" s="42" t="n"/>
      <c r="S720" s="42" t="n"/>
      <c r="T720" s="42" t="n"/>
      <c r="U720" s="42" t="n"/>
      <c r="V720" s="42" t="n"/>
      <c r="W720" s="42" t="n"/>
      <c r="X720" s="42" t="n"/>
      <c r="Y720" s="42" t="n"/>
      <c r="Z720" s="42" t="n"/>
    </row>
    <row r="721" ht="15.75" customHeight="1">
      <c r="A721" s="42" t="n"/>
      <c r="B721" s="42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  <c r="P721" s="42" t="n"/>
      <c r="Q721" s="42" t="n"/>
      <c r="R721" s="42" t="n"/>
      <c r="S721" s="42" t="n"/>
      <c r="T721" s="42" t="n"/>
      <c r="U721" s="42" t="n"/>
      <c r="V721" s="42" t="n"/>
      <c r="W721" s="42" t="n"/>
      <c r="X721" s="42" t="n"/>
      <c r="Y721" s="42" t="n"/>
      <c r="Z721" s="42" t="n"/>
    </row>
    <row r="722" ht="15.75" customHeight="1">
      <c r="A722" s="42" t="n"/>
      <c r="B722" s="42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  <c r="P722" s="42" t="n"/>
      <c r="Q722" s="42" t="n"/>
      <c r="R722" s="42" t="n"/>
      <c r="S722" s="42" t="n"/>
      <c r="T722" s="42" t="n"/>
      <c r="U722" s="42" t="n"/>
      <c r="V722" s="42" t="n"/>
      <c r="W722" s="42" t="n"/>
      <c r="X722" s="42" t="n"/>
      <c r="Y722" s="42" t="n"/>
      <c r="Z722" s="42" t="n"/>
    </row>
    <row r="723" ht="15.75" customHeight="1">
      <c r="A723" s="42" t="n"/>
      <c r="B723" s="42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  <c r="P723" s="42" t="n"/>
      <c r="Q723" s="42" t="n"/>
      <c r="R723" s="42" t="n"/>
      <c r="S723" s="42" t="n"/>
      <c r="T723" s="42" t="n"/>
      <c r="U723" s="42" t="n"/>
      <c r="V723" s="42" t="n"/>
      <c r="W723" s="42" t="n"/>
      <c r="X723" s="42" t="n"/>
      <c r="Y723" s="42" t="n"/>
      <c r="Z723" s="42" t="n"/>
    </row>
    <row r="724" ht="15.75" customHeight="1">
      <c r="A724" s="42" t="n"/>
      <c r="B724" s="42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  <c r="P724" s="42" t="n"/>
      <c r="Q724" s="42" t="n"/>
      <c r="R724" s="42" t="n"/>
      <c r="S724" s="42" t="n"/>
      <c r="T724" s="42" t="n"/>
      <c r="U724" s="42" t="n"/>
      <c r="V724" s="42" t="n"/>
      <c r="W724" s="42" t="n"/>
      <c r="X724" s="42" t="n"/>
      <c r="Y724" s="42" t="n"/>
      <c r="Z724" s="42" t="n"/>
    </row>
    <row r="725" ht="15.75" customHeight="1">
      <c r="A725" s="42" t="n"/>
      <c r="B725" s="42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  <c r="P725" s="42" t="n"/>
      <c r="Q725" s="42" t="n"/>
      <c r="R725" s="42" t="n"/>
      <c r="S725" s="42" t="n"/>
      <c r="T725" s="42" t="n"/>
      <c r="U725" s="42" t="n"/>
      <c r="V725" s="42" t="n"/>
      <c r="W725" s="42" t="n"/>
      <c r="X725" s="42" t="n"/>
      <c r="Y725" s="42" t="n"/>
      <c r="Z725" s="42" t="n"/>
    </row>
    <row r="726" ht="15.75" customHeight="1">
      <c r="A726" s="42" t="n"/>
      <c r="B726" s="42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  <c r="P726" s="42" t="n"/>
      <c r="Q726" s="42" t="n"/>
      <c r="R726" s="42" t="n"/>
      <c r="S726" s="42" t="n"/>
      <c r="T726" s="42" t="n"/>
      <c r="U726" s="42" t="n"/>
      <c r="V726" s="42" t="n"/>
      <c r="W726" s="42" t="n"/>
      <c r="X726" s="42" t="n"/>
      <c r="Y726" s="42" t="n"/>
      <c r="Z726" s="42" t="n"/>
    </row>
    <row r="727" ht="15.75" customHeight="1">
      <c r="A727" s="42" t="n"/>
      <c r="B727" s="42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  <c r="P727" s="42" t="n"/>
      <c r="Q727" s="42" t="n"/>
      <c r="R727" s="42" t="n"/>
      <c r="S727" s="42" t="n"/>
      <c r="T727" s="42" t="n"/>
      <c r="U727" s="42" t="n"/>
      <c r="V727" s="42" t="n"/>
      <c r="W727" s="42" t="n"/>
      <c r="X727" s="42" t="n"/>
      <c r="Y727" s="42" t="n"/>
      <c r="Z727" s="42" t="n"/>
    </row>
    <row r="728" ht="15.75" customHeight="1">
      <c r="A728" s="42" t="n"/>
      <c r="B728" s="42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  <c r="P728" s="42" t="n"/>
      <c r="Q728" s="42" t="n"/>
      <c r="R728" s="42" t="n"/>
      <c r="S728" s="42" t="n"/>
      <c r="T728" s="42" t="n"/>
      <c r="U728" s="42" t="n"/>
      <c r="V728" s="42" t="n"/>
      <c r="W728" s="42" t="n"/>
      <c r="X728" s="42" t="n"/>
      <c r="Y728" s="42" t="n"/>
      <c r="Z728" s="42" t="n"/>
    </row>
    <row r="729" ht="15.75" customHeight="1">
      <c r="A729" s="42" t="n"/>
      <c r="B729" s="42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  <c r="P729" s="42" t="n"/>
      <c r="Q729" s="42" t="n"/>
      <c r="R729" s="42" t="n"/>
      <c r="S729" s="42" t="n"/>
      <c r="T729" s="42" t="n"/>
      <c r="U729" s="42" t="n"/>
      <c r="V729" s="42" t="n"/>
      <c r="W729" s="42" t="n"/>
      <c r="X729" s="42" t="n"/>
      <c r="Y729" s="42" t="n"/>
      <c r="Z729" s="42" t="n"/>
    </row>
    <row r="730" ht="15.75" customHeight="1">
      <c r="A730" s="42" t="n"/>
      <c r="B730" s="42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  <c r="P730" s="42" t="n"/>
      <c r="Q730" s="42" t="n"/>
      <c r="R730" s="42" t="n"/>
      <c r="S730" s="42" t="n"/>
      <c r="T730" s="42" t="n"/>
      <c r="U730" s="42" t="n"/>
      <c r="V730" s="42" t="n"/>
      <c r="W730" s="42" t="n"/>
      <c r="X730" s="42" t="n"/>
      <c r="Y730" s="42" t="n"/>
      <c r="Z730" s="42" t="n"/>
    </row>
    <row r="731" ht="15.75" customHeight="1">
      <c r="A731" s="42" t="n"/>
      <c r="B731" s="42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  <c r="P731" s="42" t="n"/>
      <c r="Q731" s="42" t="n"/>
      <c r="R731" s="42" t="n"/>
      <c r="S731" s="42" t="n"/>
      <c r="T731" s="42" t="n"/>
      <c r="U731" s="42" t="n"/>
      <c r="V731" s="42" t="n"/>
      <c r="W731" s="42" t="n"/>
      <c r="X731" s="42" t="n"/>
      <c r="Y731" s="42" t="n"/>
      <c r="Z731" s="42" t="n"/>
    </row>
    <row r="732" ht="15.75" customHeight="1">
      <c r="A732" s="42" t="n"/>
      <c r="B732" s="42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  <c r="P732" s="42" t="n"/>
      <c r="Q732" s="42" t="n"/>
      <c r="R732" s="42" t="n"/>
      <c r="S732" s="42" t="n"/>
      <c r="T732" s="42" t="n"/>
      <c r="U732" s="42" t="n"/>
      <c r="V732" s="42" t="n"/>
      <c r="W732" s="42" t="n"/>
      <c r="X732" s="42" t="n"/>
      <c r="Y732" s="42" t="n"/>
      <c r="Z732" s="42" t="n"/>
    </row>
    <row r="733" ht="15.75" customHeight="1">
      <c r="A733" s="42" t="n"/>
      <c r="B733" s="42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  <c r="P733" s="42" t="n"/>
      <c r="Q733" s="42" t="n"/>
      <c r="R733" s="42" t="n"/>
      <c r="S733" s="42" t="n"/>
      <c r="T733" s="42" t="n"/>
      <c r="U733" s="42" t="n"/>
      <c r="V733" s="42" t="n"/>
      <c r="W733" s="42" t="n"/>
      <c r="X733" s="42" t="n"/>
      <c r="Y733" s="42" t="n"/>
      <c r="Z733" s="42" t="n"/>
    </row>
    <row r="734" ht="15.75" customHeight="1">
      <c r="A734" s="42" t="n"/>
      <c r="B734" s="42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  <c r="P734" s="42" t="n"/>
      <c r="Q734" s="42" t="n"/>
      <c r="R734" s="42" t="n"/>
      <c r="S734" s="42" t="n"/>
      <c r="T734" s="42" t="n"/>
      <c r="U734" s="42" t="n"/>
      <c r="V734" s="42" t="n"/>
      <c r="W734" s="42" t="n"/>
      <c r="X734" s="42" t="n"/>
      <c r="Y734" s="42" t="n"/>
      <c r="Z734" s="42" t="n"/>
    </row>
    <row r="735" ht="15.75" customHeight="1">
      <c r="A735" s="42" t="n"/>
      <c r="B735" s="42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  <c r="P735" s="42" t="n"/>
      <c r="Q735" s="42" t="n"/>
      <c r="R735" s="42" t="n"/>
      <c r="S735" s="42" t="n"/>
      <c r="T735" s="42" t="n"/>
      <c r="U735" s="42" t="n"/>
      <c r="V735" s="42" t="n"/>
      <c r="W735" s="42" t="n"/>
      <c r="X735" s="42" t="n"/>
      <c r="Y735" s="42" t="n"/>
      <c r="Z735" s="42" t="n"/>
    </row>
    <row r="736" ht="15.75" customHeight="1">
      <c r="A736" s="42" t="n"/>
      <c r="B736" s="42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  <c r="P736" s="42" t="n"/>
      <c r="Q736" s="42" t="n"/>
      <c r="R736" s="42" t="n"/>
      <c r="S736" s="42" t="n"/>
      <c r="T736" s="42" t="n"/>
      <c r="U736" s="42" t="n"/>
      <c r="V736" s="42" t="n"/>
      <c r="W736" s="42" t="n"/>
      <c r="X736" s="42" t="n"/>
      <c r="Y736" s="42" t="n"/>
      <c r="Z736" s="42" t="n"/>
    </row>
    <row r="737" ht="15.75" customHeight="1">
      <c r="A737" s="42" t="n"/>
      <c r="B737" s="42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  <c r="P737" s="42" t="n"/>
      <c r="Q737" s="42" t="n"/>
      <c r="R737" s="42" t="n"/>
      <c r="S737" s="42" t="n"/>
      <c r="T737" s="42" t="n"/>
      <c r="U737" s="42" t="n"/>
      <c r="V737" s="42" t="n"/>
      <c r="W737" s="42" t="n"/>
      <c r="X737" s="42" t="n"/>
      <c r="Y737" s="42" t="n"/>
      <c r="Z737" s="42" t="n"/>
    </row>
    <row r="738" ht="15.75" customHeight="1">
      <c r="A738" s="42" t="n"/>
      <c r="B738" s="42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  <c r="P738" s="42" t="n"/>
      <c r="Q738" s="42" t="n"/>
      <c r="R738" s="42" t="n"/>
      <c r="S738" s="42" t="n"/>
      <c r="T738" s="42" t="n"/>
      <c r="U738" s="42" t="n"/>
      <c r="V738" s="42" t="n"/>
      <c r="W738" s="42" t="n"/>
      <c r="X738" s="42" t="n"/>
      <c r="Y738" s="42" t="n"/>
      <c r="Z738" s="42" t="n"/>
    </row>
    <row r="739" ht="15.75" customHeight="1">
      <c r="A739" s="42" t="n"/>
      <c r="B739" s="42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  <c r="P739" s="42" t="n"/>
      <c r="Q739" s="42" t="n"/>
      <c r="R739" s="42" t="n"/>
      <c r="S739" s="42" t="n"/>
      <c r="T739" s="42" t="n"/>
      <c r="U739" s="42" t="n"/>
      <c r="V739" s="42" t="n"/>
      <c r="W739" s="42" t="n"/>
      <c r="X739" s="42" t="n"/>
      <c r="Y739" s="42" t="n"/>
      <c r="Z739" s="42" t="n"/>
    </row>
    <row r="740" ht="15.75" customHeight="1">
      <c r="A740" s="42" t="n"/>
      <c r="B740" s="42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  <c r="P740" s="42" t="n"/>
      <c r="Q740" s="42" t="n"/>
      <c r="R740" s="42" t="n"/>
      <c r="S740" s="42" t="n"/>
      <c r="T740" s="42" t="n"/>
      <c r="U740" s="42" t="n"/>
      <c r="V740" s="42" t="n"/>
      <c r="W740" s="42" t="n"/>
      <c r="X740" s="42" t="n"/>
      <c r="Y740" s="42" t="n"/>
      <c r="Z740" s="42" t="n"/>
    </row>
    <row r="741" ht="15.75" customHeight="1">
      <c r="A741" s="42" t="n"/>
      <c r="B741" s="42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  <c r="P741" s="42" t="n"/>
      <c r="Q741" s="42" t="n"/>
      <c r="R741" s="42" t="n"/>
      <c r="S741" s="42" t="n"/>
      <c r="T741" s="42" t="n"/>
      <c r="U741" s="42" t="n"/>
      <c r="V741" s="42" t="n"/>
      <c r="W741" s="42" t="n"/>
      <c r="X741" s="42" t="n"/>
      <c r="Y741" s="42" t="n"/>
      <c r="Z741" s="42" t="n"/>
    </row>
    <row r="742" ht="15.75" customHeight="1">
      <c r="A742" s="42" t="n"/>
      <c r="B742" s="42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  <c r="P742" s="42" t="n"/>
      <c r="Q742" s="42" t="n"/>
      <c r="R742" s="42" t="n"/>
      <c r="S742" s="42" t="n"/>
      <c r="T742" s="42" t="n"/>
      <c r="U742" s="42" t="n"/>
      <c r="V742" s="42" t="n"/>
      <c r="W742" s="42" t="n"/>
      <c r="X742" s="42" t="n"/>
      <c r="Y742" s="42" t="n"/>
      <c r="Z742" s="42" t="n"/>
    </row>
    <row r="743" ht="15.75" customHeight="1">
      <c r="A743" s="42" t="n"/>
      <c r="B743" s="42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  <c r="P743" s="42" t="n"/>
      <c r="Q743" s="42" t="n"/>
      <c r="R743" s="42" t="n"/>
      <c r="S743" s="42" t="n"/>
      <c r="T743" s="42" t="n"/>
      <c r="U743" s="42" t="n"/>
      <c r="V743" s="42" t="n"/>
      <c r="W743" s="42" t="n"/>
      <c r="X743" s="42" t="n"/>
      <c r="Y743" s="42" t="n"/>
      <c r="Z743" s="42" t="n"/>
    </row>
    <row r="744" ht="15.75" customHeight="1">
      <c r="A744" s="42" t="n"/>
      <c r="B744" s="42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  <c r="P744" s="42" t="n"/>
      <c r="Q744" s="42" t="n"/>
      <c r="R744" s="42" t="n"/>
      <c r="S744" s="42" t="n"/>
      <c r="T744" s="42" t="n"/>
      <c r="U744" s="42" t="n"/>
      <c r="V744" s="42" t="n"/>
      <c r="W744" s="42" t="n"/>
      <c r="X744" s="42" t="n"/>
      <c r="Y744" s="42" t="n"/>
      <c r="Z744" s="42" t="n"/>
    </row>
    <row r="745" ht="15.75" customHeight="1">
      <c r="A745" s="42" t="n"/>
      <c r="B745" s="42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  <c r="P745" s="42" t="n"/>
      <c r="Q745" s="42" t="n"/>
      <c r="R745" s="42" t="n"/>
      <c r="S745" s="42" t="n"/>
      <c r="T745" s="42" t="n"/>
      <c r="U745" s="42" t="n"/>
      <c r="V745" s="42" t="n"/>
      <c r="W745" s="42" t="n"/>
      <c r="X745" s="42" t="n"/>
      <c r="Y745" s="42" t="n"/>
      <c r="Z745" s="42" t="n"/>
    </row>
    <row r="746" ht="15.75" customHeight="1">
      <c r="A746" s="42" t="n"/>
      <c r="B746" s="42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  <c r="P746" s="42" t="n"/>
      <c r="Q746" s="42" t="n"/>
      <c r="R746" s="42" t="n"/>
      <c r="S746" s="42" t="n"/>
      <c r="T746" s="42" t="n"/>
      <c r="U746" s="42" t="n"/>
      <c r="V746" s="42" t="n"/>
      <c r="W746" s="42" t="n"/>
      <c r="X746" s="42" t="n"/>
      <c r="Y746" s="42" t="n"/>
      <c r="Z746" s="42" t="n"/>
    </row>
    <row r="747" ht="15.75" customHeight="1">
      <c r="A747" s="42" t="n"/>
      <c r="B747" s="42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  <c r="P747" s="42" t="n"/>
      <c r="Q747" s="42" t="n"/>
      <c r="R747" s="42" t="n"/>
      <c r="S747" s="42" t="n"/>
      <c r="T747" s="42" t="n"/>
      <c r="U747" s="42" t="n"/>
      <c r="V747" s="42" t="n"/>
      <c r="W747" s="42" t="n"/>
      <c r="X747" s="42" t="n"/>
      <c r="Y747" s="42" t="n"/>
      <c r="Z747" s="42" t="n"/>
    </row>
    <row r="748" ht="15.75" customHeight="1">
      <c r="A748" s="42" t="n"/>
      <c r="B748" s="42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  <c r="P748" s="42" t="n"/>
      <c r="Q748" s="42" t="n"/>
      <c r="R748" s="42" t="n"/>
      <c r="S748" s="42" t="n"/>
      <c r="T748" s="42" t="n"/>
      <c r="U748" s="42" t="n"/>
      <c r="V748" s="42" t="n"/>
      <c r="W748" s="42" t="n"/>
      <c r="X748" s="42" t="n"/>
      <c r="Y748" s="42" t="n"/>
      <c r="Z748" s="42" t="n"/>
    </row>
    <row r="749" ht="15.75" customHeight="1">
      <c r="A749" s="42" t="n"/>
      <c r="B749" s="42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  <c r="P749" s="42" t="n"/>
      <c r="Q749" s="42" t="n"/>
      <c r="R749" s="42" t="n"/>
      <c r="S749" s="42" t="n"/>
      <c r="T749" s="42" t="n"/>
      <c r="U749" s="42" t="n"/>
      <c r="V749" s="42" t="n"/>
      <c r="W749" s="42" t="n"/>
      <c r="X749" s="42" t="n"/>
      <c r="Y749" s="42" t="n"/>
      <c r="Z749" s="42" t="n"/>
    </row>
    <row r="750" ht="15.75" customHeight="1">
      <c r="A750" s="42" t="n"/>
      <c r="B750" s="42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  <c r="P750" s="42" t="n"/>
      <c r="Q750" s="42" t="n"/>
      <c r="R750" s="42" t="n"/>
      <c r="S750" s="42" t="n"/>
      <c r="T750" s="42" t="n"/>
      <c r="U750" s="42" t="n"/>
      <c r="V750" s="42" t="n"/>
      <c r="W750" s="42" t="n"/>
      <c r="X750" s="42" t="n"/>
      <c r="Y750" s="42" t="n"/>
      <c r="Z750" s="42" t="n"/>
    </row>
    <row r="751" ht="15.75" customHeight="1">
      <c r="A751" s="42" t="n"/>
      <c r="B751" s="42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  <c r="P751" s="42" t="n"/>
      <c r="Q751" s="42" t="n"/>
      <c r="R751" s="42" t="n"/>
      <c r="S751" s="42" t="n"/>
      <c r="T751" s="42" t="n"/>
      <c r="U751" s="42" t="n"/>
      <c r="V751" s="42" t="n"/>
      <c r="W751" s="42" t="n"/>
      <c r="X751" s="42" t="n"/>
      <c r="Y751" s="42" t="n"/>
      <c r="Z751" s="42" t="n"/>
    </row>
    <row r="752" ht="15.75" customHeight="1">
      <c r="A752" s="42" t="n"/>
      <c r="B752" s="42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  <c r="P752" s="42" t="n"/>
      <c r="Q752" s="42" t="n"/>
      <c r="R752" s="42" t="n"/>
      <c r="S752" s="42" t="n"/>
      <c r="T752" s="42" t="n"/>
      <c r="U752" s="42" t="n"/>
      <c r="V752" s="42" t="n"/>
      <c r="W752" s="42" t="n"/>
      <c r="X752" s="42" t="n"/>
      <c r="Y752" s="42" t="n"/>
      <c r="Z752" s="42" t="n"/>
    </row>
    <row r="753" ht="15.75" customHeight="1">
      <c r="A753" s="42" t="n"/>
      <c r="B753" s="42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  <c r="P753" s="42" t="n"/>
      <c r="Q753" s="42" t="n"/>
      <c r="R753" s="42" t="n"/>
      <c r="S753" s="42" t="n"/>
      <c r="T753" s="42" t="n"/>
      <c r="U753" s="42" t="n"/>
      <c r="V753" s="42" t="n"/>
      <c r="W753" s="42" t="n"/>
      <c r="X753" s="42" t="n"/>
      <c r="Y753" s="42" t="n"/>
      <c r="Z753" s="42" t="n"/>
    </row>
    <row r="754" ht="15.75" customHeight="1">
      <c r="A754" s="42" t="n"/>
      <c r="B754" s="42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  <c r="P754" s="42" t="n"/>
      <c r="Q754" s="42" t="n"/>
      <c r="R754" s="42" t="n"/>
      <c r="S754" s="42" t="n"/>
      <c r="T754" s="42" t="n"/>
      <c r="U754" s="42" t="n"/>
      <c r="V754" s="42" t="n"/>
      <c r="W754" s="42" t="n"/>
      <c r="X754" s="42" t="n"/>
      <c r="Y754" s="42" t="n"/>
      <c r="Z754" s="42" t="n"/>
    </row>
    <row r="755" ht="15.75" customHeight="1">
      <c r="A755" s="42" t="n"/>
      <c r="B755" s="42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  <c r="P755" s="42" t="n"/>
      <c r="Q755" s="42" t="n"/>
      <c r="R755" s="42" t="n"/>
      <c r="S755" s="42" t="n"/>
      <c r="T755" s="42" t="n"/>
      <c r="U755" s="42" t="n"/>
      <c r="V755" s="42" t="n"/>
      <c r="W755" s="42" t="n"/>
      <c r="X755" s="42" t="n"/>
      <c r="Y755" s="42" t="n"/>
      <c r="Z755" s="42" t="n"/>
    </row>
    <row r="756" ht="15.75" customHeight="1">
      <c r="A756" s="42" t="n"/>
      <c r="B756" s="42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  <c r="P756" s="42" t="n"/>
      <c r="Q756" s="42" t="n"/>
      <c r="R756" s="42" t="n"/>
      <c r="S756" s="42" t="n"/>
      <c r="T756" s="42" t="n"/>
      <c r="U756" s="42" t="n"/>
      <c r="V756" s="42" t="n"/>
      <c r="W756" s="42" t="n"/>
      <c r="X756" s="42" t="n"/>
      <c r="Y756" s="42" t="n"/>
      <c r="Z756" s="42" t="n"/>
    </row>
    <row r="757" ht="15.75" customHeight="1">
      <c r="A757" s="42" t="n"/>
      <c r="B757" s="42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  <c r="P757" s="42" t="n"/>
      <c r="Q757" s="42" t="n"/>
      <c r="R757" s="42" t="n"/>
      <c r="S757" s="42" t="n"/>
      <c r="T757" s="42" t="n"/>
      <c r="U757" s="42" t="n"/>
      <c r="V757" s="42" t="n"/>
      <c r="W757" s="42" t="n"/>
      <c r="X757" s="42" t="n"/>
      <c r="Y757" s="42" t="n"/>
      <c r="Z757" s="42" t="n"/>
    </row>
    <row r="758" ht="15.75" customHeight="1">
      <c r="A758" s="42" t="n"/>
      <c r="B758" s="42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  <c r="P758" s="42" t="n"/>
      <c r="Q758" s="42" t="n"/>
      <c r="R758" s="42" t="n"/>
      <c r="S758" s="42" t="n"/>
      <c r="T758" s="42" t="n"/>
      <c r="U758" s="42" t="n"/>
      <c r="V758" s="42" t="n"/>
      <c r="W758" s="42" t="n"/>
      <c r="X758" s="42" t="n"/>
      <c r="Y758" s="42" t="n"/>
      <c r="Z758" s="42" t="n"/>
    </row>
    <row r="759" ht="15.75" customHeight="1">
      <c r="A759" s="42" t="n"/>
      <c r="B759" s="42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  <c r="P759" s="42" t="n"/>
      <c r="Q759" s="42" t="n"/>
      <c r="R759" s="42" t="n"/>
      <c r="S759" s="42" t="n"/>
      <c r="T759" s="42" t="n"/>
      <c r="U759" s="42" t="n"/>
      <c r="V759" s="42" t="n"/>
      <c r="W759" s="42" t="n"/>
      <c r="X759" s="42" t="n"/>
      <c r="Y759" s="42" t="n"/>
      <c r="Z759" s="42" t="n"/>
    </row>
    <row r="760" ht="15.75" customHeight="1">
      <c r="A760" s="42" t="n"/>
      <c r="B760" s="42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  <c r="P760" s="42" t="n"/>
      <c r="Q760" s="42" t="n"/>
      <c r="R760" s="42" t="n"/>
      <c r="S760" s="42" t="n"/>
      <c r="T760" s="42" t="n"/>
      <c r="U760" s="42" t="n"/>
      <c r="V760" s="42" t="n"/>
      <c r="W760" s="42" t="n"/>
      <c r="X760" s="42" t="n"/>
      <c r="Y760" s="42" t="n"/>
      <c r="Z760" s="42" t="n"/>
    </row>
    <row r="761" ht="15.75" customHeight="1">
      <c r="A761" s="42" t="n"/>
      <c r="B761" s="42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  <c r="P761" s="42" t="n"/>
      <c r="Q761" s="42" t="n"/>
      <c r="R761" s="42" t="n"/>
      <c r="S761" s="42" t="n"/>
      <c r="T761" s="42" t="n"/>
      <c r="U761" s="42" t="n"/>
      <c r="V761" s="42" t="n"/>
      <c r="W761" s="42" t="n"/>
      <c r="X761" s="42" t="n"/>
      <c r="Y761" s="42" t="n"/>
      <c r="Z761" s="42" t="n"/>
    </row>
    <row r="762" ht="15.75" customHeight="1">
      <c r="A762" s="42" t="n"/>
      <c r="B762" s="42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  <c r="P762" s="42" t="n"/>
      <c r="Q762" s="42" t="n"/>
      <c r="R762" s="42" t="n"/>
      <c r="S762" s="42" t="n"/>
      <c r="T762" s="42" t="n"/>
      <c r="U762" s="42" t="n"/>
      <c r="V762" s="42" t="n"/>
      <c r="W762" s="42" t="n"/>
      <c r="X762" s="42" t="n"/>
      <c r="Y762" s="42" t="n"/>
      <c r="Z762" s="42" t="n"/>
    </row>
    <row r="763" ht="15.75" customHeight="1">
      <c r="A763" s="42" t="n"/>
      <c r="B763" s="42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  <c r="P763" s="42" t="n"/>
      <c r="Q763" s="42" t="n"/>
      <c r="R763" s="42" t="n"/>
      <c r="S763" s="42" t="n"/>
      <c r="T763" s="42" t="n"/>
      <c r="U763" s="42" t="n"/>
      <c r="V763" s="42" t="n"/>
      <c r="W763" s="42" t="n"/>
      <c r="X763" s="42" t="n"/>
      <c r="Y763" s="42" t="n"/>
      <c r="Z763" s="42" t="n"/>
    </row>
    <row r="764" ht="15.75" customHeight="1">
      <c r="A764" s="42" t="n"/>
      <c r="B764" s="42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  <c r="P764" s="42" t="n"/>
      <c r="Q764" s="42" t="n"/>
      <c r="R764" s="42" t="n"/>
      <c r="S764" s="42" t="n"/>
      <c r="T764" s="42" t="n"/>
      <c r="U764" s="42" t="n"/>
      <c r="V764" s="42" t="n"/>
      <c r="W764" s="42" t="n"/>
      <c r="X764" s="42" t="n"/>
      <c r="Y764" s="42" t="n"/>
      <c r="Z764" s="42" t="n"/>
    </row>
    <row r="765" ht="15.75" customHeight="1">
      <c r="A765" s="42" t="n"/>
      <c r="B765" s="42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  <c r="P765" s="42" t="n"/>
      <c r="Q765" s="42" t="n"/>
      <c r="R765" s="42" t="n"/>
      <c r="S765" s="42" t="n"/>
      <c r="T765" s="42" t="n"/>
      <c r="U765" s="42" t="n"/>
      <c r="V765" s="42" t="n"/>
      <c r="W765" s="42" t="n"/>
      <c r="X765" s="42" t="n"/>
      <c r="Y765" s="42" t="n"/>
      <c r="Z765" s="42" t="n"/>
    </row>
    <row r="766" ht="15.75" customHeight="1">
      <c r="A766" s="42" t="n"/>
      <c r="B766" s="42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  <c r="P766" s="42" t="n"/>
      <c r="Q766" s="42" t="n"/>
      <c r="R766" s="42" t="n"/>
      <c r="S766" s="42" t="n"/>
      <c r="T766" s="42" t="n"/>
      <c r="U766" s="42" t="n"/>
      <c r="V766" s="42" t="n"/>
      <c r="W766" s="42" t="n"/>
      <c r="X766" s="42" t="n"/>
      <c r="Y766" s="42" t="n"/>
      <c r="Z766" s="42" t="n"/>
    </row>
    <row r="767" ht="15.75" customHeight="1">
      <c r="A767" s="42" t="n"/>
      <c r="B767" s="42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  <c r="P767" s="42" t="n"/>
      <c r="Q767" s="42" t="n"/>
      <c r="R767" s="42" t="n"/>
      <c r="S767" s="42" t="n"/>
      <c r="T767" s="42" t="n"/>
      <c r="U767" s="42" t="n"/>
      <c r="V767" s="42" t="n"/>
      <c r="W767" s="42" t="n"/>
      <c r="X767" s="42" t="n"/>
      <c r="Y767" s="42" t="n"/>
      <c r="Z767" s="42" t="n"/>
    </row>
    <row r="768" ht="15.75" customHeight="1">
      <c r="A768" s="42" t="n"/>
      <c r="B768" s="42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  <c r="P768" s="42" t="n"/>
      <c r="Q768" s="42" t="n"/>
      <c r="R768" s="42" t="n"/>
      <c r="S768" s="42" t="n"/>
      <c r="T768" s="42" t="n"/>
      <c r="U768" s="42" t="n"/>
      <c r="V768" s="42" t="n"/>
      <c r="W768" s="42" t="n"/>
      <c r="X768" s="42" t="n"/>
      <c r="Y768" s="42" t="n"/>
      <c r="Z768" s="42" t="n"/>
    </row>
    <row r="769" ht="15.75" customHeight="1">
      <c r="A769" s="42" t="n"/>
      <c r="B769" s="42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  <c r="P769" s="42" t="n"/>
      <c r="Q769" s="42" t="n"/>
      <c r="R769" s="42" t="n"/>
      <c r="S769" s="42" t="n"/>
      <c r="T769" s="42" t="n"/>
      <c r="U769" s="42" t="n"/>
      <c r="V769" s="42" t="n"/>
      <c r="W769" s="42" t="n"/>
      <c r="X769" s="42" t="n"/>
      <c r="Y769" s="42" t="n"/>
      <c r="Z769" s="42" t="n"/>
    </row>
    <row r="770" ht="15.75" customHeight="1">
      <c r="A770" s="42" t="n"/>
      <c r="B770" s="42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  <c r="P770" s="42" t="n"/>
      <c r="Q770" s="42" t="n"/>
      <c r="R770" s="42" t="n"/>
      <c r="S770" s="42" t="n"/>
      <c r="T770" s="42" t="n"/>
      <c r="U770" s="42" t="n"/>
      <c r="V770" s="42" t="n"/>
      <c r="W770" s="42" t="n"/>
      <c r="X770" s="42" t="n"/>
      <c r="Y770" s="42" t="n"/>
      <c r="Z770" s="42" t="n"/>
    </row>
    <row r="771" ht="15.75" customHeight="1">
      <c r="A771" s="42" t="n"/>
      <c r="B771" s="42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  <c r="P771" s="42" t="n"/>
      <c r="Q771" s="42" t="n"/>
      <c r="R771" s="42" t="n"/>
      <c r="S771" s="42" t="n"/>
      <c r="T771" s="42" t="n"/>
      <c r="U771" s="42" t="n"/>
      <c r="V771" s="42" t="n"/>
      <c r="W771" s="42" t="n"/>
      <c r="X771" s="42" t="n"/>
      <c r="Y771" s="42" t="n"/>
      <c r="Z771" s="42" t="n"/>
    </row>
    <row r="772" ht="15.75" customHeight="1">
      <c r="A772" s="42" t="n"/>
      <c r="B772" s="42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  <c r="P772" s="42" t="n"/>
      <c r="Q772" s="42" t="n"/>
      <c r="R772" s="42" t="n"/>
      <c r="S772" s="42" t="n"/>
      <c r="T772" s="42" t="n"/>
      <c r="U772" s="42" t="n"/>
      <c r="V772" s="42" t="n"/>
      <c r="W772" s="42" t="n"/>
      <c r="X772" s="42" t="n"/>
      <c r="Y772" s="42" t="n"/>
      <c r="Z772" s="42" t="n"/>
    </row>
    <row r="773" ht="15.75" customHeight="1">
      <c r="A773" s="42" t="n"/>
      <c r="B773" s="42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  <c r="P773" s="42" t="n"/>
      <c r="Q773" s="42" t="n"/>
      <c r="R773" s="42" t="n"/>
      <c r="S773" s="42" t="n"/>
      <c r="T773" s="42" t="n"/>
      <c r="U773" s="42" t="n"/>
      <c r="V773" s="42" t="n"/>
      <c r="W773" s="42" t="n"/>
      <c r="X773" s="42" t="n"/>
      <c r="Y773" s="42" t="n"/>
      <c r="Z773" s="42" t="n"/>
    </row>
    <row r="774" ht="15.75" customHeight="1">
      <c r="A774" s="42" t="n"/>
      <c r="B774" s="42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  <c r="P774" s="42" t="n"/>
      <c r="Q774" s="42" t="n"/>
      <c r="R774" s="42" t="n"/>
      <c r="S774" s="42" t="n"/>
      <c r="T774" s="42" t="n"/>
      <c r="U774" s="42" t="n"/>
      <c r="V774" s="42" t="n"/>
      <c r="W774" s="42" t="n"/>
      <c r="X774" s="42" t="n"/>
      <c r="Y774" s="42" t="n"/>
      <c r="Z774" s="42" t="n"/>
    </row>
    <row r="775" ht="15.75" customHeight="1">
      <c r="A775" s="42" t="n"/>
      <c r="B775" s="42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  <c r="P775" s="42" t="n"/>
      <c r="Q775" s="42" t="n"/>
      <c r="R775" s="42" t="n"/>
      <c r="S775" s="42" t="n"/>
      <c r="T775" s="42" t="n"/>
      <c r="U775" s="42" t="n"/>
      <c r="V775" s="42" t="n"/>
      <c r="W775" s="42" t="n"/>
      <c r="X775" s="42" t="n"/>
      <c r="Y775" s="42" t="n"/>
      <c r="Z775" s="42" t="n"/>
    </row>
    <row r="776" ht="15.75" customHeight="1">
      <c r="A776" s="42" t="n"/>
      <c r="B776" s="42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  <c r="P776" s="42" t="n"/>
      <c r="Q776" s="42" t="n"/>
      <c r="R776" s="42" t="n"/>
      <c r="S776" s="42" t="n"/>
      <c r="T776" s="42" t="n"/>
      <c r="U776" s="42" t="n"/>
      <c r="V776" s="42" t="n"/>
      <c r="W776" s="42" t="n"/>
      <c r="X776" s="42" t="n"/>
      <c r="Y776" s="42" t="n"/>
      <c r="Z776" s="42" t="n"/>
    </row>
    <row r="777" ht="15.75" customHeight="1">
      <c r="A777" s="42" t="n"/>
      <c r="B777" s="42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  <c r="P777" s="42" t="n"/>
      <c r="Q777" s="42" t="n"/>
      <c r="R777" s="42" t="n"/>
      <c r="S777" s="42" t="n"/>
      <c r="T777" s="42" t="n"/>
      <c r="U777" s="42" t="n"/>
      <c r="V777" s="42" t="n"/>
      <c r="W777" s="42" t="n"/>
      <c r="X777" s="42" t="n"/>
      <c r="Y777" s="42" t="n"/>
      <c r="Z777" s="42" t="n"/>
    </row>
    <row r="778" ht="15.75" customHeight="1">
      <c r="A778" s="42" t="n"/>
      <c r="B778" s="42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  <c r="P778" s="42" t="n"/>
      <c r="Q778" s="42" t="n"/>
      <c r="R778" s="42" t="n"/>
      <c r="S778" s="42" t="n"/>
      <c r="T778" s="42" t="n"/>
      <c r="U778" s="42" t="n"/>
      <c r="V778" s="42" t="n"/>
      <c r="W778" s="42" t="n"/>
      <c r="X778" s="42" t="n"/>
      <c r="Y778" s="42" t="n"/>
      <c r="Z778" s="42" t="n"/>
    </row>
    <row r="779" ht="15.75" customHeight="1">
      <c r="A779" s="42" t="n"/>
      <c r="B779" s="42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  <c r="P779" s="42" t="n"/>
      <c r="Q779" s="42" t="n"/>
      <c r="R779" s="42" t="n"/>
      <c r="S779" s="42" t="n"/>
      <c r="T779" s="42" t="n"/>
      <c r="U779" s="42" t="n"/>
      <c r="V779" s="42" t="n"/>
      <c r="W779" s="42" t="n"/>
      <c r="X779" s="42" t="n"/>
      <c r="Y779" s="42" t="n"/>
      <c r="Z779" s="42" t="n"/>
    </row>
    <row r="780" ht="15.75" customHeight="1">
      <c r="A780" s="42" t="n"/>
      <c r="B780" s="42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  <c r="P780" s="42" t="n"/>
      <c r="Q780" s="42" t="n"/>
      <c r="R780" s="42" t="n"/>
      <c r="S780" s="42" t="n"/>
      <c r="T780" s="42" t="n"/>
      <c r="U780" s="42" t="n"/>
      <c r="V780" s="42" t="n"/>
      <c r="W780" s="42" t="n"/>
      <c r="X780" s="42" t="n"/>
      <c r="Y780" s="42" t="n"/>
      <c r="Z780" s="42" t="n"/>
    </row>
    <row r="781" ht="15.75" customHeight="1">
      <c r="A781" s="42" t="n"/>
      <c r="B781" s="42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  <c r="P781" s="42" t="n"/>
      <c r="Q781" s="42" t="n"/>
      <c r="R781" s="42" t="n"/>
      <c r="S781" s="42" t="n"/>
      <c r="T781" s="42" t="n"/>
      <c r="U781" s="42" t="n"/>
      <c r="V781" s="42" t="n"/>
      <c r="W781" s="42" t="n"/>
      <c r="X781" s="42" t="n"/>
      <c r="Y781" s="42" t="n"/>
      <c r="Z781" s="42" t="n"/>
    </row>
    <row r="782" ht="15.75" customHeight="1">
      <c r="A782" s="42" t="n"/>
      <c r="B782" s="42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  <c r="P782" s="42" t="n"/>
      <c r="Q782" s="42" t="n"/>
      <c r="R782" s="42" t="n"/>
      <c r="S782" s="42" t="n"/>
      <c r="T782" s="42" t="n"/>
      <c r="U782" s="42" t="n"/>
      <c r="V782" s="42" t="n"/>
      <c r="W782" s="42" t="n"/>
      <c r="X782" s="42" t="n"/>
      <c r="Y782" s="42" t="n"/>
      <c r="Z782" s="42" t="n"/>
    </row>
    <row r="783" ht="15.75" customHeight="1">
      <c r="A783" s="42" t="n"/>
      <c r="B783" s="42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  <c r="P783" s="42" t="n"/>
      <c r="Q783" s="42" t="n"/>
      <c r="R783" s="42" t="n"/>
      <c r="S783" s="42" t="n"/>
      <c r="T783" s="42" t="n"/>
      <c r="U783" s="42" t="n"/>
      <c r="V783" s="42" t="n"/>
      <c r="W783" s="42" t="n"/>
      <c r="X783" s="42" t="n"/>
      <c r="Y783" s="42" t="n"/>
      <c r="Z783" s="42" t="n"/>
    </row>
    <row r="784" ht="15.75" customHeight="1">
      <c r="A784" s="42" t="n"/>
      <c r="B784" s="42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  <c r="P784" s="42" t="n"/>
      <c r="Q784" s="42" t="n"/>
      <c r="R784" s="42" t="n"/>
      <c r="S784" s="42" t="n"/>
      <c r="T784" s="42" t="n"/>
      <c r="U784" s="42" t="n"/>
      <c r="V784" s="42" t="n"/>
      <c r="W784" s="42" t="n"/>
      <c r="X784" s="42" t="n"/>
      <c r="Y784" s="42" t="n"/>
      <c r="Z784" s="42" t="n"/>
    </row>
    <row r="785" ht="15.75" customHeight="1">
      <c r="A785" s="42" t="n"/>
      <c r="B785" s="42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  <c r="P785" s="42" t="n"/>
      <c r="Q785" s="42" t="n"/>
      <c r="R785" s="42" t="n"/>
      <c r="S785" s="42" t="n"/>
      <c r="T785" s="42" t="n"/>
      <c r="U785" s="42" t="n"/>
      <c r="V785" s="42" t="n"/>
      <c r="W785" s="42" t="n"/>
      <c r="X785" s="42" t="n"/>
      <c r="Y785" s="42" t="n"/>
      <c r="Z785" s="42" t="n"/>
    </row>
    <row r="786" ht="15.75" customHeight="1">
      <c r="A786" s="42" t="n"/>
      <c r="B786" s="42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  <c r="P786" s="42" t="n"/>
      <c r="Q786" s="42" t="n"/>
      <c r="R786" s="42" t="n"/>
      <c r="S786" s="42" t="n"/>
      <c r="T786" s="42" t="n"/>
      <c r="U786" s="42" t="n"/>
      <c r="V786" s="42" t="n"/>
      <c r="W786" s="42" t="n"/>
      <c r="X786" s="42" t="n"/>
      <c r="Y786" s="42" t="n"/>
      <c r="Z786" s="42" t="n"/>
    </row>
    <row r="787" ht="15.75" customHeight="1">
      <c r="A787" s="42" t="n"/>
      <c r="B787" s="42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  <c r="P787" s="42" t="n"/>
      <c r="Q787" s="42" t="n"/>
      <c r="R787" s="42" t="n"/>
      <c r="S787" s="42" t="n"/>
      <c r="T787" s="42" t="n"/>
      <c r="U787" s="42" t="n"/>
      <c r="V787" s="42" t="n"/>
      <c r="W787" s="42" t="n"/>
      <c r="X787" s="42" t="n"/>
      <c r="Y787" s="42" t="n"/>
      <c r="Z787" s="42" t="n"/>
    </row>
    <row r="788" ht="15.75" customHeight="1">
      <c r="A788" s="42" t="n"/>
      <c r="B788" s="42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  <c r="P788" s="42" t="n"/>
      <c r="Q788" s="42" t="n"/>
      <c r="R788" s="42" t="n"/>
      <c r="S788" s="42" t="n"/>
      <c r="T788" s="42" t="n"/>
      <c r="U788" s="42" t="n"/>
      <c r="V788" s="42" t="n"/>
      <c r="W788" s="42" t="n"/>
      <c r="X788" s="42" t="n"/>
      <c r="Y788" s="42" t="n"/>
      <c r="Z788" s="42" t="n"/>
    </row>
    <row r="789" ht="15.75" customHeight="1">
      <c r="A789" s="42" t="n"/>
      <c r="B789" s="42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  <c r="P789" s="42" t="n"/>
      <c r="Q789" s="42" t="n"/>
      <c r="R789" s="42" t="n"/>
      <c r="S789" s="42" t="n"/>
      <c r="T789" s="42" t="n"/>
      <c r="U789" s="42" t="n"/>
      <c r="V789" s="42" t="n"/>
      <c r="W789" s="42" t="n"/>
      <c r="X789" s="42" t="n"/>
      <c r="Y789" s="42" t="n"/>
      <c r="Z789" s="42" t="n"/>
    </row>
    <row r="790" ht="15.75" customHeight="1">
      <c r="A790" s="42" t="n"/>
      <c r="B790" s="42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  <c r="P790" s="42" t="n"/>
      <c r="Q790" s="42" t="n"/>
      <c r="R790" s="42" t="n"/>
      <c r="S790" s="42" t="n"/>
      <c r="T790" s="42" t="n"/>
      <c r="U790" s="42" t="n"/>
      <c r="V790" s="42" t="n"/>
      <c r="W790" s="42" t="n"/>
      <c r="X790" s="42" t="n"/>
      <c r="Y790" s="42" t="n"/>
      <c r="Z790" s="42" t="n"/>
    </row>
    <row r="791" ht="15.75" customHeight="1">
      <c r="A791" s="42" t="n"/>
      <c r="B791" s="42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  <c r="P791" s="42" t="n"/>
      <c r="Q791" s="42" t="n"/>
      <c r="R791" s="42" t="n"/>
      <c r="S791" s="42" t="n"/>
      <c r="T791" s="42" t="n"/>
      <c r="U791" s="42" t="n"/>
      <c r="V791" s="42" t="n"/>
      <c r="W791" s="42" t="n"/>
      <c r="X791" s="42" t="n"/>
      <c r="Y791" s="42" t="n"/>
      <c r="Z791" s="42" t="n"/>
    </row>
    <row r="792" ht="15.75" customHeight="1">
      <c r="A792" s="42" t="n"/>
      <c r="B792" s="42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  <c r="P792" s="42" t="n"/>
      <c r="Q792" s="42" t="n"/>
      <c r="R792" s="42" t="n"/>
      <c r="S792" s="42" t="n"/>
      <c r="T792" s="42" t="n"/>
      <c r="U792" s="42" t="n"/>
      <c r="V792" s="42" t="n"/>
      <c r="W792" s="42" t="n"/>
      <c r="X792" s="42" t="n"/>
      <c r="Y792" s="42" t="n"/>
      <c r="Z792" s="42" t="n"/>
    </row>
    <row r="793" ht="15.75" customHeight="1">
      <c r="A793" s="42" t="n"/>
      <c r="B793" s="42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  <c r="P793" s="42" t="n"/>
      <c r="Q793" s="42" t="n"/>
      <c r="R793" s="42" t="n"/>
      <c r="S793" s="42" t="n"/>
      <c r="T793" s="42" t="n"/>
      <c r="U793" s="42" t="n"/>
      <c r="V793" s="42" t="n"/>
      <c r="W793" s="42" t="n"/>
      <c r="X793" s="42" t="n"/>
      <c r="Y793" s="42" t="n"/>
      <c r="Z793" s="42" t="n"/>
    </row>
    <row r="794" ht="15.75" customHeight="1">
      <c r="A794" s="42" t="n"/>
      <c r="B794" s="42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  <c r="P794" s="42" t="n"/>
      <c r="Q794" s="42" t="n"/>
      <c r="R794" s="42" t="n"/>
      <c r="S794" s="42" t="n"/>
      <c r="T794" s="42" t="n"/>
      <c r="U794" s="42" t="n"/>
      <c r="V794" s="42" t="n"/>
      <c r="W794" s="42" t="n"/>
      <c r="X794" s="42" t="n"/>
      <c r="Y794" s="42" t="n"/>
      <c r="Z794" s="42" t="n"/>
    </row>
    <row r="795" ht="15.75" customHeight="1">
      <c r="A795" s="42" t="n"/>
      <c r="B795" s="42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  <c r="P795" s="42" t="n"/>
      <c r="Q795" s="42" t="n"/>
      <c r="R795" s="42" t="n"/>
      <c r="S795" s="42" t="n"/>
      <c r="T795" s="42" t="n"/>
      <c r="U795" s="42" t="n"/>
      <c r="V795" s="42" t="n"/>
      <c r="W795" s="42" t="n"/>
      <c r="X795" s="42" t="n"/>
      <c r="Y795" s="42" t="n"/>
      <c r="Z795" s="42" t="n"/>
    </row>
    <row r="796" ht="15.75" customHeight="1">
      <c r="A796" s="42" t="n"/>
      <c r="B796" s="42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  <c r="P796" s="42" t="n"/>
      <c r="Q796" s="42" t="n"/>
      <c r="R796" s="42" t="n"/>
      <c r="S796" s="42" t="n"/>
      <c r="T796" s="42" t="n"/>
      <c r="U796" s="42" t="n"/>
      <c r="V796" s="42" t="n"/>
      <c r="W796" s="42" t="n"/>
      <c r="X796" s="42" t="n"/>
      <c r="Y796" s="42" t="n"/>
      <c r="Z796" s="42" t="n"/>
    </row>
    <row r="797" ht="15.75" customHeight="1">
      <c r="A797" s="42" t="n"/>
      <c r="B797" s="42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  <c r="P797" s="42" t="n"/>
      <c r="Q797" s="42" t="n"/>
      <c r="R797" s="42" t="n"/>
      <c r="S797" s="42" t="n"/>
      <c r="T797" s="42" t="n"/>
      <c r="U797" s="42" t="n"/>
      <c r="V797" s="42" t="n"/>
      <c r="W797" s="42" t="n"/>
      <c r="X797" s="42" t="n"/>
      <c r="Y797" s="42" t="n"/>
      <c r="Z797" s="42" t="n"/>
    </row>
    <row r="798" ht="15.75" customHeight="1">
      <c r="A798" s="42" t="n"/>
      <c r="B798" s="42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  <c r="P798" s="42" t="n"/>
      <c r="Q798" s="42" t="n"/>
      <c r="R798" s="42" t="n"/>
      <c r="S798" s="42" t="n"/>
      <c r="T798" s="42" t="n"/>
      <c r="U798" s="42" t="n"/>
      <c r="V798" s="42" t="n"/>
      <c r="W798" s="42" t="n"/>
      <c r="X798" s="42" t="n"/>
      <c r="Y798" s="42" t="n"/>
      <c r="Z798" s="42" t="n"/>
    </row>
    <row r="799" ht="15.75" customHeight="1">
      <c r="A799" s="42" t="n"/>
      <c r="B799" s="42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  <c r="P799" s="42" t="n"/>
      <c r="Q799" s="42" t="n"/>
      <c r="R799" s="42" t="n"/>
      <c r="S799" s="42" t="n"/>
      <c r="T799" s="42" t="n"/>
      <c r="U799" s="42" t="n"/>
      <c r="V799" s="42" t="n"/>
      <c r="W799" s="42" t="n"/>
      <c r="X799" s="42" t="n"/>
      <c r="Y799" s="42" t="n"/>
      <c r="Z799" s="42" t="n"/>
    </row>
    <row r="800" ht="15.75" customHeight="1">
      <c r="A800" s="42" t="n"/>
      <c r="B800" s="42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  <c r="P800" s="42" t="n"/>
      <c r="Q800" s="42" t="n"/>
      <c r="R800" s="42" t="n"/>
      <c r="S800" s="42" t="n"/>
      <c r="T800" s="42" t="n"/>
      <c r="U800" s="42" t="n"/>
      <c r="V800" s="42" t="n"/>
      <c r="W800" s="42" t="n"/>
      <c r="X800" s="42" t="n"/>
      <c r="Y800" s="42" t="n"/>
      <c r="Z800" s="42" t="n"/>
    </row>
    <row r="801" ht="15.75" customHeight="1">
      <c r="A801" s="42" t="n"/>
      <c r="B801" s="42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  <c r="P801" s="42" t="n"/>
      <c r="Q801" s="42" t="n"/>
      <c r="R801" s="42" t="n"/>
      <c r="S801" s="42" t="n"/>
      <c r="T801" s="42" t="n"/>
      <c r="U801" s="42" t="n"/>
      <c r="V801" s="42" t="n"/>
      <c r="W801" s="42" t="n"/>
      <c r="X801" s="42" t="n"/>
      <c r="Y801" s="42" t="n"/>
      <c r="Z801" s="42" t="n"/>
    </row>
    <row r="802" ht="15.75" customHeight="1">
      <c r="A802" s="42" t="n"/>
      <c r="B802" s="42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  <c r="P802" s="42" t="n"/>
      <c r="Q802" s="42" t="n"/>
      <c r="R802" s="42" t="n"/>
      <c r="S802" s="42" t="n"/>
      <c r="T802" s="42" t="n"/>
      <c r="U802" s="42" t="n"/>
      <c r="V802" s="42" t="n"/>
      <c r="W802" s="42" t="n"/>
      <c r="X802" s="42" t="n"/>
      <c r="Y802" s="42" t="n"/>
      <c r="Z802" s="42" t="n"/>
    </row>
    <row r="803" ht="15.75" customHeight="1">
      <c r="A803" s="42" t="n"/>
      <c r="B803" s="42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  <c r="P803" s="42" t="n"/>
      <c r="Q803" s="42" t="n"/>
      <c r="R803" s="42" t="n"/>
      <c r="S803" s="42" t="n"/>
      <c r="T803" s="42" t="n"/>
      <c r="U803" s="42" t="n"/>
      <c r="V803" s="42" t="n"/>
      <c r="W803" s="42" t="n"/>
      <c r="X803" s="42" t="n"/>
      <c r="Y803" s="42" t="n"/>
      <c r="Z803" s="42" t="n"/>
    </row>
    <row r="804" ht="15.75" customHeight="1">
      <c r="A804" s="42" t="n"/>
      <c r="B804" s="42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  <c r="P804" s="42" t="n"/>
      <c r="Q804" s="42" t="n"/>
      <c r="R804" s="42" t="n"/>
      <c r="S804" s="42" t="n"/>
      <c r="T804" s="42" t="n"/>
      <c r="U804" s="42" t="n"/>
      <c r="V804" s="42" t="n"/>
      <c r="W804" s="42" t="n"/>
      <c r="X804" s="42" t="n"/>
      <c r="Y804" s="42" t="n"/>
      <c r="Z804" s="42" t="n"/>
    </row>
    <row r="805" ht="15.75" customHeight="1">
      <c r="A805" s="42" t="n"/>
      <c r="B805" s="42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  <c r="P805" s="42" t="n"/>
      <c r="Q805" s="42" t="n"/>
      <c r="R805" s="42" t="n"/>
      <c r="S805" s="42" t="n"/>
      <c r="T805" s="42" t="n"/>
      <c r="U805" s="42" t="n"/>
      <c r="V805" s="42" t="n"/>
      <c r="W805" s="42" t="n"/>
      <c r="X805" s="42" t="n"/>
      <c r="Y805" s="42" t="n"/>
      <c r="Z805" s="42" t="n"/>
    </row>
    <row r="806" ht="15.75" customHeight="1">
      <c r="A806" s="42" t="n"/>
      <c r="B806" s="42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  <c r="P806" s="42" t="n"/>
      <c r="Q806" s="42" t="n"/>
      <c r="R806" s="42" t="n"/>
      <c r="S806" s="42" t="n"/>
      <c r="T806" s="42" t="n"/>
      <c r="U806" s="42" t="n"/>
      <c r="V806" s="42" t="n"/>
      <c r="W806" s="42" t="n"/>
      <c r="X806" s="42" t="n"/>
      <c r="Y806" s="42" t="n"/>
      <c r="Z806" s="42" t="n"/>
    </row>
    <row r="807" ht="15.75" customHeight="1">
      <c r="A807" s="42" t="n"/>
      <c r="B807" s="42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  <c r="P807" s="42" t="n"/>
      <c r="Q807" s="42" t="n"/>
      <c r="R807" s="42" t="n"/>
      <c r="S807" s="42" t="n"/>
      <c r="T807" s="42" t="n"/>
      <c r="U807" s="42" t="n"/>
      <c r="V807" s="42" t="n"/>
      <c r="W807" s="42" t="n"/>
      <c r="X807" s="42" t="n"/>
      <c r="Y807" s="42" t="n"/>
      <c r="Z807" s="42" t="n"/>
    </row>
    <row r="808" ht="15.75" customHeight="1">
      <c r="A808" s="42" t="n"/>
      <c r="B808" s="42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  <c r="P808" s="42" t="n"/>
      <c r="Q808" s="42" t="n"/>
      <c r="R808" s="42" t="n"/>
      <c r="S808" s="42" t="n"/>
      <c r="T808" s="42" t="n"/>
      <c r="U808" s="42" t="n"/>
      <c r="V808" s="42" t="n"/>
      <c r="W808" s="42" t="n"/>
      <c r="X808" s="42" t="n"/>
      <c r="Y808" s="42" t="n"/>
      <c r="Z808" s="42" t="n"/>
    </row>
    <row r="809" ht="15.75" customHeight="1">
      <c r="A809" s="42" t="n"/>
      <c r="B809" s="42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  <c r="P809" s="42" t="n"/>
      <c r="Q809" s="42" t="n"/>
      <c r="R809" s="42" t="n"/>
      <c r="S809" s="42" t="n"/>
      <c r="T809" s="42" t="n"/>
      <c r="U809" s="42" t="n"/>
      <c r="V809" s="42" t="n"/>
      <c r="W809" s="42" t="n"/>
      <c r="X809" s="42" t="n"/>
      <c r="Y809" s="42" t="n"/>
      <c r="Z809" s="42" t="n"/>
    </row>
    <row r="810" ht="15.75" customHeight="1">
      <c r="A810" s="42" t="n"/>
      <c r="B810" s="42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  <c r="P810" s="42" t="n"/>
      <c r="Q810" s="42" t="n"/>
      <c r="R810" s="42" t="n"/>
      <c r="S810" s="42" t="n"/>
      <c r="T810" s="42" t="n"/>
      <c r="U810" s="42" t="n"/>
      <c r="V810" s="42" t="n"/>
      <c r="W810" s="42" t="n"/>
      <c r="X810" s="42" t="n"/>
      <c r="Y810" s="42" t="n"/>
      <c r="Z810" s="42" t="n"/>
    </row>
    <row r="811" ht="15.75" customHeight="1">
      <c r="A811" s="42" t="n"/>
      <c r="B811" s="42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  <c r="P811" s="42" t="n"/>
      <c r="Q811" s="42" t="n"/>
      <c r="R811" s="42" t="n"/>
      <c r="S811" s="42" t="n"/>
      <c r="T811" s="42" t="n"/>
      <c r="U811" s="42" t="n"/>
      <c r="V811" s="42" t="n"/>
      <c r="W811" s="42" t="n"/>
      <c r="X811" s="42" t="n"/>
      <c r="Y811" s="42" t="n"/>
      <c r="Z811" s="42" t="n"/>
    </row>
    <row r="812" ht="15.75" customHeight="1">
      <c r="A812" s="42" t="n"/>
      <c r="B812" s="42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  <c r="P812" s="42" t="n"/>
      <c r="Q812" s="42" t="n"/>
      <c r="R812" s="42" t="n"/>
      <c r="S812" s="42" t="n"/>
      <c r="T812" s="42" t="n"/>
      <c r="U812" s="42" t="n"/>
      <c r="V812" s="42" t="n"/>
      <c r="W812" s="42" t="n"/>
      <c r="X812" s="42" t="n"/>
      <c r="Y812" s="42" t="n"/>
      <c r="Z812" s="42" t="n"/>
    </row>
    <row r="813" ht="15.75" customHeight="1">
      <c r="A813" s="42" t="n"/>
      <c r="B813" s="42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  <c r="P813" s="42" t="n"/>
      <c r="Q813" s="42" t="n"/>
      <c r="R813" s="42" t="n"/>
      <c r="S813" s="42" t="n"/>
      <c r="T813" s="42" t="n"/>
      <c r="U813" s="42" t="n"/>
      <c r="V813" s="42" t="n"/>
      <c r="W813" s="42" t="n"/>
      <c r="X813" s="42" t="n"/>
      <c r="Y813" s="42" t="n"/>
      <c r="Z813" s="42" t="n"/>
    </row>
    <row r="814" ht="15.75" customHeight="1">
      <c r="A814" s="42" t="n"/>
      <c r="B814" s="42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  <c r="P814" s="42" t="n"/>
      <c r="Q814" s="42" t="n"/>
      <c r="R814" s="42" t="n"/>
      <c r="S814" s="42" t="n"/>
      <c r="T814" s="42" t="n"/>
      <c r="U814" s="42" t="n"/>
      <c r="V814" s="42" t="n"/>
      <c r="W814" s="42" t="n"/>
      <c r="X814" s="42" t="n"/>
      <c r="Y814" s="42" t="n"/>
      <c r="Z814" s="42" t="n"/>
    </row>
    <row r="815" ht="15.75" customHeight="1">
      <c r="A815" s="42" t="n"/>
      <c r="B815" s="42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  <c r="P815" s="42" t="n"/>
      <c r="Q815" s="42" t="n"/>
      <c r="R815" s="42" t="n"/>
      <c r="S815" s="42" t="n"/>
      <c r="T815" s="42" t="n"/>
      <c r="U815" s="42" t="n"/>
      <c r="V815" s="42" t="n"/>
      <c r="W815" s="42" t="n"/>
      <c r="X815" s="42" t="n"/>
      <c r="Y815" s="42" t="n"/>
      <c r="Z815" s="42" t="n"/>
    </row>
    <row r="816" ht="15.75" customHeight="1">
      <c r="A816" s="42" t="n"/>
      <c r="B816" s="42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  <c r="P816" s="42" t="n"/>
      <c r="Q816" s="42" t="n"/>
      <c r="R816" s="42" t="n"/>
      <c r="S816" s="42" t="n"/>
      <c r="T816" s="42" t="n"/>
      <c r="U816" s="42" t="n"/>
      <c r="V816" s="42" t="n"/>
      <c r="W816" s="42" t="n"/>
      <c r="X816" s="42" t="n"/>
      <c r="Y816" s="42" t="n"/>
      <c r="Z816" s="42" t="n"/>
    </row>
    <row r="817" ht="15.75" customHeight="1">
      <c r="A817" s="42" t="n"/>
      <c r="B817" s="42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  <c r="P817" s="42" t="n"/>
      <c r="Q817" s="42" t="n"/>
      <c r="R817" s="42" t="n"/>
      <c r="S817" s="42" t="n"/>
      <c r="T817" s="42" t="n"/>
      <c r="U817" s="42" t="n"/>
      <c r="V817" s="42" t="n"/>
      <c r="W817" s="42" t="n"/>
      <c r="X817" s="42" t="n"/>
      <c r="Y817" s="42" t="n"/>
      <c r="Z817" s="42" t="n"/>
    </row>
    <row r="818" ht="15.75" customHeight="1">
      <c r="A818" s="42" t="n"/>
      <c r="B818" s="42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  <c r="P818" s="42" t="n"/>
      <c r="Q818" s="42" t="n"/>
      <c r="R818" s="42" t="n"/>
      <c r="S818" s="42" t="n"/>
      <c r="T818" s="42" t="n"/>
      <c r="U818" s="42" t="n"/>
      <c r="V818" s="42" t="n"/>
      <c r="W818" s="42" t="n"/>
      <c r="X818" s="42" t="n"/>
      <c r="Y818" s="42" t="n"/>
      <c r="Z818" s="42" t="n"/>
    </row>
    <row r="819" ht="15.75" customHeight="1">
      <c r="A819" s="42" t="n"/>
      <c r="B819" s="42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  <c r="P819" s="42" t="n"/>
      <c r="Q819" s="42" t="n"/>
      <c r="R819" s="42" t="n"/>
      <c r="S819" s="42" t="n"/>
      <c r="T819" s="42" t="n"/>
      <c r="U819" s="42" t="n"/>
      <c r="V819" s="42" t="n"/>
      <c r="W819" s="42" t="n"/>
      <c r="X819" s="42" t="n"/>
      <c r="Y819" s="42" t="n"/>
      <c r="Z819" s="42" t="n"/>
    </row>
    <row r="820" ht="15.75" customHeight="1">
      <c r="A820" s="42" t="n"/>
      <c r="B820" s="42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  <c r="P820" s="42" t="n"/>
      <c r="Q820" s="42" t="n"/>
      <c r="R820" s="42" t="n"/>
      <c r="S820" s="42" t="n"/>
      <c r="T820" s="42" t="n"/>
      <c r="U820" s="42" t="n"/>
      <c r="V820" s="42" t="n"/>
      <c r="W820" s="42" t="n"/>
      <c r="X820" s="42" t="n"/>
      <c r="Y820" s="42" t="n"/>
      <c r="Z820" s="42" t="n"/>
    </row>
    <row r="821" ht="15.75" customHeight="1">
      <c r="A821" s="42" t="n"/>
      <c r="B821" s="42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  <c r="P821" s="42" t="n"/>
      <c r="Q821" s="42" t="n"/>
      <c r="R821" s="42" t="n"/>
      <c r="S821" s="42" t="n"/>
      <c r="T821" s="42" t="n"/>
      <c r="U821" s="42" t="n"/>
      <c r="V821" s="42" t="n"/>
      <c r="W821" s="42" t="n"/>
      <c r="X821" s="42" t="n"/>
      <c r="Y821" s="42" t="n"/>
      <c r="Z821" s="42" t="n"/>
    </row>
    <row r="822" ht="15.75" customHeight="1">
      <c r="A822" s="42" t="n"/>
      <c r="B822" s="42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  <c r="P822" s="42" t="n"/>
      <c r="Q822" s="42" t="n"/>
      <c r="R822" s="42" t="n"/>
      <c r="S822" s="42" t="n"/>
      <c r="T822" s="42" t="n"/>
      <c r="U822" s="42" t="n"/>
      <c r="V822" s="42" t="n"/>
      <c r="W822" s="42" t="n"/>
      <c r="X822" s="42" t="n"/>
      <c r="Y822" s="42" t="n"/>
      <c r="Z822" s="42" t="n"/>
    </row>
    <row r="823" ht="15.75" customHeight="1">
      <c r="A823" s="42" t="n"/>
      <c r="B823" s="42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  <c r="P823" s="42" t="n"/>
      <c r="Q823" s="42" t="n"/>
      <c r="R823" s="42" t="n"/>
      <c r="S823" s="42" t="n"/>
      <c r="T823" s="42" t="n"/>
      <c r="U823" s="42" t="n"/>
      <c r="V823" s="42" t="n"/>
      <c r="W823" s="42" t="n"/>
      <c r="X823" s="42" t="n"/>
      <c r="Y823" s="42" t="n"/>
      <c r="Z823" s="42" t="n"/>
    </row>
    <row r="824" ht="15.75" customHeight="1">
      <c r="A824" s="42" t="n"/>
      <c r="B824" s="42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  <c r="P824" s="42" t="n"/>
      <c r="Q824" s="42" t="n"/>
      <c r="R824" s="42" t="n"/>
      <c r="S824" s="42" t="n"/>
      <c r="T824" s="42" t="n"/>
      <c r="U824" s="42" t="n"/>
      <c r="V824" s="42" t="n"/>
      <c r="W824" s="42" t="n"/>
      <c r="X824" s="42" t="n"/>
      <c r="Y824" s="42" t="n"/>
      <c r="Z824" s="42" t="n"/>
    </row>
    <row r="825" ht="15.75" customHeight="1">
      <c r="A825" s="42" t="n"/>
      <c r="B825" s="42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  <c r="P825" s="42" t="n"/>
      <c r="Q825" s="42" t="n"/>
      <c r="R825" s="42" t="n"/>
      <c r="S825" s="42" t="n"/>
      <c r="T825" s="42" t="n"/>
      <c r="U825" s="42" t="n"/>
      <c r="V825" s="42" t="n"/>
      <c r="W825" s="42" t="n"/>
      <c r="X825" s="42" t="n"/>
      <c r="Y825" s="42" t="n"/>
      <c r="Z825" s="42" t="n"/>
    </row>
    <row r="826" ht="15.75" customHeight="1">
      <c r="A826" s="42" t="n"/>
      <c r="B826" s="42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  <c r="P826" s="42" t="n"/>
      <c r="Q826" s="42" t="n"/>
      <c r="R826" s="42" t="n"/>
      <c r="S826" s="42" t="n"/>
      <c r="T826" s="42" t="n"/>
      <c r="U826" s="42" t="n"/>
      <c r="V826" s="42" t="n"/>
      <c r="W826" s="42" t="n"/>
      <c r="X826" s="42" t="n"/>
      <c r="Y826" s="42" t="n"/>
      <c r="Z826" s="42" t="n"/>
    </row>
    <row r="827" ht="15.75" customHeight="1">
      <c r="A827" s="42" t="n"/>
      <c r="B827" s="42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  <c r="P827" s="42" t="n"/>
      <c r="Q827" s="42" t="n"/>
      <c r="R827" s="42" t="n"/>
      <c r="S827" s="42" t="n"/>
      <c r="T827" s="42" t="n"/>
      <c r="U827" s="42" t="n"/>
      <c r="V827" s="42" t="n"/>
      <c r="W827" s="42" t="n"/>
      <c r="X827" s="42" t="n"/>
      <c r="Y827" s="42" t="n"/>
      <c r="Z827" s="42" t="n"/>
    </row>
    <row r="828" ht="15.75" customHeight="1">
      <c r="A828" s="42" t="n"/>
      <c r="B828" s="42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  <c r="P828" s="42" t="n"/>
      <c r="Q828" s="42" t="n"/>
      <c r="R828" s="42" t="n"/>
      <c r="S828" s="42" t="n"/>
      <c r="T828" s="42" t="n"/>
      <c r="U828" s="42" t="n"/>
      <c r="V828" s="42" t="n"/>
      <c r="W828" s="42" t="n"/>
      <c r="X828" s="42" t="n"/>
      <c r="Y828" s="42" t="n"/>
      <c r="Z828" s="42" t="n"/>
    </row>
    <row r="829" ht="15.75" customHeight="1">
      <c r="A829" s="42" t="n"/>
      <c r="B829" s="42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  <c r="P829" s="42" t="n"/>
      <c r="Q829" s="42" t="n"/>
      <c r="R829" s="42" t="n"/>
      <c r="S829" s="42" t="n"/>
      <c r="T829" s="42" t="n"/>
      <c r="U829" s="42" t="n"/>
      <c r="V829" s="42" t="n"/>
      <c r="W829" s="42" t="n"/>
      <c r="X829" s="42" t="n"/>
      <c r="Y829" s="42" t="n"/>
      <c r="Z829" s="42" t="n"/>
    </row>
    <row r="830" ht="15.75" customHeight="1">
      <c r="A830" s="42" t="n"/>
      <c r="B830" s="42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  <c r="P830" s="42" t="n"/>
      <c r="Q830" s="42" t="n"/>
      <c r="R830" s="42" t="n"/>
      <c r="S830" s="42" t="n"/>
      <c r="T830" s="42" t="n"/>
      <c r="U830" s="42" t="n"/>
      <c r="V830" s="42" t="n"/>
      <c r="W830" s="42" t="n"/>
      <c r="X830" s="42" t="n"/>
      <c r="Y830" s="42" t="n"/>
      <c r="Z830" s="42" t="n"/>
    </row>
    <row r="831" ht="15.75" customHeight="1">
      <c r="A831" s="42" t="n"/>
      <c r="B831" s="42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  <c r="P831" s="42" t="n"/>
      <c r="Q831" s="42" t="n"/>
      <c r="R831" s="42" t="n"/>
      <c r="S831" s="42" t="n"/>
      <c r="T831" s="42" t="n"/>
      <c r="U831" s="42" t="n"/>
      <c r="V831" s="42" t="n"/>
      <c r="W831" s="42" t="n"/>
      <c r="X831" s="42" t="n"/>
      <c r="Y831" s="42" t="n"/>
      <c r="Z831" s="42" t="n"/>
    </row>
    <row r="832" ht="15.75" customHeight="1">
      <c r="A832" s="42" t="n"/>
      <c r="B832" s="42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  <c r="P832" s="42" t="n"/>
      <c r="Q832" s="42" t="n"/>
      <c r="R832" s="42" t="n"/>
      <c r="S832" s="42" t="n"/>
      <c r="T832" s="42" t="n"/>
      <c r="U832" s="42" t="n"/>
      <c r="V832" s="42" t="n"/>
      <c r="W832" s="42" t="n"/>
      <c r="X832" s="42" t="n"/>
      <c r="Y832" s="42" t="n"/>
      <c r="Z832" s="42" t="n"/>
    </row>
    <row r="833" ht="15.75" customHeight="1">
      <c r="A833" s="42" t="n"/>
      <c r="B833" s="42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  <c r="P833" s="42" t="n"/>
      <c r="Q833" s="42" t="n"/>
      <c r="R833" s="42" t="n"/>
      <c r="S833" s="42" t="n"/>
      <c r="T833" s="42" t="n"/>
      <c r="U833" s="42" t="n"/>
      <c r="V833" s="42" t="n"/>
      <c r="W833" s="42" t="n"/>
      <c r="X833" s="42" t="n"/>
      <c r="Y833" s="42" t="n"/>
      <c r="Z833" s="42" t="n"/>
    </row>
    <row r="834" ht="15.75" customHeight="1">
      <c r="A834" s="42" t="n"/>
      <c r="B834" s="42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  <c r="P834" s="42" t="n"/>
      <c r="Q834" s="42" t="n"/>
      <c r="R834" s="42" t="n"/>
      <c r="S834" s="42" t="n"/>
      <c r="T834" s="42" t="n"/>
      <c r="U834" s="42" t="n"/>
      <c r="V834" s="42" t="n"/>
      <c r="W834" s="42" t="n"/>
      <c r="X834" s="42" t="n"/>
      <c r="Y834" s="42" t="n"/>
      <c r="Z834" s="42" t="n"/>
    </row>
    <row r="835" ht="15.75" customHeight="1">
      <c r="A835" s="42" t="n"/>
      <c r="B835" s="42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  <c r="P835" s="42" t="n"/>
      <c r="Q835" s="42" t="n"/>
      <c r="R835" s="42" t="n"/>
      <c r="S835" s="42" t="n"/>
      <c r="T835" s="42" t="n"/>
      <c r="U835" s="42" t="n"/>
      <c r="V835" s="42" t="n"/>
      <c r="W835" s="42" t="n"/>
      <c r="X835" s="42" t="n"/>
      <c r="Y835" s="42" t="n"/>
      <c r="Z835" s="42" t="n"/>
    </row>
    <row r="836" ht="15.75" customHeight="1">
      <c r="A836" s="42" t="n"/>
      <c r="B836" s="42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  <c r="P836" s="42" t="n"/>
      <c r="Q836" s="42" t="n"/>
      <c r="R836" s="42" t="n"/>
      <c r="S836" s="42" t="n"/>
      <c r="T836" s="42" t="n"/>
      <c r="U836" s="42" t="n"/>
      <c r="V836" s="42" t="n"/>
      <c r="W836" s="42" t="n"/>
      <c r="X836" s="42" t="n"/>
      <c r="Y836" s="42" t="n"/>
      <c r="Z836" s="42" t="n"/>
    </row>
    <row r="837" ht="15.75" customHeight="1">
      <c r="A837" s="42" t="n"/>
      <c r="B837" s="42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  <c r="P837" s="42" t="n"/>
      <c r="Q837" s="42" t="n"/>
      <c r="R837" s="42" t="n"/>
      <c r="S837" s="42" t="n"/>
      <c r="T837" s="42" t="n"/>
      <c r="U837" s="42" t="n"/>
      <c r="V837" s="42" t="n"/>
      <c r="W837" s="42" t="n"/>
      <c r="X837" s="42" t="n"/>
      <c r="Y837" s="42" t="n"/>
      <c r="Z837" s="42" t="n"/>
    </row>
    <row r="838" ht="15.75" customHeight="1">
      <c r="A838" s="42" t="n"/>
      <c r="B838" s="42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  <c r="P838" s="42" t="n"/>
      <c r="Q838" s="42" t="n"/>
      <c r="R838" s="42" t="n"/>
      <c r="S838" s="42" t="n"/>
      <c r="T838" s="42" t="n"/>
      <c r="U838" s="42" t="n"/>
      <c r="V838" s="42" t="n"/>
      <c r="W838" s="42" t="n"/>
      <c r="X838" s="42" t="n"/>
      <c r="Y838" s="42" t="n"/>
      <c r="Z838" s="42" t="n"/>
    </row>
    <row r="839" ht="15.75" customHeight="1">
      <c r="A839" s="42" t="n"/>
      <c r="B839" s="42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  <c r="P839" s="42" t="n"/>
      <c r="Q839" s="42" t="n"/>
      <c r="R839" s="42" t="n"/>
      <c r="S839" s="42" t="n"/>
      <c r="T839" s="42" t="n"/>
      <c r="U839" s="42" t="n"/>
      <c r="V839" s="42" t="n"/>
      <c r="W839" s="42" t="n"/>
      <c r="X839" s="42" t="n"/>
      <c r="Y839" s="42" t="n"/>
      <c r="Z839" s="42" t="n"/>
    </row>
    <row r="840" ht="15.75" customHeight="1">
      <c r="A840" s="42" t="n"/>
      <c r="B840" s="42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  <c r="P840" s="42" t="n"/>
      <c r="Q840" s="42" t="n"/>
      <c r="R840" s="42" t="n"/>
      <c r="S840" s="42" t="n"/>
      <c r="T840" s="42" t="n"/>
      <c r="U840" s="42" t="n"/>
      <c r="V840" s="42" t="n"/>
      <c r="W840" s="42" t="n"/>
      <c r="X840" s="42" t="n"/>
      <c r="Y840" s="42" t="n"/>
      <c r="Z840" s="42" t="n"/>
    </row>
    <row r="841" ht="15.75" customHeight="1">
      <c r="A841" s="42" t="n"/>
      <c r="B841" s="42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  <c r="P841" s="42" t="n"/>
      <c r="Q841" s="42" t="n"/>
      <c r="R841" s="42" t="n"/>
      <c r="S841" s="42" t="n"/>
      <c r="T841" s="42" t="n"/>
      <c r="U841" s="42" t="n"/>
      <c r="V841" s="42" t="n"/>
      <c r="W841" s="42" t="n"/>
      <c r="X841" s="42" t="n"/>
      <c r="Y841" s="42" t="n"/>
      <c r="Z841" s="42" t="n"/>
    </row>
    <row r="842" ht="15.75" customHeight="1">
      <c r="A842" s="42" t="n"/>
      <c r="B842" s="42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  <c r="P842" s="42" t="n"/>
      <c r="Q842" s="42" t="n"/>
      <c r="R842" s="42" t="n"/>
      <c r="S842" s="42" t="n"/>
      <c r="T842" s="42" t="n"/>
      <c r="U842" s="42" t="n"/>
      <c r="V842" s="42" t="n"/>
      <c r="W842" s="42" t="n"/>
      <c r="X842" s="42" t="n"/>
      <c r="Y842" s="42" t="n"/>
      <c r="Z842" s="42" t="n"/>
    </row>
    <row r="843" ht="15.75" customHeight="1">
      <c r="A843" s="42" t="n"/>
      <c r="B843" s="42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  <c r="P843" s="42" t="n"/>
      <c r="Q843" s="42" t="n"/>
      <c r="R843" s="42" t="n"/>
      <c r="S843" s="42" t="n"/>
      <c r="T843" s="42" t="n"/>
      <c r="U843" s="42" t="n"/>
      <c r="V843" s="42" t="n"/>
      <c r="W843" s="42" t="n"/>
      <c r="X843" s="42" t="n"/>
      <c r="Y843" s="42" t="n"/>
      <c r="Z843" s="42" t="n"/>
    </row>
    <row r="844" ht="15.75" customHeight="1">
      <c r="A844" s="42" t="n"/>
      <c r="B844" s="42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  <c r="P844" s="42" t="n"/>
      <c r="Q844" s="42" t="n"/>
      <c r="R844" s="42" t="n"/>
      <c r="S844" s="42" t="n"/>
      <c r="T844" s="42" t="n"/>
      <c r="U844" s="42" t="n"/>
      <c r="V844" s="42" t="n"/>
      <c r="W844" s="42" t="n"/>
      <c r="X844" s="42" t="n"/>
      <c r="Y844" s="42" t="n"/>
      <c r="Z844" s="42" t="n"/>
    </row>
    <row r="845" ht="15.75" customHeight="1">
      <c r="A845" s="42" t="n"/>
      <c r="B845" s="42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  <c r="P845" s="42" t="n"/>
      <c r="Q845" s="42" t="n"/>
      <c r="R845" s="42" t="n"/>
      <c r="S845" s="42" t="n"/>
      <c r="T845" s="42" t="n"/>
      <c r="U845" s="42" t="n"/>
      <c r="V845" s="42" t="n"/>
      <c r="W845" s="42" t="n"/>
      <c r="X845" s="42" t="n"/>
      <c r="Y845" s="42" t="n"/>
      <c r="Z845" s="42" t="n"/>
    </row>
    <row r="846" ht="15.75" customHeight="1">
      <c r="A846" s="42" t="n"/>
      <c r="B846" s="42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  <c r="P846" s="42" t="n"/>
      <c r="Q846" s="42" t="n"/>
      <c r="R846" s="42" t="n"/>
      <c r="S846" s="42" t="n"/>
      <c r="T846" s="42" t="n"/>
      <c r="U846" s="42" t="n"/>
      <c r="V846" s="42" t="n"/>
      <c r="W846" s="42" t="n"/>
      <c r="X846" s="42" t="n"/>
      <c r="Y846" s="42" t="n"/>
      <c r="Z846" s="42" t="n"/>
    </row>
    <row r="847" ht="15.75" customHeight="1">
      <c r="A847" s="42" t="n"/>
      <c r="B847" s="42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  <c r="P847" s="42" t="n"/>
      <c r="Q847" s="42" t="n"/>
      <c r="R847" s="42" t="n"/>
      <c r="S847" s="42" t="n"/>
      <c r="T847" s="42" t="n"/>
      <c r="U847" s="42" t="n"/>
      <c r="V847" s="42" t="n"/>
      <c r="W847" s="42" t="n"/>
      <c r="X847" s="42" t="n"/>
      <c r="Y847" s="42" t="n"/>
      <c r="Z847" s="42" t="n"/>
    </row>
    <row r="848" ht="15.75" customHeight="1">
      <c r="A848" s="42" t="n"/>
      <c r="B848" s="42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  <c r="P848" s="42" t="n"/>
      <c r="Q848" s="42" t="n"/>
      <c r="R848" s="42" t="n"/>
      <c r="S848" s="42" t="n"/>
      <c r="T848" s="42" t="n"/>
      <c r="U848" s="42" t="n"/>
      <c r="V848" s="42" t="n"/>
      <c r="W848" s="42" t="n"/>
      <c r="X848" s="42" t="n"/>
      <c r="Y848" s="42" t="n"/>
      <c r="Z848" s="42" t="n"/>
    </row>
    <row r="849" ht="15.75" customHeight="1">
      <c r="A849" s="42" t="n"/>
      <c r="B849" s="42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  <c r="P849" s="42" t="n"/>
      <c r="Q849" s="42" t="n"/>
      <c r="R849" s="42" t="n"/>
      <c r="S849" s="42" t="n"/>
      <c r="T849" s="42" t="n"/>
      <c r="U849" s="42" t="n"/>
      <c r="V849" s="42" t="n"/>
      <c r="W849" s="42" t="n"/>
      <c r="X849" s="42" t="n"/>
      <c r="Y849" s="42" t="n"/>
      <c r="Z849" s="42" t="n"/>
    </row>
    <row r="850" ht="15.75" customHeight="1">
      <c r="A850" s="42" t="n"/>
      <c r="B850" s="42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  <c r="P850" s="42" t="n"/>
      <c r="Q850" s="42" t="n"/>
      <c r="R850" s="42" t="n"/>
      <c r="S850" s="42" t="n"/>
      <c r="T850" s="42" t="n"/>
      <c r="U850" s="42" t="n"/>
      <c r="V850" s="42" t="n"/>
      <c r="W850" s="42" t="n"/>
      <c r="X850" s="42" t="n"/>
      <c r="Y850" s="42" t="n"/>
      <c r="Z850" s="42" t="n"/>
    </row>
    <row r="851" ht="15.75" customHeight="1">
      <c r="A851" s="42" t="n"/>
      <c r="B851" s="42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  <c r="P851" s="42" t="n"/>
      <c r="Q851" s="42" t="n"/>
      <c r="R851" s="42" t="n"/>
      <c r="S851" s="42" t="n"/>
      <c r="T851" s="42" t="n"/>
      <c r="U851" s="42" t="n"/>
      <c r="V851" s="42" t="n"/>
      <c r="W851" s="42" t="n"/>
      <c r="X851" s="42" t="n"/>
      <c r="Y851" s="42" t="n"/>
      <c r="Z851" s="42" t="n"/>
    </row>
    <row r="852" ht="15.75" customHeight="1">
      <c r="A852" s="42" t="n"/>
      <c r="B852" s="42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  <c r="P852" s="42" t="n"/>
      <c r="Q852" s="42" t="n"/>
      <c r="R852" s="42" t="n"/>
      <c r="S852" s="42" t="n"/>
      <c r="T852" s="42" t="n"/>
      <c r="U852" s="42" t="n"/>
      <c r="V852" s="42" t="n"/>
      <c r="W852" s="42" t="n"/>
      <c r="X852" s="42" t="n"/>
      <c r="Y852" s="42" t="n"/>
      <c r="Z852" s="42" t="n"/>
    </row>
    <row r="853" ht="15.75" customHeight="1">
      <c r="A853" s="42" t="n"/>
      <c r="B853" s="42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  <c r="P853" s="42" t="n"/>
      <c r="Q853" s="42" t="n"/>
      <c r="R853" s="42" t="n"/>
      <c r="S853" s="42" t="n"/>
      <c r="T853" s="42" t="n"/>
      <c r="U853" s="42" t="n"/>
      <c r="V853" s="42" t="n"/>
      <c r="W853" s="42" t="n"/>
      <c r="X853" s="42" t="n"/>
      <c r="Y853" s="42" t="n"/>
      <c r="Z853" s="42" t="n"/>
    </row>
    <row r="854" ht="15.75" customHeight="1">
      <c r="A854" s="42" t="n"/>
      <c r="B854" s="42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  <c r="P854" s="42" t="n"/>
      <c r="Q854" s="42" t="n"/>
      <c r="R854" s="42" t="n"/>
      <c r="S854" s="42" t="n"/>
      <c r="T854" s="42" t="n"/>
      <c r="U854" s="42" t="n"/>
      <c r="V854" s="42" t="n"/>
      <c r="W854" s="42" t="n"/>
      <c r="X854" s="42" t="n"/>
      <c r="Y854" s="42" t="n"/>
      <c r="Z854" s="42" t="n"/>
    </row>
    <row r="855" ht="15.75" customHeight="1">
      <c r="A855" s="42" t="n"/>
      <c r="B855" s="42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  <c r="P855" s="42" t="n"/>
      <c r="Q855" s="42" t="n"/>
      <c r="R855" s="42" t="n"/>
      <c r="S855" s="42" t="n"/>
      <c r="T855" s="42" t="n"/>
      <c r="U855" s="42" t="n"/>
      <c r="V855" s="42" t="n"/>
      <c r="W855" s="42" t="n"/>
      <c r="X855" s="42" t="n"/>
      <c r="Y855" s="42" t="n"/>
      <c r="Z855" s="42" t="n"/>
    </row>
    <row r="856" ht="15.75" customHeight="1">
      <c r="A856" s="42" t="n"/>
      <c r="B856" s="42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  <c r="P856" s="42" t="n"/>
      <c r="Q856" s="42" t="n"/>
      <c r="R856" s="42" t="n"/>
      <c r="S856" s="42" t="n"/>
      <c r="T856" s="42" t="n"/>
      <c r="U856" s="42" t="n"/>
      <c r="V856" s="42" t="n"/>
      <c r="W856" s="42" t="n"/>
      <c r="X856" s="42" t="n"/>
      <c r="Y856" s="42" t="n"/>
      <c r="Z856" s="42" t="n"/>
    </row>
    <row r="857" ht="15.75" customHeight="1">
      <c r="A857" s="42" t="n"/>
      <c r="B857" s="42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  <c r="P857" s="42" t="n"/>
      <c r="Q857" s="42" t="n"/>
      <c r="R857" s="42" t="n"/>
      <c r="S857" s="42" t="n"/>
      <c r="T857" s="42" t="n"/>
      <c r="U857" s="42" t="n"/>
      <c r="V857" s="42" t="n"/>
      <c r="W857" s="42" t="n"/>
      <c r="X857" s="42" t="n"/>
      <c r="Y857" s="42" t="n"/>
      <c r="Z857" s="42" t="n"/>
    </row>
    <row r="858" ht="15.75" customHeight="1">
      <c r="A858" s="42" t="n"/>
      <c r="B858" s="42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  <c r="P858" s="42" t="n"/>
      <c r="Q858" s="42" t="n"/>
      <c r="R858" s="42" t="n"/>
      <c r="S858" s="42" t="n"/>
      <c r="T858" s="42" t="n"/>
      <c r="U858" s="42" t="n"/>
      <c r="V858" s="42" t="n"/>
      <c r="W858" s="42" t="n"/>
      <c r="X858" s="42" t="n"/>
      <c r="Y858" s="42" t="n"/>
      <c r="Z858" s="42" t="n"/>
    </row>
    <row r="859" ht="15.75" customHeight="1">
      <c r="A859" s="42" t="n"/>
      <c r="B859" s="42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  <c r="P859" s="42" t="n"/>
      <c r="Q859" s="42" t="n"/>
      <c r="R859" s="42" t="n"/>
      <c r="S859" s="42" t="n"/>
      <c r="T859" s="42" t="n"/>
      <c r="U859" s="42" t="n"/>
      <c r="V859" s="42" t="n"/>
      <c r="W859" s="42" t="n"/>
      <c r="X859" s="42" t="n"/>
      <c r="Y859" s="42" t="n"/>
      <c r="Z859" s="42" t="n"/>
    </row>
    <row r="860" ht="15.75" customHeight="1">
      <c r="A860" s="42" t="n"/>
      <c r="B860" s="42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  <c r="P860" s="42" t="n"/>
      <c r="Q860" s="42" t="n"/>
      <c r="R860" s="42" t="n"/>
      <c r="S860" s="42" t="n"/>
      <c r="T860" s="42" t="n"/>
      <c r="U860" s="42" t="n"/>
      <c r="V860" s="42" t="n"/>
      <c r="W860" s="42" t="n"/>
      <c r="X860" s="42" t="n"/>
      <c r="Y860" s="42" t="n"/>
      <c r="Z860" s="42" t="n"/>
    </row>
    <row r="861" ht="15.75" customHeight="1">
      <c r="A861" s="42" t="n"/>
      <c r="B861" s="42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  <c r="P861" s="42" t="n"/>
      <c r="Q861" s="42" t="n"/>
      <c r="R861" s="42" t="n"/>
      <c r="S861" s="42" t="n"/>
      <c r="T861" s="42" t="n"/>
      <c r="U861" s="42" t="n"/>
      <c r="V861" s="42" t="n"/>
      <c r="W861" s="42" t="n"/>
      <c r="X861" s="42" t="n"/>
      <c r="Y861" s="42" t="n"/>
      <c r="Z861" s="42" t="n"/>
    </row>
    <row r="862" ht="15.75" customHeight="1">
      <c r="A862" s="42" t="n"/>
      <c r="B862" s="42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  <c r="P862" s="42" t="n"/>
      <c r="Q862" s="42" t="n"/>
      <c r="R862" s="42" t="n"/>
      <c r="S862" s="42" t="n"/>
      <c r="T862" s="42" t="n"/>
      <c r="U862" s="42" t="n"/>
      <c r="V862" s="42" t="n"/>
      <c r="W862" s="42" t="n"/>
      <c r="X862" s="42" t="n"/>
      <c r="Y862" s="42" t="n"/>
      <c r="Z862" s="42" t="n"/>
    </row>
    <row r="863" ht="15.75" customHeight="1">
      <c r="A863" s="42" t="n"/>
      <c r="B863" s="42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  <c r="P863" s="42" t="n"/>
      <c r="Q863" s="42" t="n"/>
      <c r="R863" s="42" t="n"/>
      <c r="S863" s="42" t="n"/>
      <c r="T863" s="42" t="n"/>
      <c r="U863" s="42" t="n"/>
      <c r="V863" s="42" t="n"/>
      <c r="W863" s="42" t="n"/>
      <c r="X863" s="42" t="n"/>
      <c r="Y863" s="42" t="n"/>
      <c r="Z863" s="42" t="n"/>
    </row>
    <row r="864" ht="15.75" customHeight="1">
      <c r="A864" s="42" t="n"/>
      <c r="B864" s="42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  <c r="P864" s="42" t="n"/>
      <c r="Q864" s="42" t="n"/>
      <c r="R864" s="42" t="n"/>
      <c r="S864" s="42" t="n"/>
      <c r="T864" s="42" t="n"/>
      <c r="U864" s="42" t="n"/>
      <c r="V864" s="42" t="n"/>
      <c r="W864" s="42" t="n"/>
      <c r="X864" s="42" t="n"/>
      <c r="Y864" s="42" t="n"/>
      <c r="Z864" s="42" t="n"/>
    </row>
    <row r="865" ht="15.75" customHeight="1">
      <c r="A865" s="42" t="n"/>
      <c r="B865" s="42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  <c r="P865" s="42" t="n"/>
      <c r="Q865" s="42" t="n"/>
      <c r="R865" s="42" t="n"/>
      <c r="S865" s="42" t="n"/>
      <c r="T865" s="42" t="n"/>
      <c r="U865" s="42" t="n"/>
      <c r="V865" s="42" t="n"/>
      <c r="W865" s="42" t="n"/>
      <c r="X865" s="42" t="n"/>
      <c r="Y865" s="42" t="n"/>
      <c r="Z865" s="42" t="n"/>
    </row>
    <row r="866" ht="15.75" customHeight="1">
      <c r="A866" s="42" t="n"/>
      <c r="B866" s="42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  <c r="P866" s="42" t="n"/>
      <c r="Q866" s="42" t="n"/>
      <c r="R866" s="42" t="n"/>
      <c r="S866" s="42" t="n"/>
      <c r="T866" s="42" t="n"/>
      <c r="U866" s="42" t="n"/>
      <c r="V866" s="42" t="n"/>
      <c r="W866" s="42" t="n"/>
      <c r="X866" s="42" t="n"/>
      <c r="Y866" s="42" t="n"/>
      <c r="Z866" s="42" t="n"/>
    </row>
    <row r="867" ht="15.75" customHeight="1">
      <c r="A867" s="42" t="n"/>
      <c r="B867" s="42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  <c r="P867" s="42" t="n"/>
      <c r="Q867" s="42" t="n"/>
      <c r="R867" s="42" t="n"/>
      <c r="S867" s="42" t="n"/>
      <c r="T867" s="42" t="n"/>
      <c r="U867" s="42" t="n"/>
      <c r="V867" s="42" t="n"/>
      <c r="W867" s="42" t="n"/>
      <c r="X867" s="42" t="n"/>
      <c r="Y867" s="42" t="n"/>
      <c r="Z867" s="42" t="n"/>
    </row>
    <row r="868" ht="15.75" customHeight="1">
      <c r="A868" s="42" t="n"/>
      <c r="B868" s="42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  <c r="P868" s="42" t="n"/>
      <c r="Q868" s="42" t="n"/>
      <c r="R868" s="42" t="n"/>
      <c r="S868" s="42" t="n"/>
      <c r="T868" s="42" t="n"/>
      <c r="U868" s="42" t="n"/>
      <c r="V868" s="42" t="n"/>
      <c r="W868" s="42" t="n"/>
      <c r="X868" s="42" t="n"/>
      <c r="Y868" s="42" t="n"/>
      <c r="Z868" s="42" t="n"/>
    </row>
    <row r="869" ht="15.75" customHeight="1">
      <c r="A869" s="42" t="n"/>
      <c r="B869" s="42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  <c r="P869" s="42" t="n"/>
      <c r="Q869" s="42" t="n"/>
      <c r="R869" s="42" t="n"/>
      <c r="S869" s="42" t="n"/>
      <c r="T869" s="42" t="n"/>
      <c r="U869" s="42" t="n"/>
      <c r="V869" s="42" t="n"/>
      <c r="W869" s="42" t="n"/>
      <c r="X869" s="42" t="n"/>
      <c r="Y869" s="42" t="n"/>
      <c r="Z869" s="42" t="n"/>
    </row>
    <row r="870" ht="15.75" customHeight="1">
      <c r="A870" s="42" t="n"/>
      <c r="B870" s="42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  <c r="P870" s="42" t="n"/>
      <c r="Q870" s="42" t="n"/>
      <c r="R870" s="42" t="n"/>
      <c r="S870" s="42" t="n"/>
      <c r="T870" s="42" t="n"/>
      <c r="U870" s="42" t="n"/>
      <c r="V870" s="42" t="n"/>
      <c r="W870" s="42" t="n"/>
      <c r="X870" s="42" t="n"/>
      <c r="Y870" s="42" t="n"/>
      <c r="Z870" s="42" t="n"/>
    </row>
    <row r="871" ht="15.75" customHeight="1">
      <c r="A871" s="42" t="n"/>
      <c r="B871" s="42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  <c r="P871" s="42" t="n"/>
      <c r="Q871" s="42" t="n"/>
      <c r="R871" s="42" t="n"/>
      <c r="S871" s="42" t="n"/>
      <c r="T871" s="42" t="n"/>
      <c r="U871" s="42" t="n"/>
      <c r="V871" s="42" t="n"/>
      <c r="W871" s="42" t="n"/>
      <c r="X871" s="42" t="n"/>
      <c r="Y871" s="42" t="n"/>
      <c r="Z871" s="42" t="n"/>
    </row>
    <row r="872" ht="15.75" customHeight="1">
      <c r="A872" s="42" t="n"/>
      <c r="B872" s="42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  <c r="P872" s="42" t="n"/>
      <c r="Q872" s="42" t="n"/>
      <c r="R872" s="42" t="n"/>
      <c r="S872" s="42" t="n"/>
      <c r="T872" s="42" t="n"/>
      <c r="U872" s="42" t="n"/>
      <c r="V872" s="42" t="n"/>
      <c r="W872" s="42" t="n"/>
      <c r="X872" s="42" t="n"/>
      <c r="Y872" s="42" t="n"/>
      <c r="Z872" s="42" t="n"/>
    </row>
    <row r="873" ht="15.75" customHeight="1">
      <c r="A873" s="42" t="n"/>
      <c r="B873" s="42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  <c r="P873" s="42" t="n"/>
      <c r="Q873" s="42" t="n"/>
      <c r="R873" s="42" t="n"/>
      <c r="S873" s="42" t="n"/>
      <c r="T873" s="42" t="n"/>
      <c r="U873" s="42" t="n"/>
      <c r="V873" s="42" t="n"/>
      <c r="W873" s="42" t="n"/>
      <c r="X873" s="42" t="n"/>
      <c r="Y873" s="42" t="n"/>
      <c r="Z873" s="42" t="n"/>
    </row>
    <row r="874" ht="15.75" customHeight="1">
      <c r="A874" s="42" t="n"/>
      <c r="B874" s="42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  <c r="P874" s="42" t="n"/>
      <c r="Q874" s="42" t="n"/>
      <c r="R874" s="42" t="n"/>
      <c r="S874" s="42" t="n"/>
      <c r="T874" s="42" t="n"/>
      <c r="U874" s="42" t="n"/>
      <c r="V874" s="42" t="n"/>
      <c r="W874" s="42" t="n"/>
      <c r="X874" s="42" t="n"/>
      <c r="Y874" s="42" t="n"/>
      <c r="Z874" s="42" t="n"/>
    </row>
    <row r="875" ht="15.75" customHeight="1">
      <c r="A875" s="42" t="n"/>
      <c r="B875" s="42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  <c r="P875" s="42" t="n"/>
      <c r="Q875" s="42" t="n"/>
      <c r="R875" s="42" t="n"/>
      <c r="S875" s="42" t="n"/>
      <c r="T875" s="42" t="n"/>
      <c r="U875" s="42" t="n"/>
      <c r="V875" s="42" t="n"/>
      <c r="W875" s="42" t="n"/>
      <c r="X875" s="42" t="n"/>
      <c r="Y875" s="42" t="n"/>
      <c r="Z875" s="42" t="n"/>
    </row>
    <row r="876" ht="15.75" customHeight="1">
      <c r="A876" s="42" t="n"/>
      <c r="B876" s="42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  <c r="P876" s="42" t="n"/>
      <c r="Q876" s="42" t="n"/>
      <c r="R876" s="42" t="n"/>
      <c r="S876" s="42" t="n"/>
      <c r="T876" s="42" t="n"/>
      <c r="U876" s="42" t="n"/>
      <c r="V876" s="42" t="n"/>
      <c r="W876" s="42" t="n"/>
      <c r="X876" s="42" t="n"/>
      <c r="Y876" s="42" t="n"/>
      <c r="Z876" s="42" t="n"/>
    </row>
    <row r="877" ht="15.75" customHeight="1">
      <c r="A877" s="42" t="n"/>
      <c r="B877" s="42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  <c r="P877" s="42" t="n"/>
      <c r="Q877" s="42" t="n"/>
      <c r="R877" s="42" t="n"/>
      <c r="S877" s="42" t="n"/>
      <c r="T877" s="42" t="n"/>
      <c r="U877" s="42" t="n"/>
      <c r="V877" s="42" t="n"/>
      <c r="W877" s="42" t="n"/>
      <c r="X877" s="42" t="n"/>
      <c r="Y877" s="42" t="n"/>
      <c r="Z877" s="42" t="n"/>
    </row>
    <row r="878" ht="15.75" customHeight="1">
      <c r="A878" s="42" t="n"/>
      <c r="B878" s="42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  <c r="P878" s="42" t="n"/>
      <c r="Q878" s="42" t="n"/>
      <c r="R878" s="42" t="n"/>
      <c r="S878" s="42" t="n"/>
      <c r="T878" s="42" t="n"/>
      <c r="U878" s="42" t="n"/>
      <c r="V878" s="42" t="n"/>
      <c r="W878" s="42" t="n"/>
      <c r="X878" s="42" t="n"/>
      <c r="Y878" s="42" t="n"/>
      <c r="Z878" s="42" t="n"/>
    </row>
    <row r="879" ht="15.75" customHeight="1">
      <c r="A879" s="42" t="n"/>
      <c r="B879" s="42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  <c r="P879" s="42" t="n"/>
      <c r="Q879" s="42" t="n"/>
      <c r="R879" s="42" t="n"/>
      <c r="S879" s="42" t="n"/>
      <c r="T879" s="42" t="n"/>
      <c r="U879" s="42" t="n"/>
      <c r="V879" s="42" t="n"/>
      <c r="W879" s="42" t="n"/>
      <c r="X879" s="42" t="n"/>
      <c r="Y879" s="42" t="n"/>
      <c r="Z879" s="42" t="n"/>
    </row>
    <row r="880" ht="15.75" customHeight="1">
      <c r="A880" s="42" t="n"/>
      <c r="B880" s="42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  <c r="P880" s="42" t="n"/>
      <c r="Q880" s="42" t="n"/>
      <c r="R880" s="42" t="n"/>
      <c r="S880" s="42" t="n"/>
      <c r="T880" s="42" t="n"/>
      <c r="U880" s="42" t="n"/>
      <c r="V880" s="42" t="n"/>
      <c r="W880" s="42" t="n"/>
      <c r="X880" s="42" t="n"/>
      <c r="Y880" s="42" t="n"/>
      <c r="Z880" s="42" t="n"/>
    </row>
    <row r="881" ht="15.75" customHeight="1">
      <c r="A881" s="42" t="n"/>
      <c r="B881" s="42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  <c r="P881" s="42" t="n"/>
      <c r="Q881" s="42" t="n"/>
      <c r="R881" s="42" t="n"/>
      <c r="S881" s="42" t="n"/>
      <c r="T881" s="42" t="n"/>
      <c r="U881" s="42" t="n"/>
      <c r="V881" s="42" t="n"/>
      <c r="W881" s="42" t="n"/>
      <c r="X881" s="42" t="n"/>
      <c r="Y881" s="42" t="n"/>
      <c r="Z881" s="42" t="n"/>
    </row>
    <row r="882" ht="15.75" customHeight="1">
      <c r="A882" s="42" t="n"/>
      <c r="B882" s="42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  <c r="P882" s="42" t="n"/>
      <c r="Q882" s="42" t="n"/>
      <c r="R882" s="42" t="n"/>
      <c r="S882" s="42" t="n"/>
      <c r="T882" s="42" t="n"/>
      <c r="U882" s="42" t="n"/>
      <c r="V882" s="42" t="n"/>
      <c r="W882" s="42" t="n"/>
      <c r="X882" s="42" t="n"/>
      <c r="Y882" s="42" t="n"/>
      <c r="Z882" s="42" t="n"/>
    </row>
    <row r="883" ht="15.75" customHeight="1">
      <c r="A883" s="42" t="n"/>
      <c r="B883" s="42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  <c r="P883" s="42" t="n"/>
      <c r="Q883" s="42" t="n"/>
      <c r="R883" s="42" t="n"/>
      <c r="S883" s="42" t="n"/>
      <c r="T883" s="42" t="n"/>
      <c r="U883" s="42" t="n"/>
      <c r="V883" s="42" t="n"/>
      <c r="W883" s="42" t="n"/>
      <c r="X883" s="42" t="n"/>
      <c r="Y883" s="42" t="n"/>
      <c r="Z883" s="42" t="n"/>
    </row>
    <row r="884" ht="15.75" customHeight="1">
      <c r="A884" s="42" t="n"/>
      <c r="B884" s="42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  <c r="P884" s="42" t="n"/>
      <c r="Q884" s="42" t="n"/>
      <c r="R884" s="42" t="n"/>
      <c r="S884" s="42" t="n"/>
      <c r="T884" s="42" t="n"/>
      <c r="U884" s="42" t="n"/>
      <c r="V884" s="42" t="n"/>
      <c r="W884" s="42" t="n"/>
      <c r="X884" s="42" t="n"/>
      <c r="Y884" s="42" t="n"/>
      <c r="Z884" s="42" t="n"/>
    </row>
    <row r="885" ht="15.75" customHeight="1">
      <c r="A885" s="42" t="n"/>
      <c r="B885" s="42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  <c r="P885" s="42" t="n"/>
      <c r="Q885" s="42" t="n"/>
      <c r="R885" s="42" t="n"/>
      <c r="S885" s="42" t="n"/>
      <c r="T885" s="42" t="n"/>
      <c r="U885" s="42" t="n"/>
      <c r="V885" s="42" t="n"/>
      <c r="W885" s="42" t="n"/>
      <c r="X885" s="42" t="n"/>
      <c r="Y885" s="42" t="n"/>
      <c r="Z885" s="42" t="n"/>
    </row>
    <row r="886" ht="15.75" customHeight="1">
      <c r="A886" s="42" t="n"/>
      <c r="B886" s="42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  <c r="P886" s="42" t="n"/>
      <c r="Q886" s="42" t="n"/>
      <c r="R886" s="42" t="n"/>
      <c r="S886" s="42" t="n"/>
      <c r="T886" s="42" t="n"/>
      <c r="U886" s="42" t="n"/>
      <c r="V886" s="42" t="n"/>
      <c r="W886" s="42" t="n"/>
      <c r="X886" s="42" t="n"/>
      <c r="Y886" s="42" t="n"/>
      <c r="Z886" s="42" t="n"/>
    </row>
    <row r="887" ht="15.75" customHeight="1">
      <c r="A887" s="42" t="n"/>
      <c r="B887" s="42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  <c r="P887" s="42" t="n"/>
      <c r="Q887" s="42" t="n"/>
      <c r="R887" s="42" t="n"/>
      <c r="S887" s="42" t="n"/>
      <c r="T887" s="42" t="n"/>
      <c r="U887" s="42" t="n"/>
      <c r="V887" s="42" t="n"/>
      <c r="W887" s="42" t="n"/>
      <c r="X887" s="42" t="n"/>
      <c r="Y887" s="42" t="n"/>
      <c r="Z887" s="42" t="n"/>
    </row>
    <row r="888" ht="15.75" customHeight="1">
      <c r="A888" s="42" t="n"/>
      <c r="B888" s="42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  <c r="P888" s="42" t="n"/>
      <c r="Q888" s="42" t="n"/>
      <c r="R888" s="42" t="n"/>
      <c r="S888" s="42" t="n"/>
      <c r="T888" s="42" t="n"/>
      <c r="U888" s="42" t="n"/>
      <c r="V888" s="42" t="n"/>
      <c r="W888" s="42" t="n"/>
      <c r="X888" s="42" t="n"/>
      <c r="Y888" s="42" t="n"/>
      <c r="Z888" s="42" t="n"/>
    </row>
    <row r="889" ht="15.75" customHeight="1">
      <c r="A889" s="42" t="n"/>
      <c r="B889" s="42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  <c r="P889" s="42" t="n"/>
      <c r="Q889" s="42" t="n"/>
      <c r="R889" s="42" t="n"/>
      <c r="S889" s="42" t="n"/>
      <c r="T889" s="42" t="n"/>
      <c r="U889" s="42" t="n"/>
      <c r="V889" s="42" t="n"/>
      <c r="W889" s="42" t="n"/>
      <c r="X889" s="42" t="n"/>
      <c r="Y889" s="42" t="n"/>
      <c r="Z889" s="42" t="n"/>
    </row>
    <row r="890" ht="15.75" customHeight="1">
      <c r="A890" s="42" t="n"/>
      <c r="B890" s="42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  <c r="P890" s="42" t="n"/>
      <c r="Q890" s="42" t="n"/>
      <c r="R890" s="42" t="n"/>
      <c r="S890" s="42" t="n"/>
      <c r="T890" s="42" t="n"/>
      <c r="U890" s="42" t="n"/>
      <c r="V890" s="42" t="n"/>
      <c r="W890" s="42" t="n"/>
      <c r="X890" s="42" t="n"/>
      <c r="Y890" s="42" t="n"/>
      <c r="Z890" s="42" t="n"/>
    </row>
    <row r="891" ht="15.75" customHeight="1">
      <c r="A891" s="42" t="n"/>
      <c r="B891" s="42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  <c r="P891" s="42" t="n"/>
      <c r="Q891" s="42" t="n"/>
      <c r="R891" s="42" t="n"/>
      <c r="S891" s="42" t="n"/>
      <c r="T891" s="42" t="n"/>
      <c r="U891" s="42" t="n"/>
      <c r="V891" s="42" t="n"/>
      <c r="W891" s="42" t="n"/>
      <c r="X891" s="42" t="n"/>
      <c r="Y891" s="42" t="n"/>
      <c r="Z891" s="42" t="n"/>
    </row>
    <row r="892" ht="15.75" customHeight="1">
      <c r="A892" s="42" t="n"/>
      <c r="B892" s="42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  <c r="P892" s="42" t="n"/>
      <c r="Q892" s="42" t="n"/>
      <c r="R892" s="42" t="n"/>
      <c r="S892" s="42" t="n"/>
      <c r="T892" s="42" t="n"/>
      <c r="U892" s="42" t="n"/>
      <c r="V892" s="42" t="n"/>
      <c r="W892" s="42" t="n"/>
      <c r="X892" s="42" t="n"/>
      <c r="Y892" s="42" t="n"/>
      <c r="Z892" s="42" t="n"/>
    </row>
    <row r="893" ht="15.75" customHeight="1">
      <c r="A893" s="42" t="n"/>
      <c r="B893" s="42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  <c r="P893" s="42" t="n"/>
      <c r="Q893" s="42" t="n"/>
      <c r="R893" s="42" t="n"/>
      <c r="S893" s="42" t="n"/>
      <c r="T893" s="42" t="n"/>
      <c r="U893" s="42" t="n"/>
      <c r="V893" s="42" t="n"/>
      <c r="W893" s="42" t="n"/>
      <c r="X893" s="42" t="n"/>
      <c r="Y893" s="42" t="n"/>
      <c r="Z893" s="42" t="n"/>
    </row>
    <row r="894" ht="15.75" customHeight="1">
      <c r="A894" s="42" t="n"/>
      <c r="B894" s="42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  <c r="P894" s="42" t="n"/>
      <c r="Q894" s="42" t="n"/>
      <c r="R894" s="42" t="n"/>
      <c r="S894" s="42" t="n"/>
      <c r="T894" s="42" t="n"/>
      <c r="U894" s="42" t="n"/>
      <c r="V894" s="42" t="n"/>
      <c r="W894" s="42" t="n"/>
      <c r="X894" s="42" t="n"/>
      <c r="Y894" s="42" t="n"/>
      <c r="Z894" s="42" t="n"/>
    </row>
    <row r="895" ht="15.75" customHeight="1">
      <c r="A895" s="42" t="n"/>
      <c r="B895" s="42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  <c r="P895" s="42" t="n"/>
      <c r="Q895" s="42" t="n"/>
      <c r="R895" s="42" t="n"/>
      <c r="S895" s="42" t="n"/>
      <c r="T895" s="42" t="n"/>
      <c r="U895" s="42" t="n"/>
      <c r="V895" s="42" t="n"/>
      <c r="W895" s="42" t="n"/>
      <c r="X895" s="42" t="n"/>
      <c r="Y895" s="42" t="n"/>
      <c r="Z895" s="42" t="n"/>
    </row>
    <row r="896" ht="15.75" customHeight="1">
      <c r="A896" s="42" t="n"/>
      <c r="B896" s="42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  <c r="P896" s="42" t="n"/>
      <c r="Q896" s="42" t="n"/>
      <c r="R896" s="42" t="n"/>
      <c r="S896" s="42" t="n"/>
      <c r="T896" s="42" t="n"/>
      <c r="U896" s="42" t="n"/>
      <c r="V896" s="42" t="n"/>
      <c r="W896" s="42" t="n"/>
      <c r="X896" s="42" t="n"/>
      <c r="Y896" s="42" t="n"/>
      <c r="Z896" s="42" t="n"/>
    </row>
    <row r="897" ht="15.75" customHeight="1">
      <c r="A897" s="42" t="n"/>
      <c r="B897" s="42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  <c r="P897" s="42" t="n"/>
      <c r="Q897" s="42" t="n"/>
      <c r="R897" s="42" t="n"/>
      <c r="S897" s="42" t="n"/>
      <c r="T897" s="42" t="n"/>
      <c r="U897" s="42" t="n"/>
      <c r="V897" s="42" t="n"/>
      <c r="W897" s="42" t="n"/>
      <c r="X897" s="42" t="n"/>
      <c r="Y897" s="42" t="n"/>
      <c r="Z897" s="42" t="n"/>
    </row>
    <row r="898" ht="15.75" customHeight="1">
      <c r="A898" s="42" t="n"/>
      <c r="B898" s="42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  <c r="P898" s="42" t="n"/>
      <c r="Q898" s="42" t="n"/>
      <c r="R898" s="42" t="n"/>
      <c r="S898" s="42" t="n"/>
      <c r="T898" s="42" t="n"/>
      <c r="U898" s="42" t="n"/>
      <c r="V898" s="42" t="n"/>
      <c r="W898" s="42" t="n"/>
      <c r="X898" s="42" t="n"/>
      <c r="Y898" s="42" t="n"/>
      <c r="Z898" s="42" t="n"/>
    </row>
    <row r="899" ht="15.75" customHeight="1">
      <c r="A899" s="42" t="n"/>
      <c r="B899" s="42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  <c r="P899" s="42" t="n"/>
      <c r="Q899" s="42" t="n"/>
      <c r="R899" s="42" t="n"/>
      <c r="S899" s="42" t="n"/>
      <c r="T899" s="42" t="n"/>
      <c r="U899" s="42" t="n"/>
      <c r="V899" s="42" t="n"/>
      <c r="W899" s="42" t="n"/>
      <c r="X899" s="42" t="n"/>
      <c r="Y899" s="42" t="n"/>
      <c r="Z899" s="42" t="n"/>
    </row>
    <row r="900" ht="15.75" customHeight="1">
      <c r="A900" s="42" t="n"/>
      <c r="B900" s="42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  <c r="P900" s="42" t="n"/>
      <c r="Q900" s="42" t="n"/>
      <c r="R900" s="42" t="n"/>
      <c r="S900" s="42" t="n"/>
      <c r="T900" s="42" t="n"/>
      <c r="U900" s="42" t="n"/>
      <c r="V900" s="42" t="n"/>
      <c r="W900" s="42" t="n"/>
      <c r="X900" s="42" t="n"/>
      <c r="Y900" s="42" t="n"/>
      <c r="Z900" s="42" t="n"/>
    </row>
    <row r="901" ht="15.75" customHeight="1">
      <c r="A901" s="42" t="n"/>
      <c r="B901" s="42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  <c r="P901" s="42" t="n"/>
      <c r="Q901" s="42" t="n"/>
      <c r="R901" s="42" t="n"/>
      <c r="S901" s="42" t="n"/>
      <c r="T901" s="42" t="n"/>
      <c r="U901" s="42" t="n"/>
      <c r="V901" s="42" t="n"/>
      <c r="W901" s="42" t="n"/>
      <c r="X901" s="42" t="n"/>
      <c r="Y901" s="42" t="n"/>
      <c r="Z901" s="42" t="n"/>
    </row>
    <row r="902" ht="15.75" customHeight="1">
      <c r="A902" s="42" t="n"/>
      <c r="B902" s="42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  <c r="P902" s="42" t="n"/>
      <c r="Q902" s="42" t="n"/>
      <c r="R902" s="42" t="n"/>
      <c r="S902" s="42" t="n"/>
      <c r="T902" s="42" t="n"/>
      <c r="U902" s="42" t="n"/>
      <c r="V902" s="42" t="n"/>
      <c r="W902" s="42" t="n"/>
      <c r="X902" s="42" t="n"/>
      <c r="Y902" s="42" t="n"/>
      <c r="Z902" s="42" t="n"/>
    </row>
    <row r="903" ht="15.75" customHeight="1">
      <c r="A903" s="42" t="n"/>
      <c r="B903" s="42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  <c r="P903" s="42" t="n"/>
      <c r="Q903" s="42" t="n"/>
      <c r="R903" s="42" t="n"/>
      <c r="S903" s="42" t="n"/>
      <c r="T903" s="42" t="n"/>
      <c r="U903" s="42" t="n"/>
      <c r="V903" s="42" t="n"/>
      <c r="W903" s="42" t="n"/>
      <c r="X903" s="42" t="n"/>
      <c r="Y903" s="42" t="n"/>
      <c r="Z903" s="42" t="n"/>
    </row>
    <row r="904" ht="15.75" customHeight="1">
      <c r="A904" s="42" t="n"/>
      <c r="B904" s="42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  <c r="P904" s="42" t="n"/>
      <c r="Q904" s="42" t="n"/>
      <c r="R904" s="42" t="n"/>
      <c r="S904" s="42" t="n"/>
      <c r="T904" s="42" t="n"/>
      <c r="U904" s="42" t="n"/>
      <c r="V904" s="42" t="n"/>
      <c r="W904" s="42" t="n"/>
      <c r="X904" s="42" t="n"/>
      <c r="Y904" s="42" t="n"/>
      <c r="Z904" s="42" t="n"/>
    </row>
    <row r="905" ht="15.75" customHeight="1">
      <c r="A905" s="42" t="n"/>
      <c r="B905" s="42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  <c r="P905" s="42" t="n"/>
      <c r="Q905" s="42" t="n"/>
      <c r="R905" s="42" t="n"/>
      <c r="S905" s="42" t="n"/>
      <c r="T905" s="42" t="n"/>
      <c r="U905" s="42" t="n"/>
      <c r="V905" s="42" t="n"/>
      <c r="W905" s="42" t="n"/>
      <c r="X905" s="42" t="n"/>
      <c r="Y905" s="42" t="n"/>
      <c r="Z905" s="42" t="n"/>
    </row>
    <row r="906" ht="15.75" customHeight="1">
      <c r="A906" s="42" t="n"/>
      <c r="B906" s="42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  <c r="P906" s="42" t="n"/>
      <c r="Q906" s="42" t="n"/>
      <c r="R906" s="42" t="n"/>
      <c r="S906" s="42" t="n"/>
      <c r="T906" s="42" t="n"/>
      <c r="U906" s="42" t="n"/>
      <c r="V906" s="42" t="n"/>
      <c r="W906" s="42" t="n"/>
      <c r="X906" s="42" t="n"/>
      <c r="Y906" s="42" t="n"/>
      <c r="Z906" s="42" t="n"/>
    </row>
    <row r="907" ht="15.75" customHeight="1">
      <c r="A907" s="42" t="n"/>
      <c r="B907" s="42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  <c r="P907" s="42" t="n"/>
      <c r="Q907" s="42" t="n"/>
      <c r="R907" s="42" t="n"/>
      <c r="S907" s="42" t="n"/>
      <c r="T907" s="42" t="n"/>
      <c r="U907" s="42" t="n"/>
      <c r="V907" s="42" t="n"/>
      <c r="W907" s="42" t="n"/>
      <c r="X907" s="42" t="n"/>
      <c r="Y907" s="42" t="n"/>
      <c r="Z907" s="42" t="n"/>
    </row>
    <row r="908" ht="15.75" customHeight="1">
      <c r="A908" s="42" t="n"/>
      <c r="B908" s="42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  <c r="P908" s="42" t="n"/>
      <c r="Q908" s="42" t="n"/>
      <c r="R908" s="42" t="n"/>
      <c r="S908" s="42" t="n"/>
      <c r="T908" s="42" t="n"/>
      <c r="U908" s="42" t="n"/>
      <c r="V908" s="42" t="n"/>
      <c r="W908" s="42" t="n"/>
      <c r="X908" s="42" t="n"/>
      <c r="Y908" s="42" t="n"/>
      <c r="Z908" s="42" t="n"/>
    </row>
    <row r="909" ht="15.75" customHeight="1">
      <c r="A909" s="42" t="n"/>
      <c r="B909" s="42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  <c r="P909" s="42" t="n"/>
      <c r="Q909" s="42" t="n"/>
      <c r="R909" s="42" t="n"/>
      <c r="S909" s="42" t="n"/>
      <c r="T909" s="42" t="n"/>
      <c r="U909" s="42" t="n"/>
      <c r="V909" s="42" t="n"/>
      <c r="W909" s="42" t="n"/>
      <c r="X909" s="42" t="n"/>
      <c r="Y909" s="42" t="n"/>
      <c r="Z909" s="42" t="n"/>
    </row>
    <row r="910" ht="15.75" customHeight="1">
      <c r="A910" s="42" t="n"/>
      <c r="B910" s="42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  <c r="P910" s="42" t="n"/>
      <c r="Q910" s="42" t="n"/>
      <c r="R910" s="42" t="n"/>
      <c r="S910" s="42" t="n"/>
      <c r="T910" s="42" t="n"/>
      <c r="U910" s="42" t="n"/>
      <c r="V910" s="42" t="n"/>
      <c r="W910" s="42" t="n"/>
      <c r="X910" s="42" t="n"/>
      <c r="Y910" s="42" t="n"/>
      <c r="Z910" s="42" t="n"/>
    </row>
    <row r="911" ht="15.75" customHeight="1">
      <c r="A911" s="42" t="n"/>
      <c r="B911" s="42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  <c r="P911" s="42" t="n"/>
      <c r="Q911" s="42" t="n"/>
      <c r="R911" s="42" t="n"/>
      <c r="S911" s="42" t="n"/>
      <c r="T911" s="42" t="n"/>
      <c r="U911" s="42" t="n"/>
      <c r="V911" s="42" t="n"/>
      <c r="W911" s="42" t="n"/>
      <c r="X911" s="42" t="n"/>
      <c r="Y911" s="42" t="n"/>
      <c r="Z911" s="42" t="n"/>
    </row>
    <row r="912" ht="15.75" customHeight="1">
      <c r="A912" s="42" t="n"/>
      <c r="B912" s="42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  <c r="P912" s="42" t="n"/>
      <c r="Q912" s="42" t="n"/>
      <c r="R912" s="42" t="n"/>
      <c r="S912" s="42" t="n"/>
      <c r="T912" s="42" t="n"/>
      <c r="U912" s="42" t="n"/>
      <c r="V912" s="42" t="n"/>
      <c r="W912" s="42" t="n"/>
      <c r="X912" s="42" t="n"/>
      <c r="Y912" s="42" t="n"/>
      <c r="Z912" s="42" t="n"/>
    </row>
    <row r="913" ht="15.75" customHeight="1">
      <c r="A913" s="42" t="n"/>
      <c r="B913" s="42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  <c r="P913" s="42" t="n"/>
      <c r="Q913" s="42" t="n"/>
      <c r="R913" s="42" t="n"/>
      <c r="S913" s="42" t="n"/>
      <c r="T913" s="42" t="n"/>
      <c r="U913" s="42" t="n"/>
      <c r="V913" s="42" t="n"/>
      <c r="W913" s="42" t="n"/>
      <c r="X913" s="42" t="n"/>
      <c r="Y913" s="42" t="n"/>
      <c r="Z913" s="42" t="n"/>
    </row>
    <row r="914" ht="15.75" customHeight="1">
      <c r="A914" s="42" t="n"/>
      <c r="B914" s="42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  <c r="P914" s="42" t="n"/>
      <c r="Q914" s="42" t="n"/>
      <c r="R914" s="42" t="n"/>
      <c r="S914" s="42" t="n"/>
      <c r="T914" s="42" t="n"/>
      <c r="U914" s="42" t="n"/>
      <c r="V914" s="42" t="n"/>
      <c r="W914" s="42" t="n"/>
      <c r="X914" s="42" t="n"/>
      <c r="Y914" s="42" t="n"/>
      <c r="Z914" s="42" t="n"/>
    </row>
    <row r="915" ht="15.75" customHeight="1">
      <c r="A915" s="42" t="n"/>
      <c r="B915" s="42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  <c r="P915" s="42" t="n"/>
      <c r="Q915" s="42" t="n"/>
      <c r="R915" s="42" t="n"/>
      <c r="S915" s="42" t="n"/>
      <c r="T915" s="42" t="n"/>
      <c r="U915" s="42" t="n"/>
      <c r="V915" s="42" t="n"/>
      <c r="W915" s="42" t="n"/>
      <c r="X915" s="42" t="n"/>
      <c r="Y915" s="42" t="n"/>
      <c r="Z915" s="42" t="n"/>
    </row>
    <row r="916" ht="15.75" customHeight="1">
      <c r="A916" s="42" t="n"/>
      <c r="B916" s="42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  <c r="P916" s="42" t="n"/>
      <c r="Q916" s="42" t="n"/>
      <c r="R916" s="42" t="n"/>
      <c r="S916" s="42" t="n"/>
      <c r="T916" s="42" t="n"/>
      <c r="U916" s="42" t="n"/>
      <c r="V916" s="42" t="n"/>
      <c r="W916" s="42" t="n"/>
      <c r="X916" s="42" t="n"/>
      <c r="Y916" s="42" t="n"/>
      <c r="Z916" s="42" t="n"/>
    </row>
    <row r="917" ht="15.75" customHeight="1">
      <c r="A917" s="42" t="n"/>
      <c r="B917" s="42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  <c r="P917" s="42" t="n"/>
      <c r="Q917" s="42" t="n"/>
      <c r="R917" s="42" t="n"/>
      <c r="S917" s="42" t="n"/>
      <c r="T917" s="42" t="n"/>
      <c r="U917" s="42" t="n"/>
      <c r="V917" s="42" t="n"/>
      <c r="W917" s="42" t="n"/>
      <c r="X917" s="42" t="n"/>
      <c r="Y917" s="42" t="n"/>
      <c r="Z917" s="42" t="n"/>
    </row>
    <row r="918" ht="15.75" customHeight="1">
      <c r="A918" s="42" t="n"/>
      <c r="B918" s="42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  <c r="P918" s="42" t="n"/>
      <c r="Q918" s="42" t="n"/>
      <c r="R918" s="42" t="n"/>
      <c r="S918" s="42" t="n"/>
      <c r="T918" s="42" t="n"/>
      <c r="U918" s="42" t="n"/>
      <c r="V918" s="42" t="n"/>
      <c r="W918" s="42" t="n"/>
      <c r="X918" s="42" t="n"/>
      <c r="Y918" s="42" t="n"/>
      <c r="Z918" s="42" t="n"/>
    </row>
    <row r="919" ht="15.75" customHeight="1">
      <c r="A919" s="42" t="n"/>
      <c r="B919" s="42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  <c r="P919" s="42" t="n"/>
      <c r="Q919" s="42" t="n"/>
      <c r="R919" s="42" t="n"/>
      <c r="S919" s="42" t="n"/>
      <c r="T919" s="42" t="n"/>
      <c r="U919" s="42" t="n"/>
      <c r="V919" s="42" t="n"/>
      <c r="W919" s="42" t="n"/>
      <c r="X919" s="42" t="n"/>
      <c r="Y919" s="42" t="n"/>
      <c r="Z919" s="42" t="n"/>
    </row>
    <row r="920" ht="15.75" customHeight="1">
      <c r="A920" s="42" t="n"/>
      <c r="B920" s="42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  <c r="P920" s="42" t="n"/>
      <c r="Q920" s="42" t="n"/>
      <c r="R920" s="42" t="n"/>
      <c r="S920" s="42" t="n"/>
      <c r="T920" s="42" t="n"/>
      <c r="U920" s="42" t="n"/>
      <c r="V920" s="42" t="n"/>
      <c r="W920" s="42" t="n"/>
      <c r="X920" s="42" t="n"/>
      <c r="Y920" s="42" t="n"/>
      <c r="Z920" s="42" t="n"/>
    </row>
    <row r="921" ht="15.75" customHeight="1">
      <c r="A921" s="42" t="n"/>
      <c r="B921" s="42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  <c r="P921" s="42" t="n"/>
      <c r="Q921" s="42" t="n"/>
      <c r="R921" s="42" t="n"/>
      <c r="S921" s="42" t="n"/>
      <c r="T921" s="42" t="n"/>
      <c r="U921" s="42" t="n"/>
      <c r="V921" s="42" t="n"/>
      <c r="W921" s="42" t="n"/>
      <c r="X921" s="42" t="n"/>
      <c r="Y921" s="42" t="n"/>
      <c r="Z921" s="42" t="n"/>
    </row>
    <row r="922" ht="15.75" customHeight="1">
      <c r="A922" s="42" t="n"/>
      <c r="B922" s="42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  <c r="P922" s="42" t="n"/>
      <c r="Q922" s="42" t="n"/>
      <c r="R922" s="42" t="n"/>
      <c r="S922" s="42" t="n"/>
      <c r="T922" s="42" t="n"/>
      <c r="U922" s="42" t="n"/>
      <c r="V922" s="42" t="n"/>
      <c r="W922" s="42" t="n"/>
      <c r="X922" s="42" t="n"/>
      <c r="Y922" s="42" t="n"/>
      <c r="Z922" s="42" t="n"/>
    </row>
    <row r="923" ht="15.75" customHeight="1">
      <c r="A923" s="42" t="n"/>
      <c r="B923" s="42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  <c r="P923" s="42" t="n"/>
      <c r="Q923" s="42" t="n"/>
      <c r="R923" s="42" t="n"/>
      <c r="S923" s="42" t="n"/>
      <c r="T923" s="42" t="n"/>
      <c r="U923" s="42" t="n"/>
      <c r="V923" s="42" t="n"/>
      <c r="W923" s="42" t="n"/>
      <c r="X923" s="42" t="n"/>
      <c r="Y923" s="42" t="n"/>
      <c r="Z923" s="42" t="n"/>
    </row>
    <row r="924" ht="15.75" customHeight="1">
      <c r="A924" s="42" t="n"/>
      <c r="B924" s="42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  <c r="P924" s="42" t="n"/>
      <c r="Q924" s="42" t="n"/>
      <c r="R924" s="42" t="n"/>
      <c r="S924" s="42" t="n"/>
      <c r="T924" s="42" t="n"/>
      <c r="U924" s="42" t="n"/>
      <c r="V924" s="42" t="n"/>
      <c r="W924" s="42" t="n"/>
      <c r="X924" s="42" t="n"/>
      <c r="Y924" s="42" t="n"/>
      <c r="Z924" s="42" t="n"/>
    </row>
    <row r="925" ht="15.75" customHeight="1">
      <c r="A925" s="42" t="n"/>
      <c r="B925" s="42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  <c r="P925" s="42" t="n"/>
      <c r="Q925" s="42" t="n"/>
      <c r="R925" s="42" t="n"/>
      <c r="S925" s="42" t="n"/>
      <c r="T925" s="42" t="n"/>
      <c r="U925" s="42" t="n"/>
      <c r="V925" s="42" t="n"/>
      <c r="W925" s="42" t="n"/>
      <c r="X925" s="42" t="n"/>
      <c r="Y925" s="42" t="n"/>
      <c r="Z925" s="42" t="n"/>
    </row>
    <row r="926" ht="15.75" customHeight="1">
      <c r="A926" s="42" t="n"/>
      <c r="B926" s="42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  <c r="P926" s="42" t="n"/>
      <c r="Q926" s="42" t="n"/>
      <c r="R926" s="42" t="n"/>
      <c r="S926" s="42" t="n"/>
      <c r="T926" s="42" t="n"/>
      <c r="U926" s="42" t="n"/>
      <c r="V926" s="42" t="n"/>
      <c r="W926" s="42" t="n"/>
      <c r="X926" s="42" t="n"/>
      <c r="Y926" s="42" t="n"/>
      <c r="Z926" s="42" t="n"/>
    </row>
    <row r="927" ht="15.75" customHeight="1">
      <c r="A927" s="42" t="n"/>
      <c r="B927" s="42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  <c r="P927" s="42" t="n"/>
      <c r="Q927" s="42" t="n"/>
      <c r="R927" s="42" t="n"/>
      <c r="S927" s="42" t="n"/>
      <c r="T927" s="42" t="n"/>
      <c r="U927" s="42" t="n"/>
      <c r="V927" s="42" t="n"/>
      <c r="W927" s="42" t="n"/>
      <c r="X927" s="42" t="n"/>
      <c r="Y927" s="42" t="n"/>
      <c r="Z927" s="42" t="n"/>
    </row>
    <row r="928" ht="15.75" customHeight="1">
      <c r="A928" s="42" t="n"/>
      <c r="B928" s="42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  <c r="P928" s="42" t="n"/>
      <c r="Q928" s="42" t="n"/>
      <c r="R928" s="42" t="n"/>
      <c r="S928" s="42" t="n"/>
      <c r="T928" s="42" t="n"/>
      <c r="U928" s="42" t="n"/>
      <c r="V928" s="42" t="n"/>
      <c r="W928" s="42" t="n"/>
      <c r="X928" s="42" t="n"/>
      <c r="Y928" s="42" t="n"/>
      <c r="Z928" s="42" t="n"/>
    </row>
    <row r="929" ht="15.75" customHeight="1">
      <c r="A929" s="42" t="n"/>
      <c r="B929" s="42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  <c r="P929" s="42" t="n"/>
      <c r="Q929" s="42" t="n"/>
      <c r="R929" s="42" t="n"/>
      <c r="S929" s="42" t="n"/>
      <c r="T929" s="42" t="n"/>
      <c r="U929" s="42" t="n"/>
      <c r="V929" s="42" t="n"/>
      <c r="W929" s="42" t="n"/>
      <c r="X929" s="42" t="n"/>
      <c r="Y929" s="42" t="n"/>
      <c r="Z929" s="42" t="n"/>
    </row>
    <row r="930" ht="15.75" customHeight="1">
      <c r="A930" s="42" t="n"/>
      <c r="B930" s="42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  <c r="P930" s="42" t="n"/>
      <c r="Q930" s="42" t="n"/>
      <c r="R930" s="42" t="n"/>
      <c r="S930" s="42" t="n"/>
      <c r="T930" s="42" t="n"/>
      <c r="U930" s="42" t="n"/>
      <c r="V930" s="42" t="n"/>
      <c r="W930" s="42" t="n"/>
      <c r="X930" s="42" t="n"/>
      <c r="Y930" s="42" t="n"/>
      <c r="Z930" s="42" t="n"/>
    </row>
    <row r="931" ht="15.75" customHeight="1">
      <c r="A931" s="42" t="n"/>
      <c r="B931" s="42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  <c r="P931" s="42" t="n"/>
      <c r="Q931" s="42" t="n"/>
      <c r="R931" s="42" t="n"/>
      <c r="S931" s="42" t="n"/>
      <c r="T931" s="42" t="n"/>
      <c r="U931" s="42" t="n"/>
      <c r="V931" s="42" t="n"/>
      <c r="W931" s="42" t="n"/>
      <c r="X931" s="42" t="n"/>
      <c r="Y931" s="42" t="n"/>
      <c r="Z931" s="42" t="n"/>
    </row>
    <row r="932" ht="15.75" customHeight="1">
      <c r="A932" s="42" t="n"/>
      <c r="B932" s="42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  <c r="P932" s="42" t="n"/>
      <c r="Q932" s="42" t="n"/>
      <c r="R932" s="42" t="n"/>
      <c r="S932" s="42" t="n"/>
      <c r="T932" s="42" t="n"/>
      <c r="U932" s="42" t="n"/>
      <c r="V932" s="42" t="n"/>
      <c r="W932" s="42" t="n"/>
      <c r="X932" s="42" t="n"/>
      <c r="Y932" s="42" t="n"/>
      <c r="Z932" s="42" t="n"/>
    </row>
    <row r="933" ht="15.75" customHeight="1">
      <c r="A933" s="42" t="n"/>
      <c r="B933" s="42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  <c r="P933" s="42" t="n"/>
      <c r="Q933" s="42" t="n"/>
      <c r="R933" s="42" t="n"/>
      <c r="S933" s="42" t="n"/>
      <c r="T933" s="42" t="n"/>
      <c r="U933" s="42" t="n"/>
      <c r="V933" s="42" t="n"/>
      <c r="W933" s="42" t="n"/>
      <c r="X933" s="42" t="n"/>
      <c r="Y933" s="42" t="n"/>
      <c r="Z933" s="42" t="n"/>
    </row>
    <row r="934" ht="15.75" customHeight="1">
      <c r="A934" s="42" t="n"/>
      <c r="B934" s="42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  <c r="P934" s="42" t="n"/>
      <c r="Q934" s="42" t="n"/>
      <c r="R934" s="42" t="n"/>
      <c r="S934" s="42" t="n"/>
      <c r="T934" s="42" t="n"/>
      <c r="U934" s="42" t="n"/>
      <c r="V934" s="42" t="n"/>
      <c r="W934" s="42" t="n"/>
      <c r="X934" s="42" t="n"/>
      <c r="Y934" s="42" t="n"/>
      <c r="Z934" s="42" t="n"/>
    </row>
    <row r="935" ht="15.75" customHeight="1">
      <c r="A935" s="42" t="n"/>
      <c r="B935" s="42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  <c r="P935" s="42" t="n"/>
      <c r="Q935" s="42" t="n"/>
      <c r="R935" s="42" t="n"/>
      <c r="S935" s="42" t="n"/>
      <c r="T935" s="42" t="n"/>
      <c r="U935" s="42" t="n"/>
      <c r="V935" s="42" t="n"/>
      <c r="W935" s="42" t="n"/>
      <c r="X935" s="42" t="n"/>
      <c r="Y935" s="42" t="n"/>
      <c r="Z935" s="42" t="n"/>
    </row>
    <row r="936" ht="15.75" customHeight="1">
      <c r="A936" s="42" t="n"/>
      <c r="B936" s="42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  <c r="P936" s="42" t="n"/>
      <c r="Q936" s="42" t="n"/>
      <c r="R936" s="42" t="n"/>
      <c r="S936" s="42" t="n"/>
      <c r="T936" s="42" t="n"/>
      <c r="U936" s="42" t="n"/>
      <c r="V936" s="42" t="n"/>
      <c r="W936" s="42" t="n"/>
      <c r="X936" s="42" t="n"/>
      <c r="Y936" s="42" t="n"/>
      <c r="Z936" s="42" t="n"/>
    </row>
    <row r="937" ht="15.75" customHeight="1">
      <c r="A937" s="42" t="n"/>
      <c r="B937" s="42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  <c r="P937" s="42" t="n"/>
      <c r="Q937" s="42" t="n"/>
      <c r="R937" s="42" t="n"/>
      <c r="S937" s="42" t="n"/>
      <c r="T937" s="42" t="n"/>
      <c r="U937" s="42" t="n"/>
      <c r="V937" s="42" t="n"/>
      <c r="W937" s="42" t="n"/>
      <c r="X937" s="42" t="n"/>
      <c r="Y937" s="42" t="n"/>
      <c r="Z937" s="42" t="n"/>
    </row>
    <row r="938" ht="15.75" customHeight="1">
      <c r="A938" s="42" t="n"/>
      <c r="B938" s="42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  <c r="P938" s="42" t="n"/>
      <c r="Q938" s="42" t="n"/>
      <c r="R938" s="42" t="n"/>
      <c r="S938" s="42" t="n"/>
      <c r="T938" s="42" t="n"/>
      <c r="U938" s="42" t="n"/>
      <c r="V938" s="42" t="n"/>
      <c r="W938" s="42" t="n"/>
      <c r="X938" s="42" t="n"/>
      <c r="Y938" s="42" t="n"/>
      <c r="Z938" s="42" t="n"/>
    </row>
    <row r="939" ht="15.75" customHeight="1">
      <c r="A939" s="42" t="n"/>
      <c r="B939" s="42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  <c r="P939" s="42" t="n"/>
      <c r="Q939" s="42" t="n"/>
      <c r="R939" s="42" t="n"/>
      <c r="S939" s="42" t="n"/>
      <c r="T939" s="42" t="n"/>
      <c r="U939" s="42" t="n"/>
      <c r="V939" s="42" t="n"/>
      <c r="W939" s="42" t="n"/>
      <c r="X939" s="42" t="n"/>
      <c r="Y939" s="42" t="n"/>
      <c r="Z939" s="42" t="n"/>
    </row>
    <row r="940" ht="15.75" customHeight="1">
      <c r="A940" s="42" t="n"/>
      <c r="B940" s="42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  <c r="P940" s="42" t="n"/>
      <c r="Q940" s="42" t="n"/>
      <c r="R940" s="42" t="n"/>
      <c r="S940" s="42" t="n"/>
      <c r="T940" s="42" t="n"/>
      <c r="U940" s="42" t="n"/>
      <c r="V940" s="42" t="n"/>
      <c r="W940" s="42" t="n"/>
      <c r="X940" s="42" t="n"/>
      <c r="Y940" s="42" t="n"/>
      <c r="Z940" s="42" t="n"/>
    </row>
    <row r="941" ht="15.75" customHeight="1">
      <c r="A941" s="42" t="n"/>
      <c r="B941" s="42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  <c r="P941" s="42" t="n"/>
      <c r="Q941" s="42" t="n"/>
      <c r="R941" s="42" t="n"/>
      <c r="S941" s="42" t="n"/>
      <c r="T941" s="42" t="n"/>
      <c r="U941" s="42" t="n"/>
      <c r="V941" s="42" t="n"/>
      <c r="W941" s="42" t="n"/>
      <c r="X941" s="42" t="n"/>
      <c r="Y941" s="42" t="n"/>
      <c r="Z941" s="42" t="n"/>
    </row>
    <row r="942" ht="15.75" customHeight="1">
      <c r="A942" s="42" t="n"/>
      <c r="B942" s="42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  <c r="P942" s="42" t="n"/>
      <c r="Q942" s="42" t="n"/>
      <c r="R942" s="42" t="n"/>
      <c r="S942" s="42" t="n"/>
      <c r="T942" s="42" t="n"/>
      <c r="U942" s="42" t="n"/>
      <c r="V942" s="42" t="n"/>
      <c r="W942" s="42" t="n"/>
      <c r="X942" s="42" t="n"/>
      <c r="Y942" s="42" t="n"/>
      <c r="Z942" s="42" t="n"/>
    </row>
    <row r="943" ht="15.75" customHeight="1">
      <c r="A943" s="42" t="n"/>
      <c r="B943" s="42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  <c r="P943" s="42" t="n"/>
      <c r="Q943" s="42" t="n"/>
      <c r="R943" s="42" t="n"/>
      <c r="S943" s="42" t="n"/>
      <c r="T943" s="42" t="n"/>
      <c r="U943" s="42" t="n"/>
      <c r="V943" s="42" t="n"/>
      <c r="W943" s="42" t="n"/>
      <c r="X943" s="42" t="n"/>
      <c r="Y943" s="42" t="n"/>
      <c r="Z943" s="42" t="n"/>
    </row>
    <row r="944" ht="15.75" customHeight="1">
      <c r="A944" s="42" t="n"/>
      <c r="B944" s="42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  <c r="P944" s="42" t="n"/>
      <c r="Q944" s="42" t="n"/>
      <c r="R944" s="42" t="n"/>
      <c r="S944" s="42" t="n"/>
      <c r="T944" s="42" t="n"/>
      <c r="U944" s="42" t="n"/>
      <c r="V944" s="42" t="n"/>
      <c r="W944" s="42" t="n"/>
      <c r="X944" s="42" t="n"/>
      <c r="Y944" s="42" t="n"/>
      <c r="Z944" s="42" t="n"/>
    </row>
    <row r="945" ht="15.75" customHeight="1">
      <c r="A945" s="42" t="n"/>
      <c r="B945" s="42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  <c r="P945" s="42" t="n"/>
      <c r="Q945" s="42" t="n"/>
      <c r="R945" s="42" t="n"/>
      <c r="S945" s="42" t="n"/>
      <c r="T945" s="42" t="n"/>
      <c r="U945" s="42" t="n"/>
      <c r="V945" s="42" t="n"/>
      <c r="W945" s="42" t="n"/>
      <c r="X945" s="42" t="n"/>
      <c r="Y945" s="42" t="n"/>
      <c r="Z945" s="42" t="n"/>
    </row>
    <row r="946" ht="15.75" customHeight="1">
      <c r="A946" s="42" t="n"/>
      <c r="B946" s="42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  <c r="P946" s="42" t="n"/>
      <c r="Q946" s="42" t="n"/>
      <c r="R946" s="42" t="n"/>
      <c r="S946" s="42" t="n"/>
      <c r="T946" s="42" t="n"/>
      <c r="U946" s="42" t="n"/>
      <c r="V946" s="42" t="n"/>
      <c r="W946" s="42" t="n"/>
      <c r="X946" s="42" t="n"/>
      <c r="Y946" s="42" t="n"/>
      <c r="Z946" s="42" t="n"/>
    </row>
    <row r="947" ht="15.75" customHeight="1">
      <c r="A947" s="42" t="n"/>
      <c r="B947" s="42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  <c r="P947" s="42" t="n"/>
      <c r="Q947" s="42" t="n"/>
      <c r="R947" s="42" t="n"/>
      <c r="S947" s="42" t="n"/>
      <c r="T947" s="42" t="n"/>
      <c r="U947" s="42" t="n"/>
      <c r="V947" s="42" t="n"/>
      <c r="W947" s="42" t="n"/>
      <c r="X947" s="42" t="n"/>
      <c r="Y947" s="42" t="n"/>
      <c r="Z947" s="42" t="n"/>
    </row>
    <row r="948" ht="15.75" customHeight="1">
      <c r="A948" s="42" t="n"/>
      <c r="B948" s="42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  <c r="P948" s="42" t="n"/>
      <c r="Q948" s="42" t="n"/>
      <c r="R948" s="42" t="n"/>
      <c r="S948" s="42" t="n"/>
      <c r="T948" s="42" t="n"/>
      <c r="U948" s="42" t="n"/>
      <c r="V948" s="42" t="n"/>
      <c r="W948" s="42" t="n"/>
      <c r="X948" s="42" t="n"/>
      <c r="Y948" s="42" t="n"/>
      <c r="Z948" s="42" t="n"/>
    </row>
    <row r="949" ht="15.75" customHeight="1">
      <c r="A949" s="42" t="n"/>
      <c r="B949" s="42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  <c r="P949" s="42" t="n"/>
      <c r="Q949" s="42" t="n"/>
      <c r="R949" s="42" t="n"/>
      <c r="S949" s="42" t="n"/>
      <c r="T949" s="42" t="n"/>
      <c r="U949" s="42" t="n"/>
      <c r="V949" s="42" t="n"/>
      <c r="W949" s="42" t="n"/>
      <c r="X949" s="42" t="n"/>
      <c r="Y949" s="42" t="n"/>
      <c r="Z949" s="42" t="n"/>
    </row>
    <row r="950" ht="15.75" customHeight="1">
      <c r="A950" s="42" t="n"/>
      <c r="B950" s="42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  <c r="P950" s="42" t="n"/>
      <c r="Q950" s="42" t="n"/>
      <c r="R950" s="42" t="n"/>
      <c r="S950" s="42" t="n"/>
      <c r="T950" s="42" t="n"/>
      <c r="U950" s="42" t="n"/>
      <c r="V950" s="42" t="n"/>
      <c r="W950" s="42" t="n"/>
      <c r="X950" s="42" t="n"/>
      <c r="Y950" s="42" t="n"/>
      <c r="Z950" s="42" t="n"/>
    </row>
    <row r="951" ht="15.75" customHeight="1">
      <c r="A951" s="42" t="n"/>
      <c r="B951" s="42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  <c r="P951" s="42" t="n"/>
      <c r="Q951" s="42" t="n"/>
      <c r="R951" s="42" t="n"/>
      <c r="S951" s="42" t="n"/>
      <c r="T951" s="42" t="n"/>
      <c r="U951" s="42" t="n"/>
      <c r="V951" s="42" t="n"/>
      <c r="W951" s="42" t="n"/>
      <c r="X951" s="42" t="n"/>
      <c r="Y951" s="42" t="n"/>
      <c r="Z951" s="42" t="n"/>
    </row>
    <row r="952" ht="15.75" customHeight="1">
      <c r="A952" s="42" t="n"/>
      <c r="B952" s="42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  <c r="P952" s="42" t="n"/>
      <c r="Q952" s="42" t="n"/>
      <c r="R952" s="42" t="n"/>
      <c r="S952" s="42" t="n"/>
      <c r="T952" s="42" t="n"/>
      <c r="U952" s="42" t="n"/>
      <c r="V952" s="42" t="n"/>
      <c r="W952" s="42" t="n"/>
      <c r="X952" s="42" t="n"/>
      <c r="Y952" s="42" t="n"/>
      <c r="Z952" s="42" t="n"/>
    </row>
    <row r="953" ht="15.75" customHeight="1">
      <c r="A953" s="42" t="n"/>
      <c r="B953" s="42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  <c r="P953" s="42" t="n"/>
      <c r="Q953" s="42" t="n"/>
      <c r="R953" s="42" t="n"/>
      <c r="S953" s="42" t="n"/>
      <c r="T953" s="42" t="n"/>
      <c r="U953" s="42" t="n"/>
      <c r="V953" s="42" t="n"/>
      <c r="W953" s="42" t="n"/>
      <c r="X953" s="42" t="n"/>
      <c r="Y953" s="42" t="n"/>
      <c r="Z953" s="42" t="n"/>
    </row>
    <row r="954" ht="15.75" customHeight="1">
      <c r="A954" s="42" t="n"/>
      <c r="B954" s="42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  <c r="P954" s="42" t="n"/>
      <c r="Q954" s="42" t="n"/>
      <c r="R954" s="42" t="n"/>
      <c r="S954" s="42" t="n"/>
      <c r="T954" s="42" t="n"/>
      <c r="U954" s="42" t="n"/>
      <c r="V954" s="42" t="n"/>
      <c r="W954" s="42" t="n"/>
      <c r="X954" s="42" t="n"/>
      <c r="Y954" s="42" t="n"/>
      <c r="Z954" s="42" t="n"/>
    </row>
    <row r="955" ht="15.75" customHeight="1">
      <c r="A955" s="42" t="n"/>
      <c r="B955" s="42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  <c r="P955" s="42" t="n"/>
      <c r="Q955" s="42" t="n"/>
      <c r="R955" s="42" t="n"/>
      <c r="S955" s="42" t="n"/>
      <c r="T955" s="42" t="n"/>
      <c r="U955" s="42" t="n"/>
      <c r="V955" s="42" t="n"/>
      <c r="W955" s="42" t="n"/>
      <c r="X955" s="42" t="n"/>
      <c r="Y955" s="42" t="n"/>
      <c r="Z955" s="42" t="n"/>
    </row>
    <row r="956" ht="15.75" customHeight="1">
      <c r="A956" s="42" t="n"/>
      <c r="B956" s="42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  <c r="P956" s="42" t="n"/>
      <c r="Q956" s="42" t="n"/>
      <c r="R956" s="42" t="n"/>
      <c r="S956" s="42" t="n"/>
      <c r="T956" s="42" t="n"/>
      <c r="U956" s="42" t="n"/>
      <c r="V956" s="42" t="n"/>
      <c r="W956" s="42" t="n"/>
      <c r="X956" s="42" t="n"/>
      <c r="Y956" s="42" t="n"/>
      <c r="Z956" s="42" t="n"/>
    </row>
    <row r="957" ht="15.75" customHeight="1">
      <c r="A957" s="42" t="n"/>
      <c r="B957" s="42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  <c r="P957" s="42" t="n"/>
      <c r="Q957" s="42" t="n"/>
      <c r="R957" s="42" t="n"/>
      <c r="S957" s="42" t="n"/>
      <c r="T957" s="42" t="n"/>
      <c r="U957" s="42" t="n"/>
      <c r="V957" s="42" t="n"/>
      <c r="W957" s="42" t="n"/>
      <c r="X957" s="42" t="n"/>
      <c r="Y957" s="42" t="n"/>
      <c r="Z957" s="42" t="n"/>
    </row>
    <row r="958" ht="15.75" customHeight="1">
      <c r="A958" s="42" t="n"/>
      <c r="B958" s="42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  <c r="P958" s="42" t="n"/>
      <c r="Q958" s="42" t="n"/>
      <c r="R958" s="42" t="n"/>
      <c r="S958" s="42" t="n"/>
      <c r="T958" s="42" t="n"/>
      <c r="U958" s="42" t="n"/>
      <c r="V958" s="42" t="n"/>
      <c r="W958" s="42" t="n"/>
      <c r="X958" s="42" t="n"/>
      <c r="Y958" s="42" t="n"/>
      <c r="Z958" s="42" t="n"/>
    </row>
    <row r="959" ht="15.75" customHeight="1">
      <c r="A959" s="42" t="n"/>
      <c r="B959" s="42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  <c r="P959" s="42" t="n"/>
      <c r="Q959" s="42" t="n"/>
      <c r="R959" s="42" t="n"/>
      <c r="S959" s="42" t="n"/>
      <c r="T959" s="42" t="n"/>
      <c r="U959" s="42" t="n"/>
      <c r="V959" s="42" t="n"/>
      <c r="W959" s="42" t="n"/>
      <c r="X959" s="42" t="n"/>
      <c r="Y959" s="42" t="n"/>
      <c r="Z959" s="42" t="n"/>
    </row>
    <row r="960" ht="15.75" customHeight="1">
      <c r="A960" s="42" t="n"/>
      <c r="B960" s="42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  <c r="P960" s="42" t="n"/>
      <c r="Q960" s="42" t="n"/>
      <c r="R960" s="42" t="n"/>
      <c r="S960" s="42" t="n"/>
      <c r="T960" s="42" t="n"/>
      <c r="U960" s="42" t="n"/>
      <c r="V960" s="42" t="n"/>
      <c r="W960" s="42" t="n"/>
      <c r="X960" s="42" t="n"/>
      <c r="Y960" s="42" t="n"/>
      <c r="Z960" s="42" t="n"/>
    </row>
    <row r="961" ht="15.75" customHeight="1">
      <c r="A961" s="42" t="n"/>
      <c r="B961" s="42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  <c r="P961" s="42" t="n"/>
      <c r="Q961" s="42" t="n"/>
      <c r="R961" s="42" t="n"/>
      <c r="S961" s="42" t="n"/>
      <c r="T961" s="42" t="n"/>
      <c r="U961" s="42" t="n"/>
      <c r="V961" s="42" t="n"/>
      <c r="W961" s="42" t="n"/>
      <c r="X961" s="42" t="n"/>
      <c r="Y961" s="42" t="n"/>
      <c r="Z961" s="42" t="n"/>
    </row>
    <row r="962" ht="15.75" customHeight="1">
      <c r="A962" s="42" t="n"/>
      <c r="B962" s="42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  <c r="P962" s="42" t="n"/>
      <c r="Q962" s="42" t="n"/>
      <c r="R962" s="42" t="n"/>
      <c r="S962" s="42" t="n"/>
      <c r="T962" s="42" t="n"/>
      <c r="U962" s="42" t="n"/>
      <c r="V962" s="42" t="n"/>
      <c r="W962" s="42" t="n"/>
      <c r="X962" s="42" t="n"/>
      <c r="Y962" s="42" t="n"/>
      <c r="Z962" s="42" t="n"/>
    </row>
    <row r="963" ht="15.75" customHeight="1">
      <c r="A963" s="42" t="n"/>
      <c r="B963" s="42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  <c r="P963" s="42" t="n"/>
      <c r="Q963" s="42" t="n"/>
      <c r="R963" s="42" t="n"/>
      <c r="S963" s="42" t="n"/>
      <c r="T963" s="42" t="n"/>
      <c r="U963" s="42" t="n"/>
      <c r="V963" s="42" t="n"/>
      <c r="W963" s="42" t="n"/>
      <c r="X963" s="42" t="n"/>
      <c r="Y963" s="42" t="n"/>
      <c r="Z963" s="42" t="n"/>
    </row>
    <row r="964" ht="15.75" customHeight="1">
      <c r="A964" s="42" t="n"/>
      <c r="B964" s="42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  <c r="P964" s="42" t="n"/>
      <c r="Q964" s="42" t="n"/>
      <c r="R964" s="42" t="n"/>
      <c r="S964" s="42" t="n"/>
      <c r="T964" s="42" t="n"/>
      <c r="U964" s="42" t="n"/>
      <c r="V964" s="42" t="n"/>
      <c r="W964" s="42" t="n"/>
      <c r="X964" s="42" t="n"/>
      <c r="Y964" s="42" t="n"/>
      <c r="Z964" s="42" t="n"/>
    </row>
    <row r="965" ht="15.75" customHeight="1">
      <c r="A965" s="42" t="n"/>
      <c r="B965" s="42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  <c r="P965" s="42" t="n"/>
      <c r="Q965" s="42" t="n"/>
      <c r="R965" s="42" t="n"/>
      <c r="S965" s="42" t="n"/>
      <c r="T965" s="42" t="n"/>
      <c r="U965" s="42" t="n"/>
      <c r="V965" s="42" t="n"/>
      <c r="W965" s="42" t="n"/>
      <c r="X965" s="42" t="n"/>
      <c r="Y965" s="42" t="n"/>
      <c r="Z965" s="42" t="n"/>
    </row>
    <row r="966" ht="15.75" customHeight="1">
      <c r="A966" s="42" t="n"/>
      <c r="B966" s="42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  <c r="P966" s="42" t="n"/>
      <c r="Q966" s="42" t="n"/>
      <c r="R966" s="42" t="n"/>
      <c r="S966" s="42" t="n"/>
      <c r="T966" s="42" t="n"/>
      <c r="U966" s="42" t="n"/>
      <c r="V966" s="42" t="n"/>
      <c r="W966" s="42" t="n"/>
      <c r="X966" s="42" t="n"/>
      <c r="Y966" s="42" t="n"/>
      <c r="Z966" s="42" t="n"/>
    </row>
    <row r="967" ht="15.75" customHeight="1">
      <c r="A967" s="42" t="n"/>
      <c r="B967" s="42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  <c r="P967" s="42" t="n"/>
      <c r="Q967" s="42" t="n"/>
      <c r="R967" s="42" t="n"/>
      <c r="S967" s="42" t="n"/>
      <c r="T967" s="42" t="n"/>
      <c r="U967" s="42" t="n"/>
      <c r="V967" s="42" t="n"/>
      <c r="W967" s="42" t="n"/>
      <c r="X967" s="42" t="n"/>
      <c r="Y967" s="42" t="n"/>
      <c r="Z967" s="42" t="n"/>
    </row>
    <row r="968" ht="15.75" customHeight="1">
      <c r="A968" s="42" t="n"/>
      <c r="B968" s="42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  <c r="P968" s="42" t="n"/>
      <c r="Q968" s="42" t="n"/>
      <c r="R968" s="42" t="n"/>
      <c r="S968" s="42" t="n"/>
      <c r="T968" s="42" t="n"/>
      <c r="U968" s="42" t="n"/>
      <c r="V968" s="42" t="n"/>
      <c r="W968" s="42" t="n"/>
      <c r="X968" s="42" t="n"/>
      <c r="Y968" s="42" t="n"/>
      <c r="Z968" s="42" t="n"/>
    </row>
    <row r="969" ht="15.75" customHeight="1">
      <c r="A969" s="42" t="n"/>
      <c r="B969" s="42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  <c r="P969" s="42" t="n"/>
      <c r="Q969" s="42" t="n"/>
      <c r="R969" s="42" t="n"/>
      <c r="S969" s="42" t="n"/>
      <c r="T969" s="42" t="n"/>
      <c r="U969" s="42" t="n"/>
      <c r="V969" s="42" t="n"/>
      <c r="W969" s="42" t="n"/>
      <c r="X969" s="42" t="n"/>
      <c r="Y969" s="42" t="n"/>
      <c r="Z969" s="42" t="n"/>
    </row>
    <row r="970" ht="15.75" customHeight="1">
      <c r="A970" s="42" t="n"/>
      <c r="B970" s="42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  <c r="P970" s="42" t="n"/>
      <c r="Q970" s="42" t="n"/>
      <c r="R970" s="42" t="n"/>
      <c r="S970" s="42" t="n"/>
      <c r="T970" s="42" t="n"/>
      <c r="U970" s="42" t="n"/>
      <c r="V970" s="42" t="n"/>
      <c r="W970" s="42" t="n"/>
      <c r="X970" s="42" t="n"/>
      <c r="Y970" s="42" t="n"/>
      <c r="Z970" s="42" t="n"/>
    </row>
    <row r="971" ht="15.75" customHeight="1">
      <c r="A971" s="42" t="n"/>
      <c r="B971" s="42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  <c r="P971" s="42" t="n"/>
      <c r="Q971" s="42" t="n"/>
      <c r="R971" s="42" t="n"/>
      <c r="S971" s="42" t="n"/>
      <c r="T971" s="42" t="n"/>
      <c r="U971" s="42" t="n"/>
      <c r="V971" s="42" t="n"/>
      <c r="W971" s="42" t="n"/>
      <c r="X971" s="42" t="n"/>
      <c r="Y971" s="42" t="n"/>
      <c r="Z971" s="42" t="n"/>
    </row>
    <row r="972" ht="15.75" customHeight="1">
      <c r="A972" s="42" t="n"/>
      <c r="B972" s="42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  <c r="P972" s="42" t="n"/>
      <c r="Q972" s="42" t="n"/>
      <c r="R972" s="42" t="n"/>
      <c r="S972" s="42" t="n"/>
      <c r="T972" s="42" t="n"/>
      <c r="U972" s="42" t="n"/>
      <c r="V972" s="42" t="n"/>
      <c r="W972" s="42" t="n"/>
      <c r="X972" s="42" t="n"/>
      <c r="Y972" s="42" t="n"/>
      <c r="Z972" s="42" t="n"/>
    </row>
    <row r="973" ht="15.75" customHeight="1">
      <c r="A973" s="42" t="n"/>
      <c r="B973" s="42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  <c r="P973" s="42" t="n"/>
      <c r="Q973" s="42" t="n"/>
      <c r="R973" s="42" t="n"/>
      <c r="S973" s="42" t="n"/>
      <c r="T973" s="42" t="n"/>
      <c r="U973" s="42" t="n"/>
      <c r="V973" s="42" t="n"/>
      <c r="W973" s="42" t="n"/>
      <c r="X973" s="42" t="n"/>
      <c r="Y973" s="42" t="n"/>
      <c r="Z973" s="42" t="n"/>
    </row>
    <row r="974" ht="15.75" customHeight="1">
      <c r="A974" s="42" t="n"/>
      <c r="B974" s="42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  <c r="P974" s="42" t="n"/>
      <c r="Q974" s="42" t="n"/>
      <c r="R974" s="42" t="n"/>
      <c r="S974" s="42" t="n"/>
      <c r="T974" s="42" t="n"/>
      <c r="U974" s="42" t="n"/>
      <c r="V974" s="42" t="n"/>
      <c r="W974" s="42" t="n"/>
      <c r="X974" s="42" t="n"/>
      <c r="Y974" s="42" t="n"/>
      <c r="Z974" s="42" t="n"/>
    </row>
    <row r="975" ht="15.75" customHeight="1">
      <c r="A975" s="42" t="n"/>
      <c r="B975" s="42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  <c r="P975" s="42" t="n"/>
      <c r="Q975" s="42" t="n"/>
      <c r="R975" s="42" t="n"/>
      <c r="S975" s="42" t="n"/>
      <c r="T975" s="42" t="n"/>
      <c r="U975" s="42" t="n"/>
      <c r="V975" s="42" t="n"/>
      <c r="W975" s="42" t="n"/>
      <c r="X975" s="42" t="n"/>
      <c r="Y975" s="42" t="n"/>
      <c r="Z975" s="42" t="n"/>
    </row>
    <row r="976" ht="15.75" customHeight="1">
      <c r="A976" s="42" t="n"/>
      <c r="B976" s="42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  <c r="P976" s="42" t="n"/>
      <c r="Q976" s="42" t="n"/>
      <c r="R976" s="42" t="n"/>
      <c r="S976" s="42" t="n"/>
      <c r="T976" s="42" t="n"/>
      <c r="U976" s="42" t="n"/>
      <c r="V976" s="42" t="n"/>
      <c r="W976" s="42" t="n"/>
      <c r="X976" s="42" t="n"/>
      <c r="Y976" s="42" t="n"/>
      <c r="Z976" s="42" t="n"/>
    </row>
    <row r="977" ht="15.75" customHeight="1">
      <c r="A977" s="42" t="n"/>
      <c r="B977" s="42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  <c r="P977" s="42" t="n"/>
      <c r="Q977" s="42" t="n"/>
      <c r="R977" s="42" t="n"/>
      <c r="S977" s="42" t="n"/>
      <c r="T977" s="42" t="n"/>
      <c r="U977" s="42" t="n"/>
      <c r="V977" s="42" t="n"/>
      <c r="W977" s="42" t="n"/>
      <c r="X977" s="42" t="n"/>
      <c r="Y977" s="42" t="n"/>
      <c r="Z977" s="42" t="n"/>
    </row>
    <row r="978" ht="15.75" customHeight="1">
      <c r="A978" s="42" t="n"/>
      <c r="B978" s="42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  <c r="P978" s="42" t="n"/>
      <c r="Q978" s="42" t="n"/>
      <c r="R978" s="42" t="n"/>
      <c r="S978" s="42" t="n"/>
      <c r="T978" s="42" t="n"/>
      <c r="U978" s="42" t="n"/>
      <c r="V978" s="42" t="n"/>
      <c r="W978" s="42" t="n"/>
      <c r="X978" s="42" t="n"/>
      <c r="Y978" s="42" t="n"/>
      <c r="Z978" s="42" t="n"/>
    </row>
    <row r="979" ht="15.75" customHeight="1">
      <c r="A979" s="42" t="n"/>
      <c r="B979" s="42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  <c r="P979" s="42" t="n"/>
      <c r="Q979" s="42" t="n"/>
      <c r="R979" s="42" t="n"/>
      <c r="S979" s="42" t="n"/>
      <c r="T979" s="42" t="n"/>
      <c r="U979" s="42" t="n"/>
      <c r="V979" s="42" t="n"/>
      <c r="W979" s="42" t="n"/>
      <c r="X979" s="42" t="n"/>
      <c r="Y979" s="42" t="n"/>
      <c r="Z979" s="42" t="n"/>
    </row>
    <row r="980" ht="15.75" customHeight="1">
      <c r="A980" s="42" t="n"/>
      <c r="B980" s="42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  <c r="P980" s="42" t="n"/>
      <c r="Q980" s="42" t="n"/>
      <c r="R980" s="42" t="n"/>
      <c r="S980" s="42" t="n"/>
      <c r="T980" s="42" t="n"/>
      <c r="U980" s="42" t="n"/>
      <c r="V980" s="42" t="n"/>
      <c r="W980" s="42" t="n"/>
      <c r="X980" s="42" t="n"/>
      <c r="Y980" s="42" t="n"/>
      <c r="Z980" s="42" t="n"/>
    </row>
    <row r="981" ht="15.75" customHeight="1">
      <c r="A981" s="42" t="n"/>
      <c r="B981" s="42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  <c r="P981" s="42" t="n"/>
      <c r="Q981" s="42" t="n"/>
      <c r="R981" s="42" t="n"/>
      <c r="S981" s="42" t="n"/>
      <c r="T981" s="42" t="n"/>
      <c r="U981" s="42" t="n"/>
      <c r="V981" s="42" t="n"/>
      <c r="W981" s="42" t="n"/>
      <c r="X981" s="42" t="n"/>
      <c r="Y981" s="42" t="n"/>
      <c r="Z981" s="42" t="n"/>
    </row>
    <row r="982" ht="15.75" customHeight="1">
      <c r="A982" s="42" t="n"/>
      <c r="B982" s="42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  <c r="P982" s="42" t="n"/>
      <c r="Q982" s="42" t="n"/>
      <c r="R982" s="42" t="n"/>
      <c r="S982" s="42" t="n"/>
      <c r="T982" s="42" t="n"/>
      <c r="U982" s="42" t="n"/>
      <c r="V982" s="42" t="n"/>
      <c r="W982" s="42" t="n"/>
      <c r="X982" s="42" t="n"/>
      <c r="Y982" s="42" t="n"/>
      <c r="Z982" s="42" t="n"/>
    </row>
    <row r="983" ht="15.75" customHeight="1">
      <c r="A983" s="42" t="n"/>
      <c r="B983" s="42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  <c r="P983" s="42" t="n"/>
      <c r="Q983" s="42" t="n"/>
      <c r="R983" s="42" t="n"/>
      <c r="S983" s="42" t="n"/>
      <c r="T983" s="42" t="n"/>
      <c r="U983" s="42" t="n"/>
      <c r="V983" s="42" t="n"/>
      <c r="W983" s="42" t="n"/>
      <c r="X983" s="42" t="n"/>
      <c r="Y983" s="42" t="n"/>
      <c r="Z983" s="42" t="n"/>
    </row>
    <row r="984" ht="15.75" customHeight="1">
      <c r="A984" s="42" t="n"/>
      <c r="B984" s="42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  <c r="P984" s="42" t="n"/>
      <c r="Q984" s="42" t="n"/>
      <c r="R984" s="42" t="n"/>
      <c r="S984" s="42" t="n"/>
      <c r="T984" s="42" t="n"/>
      <c r="U984" s="42" t="n"/>
      <c r="V984" s="42" t="n"/>
      <c r="W984" s="42" t="n"/>
      <c r="X984" s="42" t="n"/>
      <c r="Y984" s="42" t="n"/>
      <c r="Z984" s="42" t="n"/>
    </row>
    <row r="985" ht="15.75" customHeight="1">
      <c r="A985" s="42" t="n"/>
      <c r="B985" s="42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  <c r="P985" s="42" t="n"/>
      <c r="Q985" s="42" t="n"/>
      <c r="R985" s="42" t="n"/>
      <c r="S985" s="42" t="n"/>
      <c r="T985" s="42" t="n"/>
      <c r="U985" s="42" t="n"/>
      <c r="V985" s="42" t="n"/>
      <c r="W985" s="42" t="n"/>
      <c r="X985" s="42" t="n"/>
      <c r="Y985" s="42" t="n"/>
      <c r="Z985" s="42" t="n"/>
    </row>
    <row r="986" ht="15.75" customHeight="1">
      <c r="A986" s="42" t="n"/>
      <c r="B986" s="42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  <c r="P986" s="42" t="n"/>
      <c r="Q986" s="42" t="n"/>
      <c r="R986" s="42" t="n"/>
      <c r="S986" s="42" t="n"/>
      <c r="T986" s="42" t="n"/>
      <c r="U986" s="42" t="n"/>
      <c r="V986" s="42" t="n"/>
      <c r="W986" s="42" t="n"/>
      <c r="X986" s="42" t="n"/>
      <c r="Y986" s="42" t="n"/>
      <c r="Z986" s="42" t="n"/>
    </row>
    <row r="987" ht="15.75" customHeight="1">
      <c r="A987" s="42" t="n"/>
      <c r="B987" s="42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  <c r="P987" s="42" t="n"/>
      <c r="Q987" s="42" t="n"/>
      <c r="R987" s="42" t="n"/>
      <c r="S987" s="42" t="n"/>
      <c r="T987" s="42" t="n"/>
      <c r="U987" s="42" t="n"/>
      <c r="V987" s="42" t="n"/>
      <c r="W987" s="42" t="n"/>
      <c r="X987" s="42" t="n"/>
      <c r="Y987" s="42" t="n"/>
      <c r="Z987" s="42" t="n"/>
    </row>
    <row r="988" ht="15.75" customHeight="1">
      <c r="A988" s="42" t="n"/>
      <c r="B988" s="42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  <c r="P988" s="42" t="n"/>
      <c r="Q988" s="42" t="n"/>
      <c r="R988" s="42" t="n"/>
      <c r="S988" s="42" t="n"/>
      <c r="T988" s="42" t="n"/>
      <c r="U988" s="42" t="n"/>
      <c r="V988" s="42" t="n"/>
      <c r="W988" s="42" t="n"/>
      <c r="X988" s="42" t="n"/>
      <c r="Y988" s="42" t="n"/>
      <c r="Z988" s="42" t="n"/>
    </row>
    <row r="989" ht="15.75" customHeight="1">
      <c r="A989" s="42" t="n"/>
      <c r="B989" s="42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  <c r="P989" s="42" t="n"/>
      <c r="Q989" s="42" t="n"/>
      <c r="R989" s="42" t="n"/>
      <c r="S989" s="42" t="n"/>
      <c r="T989" s="42" t="n"/>
      <c r="U989" s="42" t="n"/>
      <c r="V989" s="42" t="n"/>
      <c r="W989" s="42" t="n"/>
      <c r="X989" s="42" t="n"/>
      <c r="Y989" s="42" t="n"/>
      <c r="Z989" s="42" t="n"/>
    </row>
    <row r="990" ht="15.75" customHeight="1">
      <c r="A990" s="42" t="n"/>
      <c r="B990" s="42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  <c r="P990" s="42" t="n"/>
      <c r="Q990" s="42" t="n"/>
      <c r="R990" s="42" t="n"/>
      <c r="S990" s="42" t="n"/>
      <c r="T990" s="42" t="n"/>
      <c r="U990" s="42" t="n"/>
      <c r="V990" s="42" t="n"/>
      <c r="W990" s="42" t="n"/>
      <c r="X990" s="42" t="n"/>
      <c r="Y990" s="42" t="n"/>
      <c r="Z990" s="42" t="n"/>
    </row>
    <row r="991" ht="15.75" customHeight="1">
      <c r="A991" s="42" t="n"/>
      <c r="B991" s="42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  <c r="P991" s="42" t="n"/>
      <c r="Q991" s="42" t="n"/>
      <c r="R991" s="42" t="n"/>
      <c r="S991" s="42" t="n"/>
      <c r="T991" s="42" t="n"/>
      <c r="U991" s="42" t="n"/>
      <c r="V991" s="42" t="n"/>
      <c r="W991" s="42" t="n"/>
      <c r="X991" s="42" t="n"/>
      <c r="Y991" s="42" t="n"/>
      <c r="Z991" s="42" t="n"/>
    </row>
    <row r="992" ht="15.75" customHeight="1">
      <c r="A992" s="42" t="n"/>
      <c r="B992" s="42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  <c r="P992" s="42" t="n"/>
      <c r="Q992" s="42" t="n"/>
      <c r="R992" s="42" t="n"/>
      <c r="S992" s="42" t="n"/>
      <c r="T992" s="42" t="n"/>
      <c r="U992" s="42" t="n"/>
      <c r="V992" s="42" t="n"/>
      <c r="W992" s="42" t="n"/>
      <c r="X992" s="42" t="n"/>
      <c r="Y992" s="42" t="n"/>
      <c r="Z992" s="42" t="n"/>
    </row>
    <row r="993" ht="15.75" customHeight="1">
      <c r="A993" s="42" t="n"/>
      <c r="B993" s="42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  <c r="P993" s="42" t="n"/>
      <c r="Q993" s="42" t="n"/>
      <c r="R993" s="42" t="n"/>
      <c r="S993" s="42" t="n"/>
      <c r="T993" s="42" t="n"/>
      <c r="U993" s="42" t="n"/>
      <c r="V993" s="42" t="n"/>
      <c r="W993" s="42" t="n"/>
      <c r="X993" s="42" t="n"/>
      <c r="Y993" s="42" t="n"/>
      <c r="Z993" s="42" t="n"/>
    </row>
    <row r="994" ht="15.75" customHeight="1">
      <c r="A994" s="42" t="n"/>
      <c r="B994" s="42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  <c r="P994" s="42" t="n"/>
      <c r="Q994" s="42" t="n"/>
      <c r="R994" s="42" t="n"/>
      <c r="S994" s="42" t="n"/>
      <c r="T994" s="42" t="n"/>
      <c r="U994" s="42" t="n"/>
      <c r="V994" s="42" t="n"/>
      <c r="W994" s="42" t="n"/>
      <c r="X994" s="42" t="n"/>
      <c r="Y994" s="42" t="n"/>
      <c r="Z994" s="42" t="n"/>
    </row>
    <row r="995" ht="15.75" customHeight="1">
      <c r="A995" s="42" t="n"/>
      <c r="B995" s="42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  <c r="P995" s="42" t="n"/>
      <c r="Q995" s="42" t="n"/>
      <c r="R995" s="42" t="n"/>
      <c r="S995" s="42" t="n"/>
      <c r="T995" s="42" t="n"/>
      <c r="U995" s="42" t="n"/>
      <c r="V995" s="42" t="n"/>
      <c r="W995" s="42" t="n"/>
      <c r="X995" s="42" t="n"/>
      <c r="Y995" s="42" t="n"/>
      <c r="Z995" s="42" t="n"/>
    </row>
    <row r="996" ht="15.75" customHeight="1">
      <c r="A996" s="42" t="n"/>
      <c r="B996" s="42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  <c r="P996" s="42" t="n"/>
      <c r="Q996" s="42" t="n"/>
      <c r="R996" s="42" t="n"/>
      <c r="S996" s="42" t="n"/>
      <c r="T996" s="42" t="n"/>
      <c r="U996" s="42" t="n"/>
      <c r="V996" s="42" t="n"/>
      <c r="W996" s="42" t="n"/>
      <c r="X996" s="42" t="n"/>
      <c r="Y996" s="42" t="n"/>
      <c r="Z996" s="42" t="n"/>
    </row>
    <row r="997" ht="15.75" customHeight="1">
      <c r="A997" s="42" t="n"/>
      <c r="B997" s="42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  <c r="P997" s="42" t="n"/>
      <c r="Q997" s="42" t="n"/>
      <c r="R997" s="42" t="n"/>
      <c r="S997" s="42" t="n"/>
      <c r="T997" s="42" t="n"/>
      <c r="U997" s="42" t="n"/>
      <c r="V997" s="42" t="n"/>
      <c r="W997" s="42" t="n"/>
      <c r="X997" s="42" t="n"/>
      <c r="Y997" s="42" t="n"/>
      <c r="Z997" s="42" t="n"/>
    </row>
    <row r="998" ht="15.75" customHeight="1">
      <c r="A998" s="42" t="n"/>
      <c r="B998" s="42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  <c r="P998" s="42" t="n"/>
      <c r="Q998" s="42" t="n"/>
      <c r="R998" s="42" t="n"/>
      <c r="S998" s="42" t="n"/>
      <c r="T998" s="42" t="n"/>
      <c r="U998" s="42" t="n"/>
      <c r="V998" s="42" t="n"/>
      <c r="W998" s="42" t="n"/>
      <c r="X998" s="42" t="n"/>
      <c r="Y998" s="42" t="n"/>
      <c r="Z998" s="42" t="n"/>
    </row>
    <row r="999" ht="15.75" customHeight="1">
      <c r="A999" s="42" t="n"/>
      <c r="B999" s="42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  <c r="P999" s="42" t="n"/>
      <c r="Q999" s="42" t="n"/>
      <c r="R999" s="42" t="n"/>
      <c r="S999" s="42" t="n"/>
      <c r="T999" s="42" t="n"/>
      <c r="U999" s="42" t="n"/>
      <c r="V999" s="42" t="n"/>
      <c r="W999" s="42" t="n"/>
      <c r="X999" s="42" t="n"/>
      <c r="Y999" s="42" t="n"/>
      <c r="Z999" s="42" t="n"/>
    </row>
    <row r="1000" ht="15.75" customHeight="1">
      <c r="A1000" s="42" t="n"/>
      <c r="B1000" s="42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  <c r="P1000" s="42" t="n"/>
      <c r="Q1000" s="42" t="n"/>
      <c r="R1000" s="42" t="n"/>
      <c r="S1000" s="42" t="n"/>
      <c r="T1000" s="42" t="n"/>
      <c r="U1000" s="42" t="n"/>
      <c r="V1000" s="42" t="n"/>
      <c r="W1000" s="42" t="n"/>
      <c r="X1000" s="42" t="n"/>
      <c r="Y1000" s="42" t="n"/>
      <c r="Z1000" s="42" t="n"/>
    </row>
  </sheetData>
  <conditionalFormatting sqref="B6">
    <cfRule type="cellIs" priority="2" operator="greaterThanOrEqual" dxfId="0">
      <formula>1</formula>
    </cfRule>
  </conditionalFormatting>
  <conditionalFormatting sqref="B4:E4">
    <cfRule type="cellIs" priority="3" operator="greaterThanOrEqual" dxfId="0">
      <formula>1</formula>
    </cfRule>
  </conditionalFormatting>
  <conditionalFormatting sqref="B8">
    <cfRule type="cellIs" priority="1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2026-08-21T13:08:27Z</dcterms:created>
  <dcterms:modified xsi:type="dcterms:W3CDTF">2026-09-23T04:15:31Z</dcterms:modified>
  <cp:lastModifiedBy>Anh Thai</cp:lastModifiedBy>
</cp:coreProperties>
</file>
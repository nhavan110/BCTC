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(* #,##0_);_(* \(#,##0\);_(* &quot;-&quot;??_);_(@_)"/>
    <numFmt numFmtId="166" formatCode="0.0%"/>
  </numFmts>
  <fonts count="16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0" fontId="6" fillId="3" borderId="3" pivotButton="0" quotePrefix="0" xfId="0"/>
    <xf numFmtId="10" fontId="7" fillId="4" borderId="3" pivotButton="0" quotePrefix="0" xfId="0"/>
    <xf numFmtId="9" fontId="7" fillId="4" borderId="3" pivotButton="0" quotePrefix="0" xfId="0"/>
    <xf numFmtId="9" fontId="7" fillId="5" borderId="3" pivotButton="0" quotePrefix="0" xfId="0"/>
    <xf numFmtId="0" fontId="8" fillId="3" borderId="3" pivotButton="0" quotePrefix="0" xfId="0"/>
    <xf numFmtId="10" fontId="7" fillId="3" borderId="3" pivotButton="0" quotePrefix="0" xfId="0"/>
    <xf numFmtId="0" fontId="4" fillId="6" borderId="3" pivotButton="0" quotePrefix="0" xfId="0"/>
    <xf numFmtId="0" fontId="7" fillId="6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3" fontId="4" fillId="0" borderId="3" applyAlignment="1" pivotButton="0" quotePrefix="0" xfId="0">
      <alignment horizontal="center"/>
    </xf>
    <xf numFmtId="3" fontId="7" fillId="0" borderId="0" pivotButton="0" quotePrefix="0" xfId="0"/>
    <xf numFmtId="0" fontId="5" fillId="0" borderId="3" pivotButton="0" quotePrefix="0" xfId="0"/>
    <xf numFmtId="3" fontId="9" fillId="0" borderId="3" pivotButton="0" quotePrefix="0" xfId="0"/>
    <xf numFmtId="3" fontId="10" fillId="0" borderId="3" pivotButton="0" quotePrefix="0" xfId="0"/>
    <xf numFmtId="0" fontId="11" fillId="0" borderId="3" pivotButton="0" quotePrefix="0" xfId="0"/>
    <xf numFmtId="3" fontId="12" fillId="0" borderId="3" pivotButton="0" quotePrefix="0" xfId="0"/>
    <xf numFmtId="3" fontId="11" fillId="0" borderId="0" pivotButton="0" quotePrefix="0" xfId="0"/>
    <xf numFmtId="0" fontId="4" fillId="0" borderId="0" pivotButton="0" quotePrefix="0" xfId="0"/>
    <xf numFmtId="3" fontId="9" fillId="0" borderId="0" pivotButton="0" quotePrefix="0" xfId="0"/>
    <xf numFmtId="3" fontId="13" fillId="0" borderId="3" pivotButton="0" quotePrefix="0" xfId="0"/>
    <xf numFmtId="0" fontId="14" fillId="0" borderId="3" pivotButton="0" quotePrefix="0" xfId="0"/>
    <xf numFmtId="9" fontId="14" fillId="0" borderId="3" pivotButton="0" quotePrefix="0" xfId="0"/>
    <xf numFmtId="3" fontId="15" fillId="0" borderId="0" pivotButton="0" quotePrefix="0" xfId="0"/>
    <xf numFmtId="0" fontId="7" fillId="0" borderId="3" pivotButton="0" quotePrefix="0" xfId="0"/>
    <xf numFmtId="3" fontId="7" fillId="0" borderId="3" pivotButton="0" quotePrefix="0" xfId="0"/>
    <xf numFmtId="165" fontId="7" fillId="0" borderId="0" pivotButton="0" quotePrefix="0" xfId="0"/>
    <xf numFmtId="9" fontId="7" fillId="0" borderId="0" pivotButton="0" quotePrefix="0" xfId="0"/>
    <xf numFmtId="3" fontId="11" fillId="0" borderId="3" pivotButton="0" quotePrefix="0" xfId="0"/>
    <xf numFmtId="0" fontId="11" fillId="0" borderId="0" pivotButton="0" quotePrefix="0" xfId="0"/>
    <xf numFmtId="43" fontId="11" fillId="0" borderId="0" pivotButton="0" quotePrefix="0" xfId="0"/>
    <xf numFmtId="2" fontId="11" fillId="0" borderId="3" pivotButton="0" quotePrefix="0" xfId="0"/>
    <xf numFmtId="166" fontId="11" fillId="0" borderId="0" pivotButton="0" quotePrefix="0" xfId="0"/>
    <xf numFmtId="0" fontId="6" fillId="0" borderId="3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3" fontId="6" fillId="0" borderId="3" applyAlignment="1" pivotButton="0" quotePrefix="0" xfId="0">
      <alignment wrapText="1"/>
    </xf>
    <xf numFmtId="9" fontId="6" fillId="0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70AD47"/>
          <b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  <col width="21" customWidth="1" min="10" max="10"/>
    <col width="21" customWidth="1" min="11" max="11"/>
    <col width="21" customWidth="1" min="12" max="12"/>
    <col width="23" customWidth="1" min="13" max="13"/>
    <col width="23" customWidth="1" min="14" max="14"/>
    <col width="23" customWidth="1" min="15" max="15"/>
    <col width="23" customWidth="1" min="16" max="16"/>
    <col width="23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  <c r="J2" s="4" t="n">
        <v>3608503000000</v>
      </c>
      <c r="K2" s="4" t="n">
        <v>3384770000000</v>
      </c>
      <c r="L2" s="4" t="n">
        <v>3789947000000</v>
      </c>
      <c r="M2" s="4" t="n">
        <v>3666435000000</v>
      </c>
      <c r="N2" s="4" t="n">
        <v>4045689000000</v>
      </c>
      <c r="O2" s="4" t="n">
        <v>4360821000000</v>
      </c>
      <c r="P2" s="4" t="n">
        <v>5467700000000</v>
      </c>
      <c r="Q2" s="4" t="n">
        <v>3909425000000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  <c r="J3" s="4" t="n">
        <v>12752316000000</v>
      </c>
      <c r="K3" s="4" t="n">
        <v>12466885000000</v>
      </c>
      <c r="L3" s="4" t="n">
        <v>12119671000000</v>
      </c>
      <c r="M3" s="4" t="n">
        <v>12192892000000</v>
      </c>
      <c r="N3" s="4" t="n">
        <v>12043529000000</v>
      </c>
      <c r="O3" s="4" t="n">
        <v>12122934000000</v>
      </c>
      <c r="P3" s="4" t="n">
        <v>11585812000000</v>
      </c>
      <c r="Q3" s="4" t="n">
        <v>12324755000000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  <c r="J4" s="4" t="n">
        <v>6974513000000</v>
      </c>
      <c r="K4" s="4" t="n">
        <v>6576699000000</v>
      </c>
      <c r="L4" s="4" t="n">
        <v>6429947000000</v>
      </c>
      <c r="M4" s="4" t="n">
        <v>6274097000000</v>
      </c>
      <c r="N4" s="4" t="n">
        <v>6099861000000</v>
      </c>
      <c r="O4" s="4" t="n">
        <v>6343732000000</v>
      </c>
      <c r="P4" s="4" t="n">
        <v>6118592000000</v>
      </c>
      <c r="Q4" s="4" t="n">
        <v>6185743000000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  <c r="J5" s="4" t="n">
        <v>9348348000000</v>
      </c>
      <c r="K5" s="4" t="n">
        <v>9080615000000</v>
      </c>
      <c r="L5" s="4" t="n">
        <v>9111677000000</v>
      </c>
      <c r="M5" s="4" t="n">
        <v>9113536000000</v>
      </c>
      <c r="N5" s="4" t="n">
        <v>9119430000000</v>
      </c>
      <c r="O5" s="4" t="n">
        <v>9539276000000</v>
      </c>
      <c r="P5" s="4" t="n">
        <v>9480052000000</v>
      </c>
      <c r="Q5" s="4" t="n">
        <v>9702967000000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  <c r="J6" s="4" t="n">
        <v>-2373835000000</v>
      </c>
      <c r="K6" s="4" t="n">
        <v>-2503916000000</v>
      </c>
      <c r="L6" s="4" t="n">
        <v>-2681730000000</v>
      </c>
      <c r="M6" s="4" t="n">
        <v>-2839439000000</v>
      </c>
      <c r="N6" s="4" t="n">
        <v>-3019569000000</v>
      </c>
      <c r="O6" s="4" t="n">
        <v>-3195544000000</v>
      </c>
      <c r="P6" s="4" t="n">
        <v>-3361460000000</v>
      </c>
      <c r="Q6" s="4" t="n">
        <v>-3517224000000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  <c r="J10" s="4" t="n">
        <v>5777803000000</v>
      </c>
      <c r="K10" s="4" t="n">
        <v>5890186000000</v>
      </c>
      <c r="L10" s="4" t="n">
        <v>5689724000000</v>
      </c>
      <c r="M10" s="4" t="n">
        <v>5918795000000</v>
      </c>
      <c r="N10" s="4" t="n">
        <v>5943668000000</v>
      </c>
      <c r="O10" s="4" t="n">
        <v>5779202000000</v>
      </c>
      <c r="P10" s="4" t="n">
        <v>5467220000000</v>
      </c>
      <c r="Q10" s="4" t="n">
        <v>6139012000000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  <c r="J11" s="4" t="n">
        <v>8160074000000</v>
      </c>
      <c r="K11" s="4" t="n">
        <v>8485022000000</v>
      </c>
      <c r="L11" s="4" t="n">
        <v>8523990000000</v>
      </c>
      <c r="M11" s="4" t="n">
        <v>9038035000000</v>
      </c>
      <c r="N11" s="4" t="n">
        <v>9378229000000</v>
      </c>
      <c r="O11" s="4" t="n">
        <v>9535997000000</v>
      </c>
      <c r="P11" s="4" t="n">
        <v>9535734000000</v>
      </c>
      <c r="Q11" s="4" t="n">
        <v>10546242000000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  <c r="J12" s="4" t="n">
        <v>-2382271000000</v>
      </c>
      <c r="K12" s="4" t="n">
        <v>-2594836000000</v>
      </c>
      <c r="L12" s="4" t="n">
        <v>-2834266000000</v>
      </c>
      <c r="M12" s="4" t="n">
        <v>-3119240000000</v>
      </c>
      <c r="N12" s="4" t="n">
        <v>-3434561000000</v>
      </c>
      <c r="O12" s="4" t="n">
        <v>-3756795000000</v>
      </c>
      <c r="P12" s="4" t="n">
        <v>-4068514000000</v>
      </c>
      <c r="Q12" s="4" t="n">
        <v>-4407230000000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  <c r="J16" s="4" t="n">
        <v>3047523000000</v>
      </c>
      <c r="K16" s="4" t="n">
        <v>3102523000000</v>
      </c>
      <c r="L16" s="4" t="n">
        <v>3102523000000</v>
      </c>
      <c r="M16" s="4" t="n">
        <v>3057806000000</v>
      </c>
      <c r="N16" s="4" t="n">
        <v>3090646000000</v>
      </c>
      <c r="O16" s="4" t="n">
        <v>3246622000000</v>
      </c>
      <c r="P16" s="4" t="n">
        <v>3244347000000</v>
      </c>
      <c r="Q16" s="4" t="n">
        <v>3076756000000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32840000000</v>
      </c>
      <c r="O18" s="4" t="n">
        <v>32263000000</v>
      </c>
      <c r="P18" s="4" t="n">
        <v>29988000000</v>
      </c>
      <c r="Q18" s="4" t="n">
        <v>27397000000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  <c r="J19" s="4" t="n">
        <v>3048672000000</v>
      </c>
      <c r="K19" s="4" t="n">
        <v>3103672000000</v>
      </c>
      <c r="L19" s="4" t="n">
        <v>3103672000000</v>
      </c>
      <c r="M19" s="4" t="n">
        <v>3058955000000</v>
      </c>
      <c r="N19" s="4" t="n">
        <v>3058955000000</v>
      </c>
      <c r="O19" s="4" t="n">
        <v>3215508000000</v>
      </c>
      <c r="P19" s="4" t="n">
        <v>3215508000000</v>
      </c>
      <c r="Q19" s="4" t="n">
        <v>3050508000000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  <c r="J20" s="4" t="n">
        <v>-1149000000</v>
      </c>
      <c r="K20" s="4" t="n">
        <v>-1149000000</v>
      </c>
      <c r="L20" s="4" t="n">
        <v>-1149000000</v>
      </c>
      <c r="M20" s="4" t="n">
        <v>-1149000000</v>
      </c>
      <c r="N20" s="4" t="n">
        <v>-1149000000</v>
      </c>
      <c r="O20" s="4" t="n">
        <v>-1149000000</v>
      </c>
      <c r="P20" s="4" t="n">
        <v>-1149000000</v>
      </c>
      <c r="Q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  <c r="J21" s="4" t="n">
        <v>927053345000000</v>
      </c>
      <c r="K21" s="4" t="n">
        <v>978798549000000</v>
      </c>
      <c r="L21" s="4" t="n">
        <v>989215993000000</v>
      </c>
      <c r="M21" s="4" t="n">
        <v>1037645395000000</v>
      </c>
      <c r="N21" s="4" t="n">
        <v>1129570458000000</v>
      </c>
      <c r="O21" s="4" t="n">
        <v>1192344137000000</v>
      </c>
      <c r="P21" s="4" t="n">
        <v>1190453754000000</v>
      </c>
      <c r="Q21" s="4" t="n">
        <v>1273076923000000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  <c r="J22" s="4" t="n">
        <v>782685363000000</v>
      </c>
      <c r="K22" s="4" t="n">
        <v>830858928000000</v>
      </c>
      <c r="L22" s="4" t="n">
        <v>835263328000000</v>
      </c>
      <c r="M22" s="4" t="n">
        <v>875818166000000</v>
      </c>
      <c r="N22" s="4" t="n">
        <v>950139865000000</v>
      </c>
      <c r="O22" s="4" t="n">
        <v>1012842695000000</v>
      </c>
      <c r="P22" s="4" t="n">
        <v>1003770981000000</v>
      </c>
      <c r="Q22" s="4" t="n">
        <v>1084079773000000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  <c r="J23" s="4" t="n">
        <v>144367982000000</v>
      </c>
      <c r="K23" s="4" t="n">
        <v>147939621000000</v>
      </c>
      <c r="L23" s="4" t="n">
        <v>153952665000000</v>
      </c>
      <c r="M23" s="4" t="n">
        <v>161827229000000</v>
      </c>
      <c r="N23" s="4" t="n">
        <v>179430593000000</v>
      </c>
      <c r="O23" s="4" t="n">
        <v>179501442000000</v>
      </c>
      <c r="P23" s="4" t="n">
        <v>186682773000000</v>
      </c>
      <c r="Q23" s="4" t="n">
        <v>188997150000000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  <c r="J24" s="4" t="n">
        <v>70450216000000</v>
      </c>
      <c r="K24" s="4" t="n">
        <v>70648517000000</v>
      </c>
      <c r="L24" s="4" t="n">
        <v>70648517000000</v>
      </c>
      <c r="M24" s="4" t="n">
        <v>70648517000000</v>
      </c>
      <c r="N24" s="4" t="n">
        <v>70648517000000</v>
      </c>
      <c r="O24" s="4" t="n">
        <v>70862404000000</v>
      </c>
      <c r="P24" s="4" t="n">
        <v>70862404000000</v>
      </c>
      <c r="Q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  <c r="J25" s="4" t="n">
        <v>0</v>
      </c>
      <c r="K25" s="4" t="n">
        <v>-59000000</v>
      </c>
      <c r="L25" s="4" t="n">
        <v>-59000000</v>
      </c>
      <c r="M25" s="4" t="n">
        <v>-59000000</v>
      </c>
      <c r="N25" s="4" t="n">
        <v>-59000000</v>
      </c>
      <c r="O25" s="4" t="n">
        <v>-124000000</v>
      </c>
      <c r="P25" s="4" t="n">
        <v>-124000000</v>
      </c>
      <c r="Q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  <c r="J26" s="4" t="n">
        <v>555997000000</v>
      </c>
      <c r="K26" s="4" t="n">
        <v>7764086000000</v>
      </c>
      <c r="L26" s="4" t="n">
        <v>7764086000000</v>
      </c>
      <c r="M26" s="4" t="n">
        <v>7764086000000</v>
      </c>
      <c r="N26" s="4" t="n">
        <v>7764086000000</v>
      </c>
      <c r="O26" s="4" t="n">
        <v>7764086000000</v>
      </c>
      <c r="P26" s="4" t="n">
        <v>7946512000000</v>
      </c>
      <c r="Q26" s="4" t="n">
        <v>11462015000000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10494000000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  <c r="J30" s="4" t="n">
        <v>51068780000000</v>
      </c>
      <c r="K30" s="4" t="n">
        <v>42219306000000</v>
      </c>
      <c r="L30" s="4" t="n">
        <v>48167266000000</v>
      </c>
      <c r="M30" s="4" t="n">
        <v>54414630000000</v>
      </c>
      <c r="N30" s="4" t="n">
        <v>60833974000000</v>
      </c>
      <c r="O30" s="4" t="n">
        <v>62773576000000</v>
      </c>
      <c r="P30" s="4" t="n">
        <v>69435141000000</v>
      </c>
      <c r="Q30" s="4" t="n">
        <v>68178258000000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  <c r="J32" s="4" t="n">
        <v>927053345000000</v>
      </c>
      <c r="K32" s="4" t="n">
        <v>978798549000000</v>
      </c>
      <c r="L32" s="4" t="n">
        <v>989215993000000</v>
      </c>
      <c r="M32" s="4" t="n">
        <v>1037645395000000</v>
      </c>
      <c r="N32" s="4" t="n">
        <v>1129570458000000</v>
      </c>
      <c r="O32" s="4" t="n">
        <v>1192344137000000</v>
      </c>
      <c r="P32" s="4" t="n">
        <v>1190453754000000</v>
      </c>
      <c r="Q32" s="4" t="n">
        <v>1273076923000000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  <c r="J33" s="4" t="n">
        <v>40614749000000</v>
      </c>
      <c r="K33" s="4" t="n">
        <v>54353153000000</v>
      </c>
      <c r="L33" s="4" t="n">
        <v>62698992000000</v>
      </c>
      <c r="M33" s="4" t="n">
        <v>48485657000000</v>
      </c>
      <c r="N33" s="4" t="n">
        <v>77586460000000</v>
      </c>
      <c r="O33" s="4" t="n">
        <v>82162772000000</v>
      </c>
      <c r="P33" s="4" t="n">
        <v>93007358000000</v>
      </c>
      <c r="Q33" s="4" t="n">
        <v>95127975000000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  <c r="J34" s="4" t="n">
        <v>90014293000000</v>
      </c>
      <c r="K34" s="4" t="n">
        <v>84590474000000</v>
      </c>
      <c r="L34" s="4" t="n">
        <v>81883430000000</v>
      </c>
      <c r="M34" s="4" t="n">
        <v>80845693000000</v>
      </c>
      <c r="N34" s="4" t="n">
        <v>92999089000000</v>
      </c>
      <c r="O34" s="4" t="n">
        <v>114958312000000</v>
      </c>
      <c r="P34" s="4" t="n">
        <v>87777341000000</v>
      </c>
      <c r="Q34" s="4" t="n">
        <v>85416520000000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  <c r="J35" s="4" t="n">
        <v>4524314000000</v>
      </c>
      <c r="K35" s="4" t="n">
        <v>9000895000000</v>
      </c>
      <c r="L35" s="4" t="n">
        <v>2280761000000</v>
      </c>
      <c r="M35" s="4" t="n">
        <v>4139215000000</v>
      </c>
      <c r="N35" s="4" t="n">
        <v>3107429000000</v>
      </c>
      <c r="O35" s="4" t="n">
        <v>4816831000000</v>
      </c>
      <c r="P35" s="4" t="n">
        <v>462958000000</v>
      </c>
      <c r="Q35" s="4" t="n">
        <v>348048000000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  <c r="J36" s="4" t="inlineStr"/>
      <c r="K36" s="4" t="inlineStr"/>
      <c r="L36" s="4" t="inlineStr"/>
      <c r="M36" s="4" t="inlineStr"/>
      <c r="N36" s="4" t="inlineStr"/>
      <c r="O36" s="4" t="inlineStr"/>
      <c r="P36" s="4" t="inlineStr"/>
      <c r="Q36" s="4" t="inlineStr"/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  <c r="J37" s="4" t="n">
        <v>0</v>
      </c>
      <c r="K37" s="4" t="n">
        <v>-251000000</v>
      </c>
      <c r="L37" s="4" t="n">
        <v>-378000000</v>
      </c>
      <c r="M37" s="4" t="n">
        <v>-821000000</v>
      </c>
      <c r="N37" s="4" t="n">
        <v>-281000000</v>
      </c>
      <c r="O37" s="4" t="n">
        <v>-1054000000</v>
      </c>
      <c r="P37" s="4" t="n">
        <v>-747000000</v>
      </c>
      <c r="Q37" s="4" t="n">
        <v>-5268000000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  <c r="J38" s="4" t="n">
        <v>269237000000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  <c r="J39" s="4" t="n">
        <v>626290777000000</v>
      </c>
      <c r="K39" s="4" t="n">
        <v>631724964000000</v>
      </c>
      <c r="L39" s="4" t="n">
        <v>663692866000000</v>
      </c>
      <c r="M39" s="4" t="n">
        <v>710313010000000</v>
      </c>
      <c r="N39" s="4" t="n">
        <v>766709929000000</v>
      </c>
      <c r="O39" s="4" t="n">
        <v>767617129000000</v>
      </c>
      <c r="P39" s="4" t="n">
        <v>796863951000000</v>
      </c>
      <c r="Q39" s="4" t="n">
        <v>847335568000000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  <c r="J40" s="4" t="inlineStr"/>
      <c r="K40" s="4" t="inlineStr"/>
      <c r="L40" s="4" t="inlineStr"/>
      <c r="M40" s="4" t="inlineStr"/>
      <c r="N40" s="4" t="inlineStr"/>
      <c r="O40" s="4" t="inlineStr"/>
      <c r="P40" s="4" t="inlineStr"/>
      <c r="Q40" s="4" t="inlineStr"/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  <c r="J41" s="4" t="n">
        <v>-8366207000000</v>
      </c>
      <c r="K41" s="4" t="n">
        <v>-8090693000000</v>
      </c>
      <c r="L41" s="4" t="n">
        <v>-8685658000000</v>
      </c>
      <c r="M41" s="4" t="n">
        <v>-9511084000000</v>
      </c>
      <c r="N41" s="4" t="n">
        <v>-10631926000000</v>
      </c>
      <c r="O41" s="4" t="n">
        <v>-10498378000000</v>
      </c>
      <c r="P41" s="4" t="n">
        <v>-11251421000000</v>
      </c>
      <c r="Q41" s="4" t="n">
        <v>-11522285000000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  <c r="J42" s="4" t="n">
        <v>102135236000000</v>
      </c>
      <c r="K42" s="4" t="n">
        <v>148623636000000</v>
      </c>
      <c r="L42" s="4" t="n">
        <v>124378656000000</v>
      </c>
      <c r="M42" s="4" t="n">
        <v>146985597000000</v>
      </c>
      <c r="N42" s="4" t="n">
        <v>139296462000000</v>
      </c>
      <c r="O42" s="4" t="n">
        <v>145526404000000</v>
      </c>
      <c r="P42" s="4" t="n">
        <v>141063971000000</v>
      </c>
      <c r="Q42" s="4" t="n">
        <v>179944154000000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  <c r="J43" s="4" t="n">
        <v>97062825000000</v>
      </c>
      <c r="K43" s="4" t="n">
        <v>142202792000000</v>
      </c>
      <c r="L43" s="4" t="n">
        <v>117928269000000</v>
      </c>
      <c r="M43" s="4" t="n">
        <v>142072840000000</v>
      </c>
      <c r="N43" s="4" t="n">
        <v>139654417000000</v>
      </c>
      <c r="O43" s="4" t="n">
        <v>145942288000000</v>
      </c>
      <c r="P43" s="4" t="n">
        <v>141480522000000</v>
      </c>
      <c r="Q43" s="4" t="n">
        <v>180698281000000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  <c r="J44" s="4" t="n">
        <v>5400000000000</v>
      </c>
      <c r="K44" s="4" t="n">
        <v>6900000000000</v>
      </c>
      <c r="L44" s="4" t="n">
        <v>6900000000000</v>
      </c>
      <c r="M44" s="4" t="n">
        <v>5400000000000</v>
      </c>
      <c r="N44" s="4" t="n">
        <v>0</v>
      </c>
      <c r="O44" s="4" t="n">
        <v>0</v>
      </c>
      <c r="P44" s="4" t="n">
        <v>0</v>
      </c>
      <c r="Q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  <c r="J45" s="4" t="n">
        <v>-327589000000</v>
      </c>
      <c r="K45" s="4" t="n">
        <v>-479156000000</v>
      </c>
      <c r="L45" s="4" t="n">
        <v>-449613000000</v>
      </c>
      <c r="M45" s="4" t="n">
        <v>-487243000000</v>
      </c>
      <c r="N45" s="4" t="n">
        <v>-357955000000</v>
      </c>
      <c r="O45" s="4" t="n">
        <v>-415884000000</v>
      </c>
      <c r="P45" s="4" t="n">
        <v>-416551000000</v>
      </c>
      <c r="Q45" s="4" t="n">
        <v>-754127000000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  <c r="J46" s="4" t="n">
        <v>1715829000000</v>
      </c>
      <c r="K46" s="4" t="n">
        <v>1818676000000</v>
      </c>
      <c r="L46" s="4" t="n">
        <v>1991512000000</v>
      </c>
      <c r="M46" s="4" t="n">
        <v>1837023000000</v>
      </c>
      <c r="N46" s="4" t="n">
        <v>1899114000000</v>
      </c>
      <c r="O46" s="4" t="n">
        <v>2070439000000</v>
      </c>
      <c r="P46" s="4" t="n">
        <v>2126868000000</v>
      </c>
      <c r="Q46" s="4" t="n">
        <v>2623560000000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  <c r="J47" s="4" t="n">
        <v>20542000000</v>
      </c>
      <c r="K47" s="4" t="n">
        <v>11531000000</v>
      </c>
      <c r="L47" s="4" t="n">
        <v>118379000000</v>
      </c>
      <c r="M47" s="4" t="n">
        <v>46920000000</v>
      </c>
      <c r="N47" s="4" t="n">
        <v>41254000000</v>
      </c>
      <c r="O47" s="4" t="n">
        <v>4323867000000</v>
      </c>
      <c r="P47" s="4" t="n">
        <v>4673129000000</v>
      </c>
      <c r="Q47" s="4" t="n">
        <v>8245783000000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  <c r="J48" s="4" t="n">
        <v>138462274000000</v>
      </c>
      <c r="K48" s="4" t="n">
        <v>132239088000000</v>
      </c>
      <c r="L48" s="4" t="n">
        <v>135313705000000</v>
      </c>
      <c r="M48" s="4" t="n">
        <v>137064303000000</v>
      </c>
      <c r="N48" s="4" t="n">
        <v>146643879000000</v>
      </c>
      <c r="O48" s="4" t="n">
        <v>144982976000000</v>
      </c>
      <c r="P48" s="4" t="n">
        <v>150267181000000</v>
      </c>
      <c r="Q48" s="4" t="n">
        <v>164739459000000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  <c r="J49" s="4" t="n">
        <v>494954017000000</v>
      </c>
      <c r="K49" s="4" t="n">
        <v>533392350000000</v>
      </c>
      <c r="L49" s="4" t="n">
        <v>531583052000000</v>
      </c>
      <c r="M49" s="4" t="n">
        <v>545078843000000</v>
      </c>
      <c r="N49" s="4" t="n">
        <v>595086941000000</v>
      </c>
      <c r="O49" s="4" t="n">
        <v>618911535000000</v>
      </c>
      <c r="P49" s="4" t="n">
        <v>599808238000000</v>
      </c>
      <c r="Q49" s="4" t="n">
        <v>662447730000000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  <c r="J50" s="4" t="n">
        <v>0</v>
      </c>
      <c r="K50" s="4" t="n">
        <v>931231000000</v>
      </c>
      <c r="L50" s="4" t="n">
        <v>688536000000</v>
      </c>
      <c r="M50" s="4" t="n">
        <v>1092859000000</v>
      </c>
      <c r="N50" s="4" t="n">
        <v>1712153000000</v>
      </c>
      <c r="O50" s="4" t="n">
        <v>2416947000000</v>
      </c>
      <c r="P50" s="4" t="n">
        <v>2216311000000</v>
      </c>
      <c r="Q50" s="4" t="n">
        <v>2214942000000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  <c r="J52" s="4" t="n">
        <v>126061309000000</v>
      </c>
      <c r="K52" s="4" t="n">
        <v>140422321000000</v>
      </c>
      <c r="L52" s="4" t="n">
        <v>147933070000000</v>
      </c>
      <c r="M52" s="4" t="n">
        <v>172337642000000</v>
      </c>
      <c r="N52" s="4" t="n">
        <v>181742521000000</v>
      </c>
      <c r="O52" s="4" t="n">
        <v>215330128000000</v>
      </c>
      <c r="P52" s="4" t="n">
        <v>217897008000000</v>
      </c>
      <c r="Q52" s="4" t="n">
        <v>212079904000000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  <c r="J53" s="4" t="n">
        <v>23187221000000</v>
      </c>
      <c r="K53" s="4" t="n">
        <v>23862407000000</v>
      </c>
      <c r="L53" s="4" t="n">
        <v>19626586000000</v>
      </c>
      <c r="M53" s="4" t="n">
        <v>20197599000000</v>
      </c>
      <c r="N53" s="4" t="n">
        <v>24913117000000</v>
      </c>
      <c r="O53" s="4" t="n">
        <v>26877242000000</v>
      </c>
      <c r="P53" s="4" t="n">
        <v>28909114000000</v>
      </c>
      <c r="Q53" s="4" t="n">
        <v>34351955000000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  <c r="J54" s="4" t="n">
        <v>71006213000000</v>
      </c>
      <c r="K54" s="4" t="n">
        <v>78412544000000</v>
      </c>
      <c r="L54" s="4" t="n">
        <v>78412544000000</v>
      </c>
      <c r="M54" s="4" t="n">
        <v>78412544000000</v>
      </c>
      <c r="N54" s="4" t="n">
        <v>78412544000000</v>
      </c>
      <c r="O54" s="4" t="n">
        <v>78626366000000</v>
      </c>
      <c r="P54" s="4" t="n">
        <v>78808792000000</v>
      </c>
      <c r="Q54" s="4" t="n">
        <v>82324295000000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  <c r="J57" s="4" t="n">
        <v>20845050000000</v>
      </c>
      <c r="K57" s="4" t="n">
        <v>24787305000000</v>
      </c>
      <c r="L57" s="4" t="n">
        <v>24786838000000</v>
      </c>
      <c r="M57" s="4" t="n">
        <v>24786836000000</v>
      </c>
      <c r="N57" s="4" t="n">
        <v>24786549000000</v>
      </c>
      <c r="O57" s="4" t="n">
        <v>28644562000000</v>
      </c>
      <c r="P57" s="4" t="n">
        <v>28651733000000</v>
      </c>
      <c r="Q57" s="4" t="n">
        <v>28659714000000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  <c r="J58" s="4" t="n">
        <v>50917866000000</v>
      </c>
      <c r="K58" s="4" t="n">
        <v>58558478000000</v>
      </c>
      <c r="L58" s="4" t="n">
        <v>64064406000000</v>
      </c>
      <c r="M58" s="4" t="n">
        <v>73746047000000</v>
      </c>
      <c r="N58" s="4" t="n">
        <v>84341940000000</v>
      </c>
      <c r="O58" s="4" t="n">
        <v>122225620000000</v>
      </c>
      <c r="P58" s="4" t="n">
        <v>132928811000000</v>
      </c>
      <c r="Q58" s="4" t="n">
        <v>153555432000000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  <c r="J59" s="4" t="n">
        <v>19595850000000</v>
      </c>
      <c r="K59" s="4" t="n">
        <v>11507947000000</v>
      </c>
      <c r="L59" s="4" t="n">
        <v>11824016000000</v>
      </c>
      <c r="M59" s="4" t="n">
        <v>4953841000000</v>
      </c>
      <c r="N59" s="4" t="n">
        <v>7443258000000</v>
      </c>
      <c r="O59" s="4" t="n">
        <v>14965995000000</v>
      </c>
      <c r="P59" s="4" t="n">
        <v>18010349000000</v>
      </c>
      <c r="Q59" s="4" t="n">
        <v>17918424000000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  <c r="J60" s="4" t="n">
        <v>7196188000000</v>
      </c>
      <c r="K60" s="4" t="n">
        <v>3062641000000</v>
      </c>
      <c r="L60" s="4" t="n">
        <v>3322907000000</v>
      </c>
      <c r="M60" s="4" t="n">
        <v>936218000000</v>
      </c>
      <c r="N60" s="4" t="n">
        <v>816443000000</v>
      </c>
      <c r="O60" s="4" t="n">
        <v>6372664000000</v>
      </c>
      <c r="P60" s="4" t="n">
        <v>2572561000000</v>
      </c>
      <c r="Q60" s="4" t="n">
        <v>2435909000000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  <c r="J61" s="4" t="n">
        <v>4177029000000</v>
      </c>
      <c r="K61" s="4" t="n">
        <v>3511618000000</v>
      </c>
      <c r="L61" s="4" t="n">
        <v>1304207000000</v>
      </c>
      <c r="M61" s="4" t="n">
        <v>2756665000000</v>
      </c>
      <c r="N61" s="4" t="n">
        <v>3748970000000</v>
      </c>
      <c r="O61" s="4" t="n">
        <v>7295512000000</v>
      </c>
      <c r="P61" s="4" t="n">
        <v>2679220000000</v>
      </c>
      <c r="Q61" s="4" t="n">
        <v>10712649000000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  <c r="J62" s="4" t="n">
        <v>308938957000000</v>
      </c>
      <c r="K62" s="4" t="n">
        <v>262819403000000</v>
      </c>
      <c r="L62" s="4" t="n">
        <v>242076173000000</v>
      </c>
      <c r="M62" s="4" t="n">
        <v>255724033000000</v>
      </c>
      <c r="N62" s="4" t="n">
        <v>285477101000000</v>
      </c>
      <c r="O62" s="4" t="n">
        <v>403653327000000</v>
      </c>
      <c r="P62" s="4" t="n">
        <v>380974972000000</v>
      </c>
      <c r="Q62" s="4" t="n">
        <v>503382519000000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  <c r="J65" s="4" t="n">
        <v>44981487000000</v>
      </c>
      <c r="K65" s="4" t="n">
        <v>38065747000000</v>
      </c>
      <c r="L65" s="4" t="n">
        <v>41804059000000</v>
      </c>
      <c r="M65" s="4" t="n">
        <v>32234724000000</v>
      </c>
      <c r="N65" s="4" t="n">
        <v>36392899000000</v>
      </c>
      <c r="O65" s="4" t="n">
        <v>64314200000000</v>
      </c>
      <c r="P65" s="4" t="n">
        <v>65277120000000</v>
      </c>
      <c r="Q65" s="4" t="n">
        <v>67997062000000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  <c r="J66" s="4" t="n">
        <v>207005596000000</v>
      </c>
      <c r="K66" s="4" t="n">
        <v>213069830000000</v>
      </c>
      <c r="L66" s="4" t="n">
        <v>194535076000000</v>
      </c>
      <c r="M66" s="4" t="n">
        <v>210610368000000</v>
      </c>
      <c r="N66" s="4" t="n">
        <v>210268812000000</v>
      </c>
      <c r="O66" s="4" t="n">
        <v>182638941000000</v>
      </c>
      <c r="P66" s="4" t="n">
        <v>193951182000000</v>
      </c>
      <c r="Q66" s="4" t="n">
        <v>191819761000000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  <c r="J67" s="4" t="n">
        <v>1437445000000</v>
      </c>
      <c r="K67" s="4" t="n">
        <v>2520466000000</v>
      </c>
      <c r="L67" s="4" t="n">
        <v>2586017000000</v>
      </c>
      <c r="M67" s="4" t="n">
        <v>4213219000000</v>
      </c>
      <c r="N67" s="4" t="n">
        <v>15397526000000</v>
      </c>
      <c r="O67" s="4" t="n">
        <v>9456938000000</v>
      </c>
      <c r="P67" s="4" t="n">
        <v>9787107000000</v>
      </c>
      <c r="Q67" s="4" t="n">
        <v>9834883000000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  <c r="J68" s="4" t="n">
        <v>80586687000000</v>
      </c>
      <c r="K68" s="4" t="n">
        <v>74887085000000</v>
      </c>
      <c r="L68" s="4" t="n">
        <v>72397423000000</v>
      </c>
      <c r="M68" s="4" t="n">
        <v>71979339000000</v>
      </c>
      <c r="N68" s="4" t="n">
        <v>78704346000000</v>
      </c>
      <c r="O68" s="4" t="n">
        <v>108143393000000</v>
      </c>
      <c r="P68" s="4" t="n">
        <v>82639508000000</v>
      </c>
      <c r="Q68" s="4" t="n">
        <v>72701055000000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  <c r="J69" s="4" t="n">
        <v>9607946000000</v>
      </c>
      <c r="K69" s="4" t="n">
        <v>9884539000000</v>
      </c>
      <c r="L69" s="4" t="n">
        <v>9667157000000</v>
      </c>
      <c r="M69" s="4" t="n">
        <v>9047504000000</v>
      </c>
      <c r="N69" s="4" t="n">
        <v>14475893000000</v>
      </c>
      <c r="O69" s="4" t="n">
        <v>6996069000000</v>
      </c>
      <c r="P69" s="4" t="n">
        <v>5318983000000</v>
      </c>
      <c r="Q69" s="4" t="n">
        <v>12896615000000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  <c r="J70" s="4" t="n">
        <v>-180340000000</v>
      </c>
      <c r="K70" s="4" t="n">
        <v>-181150000000</v>
      </c>
      <c r="L70" s="4" t="n">
        <v>-181150000000</v>
      </c>
      <c r="M70" s="4" t="n">
        <v>-181150000000</v>
      </c>
      <c r="N70" s="4" t="n">
        <v>-181150000000</v>
      </c>
      <c r="O70" s="4" t="n">
        <v>-181150000000</v>
      </c>
      <c r="P70" s="4" t="n">
        <v>-181150000000</v>
      </c>
      <c r="Q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  <c r="J71" s="4" t="n">
        <v>314766000000</v>
      </c>
      <c r="K71" s="4" t="n">
        <v>141628000000</v>
      </c>
      <c r="L71" s="4" t="n">
        <v>53863000000</v>
      </c>
      <c r="M71" s="4" t="n">
        <v>43493000000</v>
      </c>
      <c r="N71" s="4" t="n">
        <v>41016000000</v>
      </c>
      <c r="O71" s="4" t="n">
        <v>30647000000</v>
      </c>
      <c r="P71" s="4" t="n">
        <v>28170000000</v>
      </c>
      <c r="Q71" s="4" t="n">
        <v>17800000000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  <c r="J72" s="4" t="n">
        <v>318827000000</v>
      </c>
      <c r="K72" s="4" t="n">
        <v>144380000000</v>
      </c>
      <c r="L72" s="4" t="n">
        <v>55952000000</v>
      </c>
      <c r="M72" s="4" t="n">
        <v>45504000000</v>
      </c>
      <c r="N72" s="4" t="n">
        <v>43008000000</v>
      </c>
      <c r="O72" s="4" t="n">
        <v>32561000000</v>
      </c>
      <c r="P72" s="4" t="n">
        <v>30065000000</v>
      </c>
      <c r="Q72" s="4" t="n">
        <v>19617000000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  <c r="J73" s="4" t="n">
        <v>-4061000000</v>
      </c>
      <c r="K73" s="4" t="n">
        <v>-2752000000</v>
      </c>
      <c r="L73" s="4" t="n">
        <v>-2089000000</v>
      </c>
      <c r="M73" s="4" t="n">
        <v>-2011000000</v>
      </c>
      <c r="N73" s="4" t="n">
        <v>-1992000000</v>
      </c>
      <c r="O73" s="4" t="n">
        <v>-1914000000</v>
      </c>
      <c r="P73" s="4" t="n">
        <v>-1895000000</v>
      </c>
      <c r="Q73" s="4" t="n">
        <v>-1817000000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  <c r="J74" s="4" t="n">
        <v>36294684000000</v>
      </c>
      <c r="K74" s="4" t="n">
        <v>29540943000000</v>
      </c>
      <c r="L74" s="4" t="n">
        <v>32615594000000</v>
      </c>
      <c r="M74" s="4" t="n">
        <v>26160199000000</v>
      </c>
      <c r="N74" s="4" t="n">
        <v>28788017000000</v>
      </c>
      <c r="O74" s="4" t="n">
        <v>56111402000000</v>
      </c>
      <c r="P74" s="4" t="n">
        <v>49705962000000</v>
      </c>
      <c r="Q74" s="4" t="n">
        <v>43068933000000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  <c r="J75" s="4" t="n">
        <v>13921648000000</v>
      </c>
      <c r="K75" s="4" t="n">
        <v>8125964000000</v>
      </c>
      <c r="L75" s="4" t="n">
        <v>9250483000000</v>
      </c>
      <c r="M75" s="4" t="n">
        <v>9361828000000</v>
      </c>
      <c r="N75" s="4" t="n">
        <v>10532599000000</v>
      </c>
      <c r="O75" s="4" t="n">
        <v>9787070000000</v>
      </c>
      <c r="P75" s="4" t="n">
        <v>10338272000000</v>
      </c>
      <c r="Q75" s="4" t="n">
        <v>11375555000000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  <c r="J76" s="4" t="n">
        <v>73401000000</v>
      </c>
      <c r="K76" s="4" t="n">
        <v>79856000000</v>
      </c>
      <c r="L76" s="4" t="n">
        <v>78875000000</v>
      </c>
      <c r="M76" s="4" t="n">
        <v>77679000000</v>
      </c>
      <c r="N76" s="4" t="n">
        <v>77775000000</v>
      </c>
      <c r="O76" s="4" t="n">
        <v>40487000000</v>
      </c>
      <c r="P76" s="4" t="n">
        <v>41184000000</v>
      </c>
      <c r="Q76" s="4" t="n">
        <v>45870000000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  <c r="J77" s="4" t="inlineStr"/>
      <c r="K77" s="4" t="inlineStr"/>
      <c r="L77" s="4" t="inlineStr"/>
      <c r="M77" s="4" t="inlineStr"/>
      <c r="N77" s="4" t="inlineStr"/>
      <c r="O77" s="4" t="inlineStr"/>
      <c r="P77" s="4" t="inlineStr"/>
      <c r="Q77" s="4" t="inlineStr"/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20735000000</v>
      </c>
      <c r="N78" s="4" t="n">
        <v>20735000000</v>
      </c>
      <c r="O78" s="4" t="n">
        <v>0</v>
      </c>
      <c r="P78" s="4" t="n">
        <v>0</v>
      </c>
      <c r="Q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  <c r="J79" s="4" t="n">
        <v>-157724000000</v>
      </c>
      <c r="K79" s="4" t="n">
        <v>-64874000000</v>
      </c>
      <c r="L79" s="4" t="n">
        <v>-35144000000</v>
      </c>
      <c r="M79" s="4" t="n">
        <v>-9227000000</v>
      </c>
      <c r="N79" s="4" t="n">
        <v>-15089000000</v>
      </c>
      <c r="O79" s="4" t="n">
        <v>-8301000000</v>
      </c>
      <c r="P79" s="4" t="n">
        <v>-7972000000</v>
      </c>
      <c r="Q79" s="4" t="n">
        <v>-10443000000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  <c r="J80" s="4" t="n">
        <v>70584329000000</v>
      </c>
      <c r="K80" s="4" t="n">
        <v>72210834000000</v>
      </c>
      <c r="L80" s="4" t="n">
        <v>81331394000000</v>
      </c>
      <c r="M80" s="4" t="n">
        <v>91640536000000</v>
      </c>
      <c r="N80" s="4" t="n">
        <v>93471217000000</v>
      </c>
      <c r="O80" s="4" t="n">
        <v>83014313000000</v>
      </c>
      <c r="P80" s="4" t="n">
        <v>86820944000000</v>
      </c>
      <c r="Q80" s="4" t="n">
        <v>90685022000000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  <c r="J81" s="4" t="n">
        <v>67877945000000</v>
      </c>
      <c r="K81" s="4" t="n">
        <v>60028254000000</v>
      </c>
      <c r="L81" s="4" t="n">
        <v>53982311000000</v>
      </c>
      <c r="M81" s="4" t="n">
        <v>45423767000000</v>
      </c>
      <c r="N81" s="4" t="n">
        <v>53172662000000</v>
      </c>
      <c r="O81" s="4" t="n">
        <v>61968663000000</v>
      </c>
      <c r="P81" s="4" t="n">
        <v>63446237000000</v>
      </c>
      <c r="Q81" s="4" t="n">
        <v>74054437000000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  <c r="J82" s="4" t="n">
        <v>7309545000000</v>
      </c>
      <c r="K82" s="4" t="n">
        <v>7281567000000</v>
      </c>
      <c r="L82" s="4" t="n">
        <v>7926111000000</v>
      </c>
      <c r="M82" s="4" t="n">
        <v>7464091000000</v>
      </c>
      <c r="N82" s="4" t="n">
        <v>8187281000000</v>
      </c>
      <c r="O82" s="4" t="n">
        <v>9448719000000</v>
      </c>
      <c r="P82" s="4" t="n">
        <v>11296027000000</v>
      </c>
      <c r="Q82" s="4" t="n">
        <v>13515324000000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  <c r="J84" s="4" t="n">
        <v>15877676000000</v>
      </c>
      <c r="K84" s="4" t="n">
        <v>16580840000000</v>
      </c>
      <c r="L84" s="4" t="n">
        <v>11700475000000</v>
      </c>
      <c r="M84" s="4" t="n">
        <v>12733508000000</v>
      </c>
      <c r="N84" s="4" t="n">
        <v>16725836000000</v>
      </c>
      <c r="O84" s="4" t="n">
        <v>17428523000000</v>
      </c>
      <c r="P84" s="4" t="n">
        <v>17613087000000</v>
      </c>
      <c r="Q84" s="4" t="n">
        <v>20836631000000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4" t="n">
        <v>0</v>
      </c>
      <c r="N86" s="4" t="n">
        <v>0</v>
      </c>
      <c r="O86" s="4" t="n">
        <v>0</v>
      </c>
      <c r="P86" s="4" t="n">
        <v>0</v>
      </c>
      <c r="Q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32840000000</v>
      </c>
      <c r="O87" s="4" t="n">
        <v>32263000000</v>
      </c>
      <c r="P87" s="4" t="n">
        <v>29988000000</v>
      </c>
      <c r="Q87" s="4" t="n">
        <v>27397000000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  <c r="J2" s="4" t="n">
        <v>7214168000000</v>
      </c>
      <c r="K2" s="4" t="n">
        <v>4696032000000</v>
      </c>
      <c r="L2" s="4" t="n">
        <v>7236228000000</v>
      </c>
      <c r="M2" s="4" t="n">
        <v>7898588000000</v>
      </c>
      <c r="N2" s="4" t="n">
        <v>8250016000000</v>
      </c>
      <c r="O2" s="4" t="n">
        <v>9153234000000</v>
      </c>
      <c r="P2" s="4" t="n">
        <v>8869970000000</v>
      </c>
      <c r="Q2" s="4" t="n">
        <v>9670016000000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  <c r="J3" s="4" t="n">
        <v>-1422429000000</v>
      </c>
      <c r="K3" s="4" t="n">
        <v>-1282376000000</v>
      </c>
      <c r="L3" s="4" t="n">
        <v>-1221736000000</v>
      </c>
      <c r="M3" s="4" t="n">
        <v>-1549782000000</v>
      </c>
      <c r="N3" s="4" t="n">
        <v>-1636587000000</v>
      </c>
      <c r="O3" s="4" t="n">
        <v>-2136120000000</v>
      </c>
      <c r="P3" s="4" t="n">
        <v>-1920387000000</v>
      </c>
      <c r="Q3" s="4" t="n">
        <v>-1948060000000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  <c r="J4" s="4" t="n">
        <v>1283000000</v>
      </c>
      <c r="K4" s="4" t="n">
        <v>6455000000</v>
      </c>
      <c r="L4" s="4" t="n">
        <v>-981000000</v>
      </c>
      <c r="M4" s="4" t="n">
        <v>-1196000000</v>
      </c>
      <c r="N4" s="4" t="n">
        <v>96000000</v>
      </c>
      <c r="O4" s="4" t="n">
        <v>-37288000000</v>
      </c>
      <c r="P4" s="4" t="n">
        <v>697000000</v>
      </c>
      <c r="Q4" s="4" t="n">
        <v>4686000000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  <c r="J5" s="4" t="n">
        <v>-1421146000000</v>
      </c>
      <c r="K5" s="4" t="n">
        <v>-1275921000000</v>
      </c>
      <c r="L5" s="4" t="n">
        <v>-1222717000000</v>
      </c>
      <c r="M5" s="4" t="n">
        <v>-1550978000000</v>
      </c>
      <c r="N5" s="4" t="n">
        <v>-1636491000000</v>
      </c>
      <c r="O5" s="4" t="n">
        <v>-2173408000000</v>
      </c>
      <c r="P5" s="4" t="n">
        <v>-1919690000000</v>
      </c>
      <c r="Q5" s="4" t="n">
        <v>-1943374000000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  <c r="J6" s="4" t="n">
        <v>5793022000000</v>
      </c>
      <c r="K6" s="4" t="n">
        <v>3420111000000</v>
      </c>
      <c r="L6" s="4" t="n">
        <v>6013511000000</v>
      </c>
      <c r="M6" s="4" t="n">
        <v>6347610000000</v>
      </c>
      <c r="N6" s="4" t="n">
        <v>6613525000000</v>
      </c>
      <c r="O6" s="4" t="n">
        <v>6979826000000</v>
      </c>
      <c r="P6" s="4" t="n">
        <v>6950280000000</v>
      </c>
      <c r="Q6" s="4" t="n">
        <v>7726642000000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  <c r="J7" s="4" t="n">
        <v>-55517000000</v>
      </c>
      <c r="K7" s="4" t="n">
        <v>-49046000000</v>
      </c>
      <c r="L7" s="4" t="n">
        <v>-65551000000</v>
      </c>
      <c r="M7" s="4" t="n">
        <v>-100246000000</v>
      </c>
      <c r="N7" s="4" t="n">
        <v>-194181000000</v>
      </c>
      <c r="O7" s="4" t="n">
        <v>-304264000000</v>
      </c>
      <c r="P7" s="4" t="n">
        <v>-279199000000</v>
      </c>
      <c r="Q7" s="4" t="n">
        <v>-376583000000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  <c r="J8" s="4" t="n">
        <v>5737505000000</v>
      </c>
      <c r="K8" s="4" t="n">
        <v>3371065000000</v>
      </c>
      <c r="L8" s="4" t="n">
        <v>5947960000000</v>
      </c>
      <c r="M8" s="4" t="n">
        <v>6247364000000</v>
      </c>
      <c r="N8" s="4" t="n">
        <v>6419344000000</v>
      </c>
      <c r="O8" s="4" t="n">
        <v>6675562000000</v>
      </c>
      <c r="P8" s="4" t="n">
        <v>6671081000000</v>
      </c>
      <c r="Q8" s="4" t="n">
        <v>7350059000000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  <c r="J11" s="4" t="n">
        <v>15168282000000</v>
      </c>
      <c r="K11" s="4" t="n">
        <v>15064961000000</v>
      </c>
      <c r="L11" s="4" t="n">
        <v>14950024000000</v>
      </c>
      <c r="M11" s="4" t="n">
        <v>16303607000000</v>
      </c>
      <c r="N11" s="4" t="n">
        <v>17599575000000</v>
      </c>
      <c r="O11" s="4" t="n">
        <v>19164244000000</v>
      </c>
      <c r="P11" s="4" t="n">
        <v>19697005000000</v>
      </c>
      <c r="Q11" s="4" t="n">
        <v>22861342000000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  <c r="J12" s="4" t="n">
        <v>-6239606000000</v>
      </c>
      <c r="K12" s="4" t="n">
        <v>-6463144000000</v>
      </c>
      <c r="L12" s="4" t="n">
        <v>-6644631000000</v>
      </c>
      <c r="M12" s="4" t="n">
        <v>-7166531000000</v>
      </c>
      <c r="N12" s="4" t="n">
        <v>-7674932000000</v>
      </c>
      <c r="O12" s="4" t="n">
        <v>-8376265000000</v>
      </c>
      <c r="P12" s="4" t="n">
        <v>-10174952000000</v>
      </c>
      <c r="Q12" s="4" t="n">
        <v>-12098340000000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  <c r="J13" s="4" t="n">
        <v>8928676000000</v>
      </c>
      <c r="K13" s="4" t="n">
        <v>8601817000000</v>
      </c>
      <c r="L13" s="4" t="n">
        <v>8305393000000</v>
      </c>
      <c r="M13" s="4" t="n">
        <v>9137076000000</v>
      </c>
      <c r="N13" s="4" t="n">
        <v>9924643000000</v>
      </c>
      <c r="O13" s="4" t="n">
        <v>10787979000000</v>
      </c>
      <c r="P13" s="4" t="n">
        <v>9522053000000</v>
      </c>
      <c r="Q13" s="4" t="n">
        <v>10763002000000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  <c r="J14" s="4" t="n">
        <v>2675088000000</v>
      </c>
      <c r="K14" s="4" t="n">
        <v>2262105000000</v>
      </c>
      <c r="L14" s="4" t="n">
        <v>2578542000000</v>
      </c>
      <c r="M14" s="4" t="n">
        <v>3052422000000</v>
      </c>
      <c r="N14" s="4" t="n">
        <v>3276239000000</v>
      </c>
      <c r="O14" s="4" t="n">
        <v>3619760000000</v>
      </c>
      <c r="P14" s="4" t="n">
        <v>4292976000000</v>
      </c>
      <c r="Q14" s="4" t="n">
        <v>5004364000000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  <c r="J15" s="4" t="n">
        <v>-728305000000</v>
      </c>
      <c r="K15" s="4" t="n">
        <v>-799263000000</v>
      </c>
      <c r="L15" s="4" t="n">
        <v>-750410000000</v>
      </c>
      <c r="M15" s="4" t="n">
        <v>-945431000000</v>
      </c>
      <c r="N15" s="4" t="n">
        <v>-1010302000000</v>
      </c>
      <c r="O15" s="4" t="n">
        <v>-1048825000000</v>
      </c>
      <c r="P15" s="4" t="n">
        <v>-1144519000000</v>
      </c>
      <c r="Q15" s="4" t="n">
        <v>-1342166000000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  <c r="J16" s="4" t="n">
        <v>1946783000000</v>
      </c>
      <c r="K16" s="4" t="n">
        <v>1462842000000</v>
      </c>
      <c r="L16" s="4" t="n">
        <v>1828132000000</v>
      </c>
      <c r="M16" s="4" t="n">
        <v>2106991000000</v>
      </c>
      <c r="N16" s="4" t="n">
        <v>2265937000000</v>
      </c>
      <c r="O16" s="4" t="n">
        <v>2570935000000</v>
      </c>
      <c r="P16" s="4" t="n">
        <v>3148457000000</v>
      </c>
      <c r="Q16" s="4" t="n">
        <v>3662198000000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  <c r="J17" s="4" t="n">
        <v>61041000000</v>
      </c>
      <c r="K17" s="4" t="n">
        <v>-424270000000</v>
      </c>
      <c r="L17" s="4" t="n">
        <v>454811000000</v>
      </c>
      <c r="M17" s="4" t="n">
        <v>415158000000</v>
      </c>
      <c r="N17" s="4" t="n">
        <v>559414000000</v>
      </c>
      <c r="O17" s="4" t="n">
        <v>212818000000</v>
      </c>
      <c r="P17" s="4" t="n">
        <v>583817000000</v>
      </c>
      <c r="Q17" s="4" t="n">
        <v>-68527000000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  <c r="J18" s="4" t="n">
        <v>-527000000</v>
      </c>
      <c r="K18" s="4" t="n">
        <v>2001000000</v>
      </c>
      <c r="L18" s="4" t="n">
        <v>178426000000</v>
      </c>
      <c r="M18" s="4" t="n">
        <v>31979000000</v>
      </c>
      <c r="N18" s="4" t="n">
        <v>-149808000000</v>
      </c>
      <c r="O18" s="4" t="n">
        <v>-8623000000</v>
      </c>
      <c r="P18" s="4" t="n">
        <v>42771000000</v>
      </c>
      <c r="Q18" s="4" t="n">
        <v>28494000000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  <c r="J19" s="4" t="n">
        <v>389242000000</v>
      </c>
      <c r="K19" s="4" t="n">
        <v>249851000000</v>
      </c>
      <c r="L19" s="4" t="n">
        <v>450449000000</v>
      </c>
      <c r="M19" s="4" t="n">
        <v>599870000000</v>
      </c>
      <c r="N19" s="4" t="n">
        <v>1059359000000</v>
      </c>
      <c r="O19" s="4" t="n">
        <v>736643000000</v>
      </c>
      <c r="P19" s="4" t="n">
        <v>238735000000</v>
      </c>
      <c r="Q19" s="4" t="n">
        <v>81770000000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  <c r="J20" s="4" t="n">
        <v>1986320000000</v>
      </c>
      <c r="K20" s="4" t="n">
        <v>3884139000000</v>
      </c>
      <c r="L20" s="4" t="n">
        <v>1741899000000</v>
      </c>
      <c r="M20" s="4" t="n">
        <v>1730032000000</v>
      </c>
      <c r="N20" s="4" t="n">
        <v>1703996000000</v>
      </c>
      <c r="O20" s="4" t="n">
        <v>1250407000000</v>
      </c>
      <c r="P20" s="4" t="n">
        <v>989740000000</v>
      </c>
      <c r="Q20" s="4" t="n">
        <v>2105280000000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  <c r="J21" s="4" t="n">
        <v>-1563606000000</v>
      </c>
      <c r="K21" s="4" t="n">
        <v>-4221848000000</v>
      </c>
      <c r="L21" s="4" t="n">
        <v>-1347955000000</v>
      </c>
      <c r="M21" s="4" t="n">
        <v>-1309593000000</v>
      </c>
      <c r="N21" s="4" t="n">
        <v>-1127755000000</v>
      </c>
      <c r="O21" s="4" t="n">
        <v>-756689000000</v>
      </c>
      <c r="P21" s="4" t="n">
        <v>-851241000000</v>
      </c>
      <c r="Q21" s="4" t="n">
        <v>-1635335000000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  <c r="J22" s="4" t="n">
        <v>422714000000</v>
      </c>
      <c r="K22" s="4" t="n">
        <v>-337709000000</v>
      </c>
      <c r="L22" s="4" t="n">
        <v>393944000000</v>
      </c>
      <c r="M22" s="4" t="n">
        <v>420439000000</v>
      </c>
      <c r="N22" s="4" t="n">
        <v>576241000000</v>
      </c>
      <c r="O22" s="4" t="n">
        <v>493718000000</v>
      </c>
      <c r="P22" s="4" t="n">
        <v>138499000000</v>
      </c>
      <c r="Q22" s="4" t="n">
        <v>469945000000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  <c r="J23" s="4" t="n">
        <v>6406000000</v>
      </c>
      <c r="K23" s="4" t="n">
        <v>67000000</v>
      </c>
      <c r="L23" s="4" t="n">
        <v>43000000</v>
      </c>
      <c r="M23" s="4" t="n">
        <v>31518000000</v>
      </c>
      <c r="N23" s="4" t="n">
        <v>6337000000</v>
      </c>
      <c r="O23" s="4" t="n">
        <v>1303000000</v>
      </c>
      <c r="P23" s="4" t="n">
        <v>-58000000</v>
      </c>
      <c r="Q23" s="4" t="n">
        <v>4899000000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  <c r="J24" s="4" t="n">
        <v>11754335000000</v>
      </c>
      <c r="K24" s="4" t="n">
        <v>9554599000000</v>
      </c>
      <c r="L24" s="4" t="n">
        <v>11611198000000</v>
      </c>
      <c r="M24" s="4" t="n">
        <v>12743031000000</v>
      </c>
      <c r="N24" s="4" t="n">
        <v>14242123000000</v>
      </c>
      <c r="O24" s="4" t="n">
        <v>14794773000000</v>
      </c>
      <c r="P24" s="4" t="n">
        <v>13674274000000</v>
      </c>
      <c r="Q24" s="4" t="n">
        <v>14941781000000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  <c r="J25" s="4" t="n">
        <v>-3430902000000</v>
      </c>
      <c r="K25" s="4" t="n">
        <v>-4740723000000</v>
      </c>
      <c r="L25" s="4" t="n">
        <v>-3284915000000</v>
      </c>
      <c r="M25" s="4" t="n">
        <v>-3830693000000</v>
      </c>
      <c r="N25" s="4" t="n">
        <v>-4492851000000</v>
      </c>
      <c r="O25" s="4" t="n">
        <v>-4823975000000</v>
      </c>
      <c r="P25" s="4" t="n">
        <v>-3869012000000</v>
      </c>
      <c r="Q25" s="4" t="n">
        <v>-4620127000000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  <c r="J26" s="4" t="n">
        <v>8323433000000</v>
      </c>
      <c r="K26" s="4" t="n">
        <v>4813876000000</v>
      </c>
      <c r="L26" s="4" t="n">
        <v>8326283000000</v>
      </c>
      <c r="M26" s="4" t="n">
        <v>8912338000000</v>
      </c>
      <c r="N26" s="4" t="n">
        <v>9749272000000</v>
      </c>
      <c r="O26" s="4" t="n">
        <v>9970798000000</v>
      </c>
      <c r="P26" s="4" t="n">
        <v>9805262000000</v>
      </c>
      <c r="Q26" s="4" t="n">
        <v>10321654000000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  <c r="J27" s="4" t="n">
        <v>-1109265000000</v>
      </c>
      <c r="K27" s="4" t="n">
        <v>-117844000000</v>
      </c>
      <c r="L27" s="4" t="n">
        <v>-1090055000000</v>
      </c>
      <c r="M27" s="4" t="n">
        <v>-1013750000000</v>
      </c>
      <c r="N27" s="4" t="n">
        <v>-1499256000000</v>
      </c>
      <c r="O27" s="4" t="n">
        <v>-817564000000</v>
      </c>
      <c r="P27" s="4" t="n">
        <v>-935292000000</v>
      </c>
      <c r="Q27" s="4" t="n">
        <v>-651638000000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  <c r="J2" s="4" t="n">
        <v>9401189000000</v>
      </c>
      <c r="K2" s="4" t="n">
        <v>12277494000000</v>
      </c>
      <c r="L2" s="4" t="n">
        <v>1088680000000</v>
      </c>
      <c r="M2" s="4" t="n">
        <v>8240200000000</v>
      </c>
      <c r="N2" s="4" t="n">
        <v>9640762000000</v>
      </c>
      <c r="O2" s="4" t="n">
        <v>14320944000000</v>
      </c>
      <c r="P2" s="4" t="n">
        <v>5755230000000</v>
      </c>
      <c r="Q2" s="4" t="n">
        <v>12149467000000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  <c r="J4" s="4" t="n">
        <v>-1685321000000</v>
      </c>
      <c r="K4" s="4" t="n">
        <v>25033667000000</v>
      </c>
      <c r="L4" s="4" t="n">
        <v>-11015276000000</v>
      </c>
      <c r="M4" s="4" t="n">
        <v>-7771212000000</v>
      </c>
      <c r="N4" s="4" t="n">
        <v>19633015000000</v>
      </c>
      <c r="O4" s="4" t="n">
        <v>39077091000000</v>
      </c>
      <c r="P4" s="4" t="n">
        <v>-12087775000000</v>
      </c>
      <c r="Q4" s="4" t="n">
        <v>-4359478000000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  <c r="J5" s="4" t="n">
        <v>-286413000000</v>
      </c>
      <c r="K5" s="4" t="n">
        <v>-1052218000000</v>
      </c>
      <c r="L5" s="4" t="n">
        <v>-35503000000</v>
      </c>
      <c r="M5" s="4" t="n">
        <v>-271585000000</v>
      </c>
      <c r="N5" s="4" t="n">
        <v>-201513000000</v>
      </c>
      <c r="O5" s="4" t="n">
        <v>-148429000000</v>
      </c>
      <c r="P5" s="4" t="n">
        <v>-35724000000</v>
      </c>
      <c r="Q5" s="4" t="n">
        <v>-132552000000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  <c r="J6" s="4" t="n">
        <v>229812000000</v>
      </c>
      <c r="K6" s="4" t="n">
        <v>1510044000000</v>
      </c>
      <c r="L6" s="4" t="n">
        <v>345000000</v>
      </c>
      <c r="M6" s="4" t="n">
        <v>1499000000</v>
      </c>
      <c r="N6" s="4" t="n">
        <v>840000000</v>
      </c>
      <c r="O6" s="4" t="n">
        <v>819000000</v>
      </c>
      <c r="P6" s="4" t="n">
        <v>672000000</v>
      </c>
      <c r="Q6" s="4" t="n">
        <v>50095000000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  <c r="J7" s="4" t="n">
        <v>-1278000000</v>
      </c>
      <c r="K7" s="4" t="n">
        <v>-55000000000</v>
      </c>
      <c r="L7" s="4" t="n">
        <v>0</v>
      </c>
      <c r="M7" s="4" t="n">
        <v>0</v>
      </c>
      <c r="N7" s="4" t="n">
        <v>-43283000000</v>
      </c>
      <c r="O7" s="4" t="n">
        <v>-156553000000</v>
      </c>
      <c r="P7" s="4" t="n">
        <v>0</v>
      </c>
      <c r="Q7" s="4" t="n">
        <v>165000000000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  <c r="J9" s="4" t="n">
        <v>6406000000</v>
      </c>
      <c r="K9" s="4" t="n">
        <v>67000000</v>
      </c>
      <c r="L9" s="4" t="n">
        <v>43000000</v>
      </c>
      <c r="M9" s="4" t="n">
        <v>31518000000</v>
      </c>
      <c r="N9" s="4" t="n">
        <v>6497000000</v>
      </c>
      <c r="O9" s="4" t="n">
        <v>1880000000</v>
      </c>
      <c r="P9" s="4" t="n">
        <v>2217000000</v>
      </c>
      <c r="Q9" s="4" t="n">
        <v>7489000000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  <c r="J10" s="4" t="n">
        <v>-50233000000</v>
      </c>
      <c r="K10" s="4" t="n">
        <v>-846810000000</v>
      </c>
      <c r="L10" s="4" t="n">
        <v>-35158000000</v>
      </c>
      <c r="M10" s="4" t="n">
        <v>-251094000000</v>
      </c>
      <c r="N10" s="4" t="n">
        <v>-227849000000</v>
      </c>
      <c r="O10" s="4" t="n">
        <v>-302339000000</v>
      </c>
      <c r="P10" s="4" t="n">
        <v>-32965000000</v>
      </c>
      <c r="Q10" s="4" t="n">
        <v>90162000000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  <c r="J11" s="4" t="n">
        <v>0</v>
      </c>
      <c r="K11" s="4" t="n">
        <v>198242000000</v>
      </c>
      <c r="L11" s="4" t="n">
        <v>0</v>
      </c>
      <c r="M11" s="4" t="n">
        <v>1376714000000</v>
      </c>
      <c r="N11" s="4" t="n">
        <v>10730125000000</v>
      </c>
      <c r="O11" s="4" t="n">
        <v>213822000000</v>
      </c>
      <c r="P11" s="4" t="n">
        <v>2755000000</v>
      </c>
      <c r="Q11" s="4" t="n">
        <v>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  <c r="J12" s="4" t="n">
        <v>-70238000000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-7084911000000</v>
      </c>
      <c r="P12" s="4" t="n">
        <v>0</v>
      </c>
      <c r="Q12" s="4" t="n">
        <v>-5192618000000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  <c r="J13" s="4" t="n">
        <v>-70238000000</v>
      </c>
      <c r="K13" s="4" t="n">
        <v>198242000000</v>
      </c>
      <c r="L13" s="4" t="n">
        <v>0</v>
      </c>
      <c r="M13" s="4" t="n">
        <v>1376714000000</v>
      </c>
      <c r="N13" s="4" t="n">
        <v>10730125000000</v>
      </c>
      <c r="O13" s="4" t="n">
        <v>-6871089000000</v>
      </c>
      <c r="P13" s="4" t="n">
        <v>2755000000</v>
      </c>
      <c r="Q13" s="4" t="n">
        <v>-5192618000000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  <c r="J14" s="4" t="n">
        <v>124891909000000</v>
      </c>
      <c r="K14" s="4" t="n">
        <v>123109810000000</v>
      </c>
      <c r="L14" s="4" t="n">
        <v>147484415000000</v>
      </c>
      <c r="M14" s="4" t="n">
        <v>136433981000000</v>
      </c>
      <c r="N14" s="4" t="n">
        <v>129788389000000</v>
      </c>
      <c r="O14" s="4" t="n">
        <v>159923680000000</v>
      </c>
      <c r="P14" s="4" t="n">
        <v>191827343000000</v>
      </c>
      <c r="Q14" s="4" t="n">
        <v>179709358000000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23693000000</v>
      </c>
      <c r="K15" s="4" t="n">
        <v>-10494000000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  <c r="J16" s="4" t="n">
        <v>123109810000000</v>
      </c>
      <c r="K16" s="4" t="n">
        <v>147484415000000</v>
      </c>
      <c r="L16" s="4" t="n">
        <v>136433981000000</v>
      </c>
      <c r="M16" s="4" t="n">
        <v>129788389000000</v>
      </c>
      <c r="N16" s="4" t="n">
        <v>159923680000000</v>
      </c>
      <c r="O16" s="4" t="n">
        <v>191827343000000</v>
      </c>
      <c r="P16" s="4" t="n">
        <v>179709358000000</v>
      </c>
      <c r="Q16" s="4" t="n">
        <v>170247424000000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  <c r="J17" s="4" t="n">
        <v>-104524000000</v>
      </c>
      <c r="K17" s="4" t="n">
        <v>-58026000000</v>
      </c>
      <c r="L17" s="4" t="n">
        <v>-5409700000000</v>
      </c>
      <c r="M17" s="4" t="n">
        <v>-775924000000</v>
      </c>
      <c r="N17" s="4" t="n">
        <v>-970902000000</v>
      </c>
      <c r="O17" s="4" t="n">
        <v>-21215000000</v>
      </c>
      <c r="P17" s="4" t="n">
        <v>-4607917000000</v>
      </c>
      <c r="Q17" s="4" t="n">
        <v>-776383000000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  <c r="J19" s="4" t="n">
        <v>2121848000000</v>
      </c>
      <c r="K19" s="4" t="n">
        <v>-977593000000</v>
      </c>
      <c r="L19" s="4" t="n">
        <v>95062000000</v>
      </c>
      <c r="M19" s="4" t="n">
        <v>673400000000</v>
      </c>
      <c r="N19" s="4" t="n">
        <v>-6079069000000</v>
      </c>
      <c r="O19" s="4" t="n">
        <v>6863764000000</v>
      </c>
      <c r="P19" s="4" t="n">
        <v>4338587000000</v>
      </c>
      <c r="Q19" s="4" t="n">
        <v>-7914120000000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  <c r="J20" s="4" t="n">
        <v>-6387413000000</v>
      </c>
      <c r="K20" s="4" t="n">
        <v>-33856012000000</v>
      </c>
      <c r="L20" s="4" t="n">
        <v>13805189000000</v>
      </c>
      <c r="M20" s="4" t="n">
        <v>-16447433000000</v>
      </c>
      <c r="N20" s="4" t="n">
        <v>3431116000000</v>
      </c>
      <c r="O20" s="4" t="n">
        <v>-9808041000000</v>
      </c>
      <c r="P20" s="4" t="n">
        <v>7588573000000</v>
      </c>
      <c r="Q20" s="4" t="n">
        <v>-38852184000000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  <c r="J21" s="4" t="n">
        <v>-98880000000</v>
      </c>
      <c r="K21" s="4" t="n">
        <v>269237000000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  <c r="J22" s="4" t="n">
        <v>-34207506000000</v>
      </c>
      <c r="K22" s="4" t="n">
        <v>-5434187000000</v>
      </c>
      <c r="L22" s="4" t="n">
        <v>-31967902000000</v>
      </c>
      <c r="M22" s="4" t="n">
        <v>-46620144000000</v>
      </c>
      <c r="N22" s="4" t="n">
        <v>-56396919000000</v>
      </c>
      <c r="O22" s="4" t="n">
        <v>-907200000000</v>
      </c>
      <c r="P22" s="4" t="n">
        <v>-29246822000000</v>
      </c>
      <c r="Q22" s="4" t="n">
        <v>-50471617000000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  <c r="J24" s="4" t="n">
        <v>-206580000000</v>
      </c>
      <c r="K24" s="4" t="n">
        <v>-488732000000</v>
      </c>
      <c r="L24" s="4" t="n">
        <v>-525500000000</v>
      </c>
      <c r="M24" s="4" t="n">
        <v>-214319000000</v>
      </c>
      <c r="N24" s="4" t="n">
        <v>-372588000000</v>
      </c>
      <c r="O24" s="4" t="n">
        <v>-960384000000</v>
      </c>
      <c r="P24" s="4" t="n">
        <v>-182597000000</v>
      </c>
      <c r="Q24" s="4" t="n">
        <v>-380852000000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  <c r="J25" s="4" t="n">
        <v>16936573000000</v>
      </c>
      <c r="K25" s="4" t="n">
        <v>7395609000000</v>
      </c>
      <c r="L25" s="4" t="n">
        <v>-3646841000000</v>
      </c>
      <c r="M25" s="4" t="n">
        <v>5921853000000</v>
      </c>
      <c r="N25" s="4" t="n">
        <v>-3344188000000</v>
      </c>
      <c r="O25" s="4" t="n">
        <v>-28545992000000</v>
      </c>
      <c r="P25" s="4" t="n">
        <v>5896711000000</v>
      </c>
      <c r="Q25" s="4" t="n">
        <v>4403261000000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4306722000000</v>
      </c>
      <c r="P26" s="4" t="n">
        <v>38028000000</v>
      </c>
      <c r="Q26" s="4" t="n">
        <v>3883888000000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  <c r="J27" s="4" t="n">
        <v>-16150142000000</v>
      </c>
      <c r="K27" s="4" t="n">
        <v>-6223186000000</v>
      </c>
      <c r="L27" s="4" t="n">
        <v>3074617000000</v>
      </c>
      <c r="M27" s="4" t="n">
        <v>1750598000000</v>
      </c>
      <c r="N27" s="4" t="n">
        <v>9579576000000</v>
      </c>
      <c r="O27" s="4" t="n">
        <v>-1660903000000</v>
      </c>
      <c r="P27" s="4" t="n">
        <v>5284205000000</v>
      </c>
      <c r="Q27" s="4" t="n">
        <v>14472278000000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  <c r="J28" s="4" t="n">
        <v>12703939000000</v>
      </c>
      <c r="K28" s="4" t="n">
        <v>38429322000000</v>
      </c>
      <c r="L28" s="4" t="n">
        <v>-1702450000000</v>
      </c>
      <c r="M28" s="4" t="n">
        <v>13424332000000</v>
      </c>
      <c r="N28" s="4" t="n">
        <v>50002432000000</v>
      </c>
      <c r="O28" s="4" t="n">
        <v>23800485000000</v>
      </c>
      <c r="P28" s="4" t="n">
        <v>-18792063000000</v>
      </c>
      <c r="Q28" s="4" t="n">
        <v>62328258000000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  <c r="J29" s="4" t="n">
        <v>0</v>
      </c>
      <c r="K29" s="4" t="n">
        <v>931231000000</v>
      </c>
      <c r="L29" s="4" t="n">
        <v>-242695000000</v>
      </c>
      <c r="M29" s="4" t="n">
        <v>404323000000</v>
      </c>
      <c r="N29" s="4" t="n">
        <v>619294000000</v>
      </c>
      <c r="O29" s="4" t="n">
        <v>704794000000</v>
      </c>
      <c r="P29" s="4" t="n">
        <v>-200636000000</v>
      </c>
      <c r="Q29" s="4" t="n">
        <v>-1369000000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  <c r="J31" s="4" t="n">
        <v>14076026000000</v>
      </c>
      <c r="K31" s="4" t="n">
        <v>14361012000000</v>
      </c>
      <c r="L31" s="4" t="n">
        <v>7510749000000</v>
      </c>
      <c r="M31" s="4" t="n">
        <v>24404572000000</v>
      </c>
      <c r="N31" s="4" t="n">
        <v>9404879000000</v>
      </c>
      <c r="O31" s="4" t="n">
        <v>33587607000000</v>
      </c>
      <c r="P31" s="4" t="n">
        <v>2566880000000</v>
      </c>
      <c r="Q31" s="4" t="n">
        <v>-5817104000000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  <c r="J33" s="4" t="n">
        <v>126015000000</v>
      </c>
      <c r="K33" s="4" t="n">
        <v>-1650307000000</v>
      </c>
      <c r="L33" s="4" t="n">
        <v>1496282000000</v>
      </c>
      <c r="M33" s="4" t="n">
        <v>691408000000</v>
      </c>
      <c r="N33" s="4" t="n">
        <v>3148007000000</v>
      </c>
      <c r="O33" s="4" t="n">
        <v>-2623527000000</v>
      </c>
      <c r="P33" s="4" t="n">
        <v>4866393000000</v>
      </c>
      <c r="Q33" s="4" t="n">
        <v>1840624000000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  <c r="J34" s="4" t="n">
        <v>-1684931000000</v>
      </c>
      <c r="K34" s="4" t="n">
        <v>25033888000000</v>
      </c>
      <c r="L34" s="4" t="n">
        <v>-11014809000000</v>
      </c>
      <c r="M34" s="4" t="n">
        <v>-7771210000000</v>
      </c>
      <c r="N34" s="4" t="n">
        <v>19633302000000</v>
      </c>
      <c r="O34" s="4" t="n">
        <v>39078269000000</v>
      </c>
      <c r="P34" s="4" t="n">
        <v>-12087511000000</v>
      </c>
      <c r="Q34" s="4" t="n">
        <v>-4359470000000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  <c r="J35" s="4" t="n">
        <v>-390000000</v>
      </c>
      <c r="K35" s="4" t="n">
        <v>-221000000</v>
      </c>
      <c r="L35" s="4" t="n">
        <v>-467000000</v>
      </c>
      <c r="M35" s="4" t="n">
        <v>-2000000</v>
      </c>
      <c r="N35" s="4" t="n">
        <v>-287000000</v>
      </c>
      <c r="O35" s="4" t="n">
        <v>-1178000000</v>
      </c>
      <c r="P35" s="4" t="n">
        <v>-264000000</v>
      </c>
      <c r="Q35" s="4" t="n">
        <v>-8000000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  <c r="J37" s="4" t="n">
        <v>-38000000</v>
      </c>
      <c r="K37" s="4" t="n">
        <v>-1249703000000</v>
      </c>
      <c r="L37" s="4" t="n">
        <v>-43000000</v>
      </c>
      <c r="M37" s="4" t="n">
        <v>-2243000000</v>
      </c>
      <c r="N37" s="4" t="n">
        <v>-673000000</v>
      </c>
      <c r="O37" s="4" t="n">
        <v>-56000000</v>
      </c>
      <c r="P37" s="4" t="n">
        <v>-130000000</v>
      </c>
      <c r="Q37" s="4" t="n">
        <v>130000000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  <c r="J39" s="4" t="n">
        <v>-736219000000</v>
      </c>
      <c r="K39" s="4" t="n">
        <v>736219000000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737497000000</v>
      </c>
      <c r="K40" s="4" t="n">
        <v>-736219000000</v>
      </c>
      <c r="L40" s="4" t="n">
        <v>0</v>
      </c>
      <c r="M40" s="4" t="n">
        <v>-10283000000</v>
      </c>
      <c r="N40" s="4" t="n">
        <v>10283000000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  <c r="J45" s="4" t="n">
        <v>14499039000000</v>
      </c>
      <c r="K45" s="4" t="n">
        <v>20797973000000</v>
      </c>
      <c r="L45" s="4" t="n">
        <v>14066961000000</v>
      </c>
      <c r="M45" s="4" t="n">
        <v>16217877000000</v>
      </c>
      <c r="N45" s="4" t="n">
        <v>16500085000000</v>
      </c>
      <c r="O45" s="4" t="n">
        <v>20446205000000</v>
      </c>
      <c r="P45" s="4" t="n">
        <v>19598279000000</v>
      </c>
      <c r="Q45" s="4" t="n">
        <v>21787810000000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  <c r="J46" s="4" t="n">
        <v>-5847446000000</v>
      </c>
      <c r="K46" s="4" t="n">
        <v>-6517275000000</v>
      </c>
      <c r="L46" s="4" t="n">
        <v>-5978921000000</v>
      </c>
      <c r="M46" s="4" t="n">
        <v>-7377543000000</v>
      </c>
      <c r="N46" s="4" t="n">
        <v>-7027917000000</v>
      </c>
      <c r="O46" s="4" t="n">
        <v>-7377237000000</v>
      </c>
      <c r="P46" s="4" t="n">
        <v>-8293092000000</v>
      </c>
      <c r="Q46" s="4" t="n">
        <v>-10191573000000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  <c r="J47" s="4" t="n">
        <v>1967038000000</v>
      </c>
      <c r="K47" s="4" t="n">
        <v>1512713000000</v>
      </c>
      <c r="L47" s="4" t="n">
        <v>1774998000000</v>
      </c>
      <c r="M47" s="4" t="n">
        <v>1992435000000</v>
      </c>
      <c r="N47" s="4" t="n">
        <v>2280122000000</v>
      </c>
      <c r="O47" s="4" t="n">
        <v>2349391000000</v>
      </c>
      <c r="P47" s="4" t="n">
        <v>2854668000000</v>
      </c>
      <c r="Q47" s="4" t="n">
        <v>3855143000000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  <c r="J49" s="4" t="n">
        <v>378272000000</v>
      </c>
      <c r="K49" s="4" t="n">
        <v>-20600000000</v>
      </c>
      <c r="L49" s="4" t="n">
        <v>1054270000000</v>
      </c>
      <c r="M49" s="4" t="n">
        <v>1085080000000</v>
      </c>
      <c r="N49" s="4" t="n">
        <v>1339137000000</v>
      </c>
      <c r="O49" s="4" t="n">
        <v>999540000000</v>
      </c>
      <c r="P49" s="4" t="n">
        <v>865683000000</v>
      </c>
      <c r="Q49" s="4" t="n">
        <v>383834000000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  <c r="J50" s="4" t="n">
        <v>37289000000</v>
      </c>
      <c r="K50" s="4" t="n">
        <v>-1078660000000</v>
      </c>
      <c r="L50" s="4" t="n">
        <v>-102654000000</v>
      </c>
      <c r="M50" s="4" t="n">
        <v>6371000000</v>
      </c>
      <c r="N50" s="4" t="n">
        <v>5713000000</v>
      </c>
      <c r="O50" s="4" t="n">
        <v>186814000000</v>
      </c>
      <c r="P50" s="4" t="n">
        <v>-232677000000</v>
      </c>
      <c r="Q50" s="4" t="n">
        <v>378380000000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  <c r="J51" s="4" t="n">
        <v>-1919821000000</v>
      </c>
      <c r="K51" s="4" t="n">
        <v>-2667704000000</v>
      </c>
      <c r="L51" s="4" t="n">
        <v>-4603082000000</v>
      </c>
      <c r="M51" s="4" t="n">
        <v>-3160841000000</v>
      </c>
      <c r="N51" s="4" t="n">
        <v>-3046546000000</v>
      </c>
      <c r="O51" s="4" t="n">
        <v>-2516217000000</v>
      </c>
      <c r="P51" s="4" t="n">
        <v>-4607109000000</v>
      </c>
      <c r="Q51" s="4" t="n">
        <v>-3484918000000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  <c r="J52" s="4" t="n">
        <v>391342000000</v>
      </c>
      <c r="K52" s="4" t="n">
        <v>309073000000</v>
      </c>
      <c r="L52" s="4" t="n">
        <v>286808000000</v>
      </c>
      <c r="M52" s="4" t="n">
        <v>252745000000</v>
      </c>
      <c r="N52" s="4" t="n">
        <v>561070000000</v>
      </c>
      <c r="O52" s="4" t="n">
        <v>253663000000</v>
      </c>
      <c r="P52" s="4" t="n">
        <v>177395000000</v>
      </c>
      <c r="Q52" s="4" t="n">
        <v>197174000000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  <c r="J53" s="4" t="n">
        <v>378272000000</v>
      </c>
      <c r="K53" s="4" t="n">
        <v>-20600000000</v>
      </c>
      <c r="L53" s="4" t="n">
        <v>1054270000000</v>
      </c>
      <c r="M53" s="4" t="n">
        <v>1085080000000</v>
      </c>
      <c r="N53" s="4" t="n">
        <v>1339137000000</v>
      </c>
      <c r="O53" s="4" t="n">
        <v>999540000000</v>
      </c>
      <c r="P53" s="4" t="n">
        <v>865683000000</v>
      </c>
      <c r="Q53" s="4" t="n">
        <v>383834000000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60.875" customWidth="1" min="1" max="1"/>
    <col width="17.125" customWidth="1" min="2" max="2"/>
    <col width="10.625" customWidth="1" min="3" max="3"/>
    <col width="20.375" customWidth="1" min="9" max="9"/>
    <col width="19.62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n"/>
      <c r="C2" s="9">
        <f>IFERROR(C$60/AVERAGE(B$48,C$48),"n/a")</f>
        <v/>
      </c>
      <c r="D2" s="9">
        <f>IFERROR(D$60/AVERAGE(C$48,D$48),"n/a")</f>
        <v/>
      </c>
      <c r="E2" s="9">
        <f>IFERROR(E$60/AVERAGE(D$48,E$48),"n/a")</f>
        <v/>
      </c>
      <c r="F2" s="9">
        <f>IFERROR(F$60/AVERAGE(E$48,F$48),"n/a")</f>
        <v/>
      </c>
      <c r="G2" s="9">
        <f>IFERROR(G$60/AVERAGE(F$48,G$48),"n/a")</f>
        <v/>
      </c>
      <c r="H2" s="9">
        <f>IFERROR(H$60/AVERAGE(G$48,H$48),"n/a")</f>
        <v/>
      </c>
      <c r="I2" s="9">
        <f>IFERROR(I$60/AVERAGE(H$48,I$48),"n/a")</f>
        <v/>
      </c>
    </row>
    <row r="3">
      <c r="A3" s="7" t="inlineStr">
        <is>
          <t>Tăng trưởng LNST</t>
        </is>
      </c>
      <c r="B3" s="8" t="n"/>
      <c r="C3" s="10">
        <f>IFERROR((C$60-B$60)/ABS(B$60),"n/a")</f>
        <v/>
      </c>
      <c r="D3" s="10">
        <f>IFERROR((D$60-C$60)/ABS(C$60),"n/a")</f>
        <v/>
      </c>
      <c r="E3" s="10">
        <f>IFERROR((E$60-D$60)/ABS(D$60),"n/a")</f>
        <v/>
      </c>
      <c r="F3" s="10">
        <f>IFERROR((F$60-E$60)/ABS(E$60),"n/a")</f>
        <v/>
      </c>
      <c r="G3" s="10">
        <f>IFERROR((G$60-F$60)/ABS(F$60),"n/a")</f>
        <v/>
      </c>
      <c r="H3" s="10">
        <f>IFERROR((H$60-G$60)/ABS(G$60),"n/a")</f>
        <v/>
      </c>
      <c r="I3" s="10">
        <f>IFERROR((I$60-H$60)/ABS(H$60),"n/a")</f>
        <v/>
      </c>
      <c r="J3" s="10">
        <f>IFERROR((J$60-I$60)/ABS(I$60),"n/a")</f>
        <v/>
      </c>
    </row>
    <row r="4">
      <c r="A4" s="7" t="inlineStr">
        <is>
          <t>Tăng trưởng thu nhập hoạt động</t>
        </is>
      </c>
      <c r="B4" s="8" t="n"/>
      <c r="C4" s="11">
        <f>IFERROR((C$54-B$54)/ABS(B$54),"n/a")</f>
        <v/>
      </c>
      <c r="D4" s="11">
        <f>IFERROR((D$54-C$54)/ABS(C$54),"n/a")</f>
        <v/>
      </c>
      <c r="E4" s="11">
        <f>IFERROR((E$54-D$54)/ABS(D$54),"n/a")</f>
        <v/>
      </c>
      <c r="F4" s="11">
        <f>IFERROR((F$54-E$54)/ABS(E$54),"n/a")</f>
        <v/>
      </c>
      <c r="G4" s="11">
        <f>IFERROR((G$54-F$54)/ABS(F$54),"n/a")</f>
        <v/>
      </c>
      <c r="H4" s="11">
        <f>IFERROR((H$54-G$54)/ABS(G$54),"n/a")</f>
        <v/>
      </c>
      <c r="I4" s="11">
        <f>IFERROR((I$54-H$54)/ABS(H$54),"n/a")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IFERROR(B$54/AVERAGE(B$42,A42),"n/a")</f>
        <v/>
      </c>
      <c r="C6" s="8">
        <f>IFERROR(C$54/AVERAGE(C$42,B42),"n/a")</f>
        <v/>
      </c>
      <c r="D6" s="8">
        <f>IFERROR(D$54/AVERAGE(D$42,C42),"n/a")</f>
        <v/>
      </c>
      <c r="E6" s="8">
        <f>IFERROR(E$54/AVERAGE(E$42,D42),"n/a")</f>
        <v/>
      </c>
      <c r="F6" s="8">
        <f>IFERROR(F$54/AVERAGE(F$42,E42),"n/a")</f>
        <v/>
      </c>
      <c r="G6" s="8">
        <f>IFERROR(G$54/AVERAGE(G$42,F42),"n/a")</f>
        <v/>
      </c>
      <c r="H6" s="8">
        <f>IFERROR(H$54/AVERAGE(H$42,G42),"n/a")</f>
        <v/>
      </c>
      <c r="I6" s="8">
        <f>IFERROR(I$54/AVERAGE(I$42,H42),"n/a")</f>
        <v/>
      </c>
    </row>
    <row r="7">
      <c r="A7" s="7" t="inlineStr">
        <is>
          <t>CASA</t>
        </is>
      </c>
      <c r="B7" s="8" t="n"/>
      <c r="C7" s="8">
        <f>IFERROR((B$45+C$45+B$47+C$47)/(B$44+C$44),"n/a")</f>
        <v/>
      </c>
      <c r="D7" s="8">
        <f>IFERROR((C$45+D$45+C$47+D$47)/(C$44+D$44),"n/a")</f>
        <v/>
      </c>
      <c r="E7" s="8">
        <f>IFERROR((D$45+E$45+D$47+E$47)/(D$44+E$44),"n/a")</f>
        <v/>
      </c>
      <c r="F7" s="8">
        <f>IFERROR((E$45+F$45+E$47+F$47)/(E$44+F$44),"n/a")</f>
        <v/>
      </c>
      <c r="G7" s="8">
        <f>IFERROR((F$45+G$45+F$47+G$47)/(F$44+G$44),"n/a")</f>
        <v/>
      </c>
      <c r="H7" s="8">
        <f>IFERROR((G$45+H$45+G$47+H$47)/(G$44+H$44),"n/a")</f>
        <v/>
      </c>
      <c r="I7" s="8">
        <f>IFERROR((H$45+I$45+H$47+I$47)/(H$44+I$44),"n/a")</f>
        <v/>
      </c>
    </row>
    <row r="8">
      <c r="A8" s="7" t="inlineStr">
        <is>
          <t>NPL</t>
        </is>
      </c>
      <c r="B8" s="8" t="n"/>
      <c r="C8" s="8">
        <f>IFERROR((C$35/#REF!),"n/a")</f>
        <v/>
      </c>
      <c r="D8" s="8">
        <f>IFERROR((D$35/#REF!),"n/a")</f>
        <v/>
      </c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IFERROR(ABS(C$53)/AVERAGE(C$42,B42),"n/a")</f>
        <v/>
      </c>
      <c r="D9" s="13">
        <f>IFERROR(ABS(D$53)/AVERAGE(D$42,C42),"n/a")</f>
        <v/>
      </c>
      <c r="E9" s="13">
        <f>IFERROR(ABS(E$53)/AVERAGE(E$42,D42),"n/a")</f>
        <v/>
      </c>
      <c r="F9" s="13">
        <f>IFERROR(ABS(F$53)/AVERAGE(F$42,E42),"n/a")</f>
        <v/>
      </c>
      <c r="G9" s="13">
        <f>IFERROR(ABS(G$53)/AVERAGE(G$42,F42),"n/a")</f>
        <v/>
      </c>
      <c r="H9" s="13">
        <f>IFERROR(ABS(H$53)/AVERAGE(H$42,G42),"n/a")</f>
        <v/>
      </c>
      <c r="I9" s="13">
        <f>IFERROR(ABS(I$53)/AVERAGE(I$42,H42),"n/a")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IFERROR(ABS(B$57)/B$56,"n/a")</f>
        <v/>
      </c>
      <c r="C15" s="8">
        <f>IFERROR(ABS(C$57)/C$56,"n/a")</f>
        <v/>
      </c>
      <c r="D15" s="8">
        <f>IFERROR(ABS(D$57)/D$56,"n/a")</f>
        <v/>
      </c>
      <c r="E15" s="8">
        <f>IFERROR(ABS(E$57)/E$56,"n/a")</f>
        <v/>
      </c>
      <c r="F15" s="8">
        <f>IFERROR(ABS(F$57)/F$56,"n/a")</f>
        <v/>
      </c>
      <c r="G15" s="8">
        <f>IFERROR(ABS(G$57)/G$56,"n/a")</f>
        <v/>
      </c>
      <c r="H15" s="8">
        <f>IFERROR(ABS(H$57)/H$56,"n/a")</f>
        <v/>
      </c>
      <c r="I15" s="8">
        <f>IFERROR(ABS(I$57)/I$56,"n/a")</f>
        <v/>
      </c>
    </row>
    <row r="16">
      <c r="A16" s="12" t="inlineStr">
        <is>
          <t>VCSH/Tổng tài sản</t>
        </is>
      </c>
      <c r="B16" s="13">
        <f>IFERROR(B$48/B$24,"n/a")</f>
        <v/>
      </c>
      <c r="C16" s="13">
        <f>IFERROR(C$48/C$24,"n/a")</f>
        <v/>
      </c>
      <c r="D16" s="13">
        <f>IFERROR(D$48/D$24,"n/a")</f>
        <v/>
      </c>
      <c r="E16" s="13">
        <f>IFERROR(E$48/E$24,"n/a")</f>
        <v/>
      </c>
      <c r="F16" s="13">
        <f>IFERROR(F$48/F$24,"n/a")</f>
        <v/>
      </c>
      <c r="G16" s="13">
        <f>IFERROR(G$48/G$24,"n/a")</f>
        <v/>
      </c>
      <c r="H16" s="13">
        <f>IFERROR(H$48/H$24,"n/a")</f>
        <v/>
      </c>
      <c r="I16" s="13">
        <f>IFERROR(I$48/I$24,"n/a")</f>
        <v/>
      </c>
    </row>
    <row r="17">
      <c r="A17" s="12" t="inlineStr">
        <is>
          <t>Tỷ lệ lãi và phí phải thu/Thu nhập lãi</t>
        </is>
      </c>
      <c r="B17" s="13">
        <f>IFERROR(B58/B$52,"n/a")</f>
        <v/>
      </c>
      <c r="C17" s="13">
        <f>IFERROR(C58/C$52,"n/a")</f>
        <v/>
      </c>
      <c r="D17" s="13">
        <f>IFERROR(D58/D$52,"n/a")</f>
        <v/>
      </c>
      <c r="E17" s="13">
        <f>IFERROR(E58/E$52,"n/a")</f>
        <v/>
      </c>
      <c r="F17" s="13">
        <f>IFERROR(F58/F$52,"n/a")</f>
        <v/>
      </c>
      <c r="G17" s="13">
        <f>IFERROR(G58/G$52,"n/a")</f>
        <v/>
      </c>
      <c r="H17" s="13">
        <f>IFERROR(H58/H$52,"n/a")</f>
        <v/>
      </c>
      <c r="I17" s="13">
        <f>IFERROR(I58/I$52,"n/a")</f>
        <v/>
      </c>
    </row>
    <row r="18">
      <c r="A18" s="7" t="inlineStr">
        <is>
          <t>Thu nhập ngoài lãi/Thu nhập hoạt động</t>
        </is>
      </c>
      <c r="B18" s="8">
        <f>IFERROR(B$55/B$56,"n/a")</f>
        <v/>
      </c>
      <c r="C18" s="8">
        <f>IFERROR(C$55/C$56,"n/a")</f>
        <v/>
      </c>
      <c r="D18" s="8">
        <f>IFERROR(D$55/D$56,"n/a")</f>
        <v/>
      </c>
      <c r="E18" s="8">
        <f>IFERROR(E$55/E$56,"n/a")</f>
        <v/>
      </c>
      <c r="F18" s="8">
        <f>IFERROR(F$55/F$56,"n/a")</f>
        <v/>
      </c>
      <c r="G18" s="8">
        <f>IFERROR(G$55/G$56,"n/a")</f>
        <v/>
      </c>
      <c r="H18" s="8">
        <f>IFERROR(H$55/H$56,"n/a")</f>
        <v/>
      </c>
      <c r="I18" s="8">
        <f>IFERROR(I$55/I$56,"n/a")</f>
        <v/>
      </c>
    </row>
    <row r="19"/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vay các TCTD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>
        <v>154548000000000</v>
      </c>
      <c r="C30" s="22" t="n">
        <v>225601000000000</v>
      </c>
      <c r="D30" s="22" t="n">
        <v>274424000000000</v>
      </c>
      <c r="E30" s="22" t="n">
        <v>342903000000000</v>
      </c>
      <c r="F30" s="22" t="n">
        <v>399403000000000</v>
      </c>
      <c r="G30" s="22" t="n">
        <v>491584000000000</v>
      </c>
      <c r="H30" s="22" t="n">
        <v>594272000000000</v>
      </c>
      <c r="I30" s="22" t="n">
        <v>711707000000000</v>
      </c>
      <c r="J30" s="19" t="n"/>
    </row>
    <row r="31">
      <c r="A31" s="20" t="inlineStr">
        <is>
          <t>+ Nợ cần chú ý</t>
        </is>
      </c>
      <c r="B31" s="22" t="n">
        <v>2588000000000</v>
      </c>
      <c r="C31" s="22" t="n">
        <v>2123000000000</v>
      </c>
      <c r="D31" s="22" t="n">
        <v>1806000000000</v>
      </c>
      <c r="E31" s="22" t="n">
        <v>2145000000000</v>
      </c>
      <c r="F31" s="22" t="n">
        <v>8733000000000</v>
      </c>
      <c r="G31" s="22" t="n">
        <v>4439000000000</v>
      </c>
      <c r="H31" s="22" t="n">
        <v>4441000000000</v>
      </c>
      <c r="I31" s="22" t="n">
        <v>3852000000000</v>
      </c>
      <c r="J31" s="19" t="n"/>
    </row>
    <row r="32">
      <c r="A32" s="20" t="inlineStr">
        <is>
          <t>+ Nợ dưới tiêu chuẩn</t>
        </is>
      </c>
      <c r="B32" s="22" t="n">
        <v>238000000000</v>
      </c>
      <c r="C32" s="22" t="n">
        <v>218000000000</v>
      </c>
      <c r="D32" s="22" t="n">
        <v>417000000000</v>
      </c>
      <c r="E32" s="22" t="n">
        <v>679000000000</v>
      </c>
      <c r="F32" s="22" t="n">
        <v>902000000000</v>
      </c>
      <c r="G32" s="22" t="n">
        <v>1857000000000</v>
      </c>
      <c r="H32" s="22" t="n">
        <v>1366000000000</v>
      </c>
      <c r="I32" s="22" t="n">
        <v>918000000000</v>
      </c>
      <c r="J32" s="19" t="n"/>
    </row>
    <row r="33">
      <c r="A33" s="20" t="inlineStr">
        <is>
          <t>+ Nợ nghi ngờ</t>
        </is>
      </c>
      <c r="B33" s="22" t="n">
        <v>86000000000</v>
      </c>
      <c r="C33" s="22" t="n">
        <v>31000000000</v>
      </c>
      <c r="D33" s="22" t="n">
        <v>534000000000</v>
      </c>
      <c r="E33" s="22" t="n">
        <v>860000000000</v>
      </c>
      <c r="F33" s="22" t="n">
        <v>1131000000000</v>
      </c>
      <c r="G33" s="22" t="n">
        <v>2762000000000</v>
      </c>
      <c r="H33" s="22" t="n">
        <v>2466000000000</v>
      </c>
      <c r="I33" s="22" t="n">
        <v>1339000000000</v>
      </c>
      <c r="J33" s="19" t="n"/>
    </row>
    <row r="34">
      <c r="A34" s="20" t="inlineStr">
        <is>
          <t>+ Nợ có khả năng mất vốn</t>
        </is>
      </c>
      <c r="B34" s="22" t="n">
        <v>1703000000000</v>
      </c>
      <c r="C34" s="22" t="n">
        <v>2555000000000</v>
      </c>
      <c r="D34" s="22" t="n">
        <v>344000000000</v>
      </c>
      <c r="E34" s="22" t="n">
        <v>755000000000</v>
      </c>
      <c r="F34" s="22" t="n">
        <v>1000000000000</v>
      </c>
      <c r="G34" s="22" t="n">
        <v>1380000000000</v>
      </c>
      <c r="H34" s="22" t="n">
        <v>3270000000000</v>
      </c>
      <c r="I34" s="22" t="n">
        <v>5941000000000</v>
      </c>
      <c r="J34" s="19" t="n"/>
    </row>
    <row r="35">
      <c r="A35" s="23" t="inlineStr">
        <is>
          <t>Nợ xấu</t>
        </is>
      </c>
      <c r="B35" s="24">
        <f>SUM(B32:B34)</f>
        <v/>
      </c>
      <c r="C35" s="24">
        <f>SUM(C32:C34)</f>
        <v/>
      </c>
      <c r="D35" s="24">
        <f>SUM(D32:D34)</f>
        <v/>
      </c>
      <c r="E35" s="24">
        <f>SUM(E32:E34)</f>
        <v/>
      </c>
      <c r="F35" s="24">
        <f>SUM(F32:F34)</f>
        <v/>
      </c>
      <c r="G35" s="24">
        <f>SUM(G32:G34)</f>
        <v/>
      </c>
      <c r="H35" s="24">
        <f>SUM(H32:H34)</f>
        <v/>
      </c>
      <c r="I35" s="24">
        <f>SUM(I32:I34)</f>
        <v/>
      </c>
      <c r="J35" s="25" t="n"/>
    </row>
    <row r="36">
      <c r="A36" s="20" t="inlineStr">
        <is>
          <t>Cho vay KDBĐS</t>
        </is>
      </c>
      <c r="B36" s="22" t="n">
        <v>13555000000000</v>
      </c>
      <c r="C36" s="22" t="n">
        <v>50422000000000</v>
      </c>
      <c r="D36" s="22" t="n">
        <v>91361000000000</v>
      </c>
      <c r="E36" s="22" t="n">
        <v>95613000000000</v>
      </c>
      <c r="F36" s="22" t="n">
        <v>108805000000000</v>
      </c>
      <c r="G36" s="22" t="n">
        <v>176804000000000</v>
      </c>
      <c r="H36" s="22" t="n">
        <v>187100000000000</v>
      </c>
      <c r="I36" s="22" t="n">
        <v>207027000000000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4">
        <f>B25+B26-B27+B28+B29+B38-B39+B40-B41</f>
        <v/>
      </c>
      <c r="C42" s="24">
        <f>C25+C26-C27+C28+C29+C38-C39+C40-C41</f>
        <v/>
      </c>
      <c r="D42" s="24">
        <f>D25+D26-D27+D28+D29+D38-D39+D40-D41</f>
        <v/>
      </c>
      <c r="E42" s="24">
        <f>E25+E26-E27+E28+E29+E38-E39+E40-E41</f>
        <v/>
      </c>
      <c r="F42" s="24">
        <f>F25+F26-F27+F28+F29+F38-F39+F40-F41</f>
        <v/>
      </c>
      <c r="G42" s="24">
        <f>G25+G26-G27+G28+G29+G38-G39+G40-G41</f>
        <v/>
      </c>
      <c r="H42" s="24">
        <f>H25+H26-H27+H28+H29+H38-H39+H40-H41</f>
        <v/>
      </c>
      <c r="I42" s="24">
        <f>I25+I26-I27+I28+I29+I38-I39+I40-I41</f>
        <v/>
      </c>
      <c r="J42" s="19" t="n"/>
    </row>
    <row r="43">
      <c r="A43" s="26" t="inlineStr">
        <is>
          <t>Nguồn vốn</t>
        </is>
      </c>
      <c r="B43" s="27" t="n"/>
      <c r="C43" s="27" t="n"/>
      <c r="D43" s="27" t="n"/>
      <c r="E43" s="27" t="n"/>
      <c r="F43" s="27" t="n"/>
      <c r="G43" s="27" t="n"/>
      <c r="H43" s="27" t="n"/>
      <c r="I43" s="27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>
        <v>54613000000000</v>
      </c>
      <c r="C45" s="22" t="n">
        <v>76053000000000</v>
      </c>
      <c r="D45" s="22" t="n">
        <v>116113000000000</v>
      </c>
      <c r="E45" s="22" t="n">
        <v>147861000000000</v>
      </c>
      <c r="F45" s="22" t="n">
        <v>123079000000000</v>
      </c>
      <c r="G45" s="22" t="n">
        <v>172756000000000</v>
      </c>
      <c r="H45" s="22" t="n">
        <v>191720000000000</v>
      </c>
      <c r="I45" s="22" t="n">
        <v>213415000000000</v>
      </c>
      <c r="J45" s="19" t="n"/>
    </row>
    <row r="46">
      <c r="A46" s="20" t="inlineStr">
        <is>
          <t>+ Tiền gửi có kỳ hạn</t>
        </is>
      </c>
      <c r="B46" s="22" t="n">
        <v>143613000000000</v>
      </c>
      <c r="C46" s="22" t="n">
        <v>151581000000000</v>
      </c>
      <c r="D46" s="22" t="n">
        <v>144128000000000</v>
      </c>
      <c r="E46" s="22" t="n">
        <v>155894000000000</v>
      </c>
      <c r="F46" s="22" t="n">
        <v>225942000000000</v>
      </c>
      <c r="G46" s="22" t="n">
        <v>273187000000000</v>
      </c>
      <c r="H46" s="22" t="n">
        <v>334150000000000</v>
      </c>
      <c r="I46" s="22" t="n">
        <v>396881000000000</v>
      </c>
      <c r="J46" s="19" t="n"/>
    </row>
    <row r="47">
      <c r="A47" s="20" t="inlineStr">
        <is>
          <t>+ Tiền ký quỹ</t>
        </is>
      </c>
      <c r="B47" s="22" t="n">
        <v>319000000000</v>
      </c>
      <c r="C47" s="22" t="n">
        <v>366000000000</v>
      </c>
      <c r="D47" s="22" t="n">
        <v>4987000000000</v>
      </c>
      <c r="E47" s="22" t="n">
        <v>10997000000000</v>
      </c>
      <c r="F47" s="22" t="n">
        <v>9383000000000</v>
      </c>
      <c r="G47" s="22" t="n">
        <v>8718000000000</v>
      </c>
      <c r="H47" s="22" t="n">
        <v>7523000000000</v>
      </c>
      <c r="I47" s="22" t="n">
        <v>8615000000000</v>
      </c>
      <c r="J47" s="19" t="n"/>
    </row>
    <row r="48">
      <c r="A48" s="16" t="inlineStr">
        <is>
          <t>VỐN CHỦ SỞ HỮU</t>
        </is>
      </c>
      <c r="B48" s="28">
        <f>IFERROR(INDEX(balance_sheet!$B:$I,MATCH("VỐN CHỦ SỞ HỮU",balance_sheet!$A:$A,0),MATCH(B$21,balance_sheet!$B$1:$I$1,0)),"")</f>
        <v/>
      </c>
      <c r="C48" s="28">
        <f>IFERROR(INDEX(balance_sheet!$B:$I,MATCH("VỐN CHỦ SỞ HỮU",balance_sheet!$A:$A,0),MATCH(C$21,balance_sheet!$B$1:$I$1,0)),"")</f>
        <v/>
      </c>
      <c r="D48" s="28">
        <f>IFERROR(INDEX(balance_sheet!$B:$I,MATCH("VỐN CHỦ SỞ HỮU",balance_sheet!$A:$A,0),MATCH(D$21,balance_sheet!$B$1:$I$1,0)),"")</f>
        <v/>
      </c>
      <c r="E48" s="28">
        <f>IFERROR(INDEX(balance_sheet!$B:$I,MATCH("VỐN CHỦ SỞ HỮU",balance_sheet!$A:$A,0),MATCH(E$21,balance_sheet!$B$1:$I$1,0)),"")</f>
        <v/>
      </c>
      <c r="F48" s="28">
        <f>IFERROR(INDEX(balance_sheet!$B:$I,MATCH("VỐN CHỦ SỞ HỮU",balance_sheet!$A:$A,0),MATCH(F$21,balance_sheet!$B$1:$I$1,0)),"")</f>
        <v/>
      </c>
      <c r="G48" s="28">
        <f>IFERROR(INDEX(balance_sheet!$B:$I,MATCH("VỐN CHỦ SỞ HỮU",balance_sheet!$A:$A,0),MATCH(G$21,balance_sheet!$B$1:$I$1,0)),"")</f>
        <v/>
      </c>
      <c r="H48" s="28">
        <f>IFERROR(INDEX(balance_sheet!$B:$I,MATCH("VỐN CHỦ SỞ HỮU",balance_sheet!$A:$A,0),MATCH(H$21,balance_sheet!$B$1:$I$1,0)),"")</f>
        <v/>
      </c>
      <c r="I48" s="28">
        <f>IFERROR(INDEX(balance_sheet!$B:$I,MATCH("VỐN CHỦ SỞ HỮU",balance_sheet!$A:$A,0),MATCH(I$21,balance_sheet!$B$1:$I$1,0)),"")</f>
        <v/>
      </c>
      <c r="J48" s="28">
        <f>I48+J60</f>
        <v/>
      </c>
    </row>
    <row r="49">
      <c r="A49" s="29" t="inlineStr">
        <is>
          <t>Tăng VCSH/LN cty mẹ</t>
        </is>
      </c>
      <c r="B49" s="30" t="n"/>
      <c r="C49" s="30">
        <f>(C48-B48)/C60</f>
        <v/>
      </c>
      <c r="D49" s="30">
        <f>(D48-C48)/D60</f>
        <v/>
      </c>
      <c r="E49" s="30">
        <f>(E48-D48)/E60</f>
        <v/>
      </c>
      <c r="F49" s="30">
        <f>(F48-E48)/F60</f>
        <v/>
      </c>
      <c r="G49" s="30">
        <f>(G48-F48)/G60</f>
        <v/>
      </c>
      <c r="H49" s="30">
        <f>(H48-G48)/H60</f>
        <v/>
      </c>
      <c r="I49" s="30">
        <f>(I48-H48)/I60</f>
        <v/>
      </c>
      <c r="J49" s="31" t="n"/>
    </row>
    <row r="50">
      <c r="A50" s="16" t="inlineStr">
        <is>
          <t>Lợi ích của cổ đông thiểu số</t>
        </is>
      </c>
      <c r="B50" s="28">
        <f>IFERROR(INDEX(balance_sheet!$B:$I,MATCH("Lợi ích của cổ đông thiểu số",balance_sheet!$A:$A,0),MATCH(B$21,balance_sheet!$B$1:$I$1,0)),"")</f>
        <v/>
      </c>
      <c r="C50" s="28">
        <f>IFERROR(INDEX(balance_sheet!$B:$I,MATCH("Lợi ích của cổ đông thiểu số",balance_sheet!$A:$A,0),MATCH(C$21,balance_sheet!$B$1:$I$1,0)),"")</f>
        <v/>
      </c>
      <c r="D50" s="28">
        <f>IFERROR(INDEX(balance_sheet!$B:$I,MATCH("Lợi ích của cổ đông thiểu số",balance_sheet!$A:$A,0),MATCH(D$21,balance_sheet!$B$1:$I$1,0)),"")</f>
        <v/>
      </c>
      <c r="E50" s="28">
        <f>IFERROR(INDEX(balance_sheet!$B:$I,MATCH("Lợi ích của cổ đông thiểu số",balance_sheet!$A:$A,0),MATCH(E$21,balance_sheet!$B$1:$I$1,0)),"")</f>
        <v/>
      </c>
      <c r="F50" s="28">
        <f>IFERROR(INDEX(balance_sheet!$B:$I,MATCH("Lợi ích của cổ đông thiểu số",balance_sheet!$A:$A,0),MATCH(F$21,balance_sheet!$B$1:$I$1,0)),"")</f>
        <v/>
      </c>
      <c r="G50" s="28">
        <f>IFERROR(INDEX(balance_sheet!$B:$I,MATCH("Lợi ích của cổ đông thiểu số",balance_sheet!$A:$A,0),MATCH(G$21,balance_sheet!$B$1:$I$1,0)),"")</f>
        <v/>
      </c>
      <c r="H50" s="28">
        <f>IFERROR(INDEX(balance_sheet!$B:$I,MATCH("Lợi ích của cổ đông thiểu số",balance_sheet!$A:$A,0),MATCH(H$21,balance_sheet!$B$1:$I$1,0)),"")</f>
        <v/>
      </c>
      <c r="I50" s="28">
        <f>IFERROR(INDEX(balance_sheet!$B:$I,MATCH("Lợi ích của cổ đông thiểu số",balance_sheet!$A:$A,0),MATCH(I$21,balance_sheet!$B$1:$I$1,0)),"")</f>
        <v/>
      </c>
    </row>
    <row r="51">
      <c r="A51" s="16" t="inlineStr">
        <is>
          <t>Kết quả hoạt động kinh doanh</t>
        </is>
      </c>
      <c r="B51" s="21" t="n"/>
      <c r="C51" s="21" t="n"/>
      <c r="D51" s="21" t="n"/>
      <c r="E51" s="21" t="n"/>
      <c r="F51" s="21" t="n"/>
      <c r="G51" s="21" t="n"/>
      <c r="H51" s="21" t="n"/>
      <c r="I51" s="21" t="n"/>
      <c r="J51" s="19" t="n"/>
    </row>
    <row r="52">
      <c r="A52" s="20" t="inlineStr">
        <is>
          <t>Thu nhập lãi</t>
        </is>
      </c>
      <c r="B52" s="21">
        <f>IFERROR(INDEX(income_statement!$B:$I,MATCH("Thu nhập lãi và các khoản thu nhập tương tự",income_statement!$A:$A,0),MATCH(B$21,income_statement!$B$1:$I$1,0)),"")</f>
        <v/>
      </c>
      <c r="C52" s="21">
        <f>IFERROR(INDEX(income_statement!$B:$I,MATCH("Thu nhập lãi và các khoản thu nhập tương tự",income_statement!$A:$A,0),MATCH(C$21,income_statement!$B$1:$I$1,0)),"")</f>
        <v/>
      </c>
      <c r="D52" s="21">
        <f>IFERROR(INDEX(income_statement!$B:$I,MATCH("Thu nhập lãi và các khoản thu nhập tương tự",income_statement!$A:$A,0),MATCH(D$21,income_statement!$B$1:$I$1,0)),"")</f>
        <v/>
      </c>
      <c r="E52" s="21">
        <f>IFERROR(INDEX(income_statement!$B:$I,MATCH("Thu nhập lãi và các khoản thu nhập tương tự",income_statement!$A:$A,0),MATCH(E$21,income_statement!$B$1:$I$1,0)),"")</f>
        <v/>
      </c>
      <c r="F52" s="21">
        <f>IFERROR(INDEX(income_statement!$B:$I,MATCH("Thu nhập lãi và các khoản thu nhập tương tự",income_statement!$A:$A,0),MATCH(F$21,income_statement!$B$1:$I$1,0)),"")</f>
        <v/>
      </c>
      <c r="G52" s="21">
        <f>IFERROR(INDEX(income_statement!$B:$I,MATCH("Thu nhập lãi và các khoản thu nhập tương tự",income_statement!$A:$A,0),MATCH(G$21,income_statement!$B$1:$I$1,0)),"")</f>
        <v/>
      </c>
      <c r="H52" s="21">
        <f>IFERROR(INDEX(income_statement!$B:$I,MATCH("Thu nhập lãi và các khoản thu nhập tương tự",income_statement!$A:$A,0),MATCH(H$21,income_statement!$B$1:$I$1,0)),"")</f>
        <v/>
      </c>
      <c r="I52" s="21">
        <f>IFERROR(INDEX(income_statement!$B:$I,MATCH("Thu nhập lãi và các khoản thu nhập tương tự",income_statement!$A:$A,0),MATCH(I$21,income_statement!$B$1:$I$1,0)),"")</f>
        <v/>
      </c>
      <c r="J52" s="19" t="n"/>
    </row>
    <row r="53">
      <c r="A53" s="20" t="inlineStr">
        <is>
          <t>Chi phí lãi</t>
        </is>
      </c>
      <c r="B53" s="21">
        <f>IFERROR(INDEX(income_statement!$B:$I,MATCH("Chi phí lãi và các chi phí tương tự",income_statement!$A:$A,0),MATCH(B$21,income_statement!$B$1:$I$1,0)),"")</f>
        <v/>
      </c>
      <c r="C53" s="21">
        <f>IFERROR(INDEX(income_statement!$B:$I,MATCH("Chi phí lãi và các chi phí tương tự",income_statement!$A:$A,0),MATCH(C$21,income_statement!$B$1:$I$1,0)),"")</f>
        <v/>
      </c>
      <c r="D53" s="21">
        <f>IFERROR(INDEX(income_statement!$B:$I,MATCH("Chi phí lãi và các chi phí tương tự",income_statement!$A:$A,0),MATCH(D$21,income_statement!$B$1:$I$1,0)),"")</f>
        <v/>
      </c>
      <c r="E53" s="21">
        <f>IFERROR(INDEX(income_statement!$B:$I,MATCH("Chi phí lãi và các chi phí tương tự",income_statement!$A:$A,0),MATCH(E$21,income_statement!$B$1:$I$1,0)),"")</f>
        <v/>
      </c>
      <c r="F53" s="21">
        <f>IFERROR(INDEX(income_statement!$B:$I,MATCH("Chi phí lãi và các chi phí tương tự",income_statement!$A:$A,0),MATCH(F$21,income_statement!$B$1:$I$1,0)),"")</f>
        <v/>
      </c>
      <c r="G53" s="21">
        <f>IFERROR(INDEX(income_statement!$B:$I,MATCH("Chi phí lãi và các chi phí tương tự",income_statement!$A:$A,0),MATCH(G$21,income_statement!$B$1:$I$1,0)),"")</f>
        <v/>
      </c>
      <c r="H53" s="21">
        <f>IFERROR(INDEX(income_statement!$B:$I,MATCH("Chi phí lãi và các chi phí tương tự",income_statement!$A:$A,0),MATCH(H$21,income_statement!$B$1:$I$1,0)),"")</f>
        <v/>
      </c>
      <c r="I53" s="21">
        <f>IFERROR(INDEX(income_statement!$B:$I,MATCH("Chi phí lãi và các chi phí tương tự",income_statement!$A:$A,0),MATCH(I$21,income_statement!$B$1:$I$1,0)),"")</f>
        <v/>
      </c>
      <c r="J53" s="19" t="n"/>
    </row>
    <row r="54">
      <c r="A54" s="16" t="inlineStr">
        <is>
          <t>Thu nhập lãi thuần</t>
        </is>
      </c>
      <c r="B54" s="28">
        <f>IFERROR(INDEX(income_statement!$B:$I,MATCH("Thu nhập lãi thuần",income_statement!$A:$A,0),MATCH(B$21,income_statement!$B$1:$I$1,0)),"")</f>
        <v/>
      </c>
      <c r="C54" s="28">
        <f>IFERROR(INDEX(income_statement!$B:$I,MATCH("Thu nhập lãi thuần",income_statement!$A:$A,0),MATCH(C$21,income_statement!$B$1:$I$1,0)),"")</f>
        <v/>
      </c>
      <c r="D54" s="28">
        <f>IFERROR(INDEX(income_statement!$B:$I,MATCH("Thu nhập lãi thuần",income_statement!$A:$A,0),MATCH(D$21,income_statement!$B$1:$I$1,0)),"")</f>
        <v/>
      </c>
      <c r="E54" s="28">
        <f>IFERROR(INDEX(income_statement!$B:$I,MATCH("Thu nhập lãi thuần",income_statement!$A:$A,0),MATCH(E$21,income_statement!$B$1:$I$1,0)),"")</f>
        <v/>
      </c>
      <c r="F54" s="28">
        <f>IFERROR(INDEX(income_statement!$B:$I,MATCH("Thu nhập lãi thuần",income_statement!$A:$A,0),MATCH(F$21,income_statement!$B$1:$I$1,0)),"")</f>
        <v/>
      </c>
      <c r="G54" s="28">
        <f>IFERROR(INDEX(income_statement!$B:$I,MATCH("Thu nhập lãi thuần",income_statement!$A:$A,0),MATCH(G$21,income_statement!$B$1:$I$1,0)),"")</f>
        <v/>
      </c>
      <c r="H54" s="28">
        <f>IFERROR(INDEX(income_statement!$B:$I,MATCH("Thu nhập lãi thuần",income_statement!$A:$A,0),MATCH(H$21,income_statement!$B$1:$I$1,0)),"")</f>
        <v/>
      </c>
      <c r="I54" s="28">
        <f>IFERROR(INDEX(income_statement!$B:$I,MATCH("Thu nhập lãi thuần",income_statement!$A:$A,0),MATCH(I$21,income_statement!$B$1:$I$1,0)),"")</f>
        <v/>
      </c>
      <c r="J54" s="28" t="n">
        <v>50000000000000</v>
      </c>
    </row>
    <row r="55">
      <c r="A55" s="20" t="inlineStr">
        <is>
          <t>Thu nhập ngoài lãi</t>
        </is>
      </c>
      <c r="B55" s="24">
        <f>IF(OR(B$56="",B$54=""),"",B$56-B$54)</f>
        <v/>
      </c>
      <c r="C55" s="24">
        <f>IF(OR(C$56="",C$54=""),"",C$56-C$54)</f>
        <v/>
      </c>
      <c r="D55" s="24">
        <f>IF(OR(D$56="",D$54=""),"",D$56-D$54)</f>
        <v/>
      </c>
      <c r="E55" s="24">
        <f>IF(OR(E$56="",E$54=""),"",E$56-E$54)</f>
        <v/>
      </c>
      <c r="F55" s="24">
        <f>IF(OR(F$56="",F$54=""),"",F$56-F$54)</f>
        <v/>
      </c>
      <c r="G55" s="24">
        <f>IF(OR(G$56="",G$54=""),"",G$56-G$54)</f>
        <v/>
      </c>
      <c r="H55" s="24">
        <f>IF(OR(H$56="",H$54=""),"",H$56-H$54)</f>
        <v/>
      </c>
      <c r="I55" s="24">
        <f>IF(OR(I$56="",I$54=""),"",I$56-I$54)</f>
        <v/>
      </c>
      <c r="J55" s="19" t="n"/>
    </row>
    <row r="56">
      <c r="A56" s="20" t="inlineStr">
        <is>
          <t>Tổng thu nhập hoạt động</t>
        </is>
      </c>
      <c r="B56" s="21">
        <f>IFERROR(INDEX(income_statement!$B:$I,MATCH("Tổng thu nhập hoạt động",income_statement!$A:$A,0),MATCH(B$21,income_statement!$B$1:$I$1,0)),"")</f>
        <v/>
      </c>
      <c r="C56" s="21">
        <f>IFERROR(INDEX(income_statement!$B:$I,MATCH("Tổng thu nhập hoạt động",income_statement!$A:$A,0),MATCH(C$21,income_statement!$B$1:$I$1,0)),"")</f>
        <v/>
      </c>
      <c r="D56" s="21">
        <f>IFERROR(INDEX(income_statement!$B:$I,MATCH("Tổng thu nhập hoạt động",income_statement!$A:$A,0),MATCH(D$21,income_statement!$B$1:$I$1,0)),"")</f>
        <v/>
      </c>
      <c r="E56" s="21">
        <f>IFERROR(INDEX(income_statement!$B:$I,MATCH("Tổng thu nhập hoạt động",income_statement!$A:$A,0),MATCH(E$21,income_statement!$B$1:$I$1,0)),"")</f>
        <v/>
      </c>
      <c r="F56" s="21">
        <f>IFERROR(INDEX(income_statement!$B:$I,MATCH("Tổng thu nhập hoạt động",income_statement!$A:$A,0),MATCH(F$21,income_statement!$B$1:$I$1,0)),"")</f>
        <v/>
      </c>
      <c r="G56" s="21">
        <f>IFERROR(INDEX(income_statement!$B:$I,MATCH("Tổng thu nhập hoạt động",income_statement!$A:$A,0),MATCH(G$21,income_statement!$B$1:$I$1,0)),"")</f>
        <v/>
      </c>
      <c r="H56" s="21">
        <f>IFERROR(INDEX(income_statement!$B:$I,MATCH("Tổng thu nhập hoạt động",income_statement!$A:$A,0),MATCH(H$21,income_statement!$B$1:$I$1,0)),"")</f>
        <v/>
      </c>
      <c r="I56" s="21">
        <f>IFERROR(INDEX(income_statement!$B:$I,MATCH("Tổng thu nhập hoạt động",income_statement!$A:$A,0),MATCH(I$21,income_statement!$B$1:$I$1,0)),"")</f>
        <v/>
      </c>
      <c r="J56" s="19" t="n"/>
    </row>
    <row r="57">
      <c r="A57" s="20" t="inlineStr">
        <is>
          <t>Chi phí hoạt động</t>
        </is>
      </c>
      <c r="B57" s="21">
        <f>IFERROR(INDEX(income_statement!$B:$I,MATCH("Chi phí quản lý doanh nghiệp",income_statement!$A:$A,0),MATCH(B$21,income_statement!$B$1:$I$1,0)),"")</f>
        <v/>
      </c>
      <c r="C57" s="21">
        <f>IFERROR(INDEX(income_statement!$B:$I,MATCH("Chi phí quản lý doanh nghiệp",income_statement!$A:$A,0),MATCH(C$21,income_statement!$B$1:$I$1,0)),"")</f>
        <v/>
      </c>
      <c r="D57" s="21">
        <f>IFERROR(INDEX(income_statement!$B:$I,MATCH("Chi phí quản lý doanh nghiệp",income_statement!$A:$A,0),MATCH(D$21,income_statement!$B$1:$I$1,0)),"")</f>
        <v/>
      </c>
      <c r="E57" s="21">
        <f>IFERROR(INDEX(income_statement!$B:$I,MATCH("Chi phí quản lý doanh nghiệp",income_statement!$A:$A,0),MATCH(E$21,income_statement!$B$1:$I$1,0)),"")</f>
        <v/>
      </c>
      <c r="F57" s="21">
        <f>IFERROR(INDEX(income_statement!$B:$I,MATCH("Chi phí quản lý doanh nghiệp",income_statement!$A:$A,0),MATCH(F$21,income_statement!$B$1:$I$1,0)),"")</f>
        <v/>
      </c>
      <c r="G57" s="21">
        <f>IFERROR(INDEX(income_statement!$B:$I,MATCH("Chi phí quản lý doanh nghiệp",income_statement!$A:$A,0),MATCH(G$21,income_statement!$B$1:$I$1,0)),"")</f>
        <v/>
      </c>
      <c r="H57" s="21">
        <f>IFERROR(INDEX(income_statement!$B:$I,MATCH("Chi phí quản lý doanh nghiệp",income_statement!$A:$A,0),MATCH(H$21,income_statement!$B$1:$I$1,0)),"")</f>
        <v/>
      </c>
      <c r="I57" s="21">
        <f>IFERROR(INDEX(income_statement!$B:$I,MATCH("Chi phí quản lý doanh nghiệp",income_statement!$A:$A,0),MATCH(I$21,income_statement!$B$1:$I$1,0)),"")</f>
        <v/>
      </c>
      <c r="J57" s="19" t="n"/>
    </row>
    <row r="58">
      <c r="A58" s="20" t="inlineStr">
        <is>
          <t>Lãi và phí phải thu</t>
        </is>
      </c>
      <c r="B58" s="21">
        <f>IFERROR(INDEX(balance_sheet!$B:$I,MATCH("Các khoản lãi và phí phải thu",balance_sheet!$A:$A,0),MATCH(B$21,balance_sheet!$B$1:$I$1,0)),"")</f>
        <v/>
      </c>
      <c r="C58" s="21">
        <f>IFERROR(INDEX(balance_sheet!$B:$I,MATCH("Các khoản lãi và phí phải thu",balance_sheet!$A:$A,0),MATCH(C$21,balance_sheet!$B$1:$I$1,0)),"")</f>
        <v/>
      </c>
      <c r="D58" s="21">
        <f>IFERROR(INDEX(balance_sheet!$B:$I,MATCH("Các khoản lãi và phí phải thu",balance_sheet!$A:$A,0),MATCH(D$21,balance_sheet!$B$1:$I$1,0)),"")</f>
        <v/>
      </c>
      <c r="E58" s="21">
        <f>IFERROR(INDEX(balance_sheet!$B:$I,MATCH("Các khoản lãi và phí phải thu",balance_sheet!$A:$A,0),MATCH(E$21,balance_sheet!$B$1:$I$1,0)),"")</f>
        <v/>
      </c>
      <c r="F58" s="21">
        <f>IFERROR(INDEX(balance_sheet!$B:$I,MATCH("Các khoản lãi và phí phải thu",balance_sheet!$A:$A,0),MATCH(F$21,balance_sheet!$B$1:$I$1,0)),"")</f>
        <v/>
      </c>
      <c r="G58" s="21">
        <f>IFERROR(INDEX(balance_sheet!$B:$I,MATCH("Các khoản lãi và phí phải thu",balance_sheet!$A:$A,0),MATCH(G$21,balance_sheet!$B$1:$I$1,0)),"")</f>
        <v/>
      </c>
      <c r="H58" s="21">
        <f>IFERROR(INDEX(balance_sheet!$B:$I,MATCH("Các khoản lãi và phí phải thu",balance_sheet!$A:$A,0),MATCH(H$21,balance_sheet!$B$1:$I$1,0)),"")</f>
        <v/>
      </c>
      <c r="I58" s="21">
        <f>IFERROR(INDEX(balance_sheet!$B:$I,MATCH("Các khoản lãi và phí phải thu",balance_sheet!$A:$A,0),MATCH(I$21,balance_sheet!$B$1:$I$1,0)),"")</f>
        <v/>
      </c>
      <c r="J58" s="19" t="n"/>
    </row>
    <row r="59">
      <c r="A59" s="16" t="inlineStr">
        <is>
          <t>LNST</t>
        </is>
      </c>
      <c r="B59" s="28">
        <f>IFERROR(INDEX(income_statement!$B:$I,MATCH("Lợi nhuận sau thuế",income_statement!$A:$A,0),MATCH(B$21,income_statement!$B$1:$I$1,0)),"")</f>
        <v/>
      </c>
      <c r="C59" s="28">
        <f>IFERROR(INDEX(income_statement!$B:$I,MATCH("Lợi nhuận sau thuế",income_statement!$A:$A,0),MATCH(C$21,income_statement!$B$1:$I$1,0)),"")</f>
        <v/>
      </c>
      <c r="D59" s="28">
        <f>IFERROR(INDEX(income_statement!$B:$I,MATCH("Lợi nhuận sau thuế",income_statement!$A:$A,0),MATCH(D$21,income_statement!$B$1:$I$1,0)),"")</f>
        <v/>
      </c>
      <c r="E59" s="28">
        <f>IFERROR(INDEX(income_statement!$B:$I,MATCH("Lợi nhuận sau thuế",income_statement!$A:$A,0),MATCH(E$21,income_statement!$B$1:$I$1,0)),"")</f>
        <v/>
      </c>
      <c r="F59" s="28">
        <f>IFERROR(INDEX(income_statement!$B:$I,MATCH("Lợi nhuận sau thuế",income_statement!$A:$A,0),MATCH(F$21,income_statement!$B$1:$I$1,0)),"")</f>
        <v/>
      </c>
      <c r="G59" s="28">
        <f>IFERROR(INDEX(income_statement!$B:$I,MATCH("Lợi nhuận sau thuế",income_statement!$A:$A,0),MATCH(G$21,income_statement!$B$1:$I$1,0)),"")</f>
        <v/>
      </c>
      <c r="H59" s="28">
        <f>IFERROR(INDEX(income_statement!$B:$I,MATCH("Lợi nhuận sau thuế",income_statement!$A:$A,0),MATCH(H$21,income_statement!$B$1:$I$1,0)),"")</f>
        <v/>
      </c>
      <c r="I59" s="28">
        <f>IFERROR(INDEX(income_statement!$B:$I,MATCH("Lợi nhuận sau thuế",income_statement!$A:$A,0),MATCH(I$21,income_statement!$B$1:$I$1,0)),"")</f>
        <v/>
      </c>
      <c r="J59" s="28" t="n">
        <v>28000000000000</v>
      </c>
    </row>
    <row r="60">
      <c r="A60" s="16" t="inlineStr">
        <is>
          <t>LNST CĐ Công ty mẹ</t>
        </is>
      </c>
      <c r="B60" s="28">
        <f>IFERROR(INDEX(income_statement!$B:$I,MATCH("Cổ đông của Công ty mẹ",income_statement!$A:$A,0),MATCH(B$21,income_statement!$B$1:$I$1,0)),"")</f>
        <v/>
      </c>
      <c r="C60" s="28">
        <f>IFERROR(INDEX(income_statement!$B:$I,MATCH("Cổ đông của Công ty mẹ",income_statement!$A:$A,0),MATCH(C$21,income_statement!$B$1:$I$1,0)),"")</f>
        <v/>
      </c>
      <c r="D60" s="28">
        <f>IFERROR(INDEX(income_statement!$B:$I,MATCH("Cổ đông của Công ty mẹ",income_statement!$A:$A,0),MATCH(D$21,income_statement!$B$1:$I$1,0)),"")</f>
        <v/>
      </c>
      <c r="E60" s="28">
        <f>IFERROR(INDEX(income_statement!$B:$I,MATCH("Cổ đông của Công ty mẹ",income_statement!$A:$A,0),MATCH(E$21,income_statement!$B$1:$I$1,0)),"")</f>
        <v/>
      </c>
      <c r="F60" s="28">
        <f>IFERROR(INDEX(income_statement!$B:$I,MATCH("Cổ đông của Công ty mẹ",income_statement!$A:$A,0),MATCH(F$21,income_statement!$B$1:$I$1,0)),"")</f>
        <v/>
      </c>
      <c r="G60" s="28">
        <f>IFERROR(INDEX(income_statement!$B:$I,MATCH("Cổ đông của Công ty mẹ",income_statement!$A:$A,0),MATCH(G$21,income_statement!$B$1:$I$1,0)),"")</f>
        <v/>
      </c>
      <c r="H60" s="28">
        <f>IFERROR(INDEX(income_statement!$B:$I,MATCH("Cổ đông của Công ty mẹ",income_statement!$A:$A,0),MATCH(H$21,income_statement!$B$1:$I$1,0)),"")</f>
        <v/>
      </c>
      <c r="I60" s="28">
        <f>IFERROR(INDEX(income_statement!$B:$I,MATCH("Cổ đông của Công ty mẹ",income_statement!$A:$A,0),MATCH(I$21,income_statement!$B$1:$I$1,0)),"")</f>
        <v/>
      </c>
      <c r="J60" s="28" t="n">
        <v>28000000000000</v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 J3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7" customWidth="1" min="1" max="1"/>
    <col width="16.125" customWidth="1" min="2" max="2"/>
    <col width="21.75" customWidth="1" min="6" max="6"/>
  </cols>
  <sheetData>
    <row r="1" ht="15" customHeight="1">
      <c r="A1" s="32" t="n"/>
      <c r="B1" s="32" t="inlineStr">
        <is>
          <t>Q1/2026</t>
        </is>
      </c>
      <c r="C1" s="32" t="inlineStr">
        <is>
          <t>Q2/2026</t>
        </is>
      </c>
      <c r="D1" s="32" t="inlineStr">
        <is>
          <t>Q3/2026</t>
        </is>
      </c>
      <c r="E1" s="32" t="inlineStr">
        <is>
          <t>Q4/2026</t>
        </is>
      </c>
    </row>
    <row r="2" ht="14.25" customHeight="1">
      <c r="A2" s="32" t="inlineStr">
        <is>
          <t>Số CP</t>
        </is>
      </c>
      <c r="B2" s="33" t="n">
        <v>7086240414</v>
      </c>
      <c r="C2" s="33" t="n">
        <v>7086240414</v>
      </c>
      <c r="D2" s="33" t="n">
        <v>7086240414</v>
      </c>
      <c r="E2" s="33" t="n">
        <v>7086240414</v>
      </c>
    </row>
    <row r="3" ht="14.25" customHeight="1">
      <c r="A3" s="32" t="inlineStr">
        <is>
          <t>Thị giá</t>
        </is>
      </c>
      <c r="B3" s="33">
        <f>[1]Sheet1!C2</f>
        <v/>
      </c>
      <c r="C3" s="33">
        <f>[1]Sheet1!C2</f>
        <v/>
      </c>
      <c r="D3" s="33">
        <f>[1]Sheet1!C2</f>
        <v/>
      </c>
      <c r="E3" s="33">
        <f>[1]Sheet1!C2</f>
        <v/>
      </c>
    </row>
    <row r="4" ht="14.25" customHeight="1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</row>
    <row r="5" ht="14.25" customHeight="1"/>
    <row r="6" ht="14.25" customHeight="1">
      <c r="A6" s="32" t="inlineStr">
        <is>
          <t>VCSH</t>
        </is>
      </c>
      <c r="B6" s="33" t="n">
        <v>186683000000000</v>
      </c>
      <c r="C6" s="33">
        <f>B$6*(($E$6/$B$6)^(1/3))</f>
        <v/>
      </c>
      <c r="D6" s="33">
        <f>B$6*(($E$6/$B$6)^(2/3))</f>
        <v/>
      </c>
      <c r="E6" s="33">
        <f>chi_so_tai_chinh!J48</f>
        <v/>
      </c>
      <c r="F6" s="34" t="n"/>
      <c r="G6" s="34" t="n"/>
      <c r="H6" s="34" t="n"/>
    </row>
    <row r="7" ht="14.25" customHeight="1">
      <c r="A7" s="32" t="inlineStr">
        <is>
          <t>LICĐKKS</t>
        </is>
      </c>
      <c r="B7" s="33" t="n">
        <v>9787000000000</v>
      </c>
      <c r="C7" s="33">
        <f>C6*0.02</f>
        <v/>
      </c>
      <c r="D7" s="33">
        <f>D6*0.02</f>
        <v/>
      </c>
      <c r="E7" s="33">
        <f>E6*0.02</f>
        <v/>
      </c>
      <c r="F7" s="35" t="n"/>
      <c r="G7" s="35" t="n"/>
      <c r="H7" s="35" t="n"/>
    </row>
    <row r="8" ht="14.25" customHeight="1">
      <c r="A8" s="32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</row>
    <row r="9" ht="14.25" customHeight="1">
      <c r="A9" s="23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7" t="n"/>
      <c r="G9" s="38" t="n"/>
      <c r="H9" s="38" t="n"/>
    </row>
    <row r="10" ht="14.25" customHeight="1">
      <c r="A10" s="23" t="inlineStr">
        <is>
          <t>PB</t>
        </is>
      </c>
      <c r="B10" s="39">
        <f>B3/B9</f>
        <v/>
      </c>
      <c r="C10" s="39">
        <f>C3/C9</f>
        <v/>
      </c>
      <c r="D10" s="39">
        <f>D3/D9</f>
        <v/>
      </c>
      <c r="E10" s="39">
        <f>E3/E9</f>
        <v/>
      </c>
      <c r="F10" s="37" t="n"/>
      <c r="G10" s="37" t="n"/>
      <c r="H10" s="40" t="n"/>
    </row>
    <row r="11" ht="14.25" customHeight="1">
      <c r="E11" s="37" t="n"/>
      <c r="F11" s="37" t="n"/>
      <c r="G11" s="37" t="n"/>
      <c r="H11" s="37" t="n"/>
      <c r="I11" s="37" t="n"/>
    </row>
    <row r="12" ht="14.25" customHeight="1">
      <c r="F12" s="37" t="n"/>
      <c r="H12" s="37" t="n"/>
      <c r="I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 ht="14.25" customHeight="1">
      <c r="F13" s="37" t="n"/>
      <c r="G13" s="37" t="n"/>
      <c r="H13" s="37" t="n"/>
      <c r="I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</row>
    <row r="14" ht="14.25" customHeight="1">
      <c r="F14" s="37" t="n"/>
      <c r="G14" s="37" t="n"/>
      <c r="H14" s="37" t="n"/>
      <c r="I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</row>
    <row r="15" ht="14.25" customHeight="1">
      <c r="F15" s="37" t="n"/>
      <c r="G15" s="37" t="n"/>
    </row>
    <row r="16" ht="14.25" customHeight="1">
      <c r="G16" s="3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18.625" customWidth="1" min="1" max="1"/>
    <col width="11.375" customWidth="1" min="2" max="2"/>
    <col width="12.125" customWidth="1" min="6" max="6"/>
    <col width="8.875" customWidth="1" min="8" max="8"/>
    <col width="12.625" customWidth="1" min="27" max="27"/>
  </cols>
  <sheetData>
    <row r="1">
      <c r="A1" s="41" t="inlineStr">
        <is>
          <t>Chỉ tiêu</t>
        </is>
      </c>
      <c r="B1" s="41" t="n">
        <v>2022</v>
      </c>
      <c r="C1" s="41" t="n">
        <v>2023</v>
      </c>
      <c r="D1" s="41" t="n">
        <v>2024</v>
      </c>
      <c r="E1" s="41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1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1" t="inlineStr">
        <is>
          <t>Lợi nhuận trước thuế thu nhập doanh nghiệp</t>
        </is>
      </c>
      <c r="B3" s="43">
        <f>[2]KQHĐKD!F18*1000</f>
        <v/>
      </c>
      <c r="C3" s="43">
        <f>[2]KQHĐKD!G18*1000</f>
        <v/>
      </c>
      <c r="D3" s="43">
        <f>[2]KQHĐKD!H18*1000</f>
        <v/>
      </c>
      <c r="E3" s="43">
        <f>[2]KQHĐKD!I18*1000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1" t="inlineStr">
        <is>
          <t>%thực hiện</t>
        </is>
      </c>
      <c r="B4" s="44">
        <f>B3/B2</f>
        <v/>
      </c>
      <c r="C4" s="44">
        <f>C3/C2</f>
        <v/>
      </c>
      <c r="D4" s="44">
        <f>D3/D2</f>
        <v/>
      </c>
      <c r="E4" s="44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1" t="inlineStr">
        <is>
          <t>Trung vị %thực hiện LN trước thuế</t>
        </is>
      </c>
      <c r="B6" s="44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1" t="inlineStr">
        <is>
          <t>Tỷ lệ hoàn thành LNTT trên 95%</t>
        </is>
      </c>
      <c r="B8" s="44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2">
      <formula>1</formula>
    </cfRule>
  </conditionalFormatting>
  <conditionalFormatting sqref="B4:E4">
    <cfRule type="cellIs" priority="3" operator="greaterThanOrEqual" dxfId="2">
      <formula>1</formula>
    </cfRule>
  </conditionalFormatting>
  <conditionalFormatting sqref="B8">
    <cfRule type="cellIs" priority="1" operator="greaterThanOrEqual" dxfId="2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2026-09-23T03:42:21Z</dcterms:created>
  <dcterms:modified xsi:type="dcterms:W3CDTF">2026-09-23T03:42:29Z</dcterms:modified>
</cp:coreProperties>
</file>
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50" windowWidth="12000" windowHeight="6450" tabRatio="600" firstSheet="3" activeTab="3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\(#,##0\);&quot;-&quot;"/>
    <numFmt numFmtId="165" formatCode="0.0%"/>
    <numFmt numFmtId="166" formatCode="#,##0;(#,##0);&quot;-&quot;"/>
  </numFmts>
  <fonts count="17">
    <font>
      <name val="Arial"/>
      <family val="2"/>
      <color theme="1"/>
      <sz val="11"/>
      <scheme val="minor"/>
    </font>
    <font>
      <name val="Tahoma"/>
      <family val="2"/>
      <sz val="10"/>
    </font>
    <font>
      <name val="Tahoma"/>
      <family val="2"/>
      <i val="1"/>
      <color rgb="FF808080"/>
      <sz val="10"/>
    </font>
    <font>
      <name val="Tahoma"/>
      <family val="2"/>
      <color rgb="FF000000"/>
      <sz val="10"/>
    </font>
    <font>
      <name val="Tahoma"/>
      <family val="2"/>
      <color rgb="FF008000"/>
      <sz val="10"/>
    </font>
    <font>
      <name val="Tahoma"/>
      <family val="2"/>
      <i val="1"/>
      <color rgb="FF7030A0"/>
      <sz val="10"/>
    </font>
    <font>
      <name val="Tahoma"/>
      <family val="2"/>
      <i val="1"/>
      <sz val="10"/>
    </font>
    <font>
      <name val="Tahoma"/>
      <family val="2"/>
      <color theme="1"/>
      <sz val="10"/>
    </font>
    <font>
      <name val="Tahoma"/>
      <family val="2"/>
      <color rgb="FF7030A0"/>
      <sz val="10"/>
    </font>
    <font>
      <name val="Arial"/>
      <family val="2"/>
      <color theme="1"/>
      <sz val="11"/>
      <scheme val="minor"/>
    </font>
    <font>
      <name val="Tahoma"/>
      <family val="2"/>
      <b val="1"/>
      <sz val="10"/>
    </font>
    <font>
      <name val="Tahoma"/>
      <family val="2"/>
      <b val="1"/>
      <color rgb="FF008000"/>
      <sz val="10"/>
    </font>
    <font>
      <name val="Tahoma"/>
      <family val="2"/>
      <b val="1"/>
      <color theme="1"/>
      <sz val="10"/>
    </font>
    <font>
      <name val="Tahoma"/>
      <family val="2"/>
      <b val="1"/>
      <color rgb="FF7030A0"/>
      <sz val="10"/>
    </font>
    <font>
      <name val="Tahoma"/>
      <b val="1"/>
      <color rgb="FFFFFFFF"/>
      <sz val="11"/>
    </font>
    <font>
      <name val="Tahoma"/>
      <sz val="10"/>
    </font>
    <font>
      <name val="Tahoma"/>
      <b val="1"/>
      <color rgb="00FFFFFF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F7CAAC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9" fillId="0" borderId="0"/>
    <xf numFmtId="9" fontId="9" fillId="0" borderId="0"/>
  </cellStyleXfs>
  <cellXfs count="38">
    <xf numFmtId="0" fontId="0" fillId="0" borderId="0" pivotButton="0" quotePrefix="0" xfId="0"/>
    <xf numFmtId="0" fontId="1" fillId="0" borderId="1" pivotButton="0" quotePrefix="0" xfId="0"/>
    <xf numFmtId="0" fontId="1" fillId="3" borderId="1" pivotButton="0" quotePrefix="0" xfId="0"/>
    <xf numFmtId="10" fontId="3" fillId="3" borderId="1" pivotButton="0" quotePrefix="0" xfId="0"/>
    <xf numFmtId="0" fontId="6" fillId="3" borderId="1" pivotButton="0" quotePrefix="0" xfId="0"/>
    <xf numFmtId="0" fontId="1" fillId="0" borderId="1" pivotButton="0" quotePrefix="1" xfId="0"/>
    <xf numFmtId="0" fontId="7" fillId="0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10" fillId="0" borderId="0" pivotButton="0" quotePrefix="0" xfId="0"/>
    <xf numFmtId="0" fontId="10" fillId="0" borderId="1" pivotButton="0" quotePrefix="0" xfId="0"/>
    <xf numFmtId="3" fontId="4" fillId="0" borderId="1" pivotButton="0" quotePrefix="0" xfId="0"/>
    <xf numFmtId="3" fontId="2" fillId="0" borderId="1" pivotButton="0" quotePrefix="0" xfId="0"/>
    <xf numFmtId="3" fontId="5" fillId="0" borderId="1" pivotButton="0" quotePrefix="0" xfId="0"/>
    <xf numFmtId="3" fontId="4" fillId="0" borderId="0" pivotButton="0" quotePrefix="0" xfId="0"/>
    <xf numFmtId="3" fontId="11" fillId="0" borderId="1" pivotButton="0" quotePrefix="0" xfId="0"/>
    <xf numFmtId="0" fontId="10" fillId="3" borderId="1" pivotButton="0" quotePrefix="0" xfId="0"/>
    <xf numFmtId="1" fontId="10" fillId="3" borderId="1" applyAlignment="1" pivotButton="0" quotePrefix="0" xfId="0">
      <alignment horizontal="center"/>
    </xf>
    <xf numFmtId="9" fontId="7" fillId="4" borderId="1" pivotButton="0" quotePrefix="0" xfId="0"/>
    <xf numFmtId="9" fontId="7" fillId="5" borderId="1" pivotButton="0" quotePrefix="0" xfId="0"/>
    <xf numFmtId="10" fontId="7" fillId="3" borderId="1" pivotButton="0" quotePrefix="0" xfId="0"/>
    <xf numFmtId="0" fontId="10" fillId="2" borderId="1" pivotButton="0" quotePrefix="0" xfId="0"/>
    <xf numFmtId="0" fontId="7" fillId="2" borderId="1" pivotButton="0" quotePrefix="0" xfId="0"/>
    <xf numFmtId="1" fontId="10" fillId="0" borderId="1" applyAlignment="1" pivotButton="0" quotePrefix="0" xfId="0">
      <alignment horizontal="center"/>
    </xf>
    <xf numFmtId="3" fontId="10" fillId="0" borderId="1" applyAlignment="1" pivotButton="0" quotePrefix="0" xfId="0">
      <alignment horizontal="center"/>
    </xf>
    <xf numFmtId="0" fontId="12" fillId="0" borderId="0" pivotButton="0" quotePrefix="0" xfId="0"/>
    <xf numFmtId="9" fontId="13" fillId="0" borderId="1" pivotButton="0" quotePrefix="0" xfId="1"/>
    <xf numFmtId="0" fontId="13" fillId="0" borderId="1" pivotButton="0" quotePrefix="0" xfId="0"/>
    <xf numFmtId="0" fontId="14" fillId="6" borderId="2" applyAlignment="1" pivotButton="0" quotePrefix="0" xfId="0">
      <alignment horizontal="left"/>
    </xf>
    <xf numFmtId="0" fontId="14" fillId="6" borderId="2" applyAlignment="1" pivotButton="0" quotePrefix="0" xfId="0">
      <alignment horizontal="center"/>
    </xf>
    <xf numFmtId="0" fontId="15" fillId="0" borderId="2" pivotButton="0" quotePrefix="0" xfId="0"/>
    <xf numFmtId="164" fontId="15" fillId="0" borderId="2" pivotButton="0" quotePrefix="0" xfId="0"/>
    <xf numFmtId="165" fontId="3" fillId="3" borderId="1" pivotButton="0" quotePrefix="0" xfId="0"/>
    <xf numFmtId="0" fontId="16" fillId="7" borderId="3" applyAlignment="1" pivotButton="0" quotePrefix="0" xfId="0">
      <alignment horizontal="left"/>
    </xf>
    <xf numFmtId="0" fontId="16" fillId="7" borderId="3" applyAlignment="1" pivotButton="0" quotePrefix="0" xfId="0">
      <alignment horizontal="center"/>
    </xf>
    <xf numFmtId="0" fontId="15" fillId="0" borderId="3" pivotButton="0" quotePrefix="0" xfId="0"/>
    <xf numFmtId="166" fontId="15" fillId="0" borderId="3" pivotButton="0" quotePrefix="0" xfId="0"/>
    <xf numFmtId="165" fontId="3" fillId="3" borderId="1" pivotButton="0" quotePrefix="0" xfId="0"/>
  </cellXfs>
  <cellStyles count="2">
    <cellStyle name="Normal" xfId="0" builtinId="0"/>
    <cellStyle name="Percent" xfId="1" builtinId="5"/>
  </cellStyles>
  <dxfs count="14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</cols>
  <sheetData>
    <row r="1">
      <c r="A1" s="33" t="inlineStr">
        <is>
          <t>item</t>
        </is>
      </c>
      <c r="B1" s="34" t="inlineStr">
        <is>
          <t>2018</t>
        </is>
      </c>
      <c r="C1" s="34" t="inlineStr">
        <is>
          <t>2019</t>
        </is>
      </c>
      <c r="D1" s="34" t="inlineStr">
        <is>
          <t>2020</t>
        </is>
      </c>
      <c r="E1" s="34" t="inlineStr">
        <is>
          <t>2021</t>
        </is>
      </c>
      <c r="F1" s="34" t="inlineStr">
        <is>
          <t>2022</t>
        </is>
      </c>
      <c r="G1" s="34" t="inlineStr">
        <is>
          <t>2023</t>
        </is>
      </c>
      <c r="H1" s="34" t="inlineStr">
        <is>
          <t>2024</t>
        </is>
      </c>
      <c r="I1" s="34" t="inlineStr">
        <is>
          <t>2025</t>
        </is>
      </c>
      <c r="J1" s="34" t="inlineStr">
        <is>
          <t>2018-Q1</t>
        </is>
      </c>
      <c r="K1" s="34" t="inlineStr">
        <is>
          <t>2018-Q2</t>
        </is>
      </c>
      <c r="L1" s="34" t="inlineStr">
        <is>
          <t>2018-Q3</t>
        </is>
      </c>
      <c r="M1" s="34" t="inlineStr">
        <is>
          <t>2018-Q4</t>
        </is>
      </c>
      <c r="N1" s="34" t="inlineStr">
        <is>
          <t>2024-Q3</t>
        </is>
      </c>
      <c r="O1" s="34" t="inlineStr">
        <is>
          <t>2024-Q4</t>
        </is>
      </c>
      <c r="P1" s="34" t="inlineStr">
        <is>
          <t>2025-Q1</t>
        </is>
      </c>
      <c r="Q1" s="34" t="inlineStr">
        <is>
          <t>2025-Q2</t>
        </is>
      </c>
      <c r="R1" s="34" t="inlineStr">
        <is>
          <t>2025-Q3</t>
        </is>
      </c>
      <c r="S1" s="34" t="inlineStr">
        <is>
          <t>2025-Q4</t>
        </is>
      </c>
      <c r="T1" s="34" t="inlineStr">
        <is>
          <t>2026-Q1</t>
        </is>
      </c>
      <c r="U1" s="34" t="inlineStr">
        <is>
          <t>2026-Q2</t>
        </is>
      </c>
    </row>
    <row r="2">
      <c r="A2" s="35" t="inlineStr">
        <is>
          <t>Tiền mặt, vàng bạc, đá quý</t>
        </is>
      </c>
      <c r="B2" s="36" t="n">
        <v>2606467000000</v>
      </c>
      <c r="C2" s="36" t="n">
        <v>4820627000000</v>
      </c>
      <c r="D2" s="36" t="n">
        <v>3663615000000</v>
      </c>
      <c r="E2" s="36" t="n">
        <v>3578643000000</v>
      </c>
      <c r="F2" s="36" t="n">
        <v>4215721000000</v>
      </c>
      <c r="G2" s="36" t="n">
        <v>3620695000000</v>
      </c>
      <c r="H2" s="36" t="n">
        <v>3384770000000</v>
      </c>
      <c r="I2" s="36" t="n">
        <v>4360821000000</v>
      </c>
      <c r="J2" s="36" t="n">
        <v>3670967000000</v>
      </c>
      <c r="K2" s="36" t="n">
        <v>3590328000000</v>
      </c>
      <c r="L2" s="36" t="n">
        <v>4041877000000</v>
      </c>
      <c r="M2" s="36" t="n">
        <v>2606467000000</v>
      </c>
      <c r="N2" s="36" t="n">
        <v>3608503000000</v>
      </c>
      <c r="O2" s="36" t="n">
        <v>3384770000000</v>
      </c>
      <c r="P2" s="36" t="n">
        <v>3789947000000</v>
      </c>
      <c r="Q2" s="36" t="n">
        <v>3666435000000</v>
      </c>
      <c r="R2" s="36" t="n">
        <v>4045689000000</v>
      </c>
      <c r="S2" s="36" t="n">
        <v>4360821000000</v>
      </c>
      <c r="T2" s="36" t="n">
        <v>5467700000000</v>
      </c>
      <c r="U2" s="36" t="n">
        <v>3909425000000</v>
      </c>
    </row>
    <row r="3">
      <c r="A3" s="35" t="inlineStr">
        <is>
          <t>Tài sản cố định</t>
        </is>
      </c>
      <c r="B3" s="36" t="n">
        <v>1718596000000</v>
      </c>
      <c r="C3" s="36" t="n">
        <v>3207777000000</v>
      </c>
      <c r="D3" s="36" t="n">
        <v>4613423000000</v>
      </c>
      <c r="E3" s="36" t="n">
        <v>7224481000000</v>
      </c>
      <c r="F3" s="36" t="n">
        <v>8411382000000</v>
      </c>
      <c r="G3" s="36" t="n">
        <v>8892697000000</v>
      </c>
      <c r="H3" s="36" t="n">
        <v>12466885000000</v>
      </c>
      <c r="I3" s="36" t="n">
        <v>12122934000000</v>
      </c>
      <c r="J3" s="36" t="n">
        <v>1482782000000</v>
      </c>
      <c r="K3" s="36" t="n">
        <v>1488775000000</v>
      </c>
      <c r="L3" s="36" t="n">
        <v>1586082000000</v>
      </c>
      <c r="M3" s="36" t="n">
        <v>1718596000000</v>
      </c>
      <c r="N3" s="36" t="n">
        <v>12752316000000</v>
      </c>
      <c r="O3" s="36" t="n">
        <v>12466885000000</v>
      </c>
      <c r="P3" s="36" t="n">
        <v>12119671000000</v>
      </c>
      <c r="Q3" s="36" t="n">
        <v>12192892000000</v>
      </c>
      <c r="R3" s="36" t="n">
        <v>12043529000000</v>
      </c>
      <c r="S3" s="36" t="n">
        <v>12122934000000</v>
      </c>
      <c r="T3" s="36" t="n">
        <v>11585812000000</v>
      </c>
      <c r="U3" s="36" t="n">
        <v>12324755000000</v>
      </c>
    </row>
    <row r="4">
      <c r="A4" s="35" t="inlineStr">
        <is>
          <t>Tài sản cố định hữu hình</t>
        </is>
      </c>
      <c r="B4" s="36" t="n">
        <v>788016000000</v>
      </c>
      <c r="C4" s="36" t="n">
        <v>793484000000</v>
      </c>
      <c r="D4" s="36" t="n">
        <v>1470942000000</v>
      </c>
      <c r="E4" s="36" t="n">
        <v>3628732000000</v>
      </c>
      <c r="F4" s="36" t="n">
        <v>3696812000000</v>
      </c>
      <c r="G4" s="36" t="n">
        <v>3527586000000</v>
      </c>
      <c r="H4" s="36" t="n">
        <v>6576699000000</v>
      </c>
      <c r="I4" s="36" t="n">
        <v>6343732000000</v>
      </c>
      <c r="J4" s="36" t="n">
        <v>562082000000</v>
      </c>
      <c r="K4" s="36" t="n">
        <v>590135000000</v>
      </c>
      <c r="L4" s="36" t="n">
        <v>653352000000</v>
      </c>
      <c r="M4" s="36" t="n">
        <v>788016000000</v>
      </c>
      <c r="N4" s="36" t="n">
        <v>6974513000000</v>
      </c>
      <c r="O4" s="36" t="n">
        <v>6576699000000</v>
      </c>
      <c r="P4" s="36" t="n">
        <v>6429947000000</v>
      </c>
      <c r="Q4" s="36" t="n">
        <v>6274097000000</v>
      </c>
      <c r="R4" s="36" t="n">
        <v>6099861000000</v>
      </c>
      <c r="S4" s="36" t="n">
        <v>6343732000000</v>
      </c>
      <c r="T4" s="36" t="n">
        <v>6118592000000</v>
      </c>
      <c r="U4" s="36" t="n">
        <v>6185743000000</v>
      </c>
    </row>
    <row r="5">
      <c r="A5" s="35" t="inlineStr">
        <is>
          <t>Nguyên giá TSCĐ hữu hình</t>
        </is>
      </c>
      <c r="B5" s="36" t="n">
        <v>1835272000000</v>
      </c>
      <c r="C5" s="36" t="n">
        <v>1761468000000</v>
      </c>
      <c r="D5" s="36" t="n">
        <v>2416349000000</v>
      </c>
      <c r="E5" s="36" t="n">
        <v>4824092000000</v>
      </c>
      <c r="F5" s="36" t="n">
        <v>5156346000000</v>
      </c>
      <c r="G5" s="36" t="n">
        <v>5492566000000</v>
      </c>
      <c r="H5" s="36" t="n">
        <v>9080615000000</v>
      </c>
      <c r="I5" s="36" t="n">
        <v>9539276000000</v>
      </c>
      <c r="J5" s="36" t="n">
        <v>1623479000000</v>
      </c>
      <c r="K5" s="36" t="n">
        <v>1651663000000</v>
      </c>
      <c r="L5" s="36" t="n">
        <v>1730445000000</v>
      </c>
      <c r="M5" s="36" t="n">
        <v>1835272000000</v>
      </c>
      <c r="N5" s="36" t="n">
        <v>9348348000000</v>
      </c>
      <c r="O5" s="36" t="n">
        <v>9080615000000</v>
      </c>
      <c r="P5" s="36" t="n">
        <v>9111677000000</v>
      </c>
      <c r="Q5" s="36" t="n">
        <v>9113536000000</v>
      </c>
      <c r="R5" s="36" t="n">
        <v>9119430000000</v>
      </c>
      <c r="S5" s="36" t="n">
        <v>9539276000000</v>
      </c>
      <c r="T5" s="36" t="n">
        <v>9480052000000</v>
      </c>
      <c r="U5" s="36" t="n">
        <v>9702967000000</v>
      </c>
    </row>
    <row r="6">
      <c r="A6" s="35" t="inlineStr">
        <is>
          <t>Hao mòn TSCĐ hữu hình</t>
        </is>
      </c>
      <c r="B6" s="36" t="n">
        <v>-1047256000000</v>
      </c>
      <c r="C6" s="36" t="n">
        <v>-967984000000</v>
      </c>
      <c r="D6" s="36" t="n">
        <v>-945407000000</v>
      </c>
      <c r="E6" s="36" t="n">
        <v>-1195360000000</v>
      </c>
      <c r="F6" s="36" t="n">
        <v>-1459534000000</v>
      </c>
      <c r="G6" s="36" t="n">
        <v>-1964980000000</v>
      </c>
      <c r="H6" s="36" t="n">
        <v>-2503916000000</v>
      </c>
      <c r="I6" s="36" t="n">
        <v>-3195544000000</v>
      </c>
      <c r="J6" s="36" t="n">
        <v>-1061397000000</v>
      </c>
      <c r="K6" s="36" t="n">
        <v>-1061528000000</v>
      </c>
      <c r="L6" s="36" t="n">
        <v>-1077093000000</v>
      </c>
      <c r="M6" s="36" t="n">
        <v>-1047256000000</v>
      </c>
      <c r="N6" s="36" t="n">
        <v>-2373835000000</v>
      </c>
      <c r="O6" s="36" t="n">
        <v>-2503916000000</v>
      </c>
      <c r="P6" s="36" t="n">
        <v>-2681730000000</v>
      </c>
      <c r="Q6" s="36" t="n">
        <v>-2839439000000</v>
      </c>
      <c r="R6" s="36" t="n">
        <v>-3019569000000</v>
      </c>
      <c r="S6" s="36" t="n">
        <v>-3195544000000</v>
      </c>
      <c r="T6" s="36" t="n">
        <v>-3361460000000</v>
      </c>
      <c r="U6" s="36" t="n">
        <v>-3517224000000</v>
      </c>
    </row>
    <row r="7">
      <c r="A7" s="35" t="inlineStr">
        <is>
          <t>Tài sản cố định thuê tài chính</t>
        </is>
      </c>
      <c r="B7" s="36" t="n">
        <v>0</v>
      </c>
      <c r="C7" s="36" t="n">
        <v>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0</v>
      </c>
      <c r="L7" s="36" t="n">
        <v>0</v>
      </c>
      <c r="M7" s="36" t="n">
        <v>0</v>
      </c>
      <c r="N7" s="36" t="n">
        <v>0</v>
      </c>
      <c r="O7" s="36" t="n">
        <v>0</v>
      </c>
      <c r="P7" s="36" t="n">
        <v>0</v>
      </c>
      <c r="Q7" s="36" t="n">
        <v>0</v>
      </c>
      <c r="R7" s="36" t="n">
        <v>0</v>
      </c>
      <c r="S7" s="36" t="n">
        <v>0</v>
      </c>
      <c r="T7" s="36" t="n">
        <v>0</v>
      </c>
      <c r="U7" s="36" t="n">
        <v>0</v>
      </c>
    </row>
    <row r="8">
      <c r="A8" s="35" t="inlineStr">
        <is>
          <t>Nguyên giá TSCĐ thuê tài chính</t>
        </is>
      </c>
      <c r="B8" s="36" t="n">
        <v>0</v>
      </c>
      <c r="C8" s="36" t="n">
        <v>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0</v>
      </c>
      <c r="K8" s="36" t="n">
        <v>0</v>
      </c>
      <c r="L8" s="36" t="n">
        <v>0</v>
      </c>
      <c r="M8" s="36" t="n">
        <v>0</v>
      </c>
      <c r="N8" s="36" t="n">
        <v>0</v>
      </c>
      <c r="O8" s="36" t="n">
        <v>0</v>
      </c>
      <c r="P8" s="36" t="n">
        <v>0</v>
      </c>
      <c r="Q8" s="36" t="n">
        <v>0</v>
      </c>
      <c r="R8" s="36" t="n">
        <v>0</v>
      </c>
      <c r="S8" s="36" t="n">
        <v>0</v>
      </c>
      <c r="T8" s="36" t="n">
        <v>0</v>
      </c>
      <c r="U8" s="36" t="n">
        <v>0</v>
      </c>
    </row>
    <row r="9">
      <c r="A9" s="35" t="inlineStr">
        <is>
          <t>Hao mòn TSCĐ thuê tài chính</t>
        </is>
      </c>
      <c r="B9" s="36" t="n">
        <v>0</v>
      </c>
      <c r="C9" s="36" t="n">
        <v>0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0</v>
      </c>
      <c r="J9" s="36" t="n">
        <v>0</v>
      </c>
      <c r="K9" s="36" t="n">
        <v>0</v>
      </c>
      <c r="L9" s="36" t="n">
        <v>0</v>
      </c>
      <c r="M9" s="36" t="n">
        <v>0</v>
      </c>
      <c r="N9" s="36" t="n">
        <v>0</v>
      </c>
      <c r="O9" s="36" t="n">
        <v>0</v>
      </c>
      <c r="P9" s="36" t="n">
        <v>0</v>
      </c>
      <c r="Q9" s="36" t="n">
        <v>0</v>
      </c>
      <c r="R9" s="36" t="n">
        <v>0</v>
      </c>
      <c r="S9" s="36" t="n">
        <v>0</v>
      </c>
      <c r="T9" s="36" t="n">
        <v>0</v>
      </c>
      <c r="U9" s="36" t="n">
        <v>0</v>
      </c>
    </row>
    <row r="10">
      <c r="A10" s="35" t="inlineStr">
        <is>
          <t>Tài sản cố định vô hình</t>
        </is>
      </c>
      <c r="B10" s="36" t="n">
        <v>930580000000</v>
      </c>
      <c r="C10" s="36" t="n">
        <v>2414293000000</v>
      </c>
      <c r="D10" s="36" t="n">
        <v>3142481000000</v>
      </c>
      <c r="E10" s="36" t="n">
        <v>3595749000000</v>
      </c>
      <c r="F10" s="36" t="n">
        <v>4714570000000</v>
      </c>
      <c r="G10" s="36" t="n">
        <v>5365111000000</v>
      </c>
      <c r="H10" s="36" t="n">
        <v>5890186000000</v>
      </c>
      <c r="I10" s="36" t="n">
        <v>5779202000000</v>
      </c>
      <c r="J10" s="36" t="n">
        <v>920700000000</v>
      </c>
      <c r="K10" s="36" t="n">
        <v>898640000000</v>
      </c>
      <c r="L10" s="36" t="n">
        <v>932730000000</v>
      </c>
      <c r="M10" s="36" t="n">
        <v>930580000000</v>
      </c>
      <c r="N10" s="36" t="n">
        <v>5777803000000</v>
      </c>
      <c r="O10" s="36" t="n">
        <v>5890186000000</v>
      </c>
      <c r="P10" s="36" t="n">
        <v>5689724000000</v>
      </c>
      <c r="Q10" s="36" t="n">
        <v>5918795000000</v>
      </c>
      <c r="R10" s="36" t="n">
        <v>5943668000000</v>
      </c>
      <c r="S10" s="36" t="n">
        <v>5779202000000</v>
      </c>
      <c r="T10" s="36" t="n">
        <v>5467220000000</v>
      </c>
      <c r="U10" s="36" t="n">
        <v>6139012000000</v>
      </c>
    </row>
    <row r="11">
      <c r="A11" s="35" t="inlineStr">
        <is>
          <t>Nguyên giá TSCĐ vô hình</t>
        </is>
      </c>
      <c r="B11" s="36" t="n">
        <v>1540037000000</v>
      </c>
      <c r="C11" s="36" t="n">
        <v>3086148000000</v>
      </c>
      <c r="D11" s="36" t="n">
        <v>3923203000000</v>
      </c>
      <c r="E11" s="36" t="n">
        <v>4541141000000</v>
      </c>
      <c r="F11" s="36" t="n">
        <v>5913538000000</v>
      </c>
      <c r="G11" s="36" t="n">
        <v>7198784000000</v>
      </c>
      <c r="H11" s="36" t="n">
        <v>8485022000000</v>
      </c>
      <c r="I11" s="36" t="n">
        <v>9535997000000</v>
      </c>
      <c r="J11" s="36" t="n">
        <v>1452985000000</v>
      </c>
      <c r="K11" s="36" t="n">
        <v>1456652000000</v>
      </c>
      <c r="L11" s="36" t="n">
        <v>1516222000000</v>
      </c>
      <c r="M11" s="36" t="n">
        <v>1540037000000</v>
      </c>
      <c r="N11" s="36" t="n">
        <v>8160074000000</v>
      </c>
      <c r="O11" s="36" t="n">
        <v>8485022000000</v>
      </c>
      <c r="P11" s="36" t="n">
        <v>8523990000000</v>
      </c>
      <c r="Q11" s="36" t="n">
        <v>9038035000000</v>
      </c>
      <c r="R11" s="36" t="n">
        <v>9378229000000</v>
      </c>
      <c r="S11" s="36" t="n">
        <v>9535997000000</v>
      </c>
      <c r="T11" s="36" t="n">
        <v>9535734000000</v>
      </c>
      <c r="U11" s="36" t="n">
        <v>10546242000000</v>
      </c>
    </row>
    <row r="12">
      <c r="A12" s="35" t="inlineStr">
        <is>
          <t>Hao mòn TSCĐ vô hình</t>
        </is>
      </c>
      <c r="B12" s="36" t="n">
        <v>-609457000000</v>
      </c>
      <c r="C12" s="36" t="n">
        <v>-671855000000</v>
      </c>
      <c r="D12" s="36" t="n">
        <v>-780722000000</v>
      </c>
      <c r="E12" s="36" t="n">
        <v>-945392000000</v>
      </c>
      <c r="F12" s="36" t="n">
        <v>-1198968000000</v>
      </c>
      <c r="G12" s="36" t="n">
        <v>-1833673000000</v>
      </c>
      <c r="H12" s="36" t="n">
        <v>-2594836000000</v>
      </c>
      <c r="I12" s="36" t="n">
        <v>-3756795000000</v>
      </c>
      <c r="J12" s="36" t="n">
        <v>-532285000000</v>
      </c>
      <c r="K12" s="36" t="n">
        <v>-558012000000</v>
      </c>
      <c r="L12" s="36" t="n">
        <v>-583492000000</v>
      </c>
      <c r="M12" s="36" t="n">
        <v>-609457000000</v>
      </c>
      <c r="N12" s="36" t="n">
        <v>-2382271000000</v>
      </c>
      <c r="O12" s="36" t="n">
        <v>-2594836000000</v>
      </c>
      <c r="P12" s="36" t="n">
        <v>-2834266000000</v>
      </c>
      <c r="Q12" s="36" t="n">
        <v>-3119240000000</v>
      </c>
      <c r="R12" s="36" t="n">
        <v>-3434561000000</v>
      </c>
      <c r="S12" s="36" t="n">
        <v>-3756795000000</v>
      </c>
      <c r="T12" s="36" t="n">
        <v>-4068514000000</v>
      </c>
      <c r="U12" s="36" t="n">
        <v>-4407230000000</v>
      </c>
    </row>
    <row r="13">
      <c r="A13" s="35" t="inlineStr">
        <is>
          <t>Bất động sản đầu tư</t>
        </is>
      </c>
      <c r="B13" s="36" t="n">
        <v>1196324000000</v>
      </c>
      <c r="C13" s="36" t="n">
        <v>1160524000000</v>
      </c>
      <c r="D13" s="36" t="n">
        <v>1124724000000</v>
      </c>
      <c r="E13" s="36" t="n">
        <v>1088924000000</v>
      </c>
      <c r="F13" s="36" t="n">
        <v>1053124000000</v>
      </c>
      <c r="G13" s="36" t="n">
        <v>0</v>
      </c>
      <c r="H13" s="36" t="n">
        <v>0</v>
      </c>
      <c r="I13" s="36" t="n">
        <v>0</v>
      </c>
      <c r="J13" s="36" t="n">
        <v>1228013000000</v>
      </c>
      <c r="K13" s="36" t="n">
        <v>1214224000000</v>
      </c>
      <c r="L13" s="36" t="n">
        <v>1205274000000</v>
      </c>
      <c r="M13" s="36" t="n">
        <v>1196324000000</v>
      </c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0</v>
      </c>
      <c r="T13" s="36" t="n">
        <v>0</v>
      </c>
      <c r="U13" s="36" t="n">
        <v>0</v>
      </c>
    </row>
    <row r="14">
      <c r="A14" s="35" t="inlineStr">
        <is>
          <t>Nguyên giá bất động sản đầu tư</t>
        </is>
      </c>
      <c r="B14" s="36" t="n">
        <v>1435699000000</v>
      </c>
      <c r="C14" s="36" t="n">
        <v>1435699000000</v>
      </c>
      <c r="D14" s="36" t="n">
        <v>1435699000000</v>
      </c>
      <c r="E14" s="36" t="n">
        <v>1435699000000</v>
      </c>
      <c r="F14" s="36" t="n">
        <v>1435699000000</v>
      </c>
      <c r="G14" s="36" t="n">
        <v>0</v>
      </c>
      <c r="H14" s="36" t="n">
        <v>0</v>
      </c>
      <c r="I14" s="36" t="n">
        <v>0</v>
      </c>
      <c r="J14" s="36" t="n">
        <v>1441529000000</v>
      </c>
      <c r="K14" s="36" t="n">
        <v>1435699000000</v>
      </c>
      <c r="L14" s="36" t="n">
        <v>1435699000000</v>
      </c>
      <c r="M14" s="36" t="n">
        <v>1435699000000</v>
      </c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0</v>
      </c>
      <c r="T14" s="36" t="n">
        <v>0</v>
      </c>
      <c r="U14" s="36" t="n">
        <v>0</v>
      </c>
    </row>
    <row r="15">
      <c r="A15" s="35" t="inlineStr">
        <is>
          <t>Hao mòn bất động sản đầu tư</t>
        </is>
      </c>
      <c r="B15" s="36" t="n">
        <v>-239375000000</v>
      </c>
      <c r="C15" s="36" t="n">
        <v>-275175000000</v>
      </c>
      <c r="D15" s="36" t="n">
        <v>-310975000000</v>
      </c>
      <c r="E15" s="36" t="n">
        <v>-346775000000</v>
      </c>
      <c r="F15" s="36" t="n">
        <v>-382575000000</v>
      </c>
      <c r="G15" s="36" t="n">
        <v>0</v>
      </c>
      <c r="H15" s="36" t="n">
        <v>0</v>
      </c>
      <c r="I15" s="36" t="n">
        <v>0</v>
      </c>
      <c r="J15" s="36" t="n">
        <v>-213516000000</v>
      </c>
      <c r="K15" s="36" t="n">
        <v>-221475000000</v>
      </c>
      <c r="L15" s="36" t="n">
        <v>-230425000000</v>
      </c>
      <c r="M15" s="36" t="n">
        <v>-239375000000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0</v>
      </c>
      <c r="T15" s="36" t="n">
        <v>0</v>
      </c>
      <c r="U15" s="36" t="n">
        <v>0</v>
      </c>
    </row>
    <row r="16">
      <c r="A16" s="35" t="inlineStr">
        <is>
          <t>Góp vốn, đầu tư dài hạn</t>
        </is>
      </c>
      <c r="B16" s="36" t="n">
        <v>12223000000</v>
      </c>
      <c r="C16" s="36" t="n">
        <v>12223000000</v>
      </c>
      <c r="D16" s="36" t="n">
        <v>11806000000</v>
      </c>
      <c r="E16" s="36" t="n">
        <v>12813000000</v>
      </c>
      <c r="F16" s="36" t="n">
        <v>12813000000</v>
      </c>
      <c r="G16" s="36" t="n">
        <v>3046245000000</v>
      </c>
      <c r="H16" s="36" t="n">
        <v>3102523000000</v>
      </c>
      <c r="I16" s="36" t="n">
        <v>3246622000000</v>
      </c>
      <c r="J16" s="36" t="n">
        <v>9668000000</v>
      </c>
      <c r="K16" s="36" t="n">
        <v>12223000000</v>
      </c>
      <c r="L16" s="36" t="n">
        <v>12223000000</v>
      </c>
      <c r="M16" s="36" t="n">
        <v>12223000000</v>
      </c>
      <c r="N16" s="36" t="n">
        <v>3047523000000</v>
      </c>
      <c r="O16" s="36" t="n">
        <v>3102523000000</v>
      </c>
      <c r="P16" s="36" t="n">
        <v>3102523000000</v>
      </c>
      <c r="Q16" s="36" t="n">
        <v>3057806000000</v>
      </c>
      <c r="R16" s="36" t="n">
        <v>3090646000000</v>
      </c>
      <c r="S16" s="36" t="n">
        <v>3246622000000</v>
      </c>
      <c r="T16" s="36" t="n">
        <v>3244347000000</v>
      </c>
      <c r="U16" s="36" t="n">
        <v>3076756000000</v>
      </c>
    </row>
    <row r="17">
      <c r="A17" s="35" t="inlineStr">
        <is>
          <t>Đầu tư vào công ty con</t>
        </is>
      </c>
      <c r="B17" s="36" t="n">
        <v>0</v>
      </c>
      <c r="C17" s="36" t="n">
        <v>0</v>
      </c>
      <c r="D17" s="36" t="n">
        <v>0</v>
      </c>
      <c r="E17" s="36" t="n">
        <v>0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6" t="n">
        <v>0</v>
      </c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0</v>
      </c>
      <c r="T17" s="36" t="n">
        <v>0</v>
      </c>
      <c r="U17" s="36" t="n">
        <v>0</v>
      </c>
    </row>
    <row r="18">
      <c r="A18" s="35" t="inlineStr">
        <is>
          <t>Đầu tư vào công ty liên doanh</t>
        </is>
      </c>
      <c r="B18" s="36" t="n">
        <v>0</v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 t="n">
        <v>0</v>
      </c>
      <c r="I18" s="36" t="n">
        <v>32263000000</v>
      </c>
      <c r="J18" s="36" t="n">
        <v>0</v>
      </c>
      <c r="K18" s="36" t="n">
        <v>0</v>
      </c>
      <c r="L18" s="36" t="n">
        <v>0</v>
      </c>
      <c r="M18" s="36" t="n">
        <v>0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32840000000</v>
      </c>
      <c r="S18" s="36" t="n">
        <v>32263000000</v>
      </c>
      <c r="T18" s="36" t="n">
        <v>29988000000</v>
      </c>
      <c r="U18" s="36" t="n">
        <v>27397000000</v>
      </c>
    </row>
    <row r="19">
      <c r="A19" s="35" t="inlineStr">
        <is>
          <t>Đầu tư dài hạn khác</t>
        </is>
      </c>
      <c r="B19" s="36" t="n">
        <v>12883000000</v>
      </c>
      <c r="C19" s="36" t="n">
        <v>12883000000</v>
      </c>
      <c r="D19" s="36" t="n">
        <v>12466000000</v>
      </c>
      <c r="E19" s="36" t="n">
        <v>13962000000</v>
      </c>
      <c r="F19" s="36" t="n">
        <v>13962000000</v>
      </c>
      <c r="G19" s="36" t="n">
        <v>3047394000000</v>
      </c>
      <c r="H19" s="36" t="n">
        <v>3103672000000</v>
      </c>
      <c r="I19" s="36" t="n">
        <v>3215508000000</v>
      </c>
      <c r="J19" s="36" t="n">
        <v>12084000000</v>
      </c>
      <c r="K19" s="36" t="n">
        <v>12883000000</v>
      </c>
      <c r="L19" s="36" t="n">
        <v>12883000000</v>
      </c>
      <c r="M19" s="36" t="n">
        <v>12883000000</v>
      </c>
      <c r="N19" s="36" t="n">
        <v>3048672000000</v>
      </c>
      <c r="O19" s="36" t="n">
        <v>3103672000000</v>
      </c>
      <c r="P19" s="36" t="n">
        <v>3103672000000</v>
      </c>
      <c r="Q19" s="36" t="n">
        <v>3058955000000</v>
      </c>
      <c r="R19" s="36" t="n">
        <v>3058955000000</v>
      </c>
      <c r="S19" s="36" t="n">
        <v>3215508000000</v>
      </c>
      <c r="T19" s="36" t="n">
        <v>3215508000000</v>
      </c>
      <c r="U19" s="36" t="n">
        <v>3050508000000</v>
      </c>
    </row>
    <row r="20">
      <c r="A20" s="35" t="inlineStr">
        <is>
          <t>Dự phòng giảm giá đầu tư dài hạn</t>
        </is>
      </c>
      <c r="B20" s="36" t="n">
        <v>-660000000</v>
      </c>
      <c r="C20" s="36" t="n">
        <v>-660000000</v>
      </c>
      <c r="D20" s="36" t="n">
        <v>-660000000</v>
      </c>
      <c r="E20" s="36" t="n">
        <v>-1149000000</v>
      </c>
      <c r="F20" s="36" t="n">
        <v>-1149000000</v>
      </c>
      <c r="G20" s="36" t="n">
        <v>-1149000000</v>
      </c>
      <c r="H20" s="36" t="n">
        <v>-1149000000</v>
      </c>
      <c r="I20" s="36" t="n">
        <v>-1149000000</v>
      </c>
      <c r="J20" s="36" t="n">
        <v>-2416000000</v>
      </c>
      <c r="K20" s="36" t="n">
        <v>-660000000</v>
      </c>
      <c r="L20" s="36" t="n">
        <v>-660000000</v>
      </c>
      <c r="M20" s="36" t="n">
        <v>-660000000</v>
      </c>
      <c r="N20" s="36" t="n">
        <v>-1149000000</v>
      </c>
      <c r="O20" s="36" t="n">
        <v>-1149000000</v>
      </c>
      <c r="P20" s="36" t="n">
        <v>-1149000000</v>
      </c>
      <c r="Q20" s="36" t="n">
        <v>-1149000000</v>
      </c>
      <c r="R20" s="36" t="n">
        <v>-1149000000</v>
      </c>
      <c r="S20" s="36" t="n">
        <v>-1149000000</v>
      </c>
      <c r="T20" s="36" t="n">
        <v>-1149000000</v>
      </c>
      <c r="U20" s="36" t="n">
        <v>-1149000000</v>
      </c>
    </row>
    <row r="21">
      <c r="A21" s="35" t="inlineStr">
        <is>
          <t>TỔNG TÀI SẢN</t>
        </is>
      </c>
      <c r="B21" s="36" t="n">
        <v>320988941000000</v>
      </c>
      <c r="C21" s="36" t="n">
        <v>383699461000000</v>
      </c>
      <c r="D21" s="36" t="n">
        <v>439602933000000</v>
      </c>
      <c r="E21" s="36" t="n">
        <v>568728950000000</v>
      </c>
      <c r="F21" s="36" t="n">
        <v>699032544000000</v>
      </c>
      <c r="G21" s="36" t="n">
        <v>849482012000000</v>
      </c>
      <c r="H21" s="36" t="n">
        <v>978798549000000</v>
      </c>
      <c r="I21" s="36" t="n">
        <v>1192344137000000</v>
      </c>
      <c r="J21" s="36" t="n">
        <v>273152696000000</v>
      </c>
      <c r="K21" s="36" t="n">
        <v>300404808000000</v>
      </c>
      <c r="L21" s="36" t="n">
        <v>311795636000000</v>
      </c>
      <c r="M21" s="36" t="n">
        <v>321049453000000</v>
      </c>
      <c r="N21" s="36" t="n">
        <v>927053345000000</v>
      </c>
      <c r="O21" s="36" t="n">
        <v>978798549000000</v>
      </c>
      <c r="P21" s="36" t="n">
        <v>989215993000000</v>
      </c>
      <c r="Q21" s="36" t="n">
        <v>1037645395000000</v>
      </c>
      <c r="R21" s="36" t="n">
        <v>1129570458000000</v>
      </c>
      <c r="S21" s="36" t="n">
        <v>1192344137000000</v>
      </c>
      <c r="T21" s="36" t="n">
        <v>1190453754000000</v>
      </c>
      <c r="U21" s="36" t="n">
        <v>1273076923000000</v>
      </c>
    </row>
    <row r="22">
      <c r="A22" s="35" t="inlineStr">
        <is>
          <t>TỔNG NỢ PHẢI TRẢ</t>
        </is>
      </c>
      <c r="B22" s="36" t="n">
        <v>269206236000000</v>
      </c>
      <c r="C22" s="36" t="n">
        <v>321626694000000</v>
      </c>
      <c r="D22" s="36" t="n">
        <v>364988147000000</v>
      </c>
      <c r="E22" s="36" t="n">
        <v>475687478000000</v>
      </c>
      <c r="F22" s="36" t="n">
        <v>585607578000000</v>
      </c>
      <c r="G22" s="36" t="n">
        <v>717865947000000</v>
      </c>
      <c r="H22" s="36" t="n">
        <v>830858928000000</v>
      </c>
      <c r="I22" s="36" t="n">
        <v>1012842695000000</v>
      </c>
      <c r="J22" s="36" t="n">
        <v>235536897000000</v>
      </c>
      <c r="K22" s="36" t="n">
        <v>252975368000000</v>
      </c>
      <c r="L22" s="36" t="n">
        <v>262314635000000</v>
      </c>
      <c r="M22" s="36" t="n">
        <v>269266748000000</v>
      </c>
      <c r="N22" s="36" t="n">
        <v>782685363000000</v>
      </c>
      <c r="O22" s="36" t="n">
        <v>830858928000000</v>
      </c>
      <c r="P22" s="36" t="n">
        <v>835263328000000</v>
      </c>
      <c r="Q22" s="36" t="n">
        <v>875818166000000</v>
      </c>
      <c r="R22" s="36" t="n">
        <v>950139865000000</v>
      </c>
      <c r="S22" s="36" t="n">
        <v>1012842695000000</v>
      </c>
      <c r="T22" s="36" t="n">
        <v>1003770981000000</v>
      </c>
      <c r="U22" s="36" t="n">
        <v>1084079773000000</v>
      </c>
    </row>
    <row r="23">
      <c r="A23" s="35" t="inlineStr">
        <is>
          <t>VỐN CHỦ SỞ HỮU</t>
        </is>
      </c>
      <c r="B23" s="36" t="n">
        <v>51782705000000</v>
      </c>
      <c r="C23" s="36" t="n">
        <v>62072767000000</v>
      </c>
      <c r="D23" s="36" t="n">
        <v>74614786000000</v>
      </c>
      <c r="E23" s="36" t="n">
        <v>93041472000000</v>
      </c>
      <c r="F23" s="36" t="n">
        <v>113424966000000</v>
      </c>
      <c r="G23" s="36" t="n">
        <v>131616065000000</v>
      </c>
      <c r="H23" s="36" t="n">
        <v>147939621000000</v>
      </c>
      <c r="I23" s="36" t="n">
        <v>179501442000000</v>
      </c>
      <c r="J23" s="36" t="n">
        <v>37615799000000</v>
      </c>
      <c r="K23" s="36" t="n">
        <v>47429440000000</v>
      </c>
      <c r="L23" s="36" t="n">
        <v>49481001000000</v>
      </c>
      <c r="M23" s="36" t="n">
        <v>51782705000000</v>
      </c>
      <c r="N23" s="36" t="n">
        <v>144367982000000</v>
      </c>
      <c r="O23" s="36" t="n">
        <v>147939621000000</v>
      </c>
      <c r="P23" s="36" t="n">
        <v>153952665000000</v>
      </c>
      <c r="Q23" s="36" t="n">
        <v>161827229000000</v>
      </c>
      <c r="R23" s="36" t="n">
        <v>179430593000000</v>
      </c>
      <c r="S23" s="36" t="n">
        <v>179501442000000</v>
      </c>
      <c r="T23" s="36" t="n">
        <v>186682773000000</v>
      </c>
      <c r="U23" s="36" t="n">
        <v>188997150000000</v>
      </c>
    </row>
    <row r="24">
      <c r="A24" s="35" t="inlineStr">
        <is>
          <t>Vốn điều lệ</t>
        </is>
      </c>
      <c r="B24" s="36" t="n">
        <v>34965922000000</v>
      </c>
      <c r="C24" s="36" t="n">
        <v>35001400000000</v>
      </c>
      <c r="D24" s="36" t="n">
        <v>35049062000000</v>
      </c>
      <c r="E24" s="36" t="n">
        <v>35109148000000</v>
      </c>
      <c r="F24" s="36" t="n">
        <v>35172385000000</v>
      </c>
      <c r="G24" s="36" t="n">
        <v>35225108000000</v>
      </c>
      <c r="H24" s="36" t="n">
        <v>70648517000000</v>
      </c>
      <c r="I24" s="36" t="n">
        <v>70862404000000</v>
      </c>
      <c r="J24" s="36" t="n">
        <v>11655307000000</v>
      </c>
      <c r="K24" s="36" t="n">
        <v>11655307000000</v>
      </c>
      <c r="L24" s="36" t="n">
        <v>34965922000000</v>
      </c>
      <c r="M24" s="36" t="n">
        <v>34965922000000</v>
      </c>
      <c r="N24" s="36" t="n">
        <v>70450216000000</v>
      </c>
      <c r="O24" s="36" t="n">
        <v>70648517000000</v>
      </c>
      <c r="P24" s="36" t="n">
        <v>70648517000000</v>
      </c>
      <c r="Q24" s="36" t="n">
        <v>70648517000000</v>
      </c>
      <c r="R24" s="36" t="n">
        <v>70648517000000</v>
      </c>
      <c r="S24" s="36" t="n">
        <v>70862404000000</v>
      </c>
      <c r="T24" s="36" t="n">
        <v>70862404000000</v>
      </c>
      <c r="U24" s="36" t="n">
        <v>70862404000000</v>
      </c>
    </row>
    <row r="25">
      <c r="A25" s="35" t="inlineStr">
        <is>
          <t>Thặng dư vốn cổ phần</t>
        </is>
      </c>
      <c r="B25" s="36" t="n">
        <v>476617000000</v>
      </c>
      <c r="C25" s="36" t="n">
        <v>476567000000</v>
      </c>
      <c r="D25" s="36" t="n">
        <v>476507000000</v>
      </c>
      <c r="E25" s="36" t="n">
        <v>476474000000</v>
      </c>
      <c r="F25" s="36" t="n">
        <v>476415000000</v>
      </c>
      <c r="G25" s="36" t="n">
        <v>476356000000</v>
      </c>
      <c r="H25" s="36" t="n">
        <v>-59000000</v>
      </c>
      <c r="I25" s="36" t="n">
        <v>-124000000</v>
      </c>
      <c r="J25" s="36" t="n">
        <v>8265307000000</v>
      </c>
      <c r="K25" s="36" t="n">
        <v>14471077000000</v>
      </c>
      <c r="L25" s="36" t="n">
        <v>476947000000</v>
      </c>
      <c r="M25" s="36" t="n">
        <v>476617000000</v>
      </c>
      <c r="N25" s="36" t="n">
        <v>0</v>
      </c>
      <c r="O25" s="36" t="n">
        <v>-59000000</v>
      </c>
      <c r="P25" s="36" t="n">
        <v>-59000000</v>
      </c>
      <c r="Q25" s="36" t="n">
        <v>-59000000</v>
      </c>
      <c r="R25" s="36" t="n">
        <v>-59000000</v>
      </c>
      <c r="S25" s="36" t="n">
        <v>-124000000</v>
      </c>
      <c r="T25" s="36" t="n">
        <v>-124000000</v>
      </c>
      <c r="U25" s="36" t="n">
        <v>-124000000</v>
      </c>
    </row>
    <row r="26">
      <c r="A26" s="35" t="inlineStr">
        <is>
          <t>Vốn khác</t>
        </is>
      </c>
      <c r="B26" s="36" t="n">
        <v>0</v>
      </c>
      <c r="C26" s="36" t="n">
        <v>0</v>
      </c>
      <c r="D26" s="36" t="n">
        <v>0</v>
      </c>
      <c r="E26" s="36" t="n">
        <v>0</v>
      </c>
      <c r="F26" s="36" t="n">
        <v>555997000000</v>
      </c>
      <c r="G26" s="36" t="n">
        <v>555997000000</v>
      </c>
      <c r="H26" s="36" t="n">
        <v>7764086000000</v>
      </c>
      <c r="I26" s="36" t="n">
        <v>7764086000000</v>
      </c>
      <c r="J26" s="36" t="n">
        <v>0</v>
      </c>
      <c r="K26" s="36" t="n">
        <v>0</v>
      </c>
      <c r="L26" s="36" t="n">
        <v>0</v>
      </c>
      <c r="M26" s="36" t="n">
        <v>0</v>
      </c>
      <c r="N26" s="36" t="n">
        <v>555997000000</v>
      </c>
      <c r="O26" s="36" t="n">
        <v>7764086000000</v>
      </c>
      <c r="P26" s="36" t="n">
        <v>7764086000000</v>
      </c>
      <c r="Q26" s="36" t="n">
        <v>7764086000000</v>
      </c>
      <c r="R26" s="36" t="n">
        <v>7764086000000</v>
      </c>
      <c r="S26" s="36" t="n">
        <v>7764086000000</v>
      </c>
      <c r="T26" s="36" t="n">
        <v>7946512000000</v>
      </c>
      <c r="U26" s="36" t="n">
        <v>11462015000000</v>
      </c>
    </row>
    <row r="27">
      <c r="A27" s="35" t="inlineStr">
        <is>
          <t>Cổ phiếu Quỹ</t>
        </is>
      </c>
      <c r="B27" s="36" t="n">
        <v>0</v>
      </c>
      <c r="C27" s="36" t="n">
        <v>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-1511737000000</v>
      </c>
      <c r="K27" s="36" t="n">
        <v>0</v>
      </c>
      <c r="L27" s="36" t="n">
        <v>0</v>
      </c>
      <c r="M27" s="36" t="n">
        <v>0</v>
      </c>
      <c r="N27" s="36" t="n">
        <v>0</v>
      </c>
      <c r="O27" s="36" t="n">
        <v>0</v>
      </c>
      <c r="P27" s="36" t="n">
        <v>0</v>
      </c>
      <c r="Q27" s="36" t="n">
        <v>0</v>
      </c>
      <c r="R27" s="36" t="n">
        <v>0</v>
      </c>
      <c r="S27" s="36" t="n">
        <v>0</v>
      </c>
      <c r="T27" s="36" t="n">
        <v>0</v>
      </c>
      <c r="U27" s="36" t="n">
        <v>0</v>
      </c>
    </row>
    <row r="28">
      <c r="A28" s="35" t="inlineStr">
        <is>
          <t>Chênh lệch đánh giá lại tài sản</t>
        </is>
      </c>
      <c r="B28" s="36" t="n">
        <v>0</v>
      </c>
      <c r="C28" s="36" t="n">
        <v>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  <c r="N28" s="36" t="n">
        <v>0</v>
      </c>
      <c r="O28" s="36" t="n">
        <v>0</v>
      </c>
      <c r="P28" s="36" t="n">
        <v>0</v>
      </c>
      <c r="Q28" s="36" t="n">
        <v>0</v>
      </c>
      <c r="R28" s="36" t="n">
        <v>0</v>
      </c>
      <c r="S28" s="36" t="n">
        <v>0</v>
      </c>
      <c r="T28" s="36" t="n">
        <v>0</v>
      </c>
      <c r="U28" s="36" t="n">
        <v>0</v>
      </c>
    </row>
    <row r="29">
      <c r="A29" s="35" t="inlineStr">
        <is>
          <t>Chênh lệch tỷ giá hối đoái</t>
        </is>
      </c>
      <c r="B29" s="36" t="n">
        <v>0</v>
      </c>
      <c r="C29" s="36" t="n">
        <v>0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4264000000</v>
      </c>
      <c r="K29" s="36" t="n">
        <v>-350000000</v>
      </c>
      <c r="L29" s="36" t="n">
        <v>-499000000</v>
      </c>
      <c r="M29" s="36" t="n">
        <v>0</v>
      </c>
      <c r="N29" s="36" t="n">
        <v>10494000000</v>
      </c>
      <c r="O29" s="36" t="n">
        <v>0</v>
      </c>
      <c r="P29" s="36" t="n">
        <v>0</v>
      </c>
      <c r="Q29" s="36" t="n">
        <v>0</v>
      </c>
      <c r="R29" s="36" t="n">
        <v>0</v>
      </c>
      <c r="S29" s="36" t="n">
        <v>0</v>
      </c>
      <c r="T29" s="36" t="n">
        <v>0</v>
      </c>
      <c r="U29" s="36" t="n">
        <v>0</v>
      </c>
    </row>
    <row r="30">
      <c r="A30" s="35" t="inlineStr">
        <is>
          <t>Lợi nhuận chưa phân phối</t>
        </is>
      </c>
      <c r="B30" s="36" t="n">
        <v>12403003000000</v>
      </c>
      <c r="C30" s="36" t="n">
        <v>21131391000000</v>
      </c>
      <c r="D30" s="36" t="n">
        <v>31815705000000</v>
      </c>
      <c r="E30" s="36" t="n">
        <v>47453056000000</v>
      </c>
      <c r="F30" s="36" t="n">
        <v>64482685000000</v>
      </c>
      <c r="G30" s="36" t="n">
        <v>49013144000000</v>
      </c>
      <c r="H30" s="36" t="n">
        <v>42219306000000</v>
      </c>
      <c r="I30" s="36" t="n">
        <v>62773576000000</v>
      </c>
      <c r="J30" s="36" t="n">
        <v>13055152000000</v>
      </c>
      <c r="K30" s="36" t="n">
        <v>15155900000000</v>
      </c>
      <c r="L30" s="36" t="n">
        <v>11387717000000</v>
      </c>
      <c r="M30" s="36" t="n">
        <v>12403003000000</v>
      </c>
      <c r="N30" s="36" t="n">
        <v>51068780000000</v>
      </c>
      <c r="O30" s="36" t="n">
        <v>42219306000000</v>
      </c>
      <c r="P30" s="36" t="n">
        <v>48167266000000</v>
      </c>
      <c r="Q30" s="36" t="n">
        <v>54414630000000</v>
      </c>
      <c r="R30" s="36" t="n">
        <v>60833974000000</v>
      </c>
      <c r="S30" s="36" t="n">
        <v>62773576000000</v>
      </c>
      <c r="T30" s="36" t="n">
        <v>69435141000000</v>
      </c>
      <c r="U30" s="36" t="n">
        <v>68178258000000</v>
      </c>
    </row>
    <row r="31">
      <c r="A31" s="35" t="inlineStr">
        <is>
          <t>Lợi ích của cổ đông thiểu số (trước 2015)</t>
        </is>
      </c>
      <c r="B31" s="36" t="n">
        <v>0</v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6" t="n">
        <v>0</v>
      </c>
      <c r="O31" s="36" t="n">
        <v>0</v>
      </c>
      <c r="P31" s="36" t="n">
        <v>0</v>
      </c>
      <c r="Q31" s="36" t="n">
        <v>0</v>
      </c>
      <c r="R31" s="36" t="n">
        <v>0</v>
      </c>
      <c r="S31" s="36" t="n">
        <v>0</v>
      </c>
      <c r="T31" s="36" t="n">
        <v>0</v>
      </c>
      <c r="U31" s="36" t="n">
        <v>0</v>
      </c>
    </row>
    <row r="32">
      <c r="A32" s="35" t="inlineStr">
        <is>
          <t>NỢ PHẢI TRẢ VÀ VỐN CHỦ SỞ HỮU</t>
        </is>
      </c>
      <c r="B32" s="36" t="n">
        <v>320988941000000</v>
      </c>
      <c r="C32" s="36" t="n">
        <v>383699461000000</v>
      </c>
      <c r="D32" s="36" t="n">
        <v>439602933000000</v>
      </c>
      <c r="E32" s="36" t="n">
        <v>568728950000000</v>
      </c>
      <c r="F32" s="36" t="n">
        <v>699032544000000</v>
      </c>
      <c r="G32" s="36" t="n">
        <v>849482012000000</v>
      </c>
      <c r="H32" s="36" t="n">
        <v>978798549000000</v>
      </c>
      <c r="I32" s="36" t="n">
        <v>1192344137000000</v>
      </c>
      <c r="J32" s="36" t="n">
        <v>273152696000000</v>
      </c>
      <c r="K32" s="36" t="n">
        <v>300404808000000</v>
      </c>
      <c r="L32" s="36" t="n">
        <v>311795636000000</v>
      </c>
      <c r="M32" s="36" t="n">
        <v>321049453000000</v>
      </c>
      <c r="N32" s="36" t="n">
        <v>927053345000000</v>
      </c>
      <c r="O32" s="36" t="n">
        <v>978798549000000</v>
      </c>
      <c r="P32" s="36" t="n">
        <v>989215993000000</v>
      </c>
      <c r="Q32" s="36" t="n">
        <v>1037645395000000</v>
      </c>
      <c r="R32" s="36" t="n">
        <v>1129570458000000</v>
      </c>
      <c r="S32" s="36" t="n">
        <v>1192344137000000</v>
      </c>
      <c r="T32" s="36" t="n">
        <v>1190453754000000</v>
      </c>
      <c r="U32" s="36" t="n">
        <v>1273076923000000</v>
      </c>
    </row>
    <row r="33">
      <c r="A33" s="35" t="inlineStr">
        <is>
          <t>Tiền gửi tại Ngân hàng nhà nước Việt Nam</t>
        </is>
      </c>
      <c r="B33" s="36" t="n">
        <v>10555483000000</v>
      </c>
      <c r="C33" s="36" t="n">
        <v>3192256000000</v>
      </c>
      <c r="D33" s="36" t="n">
        <v>10253324000000</v>
      </c>
      <c r="E33" s="36" t="n">
        <v>4908529000000</v>
      </c>
      <c r="F33" s="36" t="n">
        <v>11475590000000</v>
      </c>
      <c r="G33" s="36" t="n">
        <v>27140592000000</v>
      </c>
      <c r="H33" s="36" t="n">
        <v>54353153000000</v>
      </c>
      <c r="I33" s="36" t="n">
        <v>82162772000000</v>
      </c>
      <c r="J33" s="36" t="n">
        <v>3523522000000</v>
      </c>
      <c r="K33" s="36" t="n">
        <v>3211552000000</v>
      </c>
      <c r="L33" s="36" t="n">
        <v>5582643000000</v>
      </c>
      <c r="M33" s="36" t="n">
        <v>10555483000000</v>
      </c>
      <c r="N33" s="36" t="n">
        <v>40614749000000</v>
      </c>
      <c r="O33" s="36" t="n">
        <v>54353153000000</v>
      </c>
      <c r="P33" s="36" t="n">
        <v>62698992000000</v>
      </c>
      <c r="Q33" s="36" t="n">
        <v>48485657000000</v>
      </c>
      <c r="R33" s="36" t="n">
        <v>77586460000000</v>
      </c>
      <c r="S33" s="36" t="n">
        <v>82162772000000</v>
      </c>
      <c r="T33" s="36" t="n">
        <v>93007358000000</v>
      </c>
      <c r="U33" s="36" t="n">
        <v>95127975000000</v>
      </c>
    </row>
    <row r="34">
      <c r="A34" s="35" t="inlineStr">
        <is>
          <t>Tiền gửi tại các TCTD khác và cho vay các TCTD khác</t>
        </is>
      </c>
      <c r="B34" s="36" t="n">
        <v>35559363000000</v>
      </c>
      <c r="C34" s="36" t="n">
        <v>47990224000000</v>
      </c>
      <c r="D34" s="36" t="n">
        <v>28994954000000</v>
      </c>
      <c r="E34" s="36" t="n">
        <v>70515258000000</v>
      </c>
      <c r="F34" s="36" t="n">
        <v>82873754000000</v>
      </c>
      <c r="G34" s="36" t="n">
        <v>104072320000000</v>
      </c>
      <c r="H34" s="36" t="n">
        <v>84590474000000</v>
      </c>
      <c r="I34" s="36" t="n">
        <v>114958312000000</v>
      </c>
      <c r="J34" s="36" t="n">
        <v>31985206000000</v>
      </c>
      <c r="K34" s="36" t="n">
        <v>51321690000000</v>
      </c>
      <c r="L34" s="36" t="n">
        <v>43737213000000</v>
      </c>
      <c r="M34" s="36" t="n">
        <v>35616169000000</v>
      </c>
      <c r="N34" s="36" t="n">
        <v>90014293000000</v>
      </c>
      <c r="O34" s="36" t="n">
        <v>84590474000000</v>
      </c>
      <c r="P34" s="36" t="n">
        <v>81883430000000</v>
      </c>
      <c r="Q34" s="36" t="n">
        <v>80845693000000</v>
      </c>
      <c r="R34" s="36" t="n">
        <v>92999089000000</v>
      </c>
      <c r="S34" s="36" t="n">
        <v>114958312000000</v>
      </c>
      <c r="T34" s="36" t="n">
        <v>87777341000000</v>
      </c>
      <c r="U34" s="36" t="n">
        <v>85416520000000</v>
      </c>
    </row>
    <row r="35">
      <c r="A35" s="35" t="inlineStr">
        <is>
          <t>Chứng khoán kinh doanh</t>
        </is>
      </c>
      <c r="B35" s="36" t="n">
        <v>7583090000000</v>
      </c>
      <c r="C35" s="36" t="n">
        <v>10052963000000</v>
      </c>
      <c r="D35" s="36" t="n">
        <v>8357447000000</v>
      </c>
      <c r="E35" s="36" t="n">
        <v>5074479000000</v>
      </c>
      <c r="F35" s="36" t="n">
        <v>961034000000</v>
      </c>
      <c r="G35" s="36" t="n">
        <v>4432778000000</v>
      </c>
      <c r="H35" s="36" t="n">
        <v>9000895000000</v>
      </c>
      <c r="I35" s="36" t="n">
        <v>4816831000000</v>
      </c>
      <c r="J35" s="36" t="n">
        <v>3579184000000</v>
      </c>
      <c r="K35" s="36" t="n">
        <v>7373729000000</v>
      </c>
      <c r="L35" s="36" t="n">
        <v>5586683000000</v>
      </c>
      <c r="M35" s="36" t="n">
        <v>7583090000000</v>
      </c>
      <c r="N35" s="36" t="n">
        <v>4524314000000</v>
      </c>
      <c r="O35" s="36" t="n">
        <v>9000895000000</v>
      </c>
      <c r="P35" s="36" t="n">
        <v>2280761000000</v>
      </c>
      <c r="Q35" s="36" t="n">
        <v>4139215000000</v>
      </c>
      <c r="R35" s="36" t="n">
        <v>3107429000000</v>
      </c>
      <c r="S35" s="36" t="n">
        <v>4816831000000</v>
      </c>
      <c r="T35" s="36" t="n">
        <v>462958000000</v>
      </c>
      <c r="U35" s="36" t="n">
        <v>348048000000</v>
      </c>
    </row>
    <row r="36">
      <c r="A36" s="35" t="inlineStr">
        <is>
          <t>Chứng khoán kinh doanh</t>
        </is>
      </c>
      <c r="B36" s="36" t="n"/>
      <c r="C36" s="36" t="n"/>
      <c r="D36" s="36" t="n"/>
      <c r="E36" s="36" t="n"/>
      <c r="F36" s="36" t="n">
        <v>961034000000</v>
      </c>
      <c r="G36" s="36" t="n">
        <v>4432778000000</v>
      </c>
      <c r="H36" s="36" t="n">
        <v>9000895000000</v>
      </c>
      <c r="I36" s="36" t="n">
        <v>4816831000000</v>
      </c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</row>
    <row r="37">
      <c r="A37" s="35" t="inlineStr">
        <is>
          <t>Dự phòng giảm giá chứng khoán kinh doanh</t>
        </is>
      </c>
      <c r="B37" s="36" t="n">
        <v>-10861000000</v>
      </c>
      <c r="C37" s="36" t="n">
        <v>-11407000000</v>
      </c>
      <c r="D37" s="36" t="n">
        <v>-9871000000</v>
      </c>
      <c r="E37" s="36" t="n">
        <v>-3667000000</v>
      </c>
      <c r="F37" s="36" t="n">
        <v>0</v>
      </c>
      <c r="G37" s="36" t="n">
        <v>0</v>
      </c>
      <c r="H37" s="36" t="n">
        <v>-251000000</v>
      </c>
      <c r="I37" s="36" t="n">
        <v>-1054000000</v>
      </c>
      <c r="J37" s="36" t="n">
        <v>-8576000000</v>
      </c>
      <c r="K37" s="36" t="n">
        <v>-17343000000</v>
      </c>
      <c r="L37" s="36" t="n">
        <v>-10287000000</v>
      </c>
      <c r="M37" s="36" t="n">
        <v>-10861000000</v>
      </c>
      <c r="N37" s="36" t="n">
        <v>0</v>
      </c>
      <c r="O37" s="36" t="n">
        <v>-251000000</v>
      </c>
      <c r="P37" s="36" t="n">
        <v>-378000000</v>
      </c>
      <c r="Q37" s="36" t="n">
        <v>-821000000</v>
      </c>
      <c r="R37" s="36" t="n">
        <v>-281000000</v>
      </c>
      <c r="S37" s="36" t="n">
        <v>-1054000000</v>
      </c>
      <c r="T37" s="36" t="n">
        <v>-747000000</v>
      </c>
      <c r="U37" s="36" t="n">
        <v>-5268000000</v>
      </c>
    </row>
    <row r="38">
      <c r="A38" s="35" t="inlineStr">
        <is>
          <t>Các công cụ tài chính phái sinh và các tài sản tài chính khác</t>
        </is>
      </c>
      <c r="B38" s="36" t="n">
        <v>0</v>
      </c>
      <c r="C38" s="36" t="n">
        <v>0</v>
      </c>
      <c r="D38" s="36" t="n">
        <v>0</v>
      </c>
      <c r="E38" s="36" t="n">
        <v>293768000000</v>
      </c>
      <c r="F38" s="36" t="n">
        <v>0</v>
      </c>
      <c r="G38" s="36" t="n">
        <v>143611000000</v>
      </c>
      <c r="H38" s="36" t="n">
        <v>0</v>
      </c>
      <c r="I38" s="36" t="n">
        <v>0</v>
      </c>
      <c r="J38" s="36" t="n">
        <v>113895000000</v>
      </c>
      <c r="K38" s="36" t="n">
        <v>0</v>
      </c>
      <c r="L38" s="36" t="n">
        <v>0</v>
      </c>
      <c r="M38" s="36" t="n">
        <v>0</v>
      </c>
      <c r="N38" s="36" t="n">
        <v>269237000000</v>
      </c>
      <c r="O38" s="36" t="n">
        <v>0</v>
      </c>
      <c r="P38" s="36" t="n">
        <v>0</v>
      </c>
      <c r="Q38" s="36" t="n">
        <v>0</v>
      </c>
      <c r="R38" s="36" t="n">
        <v>0</v>
      </c>
      <c r="S38" s="36" t="n">
        <v>0</v>
      </c>
      <c r="T38" s="36" t="n">
        <v>0</v>
      </c>
      <c r="U38" s="36" t="n">
        <v>0</v>
      </c>
    </row>
    <row r="39">
      <c r="A39" s="35" t="inlineStr">
        <is>
          <t>Cho vay khách hàng</t>
        </is>
      </c>
      <c r="B39" s="36" t="n">
        <v>159939217000000</v>
      </c>
      <c r="C39" s="36" t="n">
        <v>230802027000000</v>
      </c>
      <c r="D39" s="36" t="n">
        <v>277524615000000</v>
      </c>
      <c r="E39" s="36" t="n">
        <v>347341244000000</v>
      </c>
      <c r="F39" s="36" t="n">
        <v>420523705000000</v>
      </c>
      <c r="G39" s="36" t="n">
        <v>518641568000000</v>
      </c>
      <c r="H39" s="36" t="n">
        <v>631724964000000</v>
      </c>
      <c r="I39" s="36" t="n">
        <v>767617129000000</v>
      </c>
      <c r="J39" s="36" t="n">
        <v>163948354000000</v>
      </c>
      <c r="K39" s="36" t="n">
        <v>166700421000000</v>
      </c>
      <c r="L39" s="36" t="n">
        <v>166938850000000</v>
      </c>
      <c r="M39" s="36" t="n">
        <v>159942048000000</v>
      </c>
      <c r="N39" s="36" t="n">
        <v>626290777000000</v>
      </c>
      <c r="O39" s="36" t="n">
        <v>631724964000000</v>
      </c>
      <c r="P39" s="36" t="n">
        <v>663692866000000</v>
      </c>
      <c r="Q39" s="36" t="n">
        <v>710313010000000</v>
      </c>
      <c r="R39" s="36" t="n">
        <v>766709929000000</v>
      </c>
      <c r="S39" s="36" t="n">
        <v>767617129000000</v>
      </c>
      <c r="T39" s="36" t="n">
        <v>796863951000000</v>
      </c>
      <c r="U39" s="36" t="n">
        <v>847335568000000</v>
      </c>
    </row>
    <row r="40">
      <c r="A40" s="35" t="inlineStr">
        <is>
          <t>Cho vay khách hàng</t>
        </is>
      </c>
      <c r="B40" s="36" t="n"/>
      <c r="C40" s="36" t="n"/>
      <c r="D40" s="36" t="n"/>
      <c r="E40" s="36" t="n"/>
      <c r="F40" s="36" t="n">
        <v>420523705000000</v>
      </c>
      <c r="G40" s="36" t="n">
        <v>518641568000000</v>
      </c>
      <c r="H40" s="36" t="n">
        <v>631724964000000</v>
      </c>
      <c r="I40" s="36" t="n">
        <v>767617129000000</v>
      </c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</row>
    <row r="41">
      <c r="A41" s="35" t="inlineStr">
        <is>
          <t>Dự phòng rủi ro cho vay khách hàng</t>
        </is>
      </c>
      <c r="B41" s="36" t="n">
        <v>-2385114000000</v>
      </c>
      <c r="C41" s="36" t="n">
        <v>-2916744000000</v>
      </c>
      <c r="D41" s="36" t="n">
        <v>-2214248000000</v>
      </c>
      <c r="E41" s="36" t="n">
        <v>-3735663000000</v>
      </c>
      <c r="F41" s="36" t="n">
        <v>-4771449000000</v>
      </c>
      <c r="G41" s="36" t="n">
        <v>-6127896000000</v>
      </c>
      <c r="H41" s="36" t="n">
        <v>-8090693000000</v>
      </c>
      <c r="I41" s="36" t="n">
        <v>-10498378000000</v>
      </c>
      <c r="J41" s="36" t="n">
        <v>-2337746000000</v>
      </c>
      <c r="K41" s="36" t="n">
        <v>-2519455000000</v>
      </c>
      <c r="L41" s="36" t="n">
        <v>-2656840000000</v>
      </c>
      <c r="M41" s="36" t="n">
        <v>-2385114000000</v>
      </c>
      <c r="N41" s="36" t="n">
        <v>-8366207000000</v>
      </c>
      <c r="O41" s="36" t="n">
        <v>-8090693000000</v>
      </c>
      <c r="P41" s="36" t="n">
        <v>-8685658000000</v>
      </c>
      <c r="Q41" s="36" t="n">
        <v>-9511084000000</v>
      </c>
      <c r="R41" s="36" t="n">
        <v>-10631926000000</v>
      </c>
      <c r="S41" s="36" t="n">
        <v>-10498378000000</v>
      </c>
      <c r="T41" s="36" t="n">
        <v>-11251421000000</v>
      </c>
      <c r="U41" s="36" t="n">
        <v>-11522285000000</v>
      </c>
    </row>
    <row r="42">
      <c r="A42" s="35" t="inlineStr">
        <is>
          <t>Chứng khoán đầu tư</t>
        </is>
      </c>
      <c r="B42" s="36" t="n">
        <v>86512348000000</v>
      </c>
      <c r="C42" s="36" t="n">
        <v>66054597000000</v>
      </c>
      <c r="D42" s="36" t="n">
        <v>84447241000000</v>
      </c>
      <c r="E42" s="36" t="n">
        <v>97586088000000</v>
      </c>
      <c r="F42" s="36" t="n">
        <v>103651920000000</v>
      </c>
      <c r="G42" s="36" t="n">
        <v>104993945000000</v>
      </c>
      <c r="H42" s="36" t="n">
        <v>148623636000000</v>
      </c>
      <c r="I42" s="36" t="n">
        <v>145526404000000</v>
      </c>
      <c r="J42" s="36" t="n">
        <v>53509756000000</v>
      </c>
      <c r="K42" s="36" t="n">
        <v>54618895000000</v>
      </c>
      <c r="L42" s="36" t="n">
        <v>69000379000000</v>
      </c>
      <c r="M42" s="36" t="n">
        <v>86512348000000</v>
      </c>
      <c r="N42" s="36" t="n">
        <v>102135236000000</v>
      </c>
      <c r="O42" s="36" t="n">
        <v>148623636000000</v>
      </c>
      <c r="P42" s="36" t="n">
        <v>124378656000000</v>
      </c>
      <c r="Q42" s="36" t="n">
        <v>146985597000000</v>
      </c>
      <c r="R42" s="36" t="n">
        <v>139296462000000</v>
      </c>
      <c r="S42" s="36" t="n">
        <v>145526404000000</v>
      </c>
      <c r="T42" s="36" t="n">
        <v>141063971000000</v>
      </c>
      <c r="U42" s="36" t="n">
        <v>179944154000000</v>
      </c>
    </row>
    <row r="43">
      <c r="A43" s="35" t="inlineStr">
        <is>
          <t>Chứng khoán đầu tư sẵn sàng để bán</t>
        </is>
      </c>
      <c r="B43" s="36" t="n">
        <v>66625261000000</v>
      </c>
      <c r="C43" s="36" t="n">
        <v>66158709000000</v>
      </c>
      <c r="D43" s="36" t="n">
        <v>84632952000000</v>
      </c>
      <c r="E43" s="36" t="n">
        <v>98092062000000</v>
      </c>
      <c r="F43" s="36" t="n">
        <v>104031921000000</v>
      </c>
      <c r="G43" s="36" t="n">
        <v>105356248000000</v>
      </c>
      <c r="H43" s="36" t="n">
        <v>142202792000000</v>
      </c>
      <c r="I43" s="36" t="n">
        <v>145942288000000</v>
      </c>
      <c r="J43" s="36" t="n">
        <v>47516807000000</v>
      </c>
      <c r="K43" s="36" t="n">
        <v>50610244000000</v>
      </c>
      <c r="L43" s="36" t="n">
        <v>53276405000000</v>
      </c>
      <c r="M43" s="36" t="n">
        <v>66625261000000</v>
      </c>
      <c r="N43" s="36" t="n">
        <v>97062825000000</v>
      </c>
      <c r="O43" s="36" t="n">
        <v>142202792000000</v>
      </c>
      <c r="P43" s="36" t="n">
        <v>117928269000000</v>
      </c>
      <c r="Q43" s="36" t="n">
        <v>142072840000000</v>
      </c>
      <c r="R43" s="36" t="n">
        <v>139654417000000</v>
      </c>
      <c r="S43" s="36" t="n">
        <v>145942288000000</v>
      </c>
      <c r="T43" s="36" t="n">
        <v>141480522000000</v>
      </c>
      <c r="U43" s="36" t="n">
        <v>180698281000000</v>
      </c>
    </row>
    <row r="44">
      <c r="A44" s="35" t="inlineStr">
        <is>
          <t>Chứng khoán đầu tư giữ đến ngày đáo hạn</t>
        </is>
      </c>
      <c r="B44" s="36" t="n">
        <v>20236200000000</v>
      </c>
      <c r="C44" s="36" t="n">
        <v>202006000000</v>
      </c>
      <c r="D44" s="36" t="n">
        <v>200000000000</v>
      </c>
      <c r="E44" s="36" t="n">
        <v>200000000000</v>
      </c>
      <c r="F44" s="36" t="n">
        <v>0</v>
      </c>
      <c r="G44" s="36" t="n">
        <v>0</v>
      </c>
      <c r="H44" s="36" t="n">
        <v>6900000000000</v>
      </c>
      <c r="I44" s="36" t="n">
        <v>0</v>
      </c>
      <c r="J44" s="36" t="n">
        <v>6204863000000</v>
      </c>
      <c r="K44" s="36" t="n">
        <v>4171200000000</v>
      </c>
      <c r="L44" s="36" t="n">
        <v>15986200000000</v>
      </c>
      <c r="M44" s="36" t="n">
        <v>20236200000000</v>
      </c>
      <c r="N44" s="36" t="n">
        <v>5400000000000</v>
      </c>
      <c r="O44" s="36" t="n">
        <v>6900000000000</v>
      </c>
      <c r="P44" s="36" t="n">
        <v>6900000000000</v>
      </c>
      <c r="Q44" s="36" t="n">
        <v>5400000000000</v>
      </c>
      <c r="R44" s="36" t="n">
        <v>0</v>
      </c>
      <c r="S44" s="36" t="n">
        <v>0</v>
      </c>
      <c r="T44" s="36" t="n">
        <v>0</v>
      </c>
      <c r="U44" s="36" t="n">
        <v>0</v>
      </c>
    </row>
    <row r="45">
      <c r="A45" s="35" t="inlineStr">
        <is>
          <t>Dự phòng giảm giá chứng khoán đầu tư</t>
        </is>
      </c>
      <c r="B45" s="36" t="n">
        <v>-349113000000</v>
      </c>
      <c r="C45" s="36" t="n">
        <v>-306118000000</v>
      </c>
      <c r="D45" s="36" t="n">
        <v>-385711000000</v>
      </c>
      <c r="E45" s="36" t="n">
        <v>-705974000000</v>
      </c>
      <c r="F45" s="36" t="n">
        <v>-380001000000</v>
      </c>
      <c r="G45" s="36" t="n">
        <v>-362303000000</v>
      </c>
      <c r="H45" s="36" t="n">
        <v>-479156000000</v>
      </c>
      <c r="I45" s="36" t="n">
        <v>-415884000000</v>
      </c>
      <c r="J45" s="36" t="n">
        <v>-211914000000</v>
      </c>
      <c r="K45" s="36" t="n">
        <v>-162549000000</v>
      </c>
      <c r="L45" s="36" t="n">
        <v>-262226000000</v>
      </c>
      <c r="M45" s="36" t="n">
        <v>-349113000000</v>
      </c>
      <c r="N45" s="36" t="n">
        <v>-327589000000</v>
      </c>
      <c r="O45" s="36" t="n">
        <v>-479156000000</v>
      </c>
      <c r="P45" s="36" t="n">
        <v>-449613000000</v>
      </c>
      <c r="Q45" s="36" t="n">
        <v>-487243000000</v>
      </c>
      <c r="R45" s="36" t="n">
        <v>-357955000000</v>
      </c>
      <c r="S45" s="36" t="n">
        <v>-415884000000</v>
      </c>
      <c r="T45" s="36" t="n">
        <v>-416551000000</v>
      </c>
      <c r="U45" s="36" t="n">
        <v>-754127000000</v>
      </c>
    </row>
    <row r="46">
      <c r="A46" s="35" t="inlineStr">
        <is>
          <t>Tài sản Có khác</t>
        </is>
      </c>
      <c r="B46" s="36" t="n">
        <v>717481000000</v>
      </c>
      <c r="C46" s="36" t="n">
        <v>1055475000000</v>
      </c>
      <c r="D46" s="36" t="n">
        <v>1268562000000</v>
      </c>
      <c r="E46" s="36" t="n">
        <v>1448617000000</v>
      </c>
      <c r="F46" s="36" t="n">
        <v>1616735000000</v>
      </c>
      <c r="G46" s="36" t="n">
        <v>1650584000000</v>
      </c>
      <c r="H46" s="36" t="n">
        <v>1818676000000</v>
      </c>
      <c r="I46" s="36" t="n">
        <v>2070439000000</v>
      </c>
      <c r="J46" s="36" t="n">
        <v>653073000000</v>
      </c>
      <c r="K46" s="36" t="n">
        <v>641168000000</v>
      </c>
      <c r="L46" s="36" t="n">
        <v>665969000000</v>
      </c>
      <c r="M46" s="36" t="n">
        <v>717481000000</v>
      </c>
      <c r="N46" s="36" t="n">
        <v>1715829000000</v>
      </c>
      <c r="O46" s="36" t="n">
        <v>1818676000000</v>
      </c>
      <c r="P46" s="36" t="n">
        <v>1991512000000</v>
      </c>
      <c r="Q46" s="36" t="n">
        <v>1837023000000</v>
      </c>
      <c r="R46" s="36" t="n">
        <v>1899114000000</v>
      </c>
      <c r="S46" s="36" t="n">
        <v>2070439000000</v>
      </c>
      <c r="T46" s="36" t="n">
        <v>2126868000000</v>
      </c>
      <c r="U46" s="36" t="n">
        <v>2623560000000</v>
      </c>
    </row>
    <row r="47">
      <c r="A47" s="35" t="inlineStr">
        <is>
          <t>Các khoản nợ chính phủ và NHNN Việt Nam</t>
        </is>
      </c>
      <c r="B47" s="36" t="n">
        <v>6025027000000</v>
      </c>
      <c r="C47" s="36" t="n">
        <v>0</v>
      </c>
      <c r="D47" s="36" t="n">
        <v>0</v>
      </c>
      <c r="E47" s="36" t="n">
        <v>842000000</v>
      </c>
      <c r="F47" s="36" t="n">
        <v>7826000000</v>
      </c>
      <c r="G47" s="36" t="n">
        <v>131000000</v>
      </c>
      <c r="H47" s="36" t="n">
        <v>11531000000</v>
      </c>
      <c r="I47" s="36" t="n">
        <v>4323867000000</v>
      </c>
      <c r="J47" s="36" t="n">
        <v>2000000000000</v>
      </c>
      <c r="K47" s="36" t="n">
        <v>2000000000000</v>
      </c>
      <c r="L47" s="36" t="n">
        <v>2000000000000</v>
      </c>
      <c r="M47" s="36" t="n">
        <v>6025027000000</v>
      </c>
      <c r="N47" s="36" t="n">
        <v>20542000000</v>
      </c>
      <c r="O47" s="36" t="n">
        <v>11531000000</v>
      </c>
      <c r="P47" s="36" t="n">
        <v>118379000000</v>
      </c>
      <c r="Q47" s="36" t="n">
        <v>46920000000</v>
      </c>
      <c r="R47" s="36" t="n">
        <v>41254000000</v>
      </c>
      <c r="S47" s="36" t="n">
        <v>4323867000000</v>
      </c>
      <c r="T47" s="36" t="n">
        <v>4673129000000</v>
      </c>
      <c r="U47" s="36" t="n">
        <v>8245783000000</v>
      </c>
    </row>
    <row r="48">
      <c r="A48" s="35" t="inlineStr">
        <is>
          <t>Tiền gửi và vay các Tổ chức tín dụng khác</t>
        </is>
      </c>
      <c r="B48" s="36" t="n">
        <v>36425560000000</v>
      </c>
      <c r="C48" s="36" t="n">
        <v>61266635000000</v>
      </c>
      <c r="D48" s="36" t="n">
        <v>47484812000000</v>
      </c>
      <c r="E48" s="36" t="n">
        <v>112458691000000</v>
      </c>
      <c r="F48" s="36" t="n">
        <v>167562969000000</v>
      </c>
      <c r="G48" s="36" t="n">
        <v>153173002000000</v>
      </c>
      <c r="H48" s="36" t="n">
        <v>132239088000000</v>
      </c>
      <c r="I48" s="36" t="n">
        <v>144982976000000</v>
      </c>
      <c r="J48" s="36" t="n">
        <v>25400971000000</v>
      </c>
      <c r="K48" s="36" t="n">
        <v>37706302000000</v>
      </c>
      <c r="L48" s="36" t="n">
        <v>39571425000000</v>
      </c>
      <c r="M48" s="36" t="n">
        <v>36425560000000</v>
      </c>
      <c r="N48" s="36" t="n">
        <v>138462274000000</v>
      </c>
      <c r="O48" s="36" t="n">
        <v>132239088000000</v>
      </c>
      <c r="P48" s="36" t="n">
        <v>135313705000000</v>
      </c>
      <c r="Q48" s="36" t="n">
        <v>137064303000000</v>
      </c>
      <c r="R48" s="36" t="n">
        <v>146643879000000</v>
      </c>
      <c r="S48" s="36" t="n">
        <v>144982976000000</v>
      </c>
      <c r="T48" s="36" t="n">
        <v>150267181000000</v>
      </c>
      <c r="U48" s="36" t="n">
        <v>164739459000000</v>
      </c>
    </row>
    <row r="49">
      <c r="A49" s="35" t="inlineStr">
        <is>
          <t>Tiền gửi của khách hàng</t>
        </is>
      </c>
      <c r="B49" s="36" t="n">
        <v>201414532000000</v>
      </c>
      <c r="C49" s="36" t="n">
        <v>231296761000000</v>
      </c>
      <c r="D49" s="36" t="n">
        <v>277458651000000</v>
      </c>
      <c r="E49" s="36" t="n">
        <v>314752525000000</v>
      </c>
      <c r="F49" s="36" t="n">
        <v>358403785000000</v>
      </c>
      <c r="G49" s="36" t="n">
        <v>454660779000000</v>
      </c>
      <c r="H49" s="36" t="n">
        <v>533392350000000</v>
      </c>
      <c r="I49" s="36" t="n">
        <v>618911535000000</v>
      </c>
      <c r="J49" s="36" t="n">
        <v>181390553000000</v>
      </c>
      <c r="K49" s="36" t="n">
        <v>186283209000000</v>
      </c>
      <c r="L49" s="36" t="n">
        <v>193583132000000</v>
      </c>
      <c r="M49" s="36" t="n">
        <v>201471336000000</v>
      </c>
      <c r="N49" s="36" t="n">
        <v>494954017000000</v>
      </c>
      <c r="O49" s="36" t="n">
        <v>533392350000000</v>
      </c>
      <c r="P49" s="36" t="n">
        <v>531583052000000</v>
      </c>
      <c r="Q49" s="36" t="n">
        <v>545078843000000</v>
      </c>
      <c r="R49" s="36" t="n">
        <v>595086941000000</v>
      </c>
      <c r="S49" s="36" t="n">
        <v>618911535000000</v>
      </c>
      <c r="T49" s="36" t="n">
        <v>599808238000000</v>
      </c>
      <c r="U49" s="36" t="n">
        <v>662447730000000</v>
      </c>
    </row>
    <row r="50">
      <c r="A50" s="35" t="inlineStr">
        <is>
          <t>Các công cụ tài chính phái sinh và các khoản nợ tài chính khác</t>
        </is>
      </c>
      <c r="B50" s="36" t="n">
        <v>310313000000</v>
      </c>
      <c r="C50" s="36" t="n">
        <v>434008000000</v>
      </c>
      <c r="D50" s="36" t="n">
        <v>266926000000</v>
      </c>
      <c r="E50" s="36" t="n">
        <v>0</v>
      </c>
      <c r="F50" s="36" t="n">
        <v>1851213000000</v>
      </c>
      <c r="G50" s="36" t="n">
        <v>0</v>
      </c>
      <c r="H50" s="36" t="n">
        <v>931231000000</v>
      </c>
      <c r="I50" s="36" t="n">
        <v>2416947000000</v>
      </c>
      <c r="J50" s="36" t="n">
        <v>0</v>
      </c>
      <c r="K50" s="36" t="n">
        <v>67057000000</v>
      </c>
      <c r="L50" s="36" t="n">
        <v>382672000000</v>
      </c>
      <c r="M50" s="36" t="n">
        <v>310313000000</v>
      </c>
      <c r="N50" s="36" t="n">
        <v>0</v>
      </c>
      <c r="O50" s="36" t="n">
        <v>931231000000</v>
      </c>
      <c r="P50" s="36" t="n">
        <v>688536000000</v>
      </c>
      <c r="Q50" s="36" t="n">
        <v>1092859000000</v>
      </c>
      <c r="R50" s="36" t="n">
        <v>1712153000000</v>
      </c>
      <c r="S50" s="36" t="n">
        <v>2416947000000</v>
      </c>
      <c r="T50" s="36" t="n">
        <v>2216311000000</v>
      </c>
      <c r="U50" s="36" t="n">
        <v>2214942000000</v>
      </c>
    </row>
    <row r="51">
      <c r="A51" s="35" t="inlineStr">
        <is>
          <t>Vốn tài trợ, uỷ thác đầu tư của Chính phủ và các tổ chức tín dụng khác</t>
        </is>
      </c>
      <c r="B51" s="36" t="n">
        <v>0</v>
      </c>
      <c r="C51" s="36" t="n">
        <v>0</v>
      </c>
      <c r="D51" s="36" t="n">
        <v>0</v>
      </c>
      <c r="E51" s="36" t="n">
        <v>0</v>
      </c>
      <c r="F51" s="36" t="n">
        <v>0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6" t="n">
        <v>0</v>
      </c>
      <c r="N51" s="36" t="n">
        <v>0</v>
      </c>
      <c r="O51" s="36" t="n">
        <v>0</v>
      </c>
      <c r="P51" s="36" t="n">
        <v>0</v>
      </c>
      <c r="Q51" s="36" t="n">
        <v>0</v>
      </c>
      <c r="R51" s="36" t="n">
        <v>0</v>
      </c>
      <c r="S51" s="36" t="n">
        <v>0</v>
      </c>
      <c r="T51" s="36" t="n">
        <v>0</v>
      </c>
      <c r="U51" s="36" t="n">
        <v>0</v>
      </c>
    </row>
    <row r="52">
      <c r="A52" s="35" t="inlineStr">
        <is>
          <t>Phát hành giấy tờ có giá</t>
        </is>
      </c>
      <c r="B52" s="36" t="n">
        <v>13177959000000</v>
      </c>
      <c r="C52" s="36" t="n">
        <v>17460634000000</v>
      </c>
      <c r="D52" s="36" t="n">
        <v>27899640000000</v>
      </c>
      <c r="E52" s="36" t="n">
        <v>33679824000000</v>
      </c>
      <c r="F52" s="36" t="n">
        <v>34006619000000</v>
      </c>
      <c r="G52" s="36" t="n">
        <v>84703300000000</v>
      </c>
      <c r="H52" s="36" t="n">
        <v>140422321000000</v>
      </c>
      <c r="I52" s="36" t="n">
        <v>215330128000000</v>
      </c>
      <c r="J52" s="36" t="n">
        <v>20074063000000</v>
      </c>
      <c r="K52" s="36" t="n">
        <v>18904296000000</v>
      </c>
      <c r="L52" s="36" t="n">
        <v>17240065000000</v>
      </c>
      <c r="M52" s="36" t="n">
        <v>13177959000000</v>
      </c>
      <c r="N52" s="36" t="n">
        <v>126061309000000</v>
      </c>
      <c r="O52" s="36" t="n">
        <v>140422321000000</v>
      </c>
      <c r="P52" s="36" t="n">
        <v>147933070000000</v>
      </c>
      <c r="Q52" s="36" t="n">
        <v>172337642000000</v>
      </c>
      <c r="R52" s="36" t="n">
        <v>181742521000000</v>
      </c>
      <c r="S52" s="36" t="n">
        <v>215330128000000</v>
      </c>
      <c r="T52" s="36" t="n">
        <v>217897008000000</v>
      </c>
      <c r="U52" s="36" t="n">
        <v>212079904000000</v>
      </c>
    </row>
    <row r="53">
      <c r="A53" s="35" t="inlineStr">
        <is>
          <t>Các khoản nợ khác</t>
        </is>
      </c>
      <c r="B53" s="36" t="n">
        <v>11852845000000</v>
      </c>
      <c r="C53" s="36" t="n">
        <v>11168656000000</v>
      </c>
      <c r="D53" s="36" t="n">
        <v>11878118000000</v>
      </c>
      <c r="E53" s="36" t="n">
        <v>14795596000000</v>
      </c>
      <c r="F53" s="36" t="n">
        <v>23775166000000</v>
      </c>
      <c r="G53" s="36" t="n">
        <v>25328735000000</v>
      </c>
      <c r="H53" s="36" t="n">
        <v>23862407000000</v>
      </c>
      <c r="I53" s="36" t="n">
        <v>26877242000000</v>
      </c>
      <c r="J53" s="36" t="n">
        <v>6671310000000</v>
      </c>
      <c r="K53" s="36" t="n">
        <v>8014504000000</v>
      </c>
      <c r="L53" s="36" t="n">
        <v>9537341000000</v>
      </c>
      <c r="M53" s="36" t="n">
        <v>11856553000000</v>
      </c>
      <c r="N53" s="36" t="n">
        <v>23187221000000</v>
      </c>
      <c r="O53" s="36" t="n">
        <v>23862407000000</v>
      </c>
      <c r="P53" s="36" t="n">
        <v>19626586000000</v>
      </c>
      <c r="Q53" s="36" t="n">
        <v>20197599000000</v>
      </c>
      <c r="R53" s="36" t="n">
        <v>24913117000000</v>
      </c>
      <c r="S53" s="36" t="n">
        <v>26877242000000</v>
      </c>
      <c r="T53" s="36" t="n">
        <v>28909114000000</v>
      </c>
      <c r="U53" s="36" t="n">
        <v>34351955000000</v>
      </c>
    </row>
    <row r="54">
      <c r="A54" s="35" t="inlineStr">
        <is>
          <t>Vốn của tổ chức tín dụng</t>
        </is>
      </c>
      <c r="B54" s="36" t="n">
        <v>35442539000000</v>
      </c>
      <c r="C54" s="36" t="n">
        <v>35477967000000</v>
      </c>
      <c r="D54" s="36" t="n">
        <v>35525569000000</v>
      </c>
      <c r="E54" s="36" t="n">
        <v>35585622000000</v>
      </c>
      <c r="F54" s="36" t="n">
        <v>36204797000000</v>
      </c>
      <c r="G54" s="36" t="n">
        <v>36257461000000</v>
      </c>
      <c r="H54" s="36" t="n">
        <v>78412544000000</v>
      </c>
      <c r="I54" s="36" t="n">
        <v>78626366000000</v>
      </c>
      <c r="J54" s="36" t="n">
        <v>18408877000000</v>
      </c>
      <c r="K54" s="36" t="n">
        <v>26126384000000</v>
      </c>
      <c r="L54" s="36" t="n">
        <v>35442869000000</v>
      </c>
      <c r="M54" s="36" t="n">
        <v>35442539000000</v>
      </c>
      <c r="N54" s="36" t="n">
        <v>71006213000000</v>
      </c>
      <c r="O54" s="36" t="n">
        <v>78412544000000</v>
      </c>
      <c r="P54" s="36" t="n">
        <v>78412544000000</v>
      </c>
      <c r="Q54" s="36" t="n">
        <v>78412544000000</v>
      </c>
      <c r="R54" s="36" t="n">
        <v>78412544000000</v>
      </c>
      <c r="S54" s="36" t="n">
        <v>78626366000000</v>
      </c>
      <c r="T54" s="36" t="n">
        <v>78808792000000</v>
      </c>
      <c r="U54" s="36" t="n">
        <v>82324295000000</v>
      </c>
    </row>
    <row r="55">
      <c r="A55" s="35" t="inlineStr">
        <is>
          <t>Vốn đầu tư XDCB</t>
        </is>
      </c>
      <c r="B55" s="36" t="n">
        <v>0</v>
      </c>
      <c r="C55" s="36" t="n">
        <v>0</v>
      </c>
      <c r="D55" s="36" t="n">
        <v>0</v>
      </c>
      <c r="E55" s="36" t="n">
        <v>0</v>
      </c>
      <c r="F55" s="36" t="n">
        <v>0</v>
      </c>
      <c r="G55" s="36" t="n">
        <v>0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6" t="n">
        <v>0</v>
      </c>
      <c r="O55" s="36" t="n">
        <v>0</v>
      </c>
      <c r="P55" s="36" t="n">
        <v>0</v>
      </c>
      <c r="Q55" s="36" t="n">
        <v>0</v>
      </c>
      <c r="R55" s="36" t="n">
        <v>0</v>
      </c>
      <c r="S55" s="36" t="n">
        <v>0</v>
      </c>
      <c r="T55" s="36" t="n">
        <v>0</v>
      </c>
      <c r="U55" s="36" t="n">
        <v>0</v>
      </c>
    </row>
    <row r="56">
      <c r="A56" s="35" t="inlineStr">
        <is>
          <t>Cổ phiếu ưu đãi</t>
        </is>
      </c>
      <c r="B56" s="36" t="n">
        <v>0</v>
      </c>
      <c r="C56" s="36" t="n">
        <v>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6" t="n">
        <v>0</v>
      </c>
      <c r="N56" s="36" t="n">
        <v>0</v>
      </c>
      <c r="O56" s="36" t="n">
        <v>0</v>
      </c>
      <c r="P56" s="36" t="n">
        <v>0</v>
      </c>
      <c r="Q56" s="36" t="n">
        <v>0</v>
      </c>
      <c r="R56" s="36" t="n">
        <v>0</v>
      </c>
      <c r="S56" s="36" t="n">
        <v>0</v>
      </c>
      <c r="T56" s="36" t="n">
        <v>0</v>
      </c>
      <c r="U56" s="36" t="n">
        <v>0</v>
      </c>
    </row>
    <row r="57">
      <c r="A57" s="35" t="inlineStr">
        <is>
          <t>Quỹ của tổ chức tín dụng</t>
        </is>
      </c>
      <c r="B57" s="36" t="n">
        <v>3867846000000</v>
      </c>
      <c r="C57" s="36" t="n">
        <v>5172684000000</v>
      </c>
      <c r="D57" s="36" t="n">
        <v>6789643000000</v>
      </c>
      <c r="E57" s="36" t="n">
        <v>9155896000000</v>
      </c>
      <c r="F57" s="36" t="n">
        <v>11608569000000</v>
      </c>
      <c r="G57" s="36" t="n">
        <v>45028627000000</v>
      </c>
      <c r="H57" s="36" t="n">
        <v>24787305000000</v>
      </c>
      <c r="I57" s="36" t="n">
        <v>28644562000000</v>
      </c>
      <c r="J57" s="36" t="n">
        <v>6147506000000</v>
      </c>
      <c r="K57" s="36" t="n">
        <v>6147506000000</v>
      </c>
      <c r="L57" s="36" t="n">
        <v>2650914000000</v>
      </c>
      <c r="M57" s="36" t="n">
        <v>3867846000000</v>
      </c>
      <c r="N57" s="36" t="n">
        <v>20845050000000</v>
      </c>
      <c r="O57" s="36" t="n">
        <v>24787305000000</v>
      </c>
      <c r="P57" s="36" t="n">
        <v>24786838000000</v>
      </c>
      <c r="Q57" s="36" t="n">
        <v>24786836000000</v>
      </c>
      <c r="R57" s="36" t="n">
        <v>24786549000000</v>
      </c>
      <c r="S57" s="36" t="n">
        <v>28644562000000</v>
      </c>
      <c r="T57" s="36" t="n">
        <v>28651733000000</v>
      </c>
      <c r="U57" s="36" t="n">
        <v>28659714000000</v>
      </c>
    </row>
    <row r="58">
      <c r="A58" s="35" t="inlineStr">
        <is>
          <t>Bảo lãnh khác</t>
        </is>
      </c>
      <c r="B58" s="36" t="n">
        <v>19043774000000</v>
      </c>
      <c r="C58" s="36" t="n">
        <v>22285888000000</v>
      </c>
      <c r="D58" s="36" t="n">
        <v>21121837000000</v>
      </c>
      <c r="E58" s="36" t="n">
        <v>30068017000000</v>
      </c>
      <c r="F58" s="36" t="n">
        <v>44870251000000</v>
      </c>
      <c r="G58" s="36" t="n">
        <v>57648065000000</v>
      </c>
      <c r="H58" s="36" t="n">
        <v>58558478000000</v>
      </c>
      <c r="I58" s="36" t="n">
        <v>122225620000000</v>
      </c>
      <c r="J58" s="36" t="n">
        <v>13345473000000</v>
      </c>
      <c r="K58" s="36" t="n">
        <v>17129758000000</v>
      </c>
      <c r="L58" s="36" t="n">
        <v>18469618000000</v>
      </c>
      <c r="M58" s="36" t="n">
        <v>19043774000000</v>
      </c>
      <c r="N58" s="36" t="n">
        <v>50917866000000</v>
      </c>
      <c r="O58" s="36" t="n">
        <v>58558478000000</v>
      </c>
      <c r="P58" s="36" t="n">
        <v>64064406000000</v>
      </c>
      <c r="Q58" s="36" t="n">
        <v>73746047000000</v>
      </c>
      <c r="R58" s="36" t="n">
        <v>84341940000000</v>
      </c>
      <c r="S58" s="36" t="n">
        <v>122225620000000</v>
      </c>
      <c r="T58" s="36" t="n">
        <v>132928811000000</v>
      </c>
      <c r="U58" s="36" t="n">
        <v>153555432000000</v>
      </c>
    </row>
    <row r="59">
      <c r="A59" s="35" t="inlineStr">
        <is>
          <t>Cam kết giao dịch hối đoái</t>
        </is>
      </c>
      <c r="B59" s="36" t="n">
        <v>38509000000</v>
      </c>
      <c r="C59" s="36" t="n">
        <v>38509000000</v>
      </c>
      <c r="D59" s="36" t="n">
        <v>34868000000</v>
      </c>
      <c r="E59" s="36" t="n">
        <v>56682000000</v>
      </c>
      <c r="F59" s="36" t="n">
        <v>13253457000000</v>
      </c>
      <c r="G59" s="36" t="n">
        <v>14935065000000</v>
      </c>
      <c r="H59" s="36" t="n">
        <v>11507947000000</v>
      </c>
      <c r="I59" s="36" t="n">
        <v>14965995000000</v>
      </c>
      <c r="J59" s="36" t="n">
        <v>5766000000</v>
      </c>
      <c r="K59" s="36" t="n">
        <v>5766000000</v>
      </c>
      <c r="L59" s="36" t="n">
        <v>5810000000</v>
      </c>
      <c r="M59" s="36" t="n">
        <v>5957000000</v>
      </c>
      <c r="N59" s="36" t="n">
        <v>19595850000000</v>
      </c>
      <c r="O59" s="36" t="n">
        <v>11507947000000</v>
      </c>
      <c r="P59" s="36" t="n">
        <v>11824016000000</v>
      </c>
      <c r="Q59" s="36" t="n">
        <v>4953841000000</v>
      </c>
      <c r="R59" s="36" t="n">
        <v>7443258000000</v>
      </c>
      <c r="S59" s="36" t="n">
        <v>14965995000000</v>
      </c>
      <c r="T59" s="36" t="n">
        <v>18010349000000</v>
      </c>
      <c r="U59" s="36" t="n">
        <v>17918424000000</v>
      </c>
    </row>
    <row r="60">
      <c r="A60" s="35" t="inlineStr">
        <is>
          <t>Cam kết mua ngoại tệ</t>
        </is>
      </c>
      <c r="B60" s="36" t="n">
        <v>3305927000000</v>
      </c>
      <c r="C60" s="36" t="n">
        <v>1108119000000</v>
      </c>
      <c r="D60" s="36" t="n">
        <v>1605493000000</v>
      </c>
      <c r="E60" s="36" t="n">
        <v>1147456000000</v>
      </c>
      <c r="F60" s="36" t="n">
        <v>2450745000000</v>
      </c>
      <c r="G60" s="36" t="n">
        <v>4593012000000</v>
      </c>
      <c r="H60" s="36" t="n">
        <v>3062641000000</v>
      </c>
      <c r="I60" s="36" t="n">
        <v>6372664000000</v>
      </c>
      <c r="J60" s="36" t="n">
        <v>4076957000000</v>
      </c>
      <c r="K60" s="36" t="n">
        <v>3855579000000</v>
      </c>
      <c r="L60" s="36" t="n">
        <v>14739495000000</v>
      </c>
      <c r="M60" s="36" t="n">
        <v>3305927000000</v>
      </c>
      <c r="N60" s="36" t="n">
        <v>7196188000000</v>
      </c>
      <c r="O60" s="36" t="n">
        <v>3062641000000</v>
      </c>
      <c r="P60" s="36" t="n">
        <v>3322907000000</v>
      </c>
      <c r="Q60" s="36" t="n">
        <v>936218000000</v>
      </c>
      <c r="R60" s="36" t="n">
        <v>816443000000</v>
      </c>
      <c r="S60" s="36" t="n">
        <v>6372664000000</v>
      </c>
      <c r="T60" s="36" t="n">
        <v>2572561000000</v>
      </c>
      <c r="U60" s="36" t="n">
        <v>2435909000000</v>
      </c>
    </row>
    <row r="61">
      <c r="A61" s="35" t="inlineStr">
        <is>
          <t>Cam kết bán ngoại tệ</t>
        </is>
      </c>
      <c r="B61" s="36" t="n">
        <v>7472531000000</v>
      </c>
      <c r="C61" s="36" t="n">
        <v>5611861000000</v>
      </c>
      <c r="D61" s="36" t="n">
        <v>3004364000000</v>
      </c>
      <c r="E61" s="36" t="n">
        <v>3155974000000</v>
      </c>
      <c r="F61" s="36" t="n">
        <v>1361969000000</v>
      </c>
      <c r="G61" s="36" t="n">
        <v>4415918000000</v>
      </c>
      <c r="H61" s="36" t="n">
        <v>3511618000000</v>
      </c>
      <c r="I61" s="36" t="n">
        <v>7295512000000</v>
      </c>
      <c r="J61" s="36" t="n">
        <v>4435650000000</v>
      </c>
      <c r="K61" s="36" t="n">
        <v>2932528000000</v>
      </c>
      <c r="L61" s="36" t="n">
        <v>8663249000000</v>
      </c>
      <c r="M61" s="36" t="n">
        <v>7472531000000</v>
      </c>
      <c r="N61" s="36" t="n">
        <v>4177029000000</v>
      </c>
      <c r="O61" s="36" t="n">
        <v>3511618000000</v>
      </c>
      <c r="P61" s="36" t="n">
        <v>1304207000000</v>
      </c>
      <c r="Q61" s="36" t="n">
        <v>2756665000000</v>
      </c>
      <c r="R61" s="36" t="n">
        <v>3748970000000</v>
      </c>
      <c r="S61" s="36" t="n">
        <v>7295512000000</v>
      </c>
      <c r="T61" s="36" t="n">
        <v>2679220000000</v>
      </c>
      <c r="U61" s="36" t="n">
        <v>10712649000000</v>
      </c>
    </row>
    <row r="62">
      <c r="A62" s="35" t="inlineStr">
        <is>
          <t>Cam kết giao dịch hoán đổi</t>
        </is>
      </c>
      <c r="B62" s="36" t="n">
        <v>149821837000000</v>
      </c>
      <c r="C62" s="36" t="n">
        <v>221756824000000</v>
      </c>
      <c r="D62" s="36" t="n">
        <v>181340703000000</v>
      </c>
      <c r="E62" s="36" t="n">
        <v>275039014000000</v>
      </c>
      <c r="F62" s="36" t="n">
        <v>356308029000000</v>
      </c>
      <c r="G62" s="36" t="n">
        <v>341592612000000</v>
      </c>
      <c r="H62" s="36" t="n">
        <v>262819403000000</v>
      </c>
      <c r="I62" s="36" t="n">
        <v>403653327000000</v>
      </c>
      <c r="J62" s="36" t="n">
        <v>100747088000000</v>
      </c>
      <c r="K62" s="36" t="n">
        <v>175898988000000</v>
      </c>
      <c r="L62" s="36" t="n">
        <v>78149358000000</v>
      </c>
      <c r="M62" s="36" t="n">
        <v>149821837000000</v>
      </c>
      <c r="N62" s="36" t="n">
        <v>308938957000000</v>
      </c>
      <c r="O62" s="36" t="n">
        <v>262819403000000</v>
      </c>
      <c r="P62" s="36" t="n">
        <v>242076173000000</v>
      </c>
      <c r="Q62" s="36" t="n">
        <v>255724033000000</v>
      </c>
      <c r="R62" s="36" t="n">
        <v>285477101000000</v>
      </c>
      <c r="S62" s="36" t="n">
        <v>403653327000000</v>
      </c>
      <c r="T62" s="36" t="n">
        <v>380974972000000</v>
      </c>
      <c r="U62" s="36" t="n">
        <v>503382519000000</v>
      </c>
    </row>
    <row r="63">
      <c r="A63" s="35" t="inlineStr">
        <is>
          <t>Cam kết giao dịch tương lai</t>
        </is>
      </c>
      <c r="B63" s="36" t="n">
        <v>0</v>
      </c>
      <c r="C63" s="36" t="n">
        <v>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0</v>
      </c>
      <c r="K63" s="36" t="n">
        <v>0</v>
      </c>
      <c r="L63" s="36" t="n">
        <v>78098471000000</v>
      </c>
      <c r="M63" s="36" t="n">
        <v>0</v>
      </c>
      <c r="N63" s="36" t="n">
        <v>0</v>
      </c>
      <c r="O63" s="36" t="n">
        <v>0</v>
      </c>
      <c r="P63" s="36" t="n">
        <v>0</v>
      </c>
      <c r="Q63" s="36" t="n">
        <v>0</v>
      </c>
      <c r="R63" s="36" t="n">
        <v>0</v>
      </c>
      <c r="S63" s="36" t="n">
        <v>0</v>
      </c>
      <c r="T63" s="36" t="n">
        <v>0</v>
      </c>
      <c r="U63" s="36" t="n">
        <v>0</v>
      </c>
    </row>
    <row r="64">
      <c r="A64" s="35" t="inlineStr">
        <is>
          <t>Cam kết cho vay không hủy ngang</t>
        </is>
      </c>
      <c r="B64" s="36" t="n">
        <v>0</v>
      </c>
      <c r="C64" s="36" t="n">
        <v>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6" t="n">
        <v>0</v>
      </c>
      <c r="M64" s="36" t="n">
        <v>0</v>
      </c>
      <c r="N64" s="36" t="n">
        <v>0</v>
      </c>
      <c r="O64" s="36" t="n">
        <v>0</v>
      </c>
      <c r="P64" s="36" t="n">
        <v>0</v>
      </c>
      <c r="Q64" s="36" t="n">
        <v>0</v>
      </c>
      <c r="R64" s="36" t="n">
        <v>0</v>
      </c>
      <c r="S64" s="36" t="n">
        <v>0</v>
      </c>
      <c r="T64" s="36" t="n">
        <v>0</v>
      </c>
      <c r="U64" s="36" t="n">
        <v>0</v>
      </c>
    </row>
    <row r="65">
      <c r="A65" s="35" t="inlineStr">
        <is>
          <t>Cam kết trong nghiệp vụ L/C</t>
        </is>
      </c>
      <c r="B65" s="36" t="n">
        <v>12163321000000</v>
      </c>
      <c r="C65" s="36" t="n">
        <v>21909553000000</v>
      </c>
      <c r="D65" s="36" t="n">
        <v>30880187000000</v>
      </c>
      <c r="E65" s="36" t="n">
        <v>47054297000000</v>
      </c>
      <c r="F65" s="36" t="n">
        <v>64666942000000</v>
      </c>
      <c r="G65" s="36" t="n">
        <v>67845653000000</v>
      </c>
      <c r="H65" s="36" t="n">
        <v>38065747000000</v>
      </c>
      <c r="I65" s="36" t="n">
        <v>64314200000000</v>
      </c>
      <c r="J65" s="36" t="n">
        <v>11720101000000</v>
      </c>
      <c r="K65" s="36" t="n">
        <v>14318949000000</v>
      </c>
      <c r="L65" s="36" t="n">
        <v>14912961000000</v>
      </c>
      <c r="M65" s="36" t="n">
        <v>12163321000000</v>
      </c>
      <c r="N65" s="36" t="n">
        <v>44981487000000</v>
      </c>
      <c r="O65" s="36" t="n">
        <v>38065747000000</v>
      </c>
      <c r="P65" s="36" t="n">
        <v>41804059000000</v>
      </c>
      <c r="Q65" s="36" t="n">
        <v>32234724000000</v>
      </c>
      <c r="R65" s="36" t="n">
        <v>36392899000000</v>
      </c>
      <c r="S65" s="36" t="n">
        <v>64314200000000</v>
      </c>
      <c r="T65" s="36" t="n">
        <v>65277120000000</v>
      </c>
      <c r="U65" s="36" t="n">
        <v>67997062000000</v>
      </c>
    </row>
    <row r="66">
      <c r="A66" s="35" t="inlineStr">
        <is>
          <t>Cam kết khác</t>
        </is>
      </c>
      <c r="B66" s="36" t="n">
        <v>210068172000000</v>
      </c>
      <c r="C66" s="36" t="n">
        <v>260721927000000</v>
      </c>
      <c r="D66" s="36" t="n">
        <v>302318864000000</v>
      </c>
      <c r="E66" s="36" t="n">
        <v>358478746000000</v>
      </c>
      <c r="F66" s="36" t="n">
        <v>449697675000000</v>
      </c>
      <c r="G66" s="36" t="n">
        <v>176065387000000</v>
      </c>
      <c r="H66" s="36" t="n">
        <v>213069830000000</v>
      </c>
      <c r="I66" s="36" t="n">
        <v>182638941000000</v>
      </c>
      <c r="J66" s="36" t="n">
        <v>45196594000000</v>
      </c>
      <c r="K66" s="36" t="n">
        <v>53196508000000</v>
      </c>
      <c r="L66" s="36" t="n">
        <v>175334758000000</v>
      </c>
      <c r="M66" s="36" t="n">
        <v>210068172000000</v>
      </c>
      <c r="N66" s="36" t="n">
        <v>207005596000000</v>
      </c>
      <c r="O66" s="36" t="n">
        <v>213069830000000</v>
      </c>
      <c r="P66" s="36" t="n">
        <v>194535076000000</v>
      </c>
      <c r="Q66" s="36" t="n">
        <v>210610368000000</v>
      </c>
      <c r="R66" s="36" t="n">
        <v>210268812000000</v>
      </c>
      <c r="S66" s="36" t="n">
        <v>182638941000000</v>
      </c>
      <c r="T66" s="36" t="n">
        <v>193951182000000</v>
      </c>
      <c r="U66" s="36" t="n">
        <v>191819761000000</v>
      </c>
    </row>
    <row r="67">
      <c r="A67" s="35" t="inlineStr">
        <is>
          <t>Lợi ích của cổ đông thiểu số</t>
        </is>
      </c>
      <c r="B67" s="36" t="n">
        <v>69317000000</v>
      </c>
      <c r="C67" s="36" t="n">
        <v>290725000000</v>
      </c>
      <c r="D67" s="36" t="n">
        <v>483869000000</v>
      </c>
      <c r="E67" s="36" t="n">
        <v>846898000000</v>
      </c>
      <c r="F67" s="36" t="n">
        <v>1128915000000</v>
      </c>
      <c r="G67" s="36" t="n">
        <v>1316833000000</v>
      </c>
      <c r="H67" s="36" t="n">
        <v>2520466000000</v>
      </c>
      <c r="I67" s="36" t="n">
        <v>9456938000000</v>
      </c>
      <c r="J67" s="36" t="n">
        <v>0</v>
      </c>
      <c r="K67" s="36" t="n">
        <v>0</v>
      </c>
      <c r="L67" s="36" t="n">
        <v>0</v>
      </c>
      <c r="M67" s="36" t="n">
        <v>69317000000</v>
      </c>
      <c r="N67" s="36" t="n">
        <v>1437445000000</v>
      </c>
      <c r="O67" s="36" t="n">
        <v>2520466000000</v>
      </c>
      <c r="P67" s="36" t="n">
        <v>2586017000000</v>
      </c>
      <c r="Q67" s="36" t="n">
        <v>4213219000000</v>
      </c>
      <c r="R67" s="36" t="n">
        <v>15397526000000</v>
      </c>
      <c r="S67" s="36" t="n">
        <v>9456938000000</v>
      </c>
      <c r="T67" s="36" t="n">
        <v>9787107000000</v>
      </c>
      <c r="U67" s="36" t="n">
        <v>9834883000000</v>
      </c>
    </row>
    <row r="68">
      <c r="A68" s="35" t="inlineStr">
        <is>
          <t>Tiền gửi tại các TCTD khác</t>
        </is>
      </c>
      <c r="B68" s="36" t="n">
        <v>24169512000000</v>
      </c>
      <c r="C68" s="36" t="n">
        <v>38596420000000</v>
      </c>
      <c r="D68" s="36" t="n">
        <v>21112630000000</v>
      </c>
      <c r="E68" s="36" t="n">
        <v>39450727000000</v>
      </c>
      <c r="F68" s="36" t="n">
        <v>69925143000000</v>
      </c>
      <c r="G68" s="36" t="n">
        <v>80126897000000</v>
      </c>
      <c r="H68" s="36" t="n">
        <v>74887085000000</v>
      </c>
      <c r="I68" s="36" t="n">
        <v>108143393000000</v>
      </c>
      <c r="J68" s="36" t="n">
        <v>16917804000000</v>
      </c>
      <c r="K68" s="36" t="n">
        <v>37976299000000</v>
      </c>
      <c r="L68" s="36" t="n">
        <v>27666716000000</v>
      </c>
      <c r="M68" s="36" t="n">
        <v>24226318000000</v>
      </c>
      <c r="N68" s="36" t="n">
        <v>80586687000000</v>
      </c>
      <c r="O68" s="36" t="n">
        <v>74887085000000</v>
      </c>
      <c r="P68" s="36" t="n">
        <v>72397423000000</v>
      </c>
      <c r="Q68" s="36" t="n">
        <v>71979339000000</v>
      </c>
      <c r="R68" s="36" t="n">
        <v>78704346000000</v>
      </c>
      <c r="S68" s="36" t="n">
        <v>108143393000000</v>
      </c>
      <c r="T68" s="36" t="n">
        <v>82639508000000</v>
      </c>
      <c r="U68" s="36" t="n">
        <v>72701055000000</v>
      </c>
    </row>
    <row r="69">
      <c r="A69" s="35" t="inlineStr">
        <is>
          <t>Cho vay các TCTD khác</t>
        </is>
      </c>
      <c r="B69" s="36" t="n">
        <v>11389851000000</v>
      </c>
      <c r="C69" s="36" t="n">
        <v>9393804000000</v>
      </c>
      <c r="D69" s="36" t="n">
        <v>7882324000000</v>
      </c>
      <c r="E69" s="36" t="n">
        <v>31064531000000</v>
      </c>
      <c r="F69" s="36" t="n">
        <v>13049711000000</v>
      </c>
      <c r="G69" s="36" t="n">
        <v>24046523000000</v>
      </c>
      <c r="H69" s="36" t="n">
        <v>9884539000000</v>
      </c>
      <c r="I69" s="36" t="n">
        <v>6996069000000</v>
      </c>
      <c r="J69" s="36" t="n">
        <v>15067402000000</v>
      </c>
      <c r="K69" s="36" t="n">
        <v>13345391000000</v>
      </c>
      <c r="L69" s="36" t="n">
        <v>16070497000000</v>
      </c>
      <c r="M69" s="36" t="n">
        <v>11389851000000</v>
      </c>
      <c r="N69" s="36" t="n">
        <v>9607946000000</v>
      </c>
      <c r="O69" s="36" t="n">
        <v>9884539000000</v>
      </c>
      <c r="P69" s="36" t="n">
        <v>9667157000000</v>
      </c>
      <c r="Q69" s="36" t="n">
        <v>9047504000000</v>
      </c>
      <c r="R69" s="36" t="n">
        <v>14475893000000</v>
      </c>
      <c r="S69" s="36" t="n">
        <v>6996069000000</v>
      </c>
      <c r="T69" s="36" t="n">
        <v>5318983000000</v>
      </c>
      <c r="U69" s="36" t="n">
        <v>12896615000000</v>
      </c>
    </row>
    <row r="70">
      <c r="A70" s="35" t="inlineStr">
        <is>
          <t>Dự phòng rủi ro</t>
        </is>
      </c>
      <c r="B70" s="36" t="n">
        <v>0</v>
      </c>
      <c r="C70" s="36" t="n">
        <v>0</v>
      </c>
      <c r="D70" s="36" t="n">
        <v>0</v>
      </c>
      <c r="E70" s="36" t="n">
        <v>0</v>
      </c>
      <c r="F70" s="36" t="n">
        <v>-101100000000</v>
      </c>
      <c r="G70" s="36" t="n">
        <v>-101100000000</v>
      </c>
      <c r="H70" s="36" t="n">
        <v>-181150000000</v>
      </c>
      <c r="I70" s="36" t="n">
        <v>-181150000000</v>
      </c>
      <c r="J70" s="36" t="n">
        <v>0</v>
      </c>
      <c r="K70" s="36" t="n">
        <v>0</v>
      </c>
      <c r="L70" s="36" t="n">
        <v>0</v>
      </c>
      <c r="M70" s="36" t="n">
        <v>0</v>
      </c>
      <c r="N70" s="36" t="n">
        <v>-180340000000</v>
      </c>
      <c r="O70" s="36" t="n">
        <v>-181150000000</v>
      </c>
      <c r="P70" s="36" t="n">
        <v>-181150000000</v>
      </c>
      <c r="Q70" s="36" t="n">
        <v>-181150000000</v>
      </c>
      <c r="R70" s="36" t="n">
        <v>-181150000000</v>
      </c>
      <c r="S70" s="36" t="n">
        <v>-181150000000</v>
      </c>
      <c r="T70" s="36" t="n">
        <v>-181150000000</v>
      </c>
      <c r="U70" s="36" t="n">
        <v>-181150000000</v>
      </c>
    </row>
    <row r="71">
      <c r="A71" s="35" t="inlineStr">
        <is>
          <t>Hoạt động mua nợ</t>
        </is>
      </c>
      <c r="B71" s="36" t="n">
        <v>0</v>
      </c>
      <c r="C71" s="36" t="n">
        <v>0</v>
      </c>
      <c r="D71" s="36" t="n">
        <v>0</v>
      </c>
      <c r="E71" s="36" t="n">
        <v>133418000000</v>
      </c>
      <c r="F71" s="36" t="n">
        <v>107725000000</v>
      </c>
      <c r="G71" s="36" t="n">
        <v>82033000000</v>
      </c>
      <c r="H71" s="36" t="n">
        <v>141628000000</v>
      </c>
      <c r="I71" s="36" t="n">
        <v>30647000000</v>
      </c>
      <c r="J71" s="36" t="n">
        <v>0</v>
      </c>
      <c r="K71" s="36" t="n">
        <v>0</v>
      </c>
      <c r="L71" s="36" t="n">
        <v>0</v>
      </c>
      <c r="M71" s="36" t="n">
        <v>0</v>
      </c>
      <c r="N71" s="36" t="n">
        <v>314766000000</v>
      </c>
      <c r="O71" s="36" t="n">
        <v>141628000000</v>
      </c>
      <c r="P71" s="36" t="n">
        <v>53863000000</v>
      </c>
      <c r="Q71" s="36" t="n">
        <v>43493000000</v>
      </c>
      <c r="R71" s="36" t="n">
        <v>41016000000</v>
      </c>
      <c r="S71" s="36" t="n">
        <v>30647000000</v>
      </c>
      <c r="T71" s="36" t="n">
        <v>28170000000</v>
      </c>
      <c r="U71" s="36" t="n">
        <v>17800000000</v>
      </c>
    </row>
    <row r="72">
      <c r="A72" s="35" t="inlineStr">
        <is>
          <t>Mua nợ</t>
        </is>
      </c>
      <c r="B72" s="36" t="n">
        <v>1682000000</v>
      </c>
      <c r="C72" s="36" t="n">
        <v>1682000000</v>
      </c>
      <c r="D72" s="36" t="n">
        <v>1682000000</v>
      </c>
      <c r="E72" s="36" t="n">
        <v>136108000000</v>
      </c>
      <c r="F72" s="36" t="n">
        <v>110221000000</v>
      </c>
      <c r="G72" s="36" t="n">
        <v>84335000000</v>
      </c>
      <c r="H72" s="36" t="n">
        <v>144380000000</v>
      </c>
      <c r="I72" s="36" t="n">
        <v>32561000000</v>
      </c>
      <c r="J72" s="36" t="n">
        <v>1682000000</v>
      </c>
      <c r="K72" s="36" t="n">
        <v>1682000000</v>
      </c>
      <c r="L72" s="36" t="n">
        <v>1682000000</v>
      </c>
      <c r="M72" s="36" t="n">
        <v>1682000000</v>
      </c>
      <c r="N72" s="36" t="n">
        <v>318827000000</v>
      </c>
      <c r="O72" s="36" t="n">
        <v>144380000000</v>
      </c>
      <c r="P72" s="36" t="n">
        <v>55952000000</v>
      </c>
      <c r="Q72" s="36" t="n">
        <v>45504000000</v>
      </c>
      <c r="R72" s="36" t="n">
        <v>43008000000</v>
      </c>
      <c r="S72" s="36" t="n">
        <v>32561000000</v>
      </c>
      <c r="T72" s="36" t="n">
        <v>30065000000</v>
      </c>
      <c r="U72" s="36" t="n">
        <v>19617000000</v>
      </c>
    </row>
    <row r="73">
      <c r="A73" s="35" t="inlineStr">
        <is>
          <t>Dự phòng rủi ro hoạt động mua nợ</t>
        </is>
      </c>
      <c r="B73" s="36" t="n">
        <v>-1682000000</v>
      </c>
      <c r="C73" s="36" t="n">
        <v>-1682000000</v>
      </c>
      <c r="D73" s="36" t="n">
        <v>-1682000000</v>
      </c>
      <c r="E73" s="36" t="n">
        <v>-2690000000</v>
      </c>
      <c r="F73" s="36" t="n">
        <v>-2496000000</v>
      </c>
      <c r="G73" s="36" t="n">
        <v>-2302000000</v>
      </c>
      <c r="H73" s="36" t="n">
        <v>-2752000000</v>
      </c>
      <c r="I73" s="36" t="n">
        <v>-1914000000</v>
      </c>
      <c r="J73" s="36" t="n">
        <v>-1682000000</v>
      </c>
      <c r="K73" s="36" t="n">
        <v>-1682000000</v>
      </c>
      <c r="L73" s="36" t="n">
        <v>-1682000000</v>
      </c>
      <c r="M73" s="36" t="n">
        <v>-1682000000</v>
      </c>
      <c r="N73" s="36" t="n">
        <v>-4061000000</v>
      </c>
      <c r="O73" s="36" t="n">
        <v>-2752000000</v>
      </c>
      <c r="P73" s="36" t="n">
        <v>-2089000000</v>
      </c>
      <c r="Q73" s="36" t="n">
        <v>-2011000000</v>
      </c>
      <c r="R73" s="36" t="n">
        <v>-1992000000</v>
      </c>
      <c r="S73" s="36" t="n">
        <v>-1914000000</v>
      </c>
      <c r="T73" s="36" t="n">
        <v>-1895000000</v>
      </c>
      <c r="U73" s="36" t="n">
        <v>-1817000000</v>
      </c>
    </row>
    <row r="74">
      <c r="A74" s="35" t="inlineStr">
        <is>
          <t>Các khoản phải thu</t>
        </is>
      </c>
      <c r="B74" s="36" t="n">
        <v>11322256000000</v>
      </c>
      <c r="C74" s="36" t="n">
        <v>12954103000000</v>
      </c>
      <c r="D74" s="36" t="n">
        <v>16572411000000</v>
      </c>
      <c r="E74" s="36" t="n">
        <v>28117180000000</v>
      </c>
      <c r="F74" s="36" t="n">
        <v>61609133000000</v>
      </c>
      <c r="G74" s="36" t="n">
        <v>69834157000000</v>
      </c>
      <c r="H74" s="36" t="n">
        <v>29540943000000</v>
      </c>
      <c r="I74" s="36" t="n">
        <v>56111402000000</v>
      </c>
      <c r="J74" s="36" t="n">
        <v>7917124000000</v>
      </c>
      <c r="K74" s="36" t="n">
        <v>8657532000000</v>
      </c>
      <c r="L74" s="36" t="n">
        <v>10141222000000</v>
      </c>
      <c r="M74" s="36" t="n">
        <v>11323131000000</v>
      </c>
      <c r="N74" s="36" t="n">
        <v>36294684000000</v>
      </c>
      <c r="O74" s="36" t="n">
        <v>29540943000000</v>
      </c>
      <c r="P74" s="36" t="n">
        <v>32615594000000</v>
      </c>
      <c r="Q74" s="36" t="n">
        <v>26160199000000</v>
      </c>
      <c r="R74" s="36" t="n">
        <v>28788017000000</v>
      </c>
      <c r="S74" s="36" t="n">
        <v>56111402000000</v>
      </c>
      <c r="T74" s="36" t="n">
        <v>49705962000000</v>
      </c>
      <c r="U74" s="36" t="n">
        <v>43068933000000</v>
      </c>
    </row>
    <row r="75">
      <c r="A75" s="35" t="inlineStr">
        <is>
          <t>Các khoản lãi và phí phải thu</t>
        </is>
      </c>
      <c r="B75" s="36" t="n">
        <v>5737907000000</v>
      </c>
      <c r="C75" s="36" t="n">
        <v>5553724000000</v>
      </c>
      <c r="D75" s="36" t="n">
        <v>5184822000000</v>
      </c>
      <c r="E75" s="36" t="n">
        <v>5807801000000</v>
      </c>
      <c r="F75" s="36" t="n">
        <v>8028730000000</v>
      </c>
      <c r="G75" s="36" t="n">
        <v>9681140000000</v>
      </c>
      <c r="H75" s="36" t="n">
        <v>8125964000000</v>
      </c>
      <c r="I75" s="36" t="n">
        <v>9787070000000</v>
      </c>
      <c r="J75" s="36" t="n">
        <v>4399966000000</v>
      </c>
      <c r="K75" s="36" t="n">
        <v>4671813000000</v>
      </c>
      <c r="L75" s="36" t="n">
        <v>6035558000000</v>
      </c>
      <c r="M75" s="36" t="n">
        <v>5737907000000</v>
      </c>
      <c r="N75" s="36" t="n">
        <v>13921648000000</v>
      </c>
      <c r="O75" s="36" t="n">
        <v>8125964000000</v>
      </c>
      <c r="P75" s="36" t="n">
        <v>9250483000000</v>
      </c>
      <c r="Q75" s="36" t="n">
        <v>9361828000000</v>
      </c>
      <c r="R75" s="36" t="n">
        <v>10532599000000</v>
      </c>
      <c r="S75" s="36" t="n">
        <v>9787070000000</v>
      </c>
      <c r="T75" s="36" t="n">
        <v>10338272000000</v>
      </c>
      <c r="U75" s="36" t="n">
        <v>11375555000000</v>
      </c>
    </row>
    <row r="76">
      <c r="A76" s="35" t="inlineStr">
        <is>
          <t>Tài sản thuế TNDN hoãn lại</t>
        </is>
      </c>
      <c r="B76" s="36" t="n">
        <v>0</v>
      </c>
      <c r="C76" s="36" t="n">
        <v>0</v>
      </c>
      <c r="D76" s="36" t="n">
        <v>0</v>
      </c>
      <c r="E76" s="36" t="n">
        <v>17460000000</v>
      </c>
      <c r="F76" s="36" t="n">
        <v>61050000000</v>
      </c>
      <c r="G76" s="36" t="n">
        <v>70409000000</v>
      </c>
      <c r="H76" s="36" t="n">
        <v>79856000000</v>
      </c>
      <c r="I76" s="36" t="n">
        <v>40487000000</v>
      </c>
      <c r="J76" s="36" t="n">
        <v>0</v>
      </c>
      <c r="K76" s="36" t="n">
        <v>0</v>
      </c>
      <c r="L76" s="36" t="n">
        <v>0</v>
      </c>
      <c r="M76" s="36" t="n">
        <v>0</v>
      </c>
      <c r="N76" s="36" t="n">
        <v>73401000000</v>
      </c>
      <c r="O76" s="36" t="n">
        <v>79856000000</v>
      </c>
      <c r="P76" s="36" t="n">
        <v>78875000000</v>
      </c>
      <c r="Q76" s="36" t="n">
        <v>77679000000</v>
      </c>
      <c r="R76" s="36" t="n">
        <v>77775000000</v>
      </c>
      <c r="S76" s="36" t="n">
        <v>40487000000</v>
      </c>
      <c r="T76" s="36" t="n">
        <v>41184000000</v>
      </c>
      <c r="U76" s="36" t="n">
        <v>45870000000</v>
      </c>
    </row>
    <row r="77">
      <c r="A77" s="35" t="inlineStr">
        <is>
          <t>Tài sản Có khác</t>
        </is>
      </c>
      <c r="B77" s="36" t="n"/>
      <c r="C77" s="36" t="n"/>
      <c r="D77" s="36" t="n"/>
      <c r="E77" s="36" t="n"/>
      <c r="F77" s="36" t="n">
        <v>1616735000000</v>
      </c>
      <c r="G77" s="36" t="n">
        <v>1650584000000</v>
      </c>
      <c r="H77" s="36" t="n">
        <v>1818676000000</v>
      </c>
      <c r="I77" s="36" t="n">
        <v>2070439000000</v>
      </c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</row>
    <row r="78">
      <c r="A78" s="35" t="inlineStr">
        <is>
          <t>Trong đó: Lợi thế thương mại</t>
        </is>
      </c>
      <c r="B78" s="36" t="n">
        <v>0</v>
      </c>
      <c r="C78" s="36" t="n">
        <v>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0</v>
      </c>
      <c r="K78" s="36" t="n">
        <v>0</v>
      </c>
      <c r="L78" s="36" t="n">
        <v>0</v>
      </c>
      <c r="M78" s="36" t="n">
        <v>0</v>
      </c>
      <c r="N78" s="36" t="n">
        <v>0</v>
      </c>
      <c r="O78" s="36" t="n">
        <v>0</v>
      </c>
      <c r="P78" s="36" t="n">
        <v>0</v>
      </c>
      <c r="Q78" s="36" t="n">
        <v>20735000000</v>
      </c>
      <c r="R78" s="36" t="n">
        <v>20735000000</v>
      </c>
      <c r="S78" s="36" t="n">
        <v>0</v>
      </c>
      <c r="T78" s="36" t="n">
        <v>0</v>
      </c>
      <c r="U78" s="36" t="n">
        <v>0</v>
      </c>
    </row>
    <row r="79">
      <c r="A79" s="35" t="inlineStr">
        <is>
          <t>Các khoản dự phòng rủi ro cho các tài sản Có nội bảng khác</t>
        </is>
      </c>
      <c r="B79" s="36" t="n">
        <v>-75839000000</v>
      </c>
      <c r="C79" s="36" t="n">
        <v>-228908000000</v>
      </c>
      <c r="D79" s="36" t="n">
        <v>-189892000000</v>
      </c>
      <c r="E79" s="36" t="n">
        <v>-680423000000</v>
      </c>
      <c r="F79" s="36" t="n">
        <v>-798423000000</v>
      </c>
      <c r="G79" s="36" t="n">
        <v>-692866000000</v>
      </c>
      <c r="H79" s="36" t="n">
        <v>-64874000000</v>
      </c>
      <c r="I79" s="36" t="n">
        <v>-8301000000</v>
      </c>
      <c r="J79" s="36" t="n">
        <v>-522492000000</v>
      </c>
      <c r="K79" s="36" t="n">
        <v>-560744000000</v>
      </c>
      <c r="L79" s="36" t="n">
        <v>-71210000000</v>
      </c>
      <c r="M79" s="36" t="n">
        <v>-75839000000</v>
      </c>
      <c r="N79" s="36" t="n">
        <v>-157724000000</v>
      </c>
      <c r="O79" s="36" t="n">
        <v>-64874000000</v>
      </c>
      <c r="P79" s="36" t="n">
        <v>-35144000000</v>
      </c>
      <c r="Q79" s="36" t="n">
        <v>-9227000000</v>
      </c>
      <c r="R79" s="36" t="n">
        <v>-15089000000</v>
      </c>
      <c r="S79" s="36" t="n">
        <v>-8301000000</v>
      </c>
      <c r="T79" s="36" t="n">
        <v>-7972000000</v>
      </c>
      <c r="U79" s="36" t="n">
        <v>-10443000000</v>
      </c>
    </row>
    <row r="80">
      <c r="A80" s="35" t="inlineStr">
        <is>
          <t>Tiền gửi của các tổ chức tín dụng khác</t>
        </is>
      </c>
      <c r="B80" s="36" t="n">
        <v>28973455000000</v>
      </c>
      <c r="C80" s="36" t="n">
        <v>38632337000000</v>
      </c>
      <c r="D80" s="36" t="n">
        <v>21232089000000</v>
      </c>
      <c r="E80" s="36" t="n">
        <v>45606142000000</v>
      </c>
      <c r="F80" s="36" t="n">
        <v>61293738000000</v>
      </c>
      <c r="G80" s="36" t="n">
        <v>50619678000000</v>
      </c>
      <c r="H80" s="36" t="n">
        <v>72210834000000</v>
      </c>
      <c r="I80" s="36" t="n">
        <v>83014313000000</v>
      </c>
      <c r="J80" s="36" t="n">
        <v>17873432000000</v>
      </c>
      <c r="K80" s="36" t="n">
        <v>27935285000000</v>
      </c>
      <c r="L80" s="36" t="n">
        <v>29388541000000</v>
      </c>
      <c r="M80" s="36" t="n">
        <v>28973455000000</v>
      </c>
      <c r="N80" s="36" t="n">
        <v>70584329000000</v>
      </c>
      <c r="O80" s="36" t="n">
        <v>72210834000000</v>
      </c>
      <c r="P80" s="36" t="n">
        <v>81331394000000</v>
      </c>
      <c r="Q80" s="36" t="n">
        <v>91640536000000</v>
      </c>
      <c r="R80" s="36" t="n">
        <v>93471217000000</v>
      </c>
      <c r="S80" s="36" t="n">
        <v>83014313000000</v>
      </c>
      <c r="T80" s="36" t="n">
        <v>86820944000000</v>
      </c>
      <c r="U80" s="36" t="n">
        <v>90685022000000</v>
      </c>
    </row>
    <row r="81">
      <c r="A81" s="35" t="inlineStr">
        <is>
          <t>Vay các tổ chức tín dụng khác</t>
        </is>
      </c>
      <c r="B81" s="36" t="n">
        <v>7452105000000</v>
      </c>
      <c r="C81" s="36" t="n">
        <v>22634298000000</v>
      </c>
      <c r="D81" s="36" t="n">
        <v>26252723000000</v>
      </c>
      <c r="E81" s="36" t="n">
        <v>66852549000000</v>
      </c>
      <c r="F81" s="36" t="n">
        <v>106269231000000</v>
      </c>
      <c r="G81" s="36" t="n">
        <v>102553324000000</v>
      </c>
      <c r="H81" s="36" t="n">
        <v>60028254000000</v>
      </c>
      <c r="I81" s="36" t="n">
        <v>61968663000000</v>
      </c>
      <c r="J81" s="36" t="n">
        <v>7527539000000</v>
      </c>
      <c r="K81" s="36" t="n">
        <v>9771017000000</v>
      </c>
      <c r="L81" s="36" t="n">
        <v>10182884000000</v>
      </c>
      <c r="M81" s="36" t="n">
        <v>7452105000000</v>
      </c>
      <c r="N81" s="36" t="n">
        <v>67877945000000</v>
      </c>
      <c r="O81" s="36" t="n">
        <v>60028254000000</v>
      </c>
      <c r="P81" s="36" t="n">
        <v>53982311000000</v>
      </c>
      <c r="Q81" s="36" t="n">
        <v>45423767000000</v>
      </c>
      <c r="R81" s="36" t="n">
        <v>53172662000000</v>
      </c>
      <c r="S81" s="36" t="n">
        <v>61968663000000</v>
      </c>
      <c r="T81" s="36" t="n">
        <v>63446237000000</v>
      </c>
      <c r="U81" s="36" t="n">
        <v>74054437000000</v>
      </c>
    </row>
    <row r="82">
      <c r="A82" s="35" t="inlineStr">
        <is>
          <t>Các khoản lãi, phí phải trả</t>
        </is>
      </c>
      <c r="B82" s="36" t="n">
        <v>3424068000000</v>
      </c>
      <c r="C82" s="36" t="n">
        <v>3479310000000</v>
      </c>
      <c r="D82" s="36" t="n">
        <v>3252009000000</v>
      </c>
      <c r="E82" s="36" t="n">
        <v>3121881000000</v>
      </c>
      <c r="F82" s="36" t="n">
        <v>6144022000000</v>
      </c>
      <c r="G82" s="36" t="n">
        <v>9418750000000</v>
      </c>
      <c r="H82" s="36" t="n">
        <v>7281567000000</v>
      </c>
      <c r="I82" s="36" t="n">
        <v>9448719000000</v>
      </c>
      <c r="J82" s="36" t="n">
        <v>2860681000000</v>
      </c>
      <c r="K82" s="36" t="n">
        <v>3079127000000</v>
      </c>
      <c r="L82" s="36" t="n">
        <v>3562788000000</v>
      </c>
      <c r="M82" s="36" t="n">
        <v>3424944000000</v>
      </c>
      <c r="N82" s="36" t="n">
        <v>7309545000000</v>
      </c>
      <c r="O82" s="36" t="n">
        <v>7281567000000</v>
      </c>
      <c r="P82" s="36" t="n">
        <v>7926111000000</v>
      </c>
      <c r="Q82" s="36" t="n">
        <v>7464091000000</v>
      </c>
      <c r="R82" s="36" t="n">
        <v>8187281000000</v>
      </c>
      <c r="S82" s="36" t="n">
        <v>9448719000000</v>
      </c>
      <c r="T82" s="36" t="n">
        <v>11296027000000</v>
      </c>
      <c r="U82" s="36" t="n">
        <v>13515324000000</v>
      </c>
    </row>
    <row r="83">
      <c r="A83" s="35" t="inlineStr">
        <is>
          <t>Thuế TNDN hoãn lại phải trả</t>
        </is>
      </c>
      <c r="B83" s="36" t="n">
        <v>0</v>
      </c>
      <c r="C83" s="36" t="n">
        <v>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0</v>
      </c>
      <c r="K83" s="36" t="n">
        <v>0</v>
      </c>
      <c r="L83" s="36" t="n">
        <v>0</v>
      </c>
      <c r="M83" s="36" t="n">
        <v>0</v>
      </c>
      <c r="N83" s="36" t="n">
        <v>0</v>
      </c>
      <c r="O83" s="36" t="n">
        <v>0</v>
      </c>
      <c r="P83" s="36" t="n">
        <v>0</v>
      </c>
      <c r="Q83" s="36" t="n">
        <v>0</v>
      </c>
      <c r="R83" s="36" t="n">
        <v>0</v>
      </c>
      <c r="S83" s="36" t="n">
        <v>0</v>
      </c>
      <c r="T83" s="36" t="n">
        <v>0</v>
      </c>
      <c r="U83" s="36" t="n">
        <v>0</v>
      </c>
    </row>
    <row r="84">
      <c r="A84" s="35" t="inlineStr">
        <is>
          <t>Các khoản phải trả và công nợ khác</t>
        </is>
      </c>
      <c r="B84" s="36" t="n">
        <v>8428777000000</v>
      </c>
      <c r="C84" s="36" t="n">
        <v>7689346000000</v>
      </c>
      <c r="D84" s="36" t="n">
        <v>8626109000000</v>
      </c>
      <c r="E84" s="36" t="n">
        <v>11673715000000</v>
      </c>
      <c r="F84" s="36" t="n">
        <v>17631144000000</v>
      </c>
      <c r="G84" s="36" t="n">
        <v>15909985000000</v>
      </c>
      <c r="H84" s="36" t="n">
        <v>16580840000000</v>
      </c>
      <c r="I84" s="36" t="n">
        <v>17428523000000</v>
      </c>
      <c r="J84" s="36" t="n">
        <v>3810629000000</v>
      </c>
      <c r="K84" s="36" t="n">
        <v>4935377000000</v>
      </c>
      <c r="L84" s="36" t="n">
        <v>5974553000000</v>
      </c>
      <c r="M84" s="36" t="n">
        <v>8431609000000</v>
      </c>
      <c r="N84" s="36" t="n">
        <v>15877676000000</v>
      </c>
      <c r="O84" s="36" t="n">
        <v>16580840000000</v>
      </c>
      <c r="P84" s="36" t="n">
        <v>11700475000000</v>
      </c>
      <c r="Q84" s="36" t="n">
        <v>12733508000000</v>
      </c>
      <c r="R84" s="36" t="n">
        <v>16725836000000</v>
      </c>
      <c r="S84" s="36" t="n">
        <v>17428523000000</v>
      </c>
      <c r="T84" s="36" t="n">
        <v>17613087000000</v>
      </c>
      <c r="U84" s="36" t="n">
        <v>20836631000000</v>
      </c>
    </row>
    <row r="85">
      <c r="A85" s="35" t="inlineStr">
        <is>
          <t>Dự phòng rủi ro khác</t>
        </is>
      </c>
      <c r="B85" s="36" t="n">
        <v>0</v>
      </c>
      <c r="C85" s="36" t="n">
        <v>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0</v>
      </c>
      <c r="K85" s="36" t="n">
        <v>0</v>
      </c>
      <c r="L85" s="36" t="n">
        <v>0</v>
      </c>
      <c r="M85" s="36" t="n">
        <v>0</v>
      </c>
      <c r="N85" s="36" t="n">
        <v>0</v>
      </c>
      <c r="O85" s="36" t="n">
        <v>0</v>
      </c>
      <c r="P85" s="36" t="n">
        <v>0</v>
      </c>
      <c r="Q85" s="36" t="n">
        <v>0</v>
      </c>
      <c r="R85" s="36" t="n">
        <v>0</v>
      </c>
      <c r="S85" s="36" t="n">
        <v>0</v>
      </c>
      <c r="T85" s="36" t="n">
        <v>0</v>
      </c>
      <c r="U85" s="36" t="n">
        <v>0</v>
      </c>
    </row>
    <row r="86">
      <c r="A86" s="35" t="inlineStr">
        <is>
          <t>Vốn Góp liên doanh</t>
        </is>
      </c>
      <c r="B86" s="36" t="n">
        <v>0</v>
      </c>
      <c r="C86" s="36" t="n">
        <v>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0</v>
      </c>
      <c r="K86" s="36" t="n">
        <v>0</v>
      </c>
      <c r="L86" s="36" t="n">
        <v>0</v>
      </c>
      <c r="M86" s="36" t="n"/>
      <c r="N86" s="36" t="n">
        <v>0</v>
      </c>
      <c r="O86" s="36" t="n">
        <v>0</v>
      </c>
      <c r="P86" s="36" t="n">
        <v>0</v>
      </c>
      <c r="Q86" s="36" t="n">
        <v>0</v>
      </c>
      <c r="R86" s="36" t="n">
        <v>0</v>
      </c>
      <c r="S86" s="36" t="n">
        <v>0</v>
      </c>
      <c r="T86" s="36" t="n">
        <v>0</v>
      </c>
      <c r="U86" s="36" t="n">
        <v>0</v>
      </c>
    </row>
    <row r="87">
      <c r="A87" s="35" t="inlineStr">
        <is>
          <t>Đầu tư vào công ty liên kết</t>
        </is>
      </c>
      <c r="B87" s="36" t="n">
        <v>0</v>
      </c>
      <c r="C87" s="36" t="n">
        <v>0</v>
      </c>
      <c r="D87" s="36" t="n">
        <v>0</v>
      </c>
      <c r="E87" s="36" t="n">
        <v>0</v>
      </c>
      <c r="F87" s="36" t="n">
        <v>0</v>
      </c>
      <c r="G87" s="36" t="n">
        <v>0</v>
      </c>
      <c r="H87" s="36" t="n">
        <v>0</v>
      </c>
      <c r="I87" s="36" t="n">
        <v>32263000000</v>
      </c>
      <c r="J87" s="36" t="n">
        <v>0</v>
      </c>
      <c r="K87" s="36" t="n">
        <v>0</v>
      </c>
      <c r="L87" s="36" t="n">
        <v>0</v>
      </c>
      <c r="M87" s="36" t="n"/>
      <c r="N87" s="36" t="n">
        <v>0</v>
      </c>
      <c r="O87" s="36" t="n">
        <v>0</v>
      </c>
      <c r="P87" s="36" t="n">
        <v>0</v>
      </c>
      <c r="Q87" s="36" t="n">
        <v>0</v>
      </c>
      <c r="R87" s="36" t="n">
        <v>32840000000</v>
      </c>
      <c r="S87" s="36" t="n">
        <v>32263000000</v>
      </c>
      <c r="T87" s="36" t="n">
        <v>29988000000</v>
      </c>
      <c r="U87" s="36" t="n">
        <v>27397000000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1" customWidth="1" min="21" max="21"/>
  </cols>
  <sheetData>
    <row r="1">
      <c r="A1" s="33" t="inlineStr">
        <is>
          <t>item</t>
        </is>
      </c>
      <c r="B1" s="34" t="inlineStr">
        <is>
          <t>2018</t>
        </is>
      </c>
      <c r="C1" s="34" t="inlineStr">
        <is>
          <t>2019</t>
        </is>
      </c>
      <c r="D1" s="34" t="inlineStr">
        <is>
          <t>2020</t>
        </is>
      </c>
      <c r="E1" s="34" t="inlineStr">
        <is>
          <t>2021</t>
        </is>
      </c>
      <c r="F1" s="34" t="inlineStr">
        <is>
          <t>2022</t>
        </is>
      </c>
      <c r="G1" s="34" t="inlineStr">
        <is>
          <t>2023</t>
        </is>
      </c>
      <c r="H1" s="34" t="inlineStr">
        <is>
          <t>2024</t>
        </is>
      </c>
      <c r="I1" s="34" t="inlineStr">
        <is>
          <t>2025</t>
        </is>
      </c>
      <c r="J1" s="34" t="inlineStr">
        <is>
          <t>2018-Q1</t>
        </is>
      </c>
      <c r="K1" s="34" t="inlineStr">
        <is>
          <t>2018-Q2</t>
        </is>
      </c>
      <c r="L1" s="34" t="inlineStr">
        <is>
          <t>2018-Q3</t>
        </is>
      </c>
      <c r="M1" s="34" t="inlineStr">
        <is>
          <t>2018-Q4</t>
        </is>
      </c>
      <c r="N1" s="34" t="inlineStr">
        <is>
          <t>2024-Q3</t>
        </is>
      </c>
      <c r="O1" s="34" t="inlineStr">
        <is>
          <t>2024-Q4</t>
        </is>
      </c>
      <c r="P1" s="34" t="inlineStr">
        <is>
          <t>2025-Q1</t>
        </is>
      </c>
      <c r="Q1" s="34" t="inlineStr">
        <is>
          <t>2025-Q2</t>
        </is>
      </c>
      <c r="R1" s="34" t="inlineStr">
        <is>
          <t>2025-Q3</t>
        </is>
      </c>
      <c r="S1" s="34" t="inlineStr">
        <is>
          <t>2025-Q4</t>
        </is>
      </c>
      <c r="T1" s="34" t="inlineStr">
        <is>
          <t>2026-Q1</t>
        </is>
      </c>
      <c r="U1" s="34" t="inlineStr">
        <is>
          <t>2026-Q2</t>
        </is>
      </c>
    </row>
    <row r="2">
      <c r="A2" s="35" t="inlineStr">
        <is>
          <t>Tổng lợi nhuận/lỗ trước thuế</t>
        </is>
      </c>
      <c r="B2" s="36" t="n">
        <v>10661016000000</v>
      </c>
      <c r="C2" s="36" t="n">
        <v>12838268000000</v>
      </c>
      <c r="D2" s="36" t="n">
        <v>15800296000000</v>
      </c>
      <c r="E2" s="36" t="n">
        <v>23238293000000</v>
      </c>
      <c r="F2" s="36" t="n">
        <v>25567768000000</v>
      </c>
      <c r="G2" s="36" t="n">
        <v>22888228000000</v>
      </c>
      <c r="H2" s="36" t="n">
        <v>27538368000000</v>
      </c>
      <c r="I2" s="36" t="n">
        <v>32538066000000</v>
      </c>
      <c r="J2" s="36" t="n">
        <v>2568785000000</v>
      </c>
      <c r="K2" s="36" t="n">
        <v>2627683000000</v>
      </c>
      <c r="L2" s="36" t="n">
        <v>2577858000000</v>
      </c>
      <c r="M2" s="36" t="n">
        <v>2886806000000</v>
      </c>
      <c r="N2" s="36" t="n">
        <v>7214168000000</v>
      </c>
      <c r="O2" s="36" t="n">
        <v>4696032000000</v>
      </c>
      <c r="P2" s="36" t="n">
        <v>7236228000000</v>
      </c>
      <c r="Q2" s="36" t="n">
        <v>7898588000000</v>
      </c>
      <c r="R2" s="36" t="n">
        <v>8250016000000</v>
      </c>
      <c r="S2" s="36" t="n">
        <v>9153234000000</v>
      </c>
      <c r="T2" s="36" t="n">
        <v>8869970000000</v>
      </c>
      <c r="U2" s="36" t="n">
        <v>9670016000000</v>
      </c>
    </row>
    <row r="3">
      <c r="A3" s="35" t="inlineStr">
        <is>
          <t>Chi phí thuế TNDN hiện hành</t>
        </is>
      </c>
      <c r="B3" s="36" t="n">
        <v>-2185246000000</v>
      </c>
      <c r="C3" s="36" t="n">
        <v>-2612059000000</v>
      </c>
      <c r="D3" s="36" t="n">
        <v>-3217829000000</v>
      </c>
      <c r="E3" s="36" t="n">
        <v>-4840371000000</v>
      </c>
      <c r="F3" s="36" t="n">
        <v>-5174932000000</v>
      </c>
      <c r="G3" s="36" t="n">
        <v>-4706721000000</v>
      </c>
      <c r="H3" s="36" t="n">
        <v>-5787711000000</v>
      </c>
      <c r="I3" s="36" t="n">
        <v>-6544225000000</v>
      </c>
      <c r="J3" s="36" t="n">
        <v>-517983000000</v>
      </c>
      <c r="K3" s="36" t="n">
        <v>-526935000000</v>
      </c>
      <c r="L3" s="36" t="n">
        <v>-518294000000</v>
      </c>
      <c r="M3" s="36" t="n">
        <v>-622057000000</v>
      </c>
      <c r="N3" s="36" t="n">
        <v>-1422429000000</v>
      </c>
      <c r="O3" s="36" t="n">
        <v>-1282376000000</v>
      </c>
      <c r="P3" s="36" t="n">
        <v>-1221736000000</v>
      </c>
      <c r="Q3" s="36" t="n">
        <v>-1549782000000</v>
      </c>
      <c r="R3" s="36" t="n">
        <v>-1636587000000</v>
      </c>
      <c r="S3" s="36" t="n">
        <v>-2136120000000</v>
      </c>
      <c r="T3" s="36" t="n">
        <v>-1920387000000</v>
      </c>
      <c r="U3" s="36" t="n">
        <v>-1948060000000</v>
      </c>
    </row>
    <row r="4">
      <c r="A4" s="35" t="inlineStr">
        <is>
          <t>Chi phí thuế TNDN hoãn lại</t>
        </is>
      </c>
      <c r="B4" s="36" t="n">
        <v>-1773000000</v>
      </c>
      <c r="C4" s="36" t="n">
        <v>0</v>
      </c>
      <c r="D4" s="36" t="n">
        <v>0</v>
      </c>
      <c r="E4" s="36" t="n">
        <v>17460000000</v>
      </c>
      <c r="F4" s="36" t="n">
        <v>43590000000</v>
      </c>
      <c r="G4" s="36" t="n">
        <v>9359000000</v>
      </c>
      <c r="H4" s="36" t="n">
        <v>9447000000</v>
      </c>
      <c r="I4" s="36" t="n">
        <v>-39369000000</v>
      </c>
      <c r="J4" s="36" t="n">
        <v>-1773000000</v>
      </c>
      <c r="K4" s="36" t="n">
        <v>0</v>
      </c>
      <c r="L4" s="36" t="n">
        <v>0</v>
      </c>
      <c r="M4" s="36" t="n">
        <v>0</v>
      </c>
      <c r="N4" s="36" t="n">
        <v>1283000000</v>
      </c>
      <c r="O4" s="36" t="n">
        <v>6455000000</v>
      </c>
      <c r="P4" s="36" t="n">
        <v>-981000000</v>
      </c>
      <c r="Q4" s="36" t="n">
        <v>-1196000000</v>
      </c>
      <c r="R4" s="36" t="n">
        <v>96000000</v>
      </c>
      <c r="S4" s="36" t="n">
        <v>-37288000000</v>
      </c>
      <c r="T4" s="36" t="n">
        <v>697000000</v>
      </c>
      <c r="U4" s="36" t="n">
        <v>4686000000</v>
      </c>
    </row>
    <row r="5">
      <c r="A5" s="35" t="inlineStr">
        <is>
          <t>Chi phí thuế thu nhập doanh nghiệp</t>
        </is>
      </c>
      <c r="B5" s="36" t="n">
        <v>-2187019000000</v>
      </c>
      <c r="C5" s="36" t="n">
        <v>-2612059000000</v>
      </c>
      <c r="D5" s="36" t="n">
        <v>-3217829000000</v>
      </c>
      <c r="E5" s="36" t="n">
        <v>-4822911000000</v>
      </c>
      <c r="F5" s="36" t="n">
        <v>-5131342000000</v>
      </c>
      <c r="G5" s="36" t="n">
        <v>-4697362000000</v>
      </c>
      <c r="H5" s="36" t="n">
        <v>-5778264000000</v>
      </c>
      <c r="I5" s="36" t="n">
        <v>-6583594000000</v>
      </c>
      <c r="J5" s="36" t="n">
        <v>-519756000000</v>
      </c>
      <c r="K5" s="36" t="n">
        <v>-526935000000</v>
      </c>
      <c r="L5" s="36" t="n">
        <v>-518294000000</v>
      </c>
      <c r="M5" s="36" t="n">
        <v>-622057000000</v>
      </c>
      <c r="N5" s="36" t="n">
        <v>-1421146000000</v>
      </c>
      <c r="O5" s="36" t="n">
        <v>-1275921000000</v>
      </c>
      <c r="P5" s="36" t="n">
        <v>-1222717000000</v>
      </c>
      <c r="Q5" s="36" t="n">
        <v>-1550978000000</v>
      </c>
      <c r="R5" s="36" t="n">
        <v>-1636491000000</v>
      </c>
      <c r="S5" s="36" t="n">
        <v>-2173408000000</v>
      </c>
      <c r="T5" s="36" t="n">
        <v>-1919690000000</v>
      </c>
      <c r="U5" s="36" t="n">
        <v>-1943374000000</v>
      </c>
    </row>
    <row r="6">
      <c r="A6" s="35" t="inlineStr">
        <is>
          <t>Lợi nhuận sau thuế</t>
        </is>
      </c>
      <c r="B6" s="36" t="n">
        <v>8473997000000</v>
      </c>
      <c r="C6" s="36" t="n">
        <v>10226209000000</v>
      </c>
      <c r="D6" s="36" t="n">
        <v>12582467000000</v>
      </c>
      <c r="E6" s="36" t="n">
        <v>18415382000000</v>
      </c>
      <c r="F6" s="36" t="n">
        <v>20436426000000</v>
      </c>
      <c r="G6" s="36" t="n">
        <v>18190866000000</v>
      </c>
      <c r="H6" s="36" t="n">
        <v>21760104000000</v>
      </c>
      <c r="I6" s="36" t="n">
        <v>25954472000000</v>
      </c>
      <c r="J6" s="36" t="n">
        <v>2049029000000</v>
      </c>
      <c r="K6" s="36" t="n">
        <v>2100748000000</v>
      </c>
      <c r="L6" s="36" t="n">
        <v>2059564000000</v>
      </c>
      <c r="M6" s="36" t="n">
        <v>2264749000000</v>
      </c>
      <c r="N6" s="36" t="n">
        <v>5793022000000</v>
      </c>
      <c r="O6" s="36" t="n">
        <v>3420111000000</v>
      </c>
      <c r="P6" s="36" t="n">
        <v>6013511000000</v>
      </c>
      <c r="Q6" s="36" t="n">
        <v>6347610000000</v>
      </c>
      <c r="R6" s="36" t="n">
        <v>6613525000000</v>
      </c>
      <c r="S6" s="36" t="n">
        <v>6979826000000</v>
      </c>
      <c r="T6" s="36" t="n">
        <v>6950280000000</v>
      </c>
      <c r="U6" s="36" t="n">
        <v>7726642000000</v>
      </c>
    </row>
    <row r="7">
      <c r="A7" s="35" t="inlineStr">
        <is>
          <t>Lợi ích của cổ đông thiểu số</t>
        </is>
      </c>
      <c r="B7" s="36" t="n">
        <v>-11222000000</v>
      </c>
      <c r="C7" s="36" t="n">
        <v>-151070000000</v>
      </c>
      <c r="D7" s="36" t="n">
        <v>-257476000000</v>
      </c>
      <c r="E7" s="36" t="n">
        <v>-363132000000</v>
      </c>
      <c r="F7" s="36" t="n">
        <v>-286049000000</v>
      </c>
      <c r="G7" s="36" t="n">
        <v>-187064000000</v>
      </c>
      <c r="H7" s="36" t="n">
        <v>-237176000000</v>
      </c>
      <c r="I7" s="36" t="n">
        <v>-664242000000</v>
      </c>
      <c r="J7" s="36" t="n">
        <v>0</v>
      </c>
      <c r="K7" s="36" t="n">
        <v>0</v>
      </c>
      <c r="L7" s="36" t="n">
        <v>0</v>
      </c>
      <c r="M7" s="36" t="n">
        <v>-11222000000</v>
      </c>
      <c r="N7" s="36" t="n">
        <v>-55517000000</v>
      </c>
      <c r="O7" s="36" t="n">
        <v>-49046000000</v>
      </c>
      <c r="P7" s="36" t="n">
        <v>-65551000000</v>
      </c>
      <c r="Q7" s="36" t="n">
        <v>-100246000000</v>
      </c>
      <c r="R7" s="36" t="n">
        <v>-194181000000</v>
      </c>
      <c r="S7" s="36" t="n">
        <v>-304264000000</v>
      </c>
      <c r="T7" s="36" t="n">
        <v>-279199000000</v>
      </c>
      <c r="U7" s="36" t="n">
        <v>-376583000000</v>
      </c>
    </row>
    <row r="8">
      <c r="A8" s="35" t="inlineStr">
        <is>
          <t>Cổ đông của Công ty mẹ</t>
        </is>
      </c>
      <c r="B8" s="36" t="n">
        <v>8462775000000</v>
      </c>
      <c r="C8" s="36" t="n">
        <v>10075139000000</v>
      </c>
      <c r="D8" s="36" t="n">
        <v>12324991000000</v>
      </c>
      <c r="E8" s="36" t="n">
        <v>18052250000000</v>
      </c>
      <c r="F8" s="36" t="n">
        <v>20150377000000</v>
      </c>
      <c r="G8" s="36" t="n">
        <v>18003802000000</v>
      </c>
      <c r="H8" s="36" t="n">
        <v>21522928000000</v>
      </c>
      <c r="I8" s="36" t="n">
        <v>25290230000000</v>
      </c>
      <c r="J8" s="36" t="n">
        <v>2049029000000</v>
      </c>
      <c r="K8" s="36" t="n">
        <v>2100748000000</v>
      </c>
      <c r="L8" s="36" t="n">
        <v>2059564000000</v>
      </c>
      <c r="M8" s="36" t="n">
        <v>2253527000000</v>
      </c>
      <c r="N8" s="36" t="n">
        <v>5737505000000</v>
      </c>
      <c r="O8" s="36" t="n">
        <v>3371065000000</v>
      </c>
      <c r="P8" s="36" t="n">
        <v>5947960000000</v>
      </c>
      <c r="Q8" s="36" t="n">
        <v>6247364000000</v>
      </c>
      <c r="R8" s="36" t="n">
        <v>6419344000000</v>
      </c>
      <c r="S8" s="36" t="n">
        <v>6675562000000</v>
      </c>
      <c r="T8" s="36" t="n">
        <v>6671081000000</v>
      </c>
      <c r="U8" s="36" t="n">
        <v>7350059000000</v>
      </c>
    </row>
    <row r="9">
      <c r="A9" s="35" t="inlineStr">
        <is>
          <t>Lãi cơ bản trên cổ phiếu (VND)</t>
        </is>
      </c>
      <c r="B9" s="36" t="n">
        <v>3816</v>
      </c>
      <c r="C9" s="36" t="n">
        <v>2871</v>
      </c>
      <c r="D9" s="36" t="n">
        <v>3515</v>
      </c>
      <c r="E9" s="36" t="n">
        <v>5137</v>
      </c>
      <c r="F9" s="36" t="n">
        <v>5725</v>
      </c>
      <c r="G9" s="36" t="n">
        <v>2549</v>
      </c>
      <c r="H9" s="36" t="n">
        <v>3049</v>
      </c>
      <c r="I9" s="36" t="n">
        <v>3572</v>
      </c>
      <c r="J9" s="36" t="n">
        <v>0</v>
      </c>
      <c r="K9" s="36" t="n">
        <v>0</v>
      </c>
      <c r="L9" s="36" t="n">
        <v>0</v>
      </c>
      <c r="M9" s="36" t="n">
        <v>0</v>
      </c>
      <c r="N9" s="36" t="n">
        <v>0</v>
      </c>
      <c r="O9" s="36" t="n">
        <v>0</v>
      </c>
      <c r="P9" s="36" t="n">
        <v>0</v>
      </c>
      <c r="Q9" s="36" t="n">
        <v>0</v>
      </c>
      <c r="R9" s="36" t="n">
        <v>0</v>
      </c>
      <c r="S9" s="36" t="n">
        <v>0</v>
      </c>
      <c r="T9" s="36" t="n">
        <v>0</v>
      </c>
      <c r="U9" s="36" t="n">
        <v>0</v>
      </c>
    </row>
    <row r="10">
      <c r="A10" s="35" t="inlineStr">
        <is>
          <t>Lãi trên cổ phiếu pha loãng (VND)</t>
        </is>
      </c>
      <c r="B10" s="36" t="n">
        <v>0</v>
      </c>
      <c r="C10" s="36" t="n">
        <v>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0</v>
      </c>
      <c r="K10" s="36" t="n">
        <v>0</v>
      </c>
      <c r="L10" s="36" t="n">
        <v>0</v>
      </c>
      <c r="M10" s="36" t="n">
        <v>0</v>
      </c>
      <c r="N10" s="36" t="n">
        <v>0</v>
      </c>
      <c r="O10" s="36" t="n">
        <v>0</v>
      </c>
      <c r="P10" s="36" t="n">
        <v>0</v>
      </c>
      <c r="Q10" s="36" t="n">
        <v>0</v>
      </c>
      <c r="R10" s="36" t="n">
        <v>0</v>
      </c>
      <c r="S10" s="36" t="n">
        <v>0</v>
      </c>
      <c r="T10" s="36" t="n">
        <v>0</v>
      </c>
      <c r="U10" s="36" t="n">
        <v>0</v>
      </c>
    </row>
    <row r="11">
      <c r="A11" s="35" t="inlineStr">
        <is>
          <t>Thu nhập lãi và các khoản thu nhập tương tự</t>
        </is>
      </c>
      <c r="B11" s="36" t="n">
        <v>21413626000000</v>
      </c>
      <c r="C11" s="36" t="n">
        <v>25016341000000</v>
      </c>
      <c r="D11" s="36" t="n">
        <v>29001912000000</v>
      </c>
      <c r="E11" s="36" t="n">
        <v>35503251000000</v>
      </c>
      <c r="F11" s="36" t="n">
        <v>44752636000000</v>
      </c>
      <c r="G11" s="36" t="n">
        <v>56707759000000</v>
      </c>
      <c r="H11" s="36" t="n">
        <v>60089462000000</v>
      </c>
      <c r="I11" s="36" t="n">
        <v>68017450000000</v>
      </c>
      <c r="J11" s="36" t="n">
        <v>4980055000000</v>
      </c>
      <c r="K11" s="36" t="n">
        <v>4916458000000</v>
      </c>
      <c r="L11" s="36" t="n">
        <v>5677781000000</v>
      </c>
      <c r="M11" s="36" t="n">
        <v>5637304000000</v>
      </c>
      <c r="N11" s="36" t="n">
        <v>15168282000000</v>
      </c>
      <c r="O11" s="36" t="n">
        <v>15064961000000</v>
      </c>
      <c r="P11" s="36" t="n">
        <v>14950024000000</v>
      </c>
      <c r="Q11" s="36" t="n">
        <v>16303607000000</v>
      </c>
      <c r="R11" s="36" t="n">
        <v>17599575000000</v>
      </c>
      <c r="S11" s="36" t="n">
        <v>19164244000000</v>
      </c>
      <c r="T11" s="36" t="n">
        <v>19697005000000</v>
      </c>
      <c r="U11" s="36" t="n">
        <v>22861342000000</v>
      </c>
    </row>
    <row r="12">
      <c r="A12" s="35" t="inlineStr">
        <is>
          <t>Chi phí lãi và các chi phí tương tự</t>
        </is>
      </c>
      <c r="B12" s="36" t="n">
        <v>-10023687000000</v>
      </c>
      <c r="C12" s="36" t="n">
        <v>-10758497000000</v>
      </c>
      <c r="D12" s="36" t="n">
        <v>-10250703000000</v>
      </c>
      <c r="E12" s="36" t="n">
        <v>-8804638000000</v>
      </c>
      <c r="F12" s="36" t="n">
        <v>-14462861000000</v>
      </c>
      <c r="G12" s="36" t="n">
        <v>-29016639000000</v>
      </c>
      <c r="H12" s="36" t="n">
        <v>-24581499000000</v>
      </c>
      <c r="I12" s="36" t="n">
        <v>-29862359000000</v>
      </c>
      <c r="J12" s="36" t="n">
        <v>-2433383000000</v>
      </c>
      <c r="K12" s="36" t="n">
        <v>-2412512000000</v>
      </c>
      <c r="L12" s="36" t="n">
        <v>-2560876000000</v>
      </c>
      <c r="M12" s="36" t="n">
        <v>-2616916000000</v>
      </c>
      <c r="N12" s="36" t="n">
        <v>-6239606000000</v>
      </c>
      <c r="O12" s="36" t="n">
        <v>-6463144000000</v>
      </c>
      <c r="P12" s="36" t="n">
        <v>-6644631000000</v>
      </c>
      <c r="Q12" s="36" t="n">
        <v>-7166531000000</v>
      </c>
      <c r="R12" s="36" t="n">
        <v>-7674932000000</v>
      </c>
      <c r="S12" s="36" t="n">
        <v>-8376265000000</v>
      </c>
      <c r="T12" s="36" t="n">
        <v>-10174952000000</v>
      </c>
      <c r="U12" s="36" t="n">
        <v>-12098340000000</v>
      </c>
    </row>
    <row r="13">
      <c r="A13" s="35" t="inlineStr">
        <is>
          <t>Thu nhập lãi thuần</t>
        </is>
      </c>
      <c r="B13" s="36" t="n">
        <v>11389939000000</v>
      </c>
      <c r="C13" s="36" t="n">
        <v>14257844000000</v>
      </c>
      <c r="D13" s="36" t="n">
        <v>18751209000000</v>
      </c>
      <c r="E13" s="36" t="n">
        <v>26698613000000</v>
      </c>
      <c r="F13" s="36" t="n">
        <v>30289775000000</v>
      </c>
      <c r="G13" s="36" t="n">
        <v>27691120000000</v>
      </c>
      <c r="H13" s="36" t="n">
        <v>35507963000000</v>
      </c>
      <c r="I13" s="36" t="n">
        <v>38155091000000</v>
      </c>
      <c r="J13" s="36" t="n">
        <v>2546672000000</v>
      </c>
      <c r="K13" s="36" t="n">
        <v>2503946000000</v>
      </c>
      <c r="L13" s="36" t="n">
        <v>3116905000000</v>
      </c>
      <c r="M13" s="36" t="n">
        <v>3020388000000</v>
      </c>
      <c r="N13" s="36" t="n">
        <v>8928676000000</v>
      </c>
      <c r="O13" s="36" t="n">
        <v>8601817000000</v>
      </c>
      <c r="P13" s="36" t="n">
        <v>8305393000000</v>
      </c>
      <c r="Q13" s="36" t="n">
        <v>9137076000000</v>
      </c>
      <c r="R13" s="36" t="n">
        <v>9924643000000</v>
      </c>
      <c r="S13" s="36" t="n">
        <v>10787979000000</v>
      </c>
      <c r="T13" s="36" t="n">
        <v>9522053000000</v>
      </c>
      <c r="U13" s="36" t="n">
        <v>10763002000000</v>
      </c>
    </row>
    <row r="14">
      <c r="A14" s="35" t="inlineStr">
        <is>
          <t>Thu nhập từ dịch vụ</t>
        </is>
      </c>
      <c r="B14" s="36" t="n">
        <v>4188317000000</v>
      </c>
      <c r="C14" s="36" t="n">
        <v>4884408000000</v>
      </c>
      <c r="D14" s="36" t="n">
        <v>6048443000000</v>
      </c>
      <c r="E14" s="36" t="n">
        <v>8239494000000</v>
      </c>
      <c r="F14" s="36" t="n">
        <v>10840337000000</v>
      </c>
      <c r="G14" s="36" t="n">
        <v>11378085000000</v>
      </c>
      <c r="H14" s="36" t="n">
        <v>10961642000000</v>
      </c>
      <c r="I14" s="36" t="n">
        <v>12526963000000</v>
      </c>
      <c r="J14" s="36" t="n">
        <v>660317000000</v>
      </c>
      <c r="K14" s="36" t="n">
        <v>869954000000</v>
      </c>
      <c r="L14" s="36" t="n">
        <v>1171873000000</v>
      </c>
      <c r="M14" s="36" t="n">
        <v>1688201000000</v>
      </c>
      <c r="N14" s="36" t="n">
        <v>2675088000000</v>
      </c>
      <c r="O14" s="36" t="n">
        <v>2262105000000</v>
      </c>
      <c r="P14" s="36" t="n">
        <v>2578542000000</v>
      </c>
      <c r="Q14" s="36" t="n">
        <v>3052422000000</v>
      </c>
      <c r="R14" s="36" t="n">
        <v>3276239000000</v>
      </c>
      <c r="S14" s="36" t="n">
        <v>3619760000000</v>
      </c>
      <c r="T14" s="36" t="n">
        <v>4292976000000</v>
      </c>
      <c r="U14" s="36" t="n">
        <v>5004364000000</v>
      </c>
    </row>
    <row r="15">
      <c r="A15" s="35" t="inlineStr">
        <is>
          <t>Chi phí dịch vụ</t>
        </is>
      </c>
      <c r="B15" s="36" t="n">
        <v>-915737000000</v>
      </c>
      <c r="C15" s="36" t="n">
        <v>-1631055000000</v>
      </c>
      <c r="D15" s="36" t="n">
        <v>-1859665000000</v>
      </c>
      <c r="E15" s="36" t="n">
        <v>-1857254000000</v>
      </c>
      <c r="F15" s="36" t="n">
        <v>-2687732000000</v>
      </c>
      <c r="G15" s="36" t="n">
        <v>-2663188000000</v>
      </c>
      <c r="H15" s="36" t="n">
        <v>-2919394000000</v>
      </c>
      <c r="I15" s="36" t="n">
        <v>-3754968000000</v>
      </c>
      <c r="J15" s="36" t="n">
        <v>-168622000000</v>
      </c>
      <c r="K15" s="36" t="n">
        <v>-182030000000</v>
      </c>
      <c r="L15" s="36" t="n">
        <v>-239737000000</v>
      </c>
      <c r="M15" s="36" t="n">
        <v>-326998000000</v>
      </c>
      <c r="N15" s="36" t="n">
        <v>-728305000000</v>
      </c>
      <c r="O15" s="36" t="n">
        <v>-799263000000</v>
      </c>
      <c r="P15" s="36" t="n">
        <v>-750410000000</v>
      </c>
      <c r="Q15" s="36" t="n">
        <v>-945431000000</v>
      </c>
      <c r="R15" s="36" t="n">
        <v>-1010302000000</v>
      </c>
      <c r="S15" s="36" t="n">
        <v>-1048825000000</v>
      </c>
      <c r="T15" s="36" t="n">
        <v>-1144519000000</v>
      </c>
      <c r="U15" s="36" t="n">
        <v>-1342166000000</v>
      </c>
    </row>
    <row r="16">
      <c r="A16" s="35" t="inlineStr">
        <is>
          <t>Lãi/Lỗ thuần từ hoạt động dịch vụ</t>
        </is>
      </c>
      <c r="B16" s="36" t="n">
        <v>3272580000000</v>
      </c>
      <c r="C16" s="36" t="n">
        <v>3253353000000</v>
      </c>
      <c r="D16" s="36" t="n">
        <v>4188778000000</v>
      </c>
      <c r="E16" s="36" t="n">
        <v>6382240000000</v>
      </c>
      <c r="F16" s="36" t="n">
        <v>8152605000000</v>
      </c>
      <c r="G16" s="36" t="n">
        <v>8714897000000</v>
      </c>
      <c r="H16" s="36" t="n">
        <v>8042248000000</v>
      </c>
      <c r="I16" s="36" t="n">
        <v>8771995000000</v>
      </c>
      <c r="J16" s="36" t="n">
        <v>491695000000</v>
      </c>
      <c r="K16" s="36" t="n">
        <v>687924000000</v>
      </c>
      <c r="L16" s="36" t="n">
        <v>932136000000</v>
      </c>
      <c r="M16" s="36" t="n">
        <v>1361203000000</v>
      </c>
      <c r="N16" s="36" t="n">
        <v>1946783000000</v>
      </c>
      <c r="O16" s="36" t="n">
        <v>1462842000000</v>
      </c>
      <c r="P16" s="36" t="n">
        <v>1828132000000</v>
      </c>
      <c r="Q16" s="36" t="n">
        <v>2106991000000</v>
      </c>
      <c r="R16" s="36" t="n">
        <v>2265937000000</v>
      </c>
      <c r="S16" s="36" t="n">
        <v>2570935000000</v>
      </c>
      <c r="T16" s="36" t="n">
        <v>3148457000000</v>
      </c>
      <c r="U16" s="36" t="n">
        <v>3662198000000</v>
      </c>
    </row>
    <row r="17">
      <c r="A17" s="35" t="inlineStr">
        <is>
          <t>Lãi/(lỗ) thuần từ hoạt động kinh doanh ngoại hối và vàng</t>
        </is>
      </c>
      <c r="B17" s="36" t="n">
        <v>233751000000</v>
      </c>
      <c r="C17" s="36" t="n">
        <v>104581000000</v>
      </c>
      <c r="D17" s="36" t="n">
        <v>745000000</v>
      </c>
      <c r="E17" s="36" t="n">
        <v>231416000000</v>
      </c>
      <c r="F17" s="36" t="n">
        <v>-275063000000</v>
      </c>
      <c r="G17" s="36" t="n">
        <v>195750000000</v>
      </c>
      <c r="H17" s="36" t="n">
        <v>592556000000</v>
      </c>
      <c r="I17" s="36" t="n">
        <v>1642201000000</v>
      </c>
      <c r="J17" s="36" t="n">
        <v>45317000000</v>
      </c>
      <c r="K17" s="36" t="n">
        <v>152927000000</v>
      </c>
      <c r="L17" s="36" t="n">
        <v>48455000000</v>
      </c>
      <c r="M17" s="36" t="n">
        <v>-12948000000</v>
      </c>
      <c r="N17" s="36" t="n">
        <v>61041000000</v>
      </c>
      <c r="O17" s="36" t="n">
        <v>-424270000000</v>
      </c>
      <c r="P17" s="36" t="n">
        <v>454811000000</v>
      </c>
      <c r="Q17" s="36" t="n">
        <v>415158000000</v>
      </c>
      <c r="R17" s="36" t="n">
        <v>559414000000</v>
      </c>
      <c r="S17" s="36" t="n">
        <v>212818000000</v>
      </c>
      <c r="T17" s="36" t="n">
        <v>583817000000</v>
      </c>
      <c r="U17" s="36" t="n">
        <v>-68527000000</v>
      </c>
    </row>
    <row r="18">
      <c r="A18" s="35" t="inlineStr">
        <is>
          <t>Lãi/(lỗ) thuần từ mua bán chứng khoán kinh doanh</t>
        </is>
      </c>
      <c r="B18" s="36" t="n">
        <v>168433000000</v>
      </c>
      <c r="C18" s="36" t="n">
        <v>397664000000</v>
      </c>
      <c r="D18" s="36" t="n">
        <v>321397000000</v>
      </c>
      <c r="E18" s="36" t="n">
        <v>152305000000</v>
      </c>
      <c r="F18" s="36" t="n">
        <v>-241845000000</v>
      </c>
      <c r="G18" s="36" t="n">
        <v>64620000000</v>
      </c>
      <c r="H18" s="36" t="n">
        <v>81301000000</v>
      </c>
      <c r="I18" s="36" t="n">
        <v>51974000000</v>
      </c>
      <c r="J18" s="36" t="n">
        <v>10562000000</v>
      </c>
      <c r="K18" s="36" t="n">
        <v>-12145000000</v>
      </c>
      <c r="L18" s="36" t="n">
        <v>116620000000</v>
      </c>
      <c r="M18" s="36" t="n">
        <v>53396000000</v>
      </c>
      <c r="N18" s="36" t="n">
        <v>-527000000</v>
      </c>
      <c r="O18" s="36" t="n">
        <v>2001000000</v>
      </c>
      <c r="P18" s="36" t="n">
        <v>178426000000</v>
      </c>
      <c r="Q18" s="36" t="n">
        <v>31979000000</v>
      </c>
      <c r="R18" s="36" t="n">
        <v>-149808000000</v>
      </c>
      <c r="S18" s="36" t="n">
        <v>-8623000000</v>
      </c>
      <c r="T18" s="36" t="n">
        <v>42771000000</v>
      </c>
      <c r="U18" s="36" t="n">
        <v>28494000000</v>
      </c>
    </row>
    <row r="19">
      <c r="A19" s="35" t="inlineStr">
        <is>
          <t>Lãi/(lỗ) thuần từ mua bán chứng khoán đầu tư</t>
        </is>
      </c>
      <c r="B19" s="36" t="n">
        <v>756585000000</v>
      </c>
      <c r="C19" s="36" t="n">
        <v>1243759000000</v>
      </c>
      <c r="D19" s="36" t="n">
        <v>1496997000000</v>
      </c>
      <c r="E19" s="36" t="n">
        <v>1804408000000</v>
      </c>
      <c r="F19" s="36" t="n">
        <v>425553000000</v>
      </c>
      <c r="G19" s="36" t="n">
        <v>925833000000</v>
      </c>
      <c r="H19" s="36" t="n">
        <v>2359057000000</v>
      </c>
      <c r="I19" s="36" t="n">
        <v>2846321000000</v>
      </c>
      <c r="J19" s="36" t="n">
        <v>441802000000</v>
      </c>
      <c r="K19" s="36" t="n">
        <v>301222000000</v>
      </c>
      <c r="L19" s="36" t="n">
        <v>-39389000000</v>
      </c>
      <c r="M19" s="36" t="n">
        <v>52950000000</v>
      </c>
      <c r="N19" s="36" t="n">
        <v>389242000000</v>
      </c>
      <c r="O19" s="36" t="n">
        <v>249851000000</v>
      </c>
      <c r="P19" s="36" t="n">
        <v>450449000000</v>
      </c>
      <c r="Q19" s="36" t="n">
        <v>599870000000</v>
      </c>
      <c r="R19" s="36" t="n">
        <v>1059359000000</v>
      </c>
      <c r="S19" s="36" t="n">
        <v>736643000000</v>
      </c>
      <c r="T19" s="36" t="n">
        <v>238735000000</v>
      </c>
      <c r="U19" s="36" t="n">
        <v>81770000000</v>
      </c>
    </row>
    <row r="20">
      <c r="A20" s="35" t="inlineStr">
        <is>
          <t>Thu nhập khác</t>
        </is>
      </c>
      <c r="B20" s="36" t="n">
        <v>3147169000000</v>
      </c>
      <c r="C20" s="36" t="n">
        <v>4425079000000</v>
      </c>
      <c r="D20" s="36" t="n">
        <v>5460013000000</v>
      </c>
      <c r="E20" s="36" t="n">
        <v>4343731000000</v>
      </c>
      <c r="F20" s="36" t="n">
        <v>4499949000000</v>
      </c>
      <c r="G20" s="36" t="n">
        <v>6459694000000</v>
      </c>
      <c r="H20" s="36" t="n">
        <v>9324928000000</v>
      </c>
      <c r="I20" s="36" t="n">
        <v>6426334000000</v>
      </c>
      <c r="J20" s="36" t="n">
        <v>370198000000</v>
      </c>
      <c r="K20" s="36" t="n">
        <v>549731000000</v>
      </c>
      <c r="L20" s="36" t="n">
        <v>875759000000</v>
      </c>
      <c r="M20" s="36" t="n">
        <v>1351481000000</v>
      </c>
      <c r="N20" s="36" t="n">
        <v>1986320000000</v>
      </c>
      <c r="O20" s="36" t="n">
        <v>3884139000000</v>
      </c>
      <c r="P20" s="36" t="n">
        <v>1741899000000</v>
      </c>
      <c r="Q20" s="36" t="n">
        <v>1730032000000</v>
      </c>
      <c r="R20" s="36" t="n">
        <v>1703996000000</v>
      </c>
      <c r="S20" s="36" t="n">
        <v>1250407000000</v>
      </c>
      <c r="T20" s="36" t="n">
        <v>989740000000</v>
      </c>
      <c r="U20" s="36" t="n">
        <v>2105280000000</v>
      </c>
    </row>
    <row r="21">
      <c r="A21" s="35" t="inlineStr">
        <is>
          <t>Chi phí khác</t>
        </is>
      </c>
      <c r="B21" s="36" t="n">
        <v>-1513392000000</v>
      </c>
      <c r="C21" s="36" t="n">
        <v>-2618351000000</v>
      </c>
      <c r="D21" s="36" t="n">
        <v>-3180804000000</v>
      </c>
      <c r="E21" s="36" t="n">
        <v>-2540485000000</v>
      </c>
      <c r="F21" s="36" t="n">
        <v>-2332574000000</v>
      </c>
      <c r="G21" s="36" t="n">
        <v>-4025578000000</v>
      </c>
      <c r="H21" s="36" t="n">
        <v>-8982217000000</v>
      </c>
      <c r="I21" s="36" t="n">
        <v>-4541992000000</v>
      </c>
      <c r="J21" s="36" t="n">
        <v>-140894000000</v>
      </c>
      <c r="K21" s="36" t="n">
        <v>-185934000000</v>
      </c>
      <c r="L21" s="36" t="n">
        <v>-415343000000</v>
      </c>
      <c r="M21" s="36" t="n">
        <v>-771105000000</v>
      </c>
      <c r="N21" s="36" t="n">
        <v>-1563606000000</v>
      </c>
      <c r="O21" s="36" t="n">
        <v>-4221848000000</v>
      </c>
      <c r="P21" s="36" t="n">
        <v>-1347955000000</v>
      </c>
      <c r="Q21" s="36" t="n">
        <v>-1309593000000</v>
      </c>
      <c r="R21" s="36" t="n">
        <v>-1127755000000</v>
      </c>
      <c r="S21" s="36" t="n">
        <v>-756689000000</v>
      </c>
      <c r="T21" s="36" t="n">
        <v>-851241000000</v>
      </c>
      <c r="U21" s="36" t="n">
        <v>-1635335000000</v>
      </c>
    </row>
    <row r="22">
      <c r="A22" s="35" t="inlineStr">
        <is>
          <t>Lãi/(lỗ) thuần từ hoạt động khác</t>
        </is>
      </c>
      <c r="B22" s="36" t="n">
        <v>1633777000000</v>
      </c>
      <c r="C22" s="36" t="n">
        <v>1806728000000</v>
      </c>
      <c r="D22" s="36" t="n">
        <v>2279209000000</v>
      </c>
      <c r="E22" s="36" t="n">
        <v>1803246000000</v>
      </c>
      <c r="F22" s="36" t="n">
        <v>2167375000000</v>
      </c>
      <c r="G22" s="36" t="n">
        <v>2434116000000</v>
      </c>
      <c r="H22" s="36" t="n">
        <v>342711000000</v>
      </c>
      <c r="I22" s="36" t="n">
        <v>1884342000000</v>
      </c>
      <c r="J22" s="36" t="n">
        <v>229304000000</v>
      </c>
      <c r="K22" s="36" t="n">
        <v>363797000000</v>
      </c>
      <c r="L22" s="36" t="n">
        <v>460416000000</v>
      </c>
      <c r="M22" s="36" t="n">
        <v>580376000000</v>
      </c>
      <c r="N22" s="36" t="n">
        <v>422714000000</v>
      </c>
      <c r="O22" s="36" t="n">
        <v>-337709000000</v>
      </c>
      <c r="P22" s="36" t="n">
        <v>393944000000</v>
      </c>
      <c r="Q22" s="36" t="n">
        <v>420439000000</v>
      </c>
      <c r="R22" s="36" t="n">
        <v>576241000000</v>
      </c>
      <c r="S22" s="36" t="n">
        <v>493718000000</v>
      </c>
      <c r="T22" s="36" t="n">
        <v>138499000000</v>
      </c>
      <c r="U22" s="36" t="n">
        <v>469945000000</v>
      </c>
    </row>
    <row r="23">
      <c r="A23" s="35" t="inlineStr">
        <is>
          <t>Thu nhập từ cổ tức</t>
        </is>
      </c>
      <c r="B23" s="36" t="n">
        <v>894703000000</v>
      </c>
      <c r="C23" s="36" t="n">
        <v>4216000000</v>
      </c>
      <c r="D23" s="36" t="n">
        <v>4191000000</v>
      </c>
      <c r="E23" s="36" t="n">
        <v>4063000000</v>
      </c>
      <c r="F23" s="36" t="n">
        <v>8791000000</v>
      </c>
      <c r="G23" s="36" t="n">
        <v>34756000000</v>
      </c>
      <c r="H23" s="36" t="n">
        <v>64561000000</v>
      </c>
      <c r="I23" s="36" t="n">
        <v>39201000000</v>
      </c>
      <c r="J23" s="36" t="n">
        <v>894428000000</v>
      </c>
      <c r="K23" s="36" t="n">
        <v>275000000</v>
      </c>
      <c r="L23" s="36" t="n">
        <v>0</v>
      </c>
      <c r="M23" s="36" t="n">
        <v>0</v>
      </c>
      <c r="N23" s="36" t="n">
        <v>6406000000</v>
      </c>
      <c r="O23" s="36" t="n">
        <v>67000000</v>
      </c>
      <c r="P23" s="36" t="n">
        <v>43000000</v>
      </c>
      <c r="Q23" s="36" t="n">
        <v>31518000000</v>
      </c>
      <c r="R23" s="36" t="n">
        <v>6337000000</v>
      </c>
      <c r="S23" s="36" t="n">
        <v>1303000000</v>
      </c>
      <c r="T23" s="36" t="n">
        <v>-58000000</v>
      </c>
      <c r="U23" s="36" t="n">
        <v>4899000000</v>
      </c>
    </row>
    <row r="24">
      <c r="A24" s="35" t="inlineStr">
        <is>
          <t>Tổng thu nhập hoạt động</t>
        </is>
      </c>
      <c r="B24" s="36" t="n">
        <v>18349768000000</v>
      </c>
      <c r="C24" s="36" t="n">
        <v>21068145000000</v>
      </c>
      <c r="D24" s="36" t="n">
        <v>27042526000000</v>
      </c>
      <c r="E24" s="36" t="n">
        <v>37076291000000</v>
      </c>
      <c r="F24" s="36" t="n">
        <v>40527191000000</v>
      </c>
      <c r="G24" s="36" t="n">
        <v>40061092000000</v>
      </c>
      <c r="H24" s="36" t="n">
        <v>46990397000000</v>
      </c>
      <c r="I24" s="36" t="n">
        <v>53391125000000</v>
      </c>
      <c r="J24" s="36" t="n">
        <v>4659780000000</v>
      </c>
      <c r="K24" s="36" t="n">
        <v>3997946000000</v>
      </c>
      <c r="L24" s="36" t="n">
        <v>4635143000000</v>
      </c>
      <c r="M24" s="36" t="n">
        <v>5055365000000</v>
      </c>
      <c r="N24" s="36" t="n">
        <v>11754335000000</v>
      </c>
      <c r="O24" s="36" t="n">
        <v>9554599000000</v>
      </c>
      <c r="P24" s="36" t="n">
        <v>11611198000000</v>
      </c>
      <c r="Q24" s="36" t="n">
        <v>12743031000000</v>
      </c>
      <c r="R24" s="36" t="n">
        <v>14242123000000</v>
      </c>
      <c r="S24" s="36" t="n">
        <v>14794773000000</v>
      </c>
      <c r="T24" s="36" t="n">
        <v>13674274000000</v>
      </c>
      <c r="U24" s="36" t="n">
        <v>14941781000000</v>
      </c>
    </row>
    <row r="25">
      <c r="A25" s="35" t="inlineStr">
        <is>
          <t>Chi phí quản lý doanh nghiệp</t>
        </is>
      </c>
      <c r="B25" s="36" t="n">
        <v>-5842507000000</v>
      </c>
      <c r="C25" s="36" t="n">
        <v>-7312509000000</v>
      </c>
      <c r="D25" s="36" t="n">
        <v>-8631195000000</v>
      </c>
      <c r="E25" s="36" t="n">
        <v>-11173395000000</v>
      </c>
      <c r="F25" s="36" t="n">
        <v>-13023129000000</v>
      </c>
      <c r="G25" s="36" t="n">
        <v>-13251796000000</v>
      </c>
      <c r="H25" s="36" t="n">
        <v>-15369735000000</v>
      </c>
      <c r="I25" s="36" t="n">
        <v>-16432434000000</v>
      </c>
      <c r="J25" s="36" t="n">
        <v>-1267035000000</v>
      </c>
      <c r="K25" s="36" t="n">
        <v>-1150302000000</v>
      </c>
      <c r="L25" s="36" t="n">
        <v>-1314671000000</v>
      </c>
      <c r="M25" s="36" t="n">
        <v>-2108849000000</v>
      </c>
      <c r="N25" s="36" t="n">
        <v>-3430902000000</v>
      </c>
      <c r="O25" s="36" t="n">
        <v>-4740723000000</v>
      </c>
      <c r="P25" s="36" t="n">
        <v>-3284915000000</v>
      </c>
      <c r="Q25" s="36" t="n">
        <v>-3830693000000</v>
      </c>
      <c r="R25" s="36" t="n">
        <v>-4492851000000</v>
      </c>
      <c r="S25" s="36" t="n">
        <v>-4823975000000</v>
      </c>
      <c r="T25" s="36" t="n">
        <v>-3869012000000</v>
      </c>
      <c r="U25" s="36" t="n">
        <v>-4620127000000</v>
      </c>
    </row>
    <row r="26">
      <c r="A26" s="35" t="inlineStr">
        <is>
          <t>Lợi nhuận thuần hoạt động trước khi trích lập dự phòng tổn thất tín dụng</t>
        </is>
      </c>
      <c r="B26" s="36" t="n">
        <v>12507261000000</v>
      </c>
      <c r="C26" s="36" t="n">
        <v>13755636000000</v>
      </c>
      <c r="D26" s="36" t="n">
        <v>18411331000000</v>
      </c>
      <c r="E26" s="36" t="n">
        <v>25902896000000</v>
      </c>
      <c r="F26" s="36" t="n">
        <v>27504062000000</v>
      </c>
      <c r="G26" s="36" t="n">
        <v>26809296000000</v>
      </c>
      <c r="H26" s="36" t="n">
        <v>31620662000000</v>
      </c>
      <c r="I26" s="36" t="n">
        <v>36958691000000</v>
      </c>
      <c r="J26" s="36" t="n">
        <v>3392745000000</v>
      </c>
      <c r="K26" s="36" t="n">
        <v>2847644000000</v>
      </c>
      <c r="L26" s="36" t="n">
        <v>3320472000000</v>
      </c>
      <c r="M26" s="36" t="n">
        <v>2946516000000</v>
      </c>
      <c r="N26" s="36" t="n">
        <v>8323433000000</v>
      </c>
      <c r="O26" s="36" t="n">
        <v>4813876000000</v>
      </c>
      <c r="P26" s="36" t="n">
        <v>8326283000000</v>
      </c>
      <c r="Q26" s="36" t="n">
        <v>8912338000000</v>
      </c>
      <c r="R26" s="36" t="n">
        <v>9749272000000</v>
      </c>
      <c r="S26" s="36" t="n">
        <v>9970798000000</v>
      </c>
      <c r="T26" s="36" t="n">
        <v>9805262000000</v>
      </c>
      <c r="U26" s="36" t="n">
        <v>10321654000000</v>
      </c>
    </row>
    <row r="27">
      <c r="A27" s="35" t="inlineStr">
        <is>
          <t>Trích lập dự phòng tổn thất tín dụng</t>
        </is>
      </c>
      <c r="B27" s="36" t="n">
        <v>-1846245000000</v>
      </c>
      <c r="C27" s="36" t="n">
        <v>-917368000000</v>
      </c>
      <c r="D27" s="36" t="n">
        <v>-2611035000000</v>
      </c>
      <c r="E27" s="36" t="n">
        <v>-2664603000000</v>
      </c>
      <c r="F27" s="36" t="n">
        <v>-1936294000000</v>
      </c>
      <c r="G27" s="36" t="n">
        <v>-3921068000000</v>
      </c>
      <c r="H27" s="36" t="n">
        <v>-4082294000000</v>
      </c>
      <c r="I27" s="36" t="n">
        <v>-4420625000000</v>
      </c>
      <c r="J27" s="36" t="n">
        <v>-823960000000</v>
      </c>
      <c r="K27" s="36" t="n">
        <v>-219961000000</v>
      </c>
      <c r="L27" s="36" t="n">
        <v>-742614000000</v>
      </c>
      <c r="M27" s="36" t="n">
        <v>-59710000000</v>
      </c>
      <c r="N27" s="36" t="n">
        <v>-1109265000000</v>
      </c>
      <c r="O27" s="36" t="n">
        <v>-117844000000</v>
      </c>
      <c r="P27" s="36" t="n">
        <v>-1090055000000</v>
      </c>
      <c r="Q27" s="36" t="n">
        <v>-1013750000000</v>
      </c>
      <c r="R27" s="36" t="n">
        <v>-1499256000000</v>
      </c>
      <c r="S27" s="36" t="n">
        <v>-817564000000</v>
      </c>
      <c r="T27" s="36" t="n">
        <v>-935292000000</v>
      </c>
      <c r="U27" s="36" t="n">
        <v>-651638000000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</cols>
  <sheetData>
    <row r="1">
      <c r="A1" s="33" t="inlineStr">
        <is>
          <t>item</t>
        </is>
      </c>
      <c r="B1" s="34" t="inlineStr">
        <is>
          <t>2018</t>
        </is>
      </c>
      <c r="C1" s="34" t="inlineStr">
        <is>
          <t>2019</t>
        </is>
      </c>
      <c r="D1" s="34" t="inlineStr">
        <is>
          <t>2020</t>
        </is>
      </c>
      <c r="E1" s="34" t="inlineStr">
        <is>
          <t>2021</t>
        </is>
      </c>
      <c r="F1" s="34" t="inlineStr">
        <is>
          <t>2022</t>
        </is>
      </c>
      <c r="G1" s="34" t="inlineStr">
        <is>
          <t>2023</t>
        </is>
      </c>
      <c r="H1" s="34" t="inlineStr">
        <is>
          <t>2024</t>
        </is>
      </c>
      <c r="I1" s="34" t="inlineStr">
        <is>
          <t>2025</t>
        </is>
      </c>
      <c r="J1" s="34" t="inlineStr">
        <is>
          <t>2018-Q1</t>
        </is>
      </c>
      <c r="K1" s="34" t="inlineStr">
        <is>
          <t>2018-Q2</t>
        </is>
      </c>
      <c r="L1" s="34" t="inlineStr">
        <is>
          <t>2018-Q3</t>
        </is>
      </c>
      <c r="M1" s="34" t="inlineStr">
        <is>
          <t>2018-Q4</t>
        </is>
      </c>
      <c r="N1" s="34" t="inlineStr">
        <is>
          <t>2024-Q3</t>
        </is>
      </c>
      <c r="O1" s="34" t="inlineStr">
        <is>
          <t>2024-Q4</t>
        </is>
      </c>
      <c r="P1" s="34" t="inlineStr">
        <is>
          <t>2025-Q1</t>
        </is>
      </c>
      <c r="Q1" s="34" t="inlineStr">
        <is>
          <t>2025-Q2</t>
        </is>
      </c>
      <c r="R1" s="34" t="inlineStr">
        <is>
          <t>2025-Q3</t>
        </is>
      </c>
      <c r="S1" s="34" t="inlineStr">
        <is>
          <t>2025-Q4</t>
        </is>
      </c>
      <c r="T1" s="34" t="inlineStr">
        <is>
          <t>2026-Q1</t>
        </is>
      </c>
      <c r="U1" s="34" t="inlineStr">
        <is>
          <t>2026-Q2</t>
        </is>
      </c>
    </row>
    <row r="2">
      <c r="A2" s="35" t="inlineStr">
        <is>
          <t>Lưu chuyển tiền thuần từ hoạt động kinh doanh trước những thay đổi về tài sản và vốn lưu động</t>
        </is>
      </c>
      <c r="B2" s="36" t="n">
        <v>9926403000000</v>
      </c>
      <c r="C2" s="36" t="n">
        <v>13007909000000</v>
      </c>
      <c r="D2" s="36" t="n">
        <v>17631283000000</v>
      </c>
      <c r="E2" s="36" t="n">
        <v>23061616000000</v>
      </c>
      <c r="F2" s="36" t="n">
        <v>29013569000000</v>
      </c>
      <c r="G2" s="36" t="n">
        <v>24938816000000</v>
      </c>
      <c r="H2" s="36" t="n">
        <v>31037437000000</v>
      </c>
      <c r="I2" s="36" t="n">
        <v>33290586000000</v>
      </c>
      <c r="J2" s="36" t="n">
        <v>957757000000</v>
      </c>
      <c r="K2" s="36" t="n">
        <v>2948562000000</v>
      </c>
      <c r="L2" s="36" t="n">
        <v>2594128000000</v>
      </c>
      <c r="M2" s="36" t="n">
        <v>3332796000000</v>
      </c>
      <c r="N2" s="36" t="n">
        <v>9401189000000</v>
      </c>
      <c r="O2" s="36" t="n">
        <v>12277494000000</v>
      </c>
      <c r="P2" s="36" t="n">
        <v>1088680000000</v>
      </c>
      <c r="Q2" s="36" t="n">
        <v>8240200000000</v>
      </c>
      <c r="R2" s="36" t="n">
        <v>9640762000000</v>
      </c>
      <c r="S2" s="36" t="n">
        <v>14320944000000</v>
      </c>
      <c r="T2" s="36" t="n">
        <v>5755230000000</v>
      </c>
      <c r="U2" s="36" t="n">
        <v>12149467000000</v>
      </c>
    </row>
    <row r="3">
      <c r="A3" s="35" t="inlineStr">
        <is>
          <t>Thuế thu nhập doanh nghiệp đã trả</t>
        </is>
      </c>
      <c r="B3" s="36" t="n">
        <v>0</v>
      </c>
      <c r="C3" s="36" t="n">
        <v>0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0</v>
      </c>
      <c r="K3" s="36" t="n">
        <v>0</v>
      </c>
      <c r="L3" s="36" t="n">
        <v>0</v>
      </c>
      <c r="M3" s="36" t="n">
        <v>0</v>
      </c>
      <c r="N3" s="36" t="n">
        <v>0</v>
      </c>
      <c r="O3" s="36" t="n">
        <v>0</v>
      </c>
      <c r="P3" s="36" t="n">
        <v>0</v>
      </c>
      <c r="Q3" s="36" t="n">
        <v>0</v>
      </c>
      <c r="R3" s="36" t="n">
        <v>0</v>
      </c>
      <c r="S3" s="36" t="n">
        <v>0</v>
      </c>
      <c r="T3" s="36" t="n">
        <v>0</v>
      </c>
      <c r="U3" s="36" t="n">
        <v>0</v>
      </c>
    </row>
    <row r="4">
      <c r="A4" s="35" t="inlineStr">
        <is>
          <t>Lưu chuyển tiền thuần từ các hoạt động sản xuất kinh doanh</t>
        </is>
      </c>
      <c r="B4" s="36" t="n">
        <v>298932000000</v>
      </c>
      <c r="C4" s="36" t="n">
        <v>12631802000000</v>
      </c>
      <c r="D4" s="36" t="n">
        <v>-10088467000000</v>
      </c>
      <c r="E4" s="36" t="n">
        <v>12828221000000</v>
      </c>
      <c r="F4" s="36" t="n">
        <v>55468501000000</v>
      </c>
      <c r="G4" s="36" t="n">
        <v>12053287000000</v>
      </c>
      <c r="H4" s="36" t="n">
        <v>42376555000000</v>
      </c>
      <c r="I4" s="36" t="n">
        <v>39923618000000</v>
      </c>
      <c r="J4" s="36" t="n">
        <v>-8163415000000</v>
      </c>
      <c r="K4" s="36" t="n">
        <v>19534066000000</v>
      </c>
      <c r="L4" s="36" t="n">
        <v>-5809515000000</v>
      </c>
      <c r="M4" s="36" t="n">
        <v>-5302007000000</v>
      </c>
      <c r="N4" s="36" t="n">
        <v>-1685321000000</v>
      </c>
      <c r="O4" s="36" t="n">
        <v>25033667000000</v>
      </c>
      <c r="P4" s="36" t="n">
        <v>-11015276000000</v>
      </c>
      <c r="Q4" s="36" t="n">
        <v>-7771212000000</v>
      </c>
      <c r="R4" s="36" t="n">
        <v>19633015000000</v>
      </c>
      <c r="S4" s="36" t="n">
        <v>39077091000000</v>
      </c>
      <c r="T4" s="36" t="n">
        <v>-12087775000000</v>
      </c>
      <c r="U4" s="36" t="n">
        <v>-4359478000000</v>
      </c>
    </row>
    <row r="5">
      <c r="A5" s="35" t="inlineStr">
        <is>
          <t>Mua sắm TSCĐ</t>
        </is>
      </c>
      <c r="B5" s="36" t="n">
        <v>-401574000000</v>
      </c>
      <c r="C5" s="36" t="n">
        <v>-257620000000</v>
      </c>
      <c r="D5" s="36" t="n">
        <v>-665860000000</v>
      </c>
      <c r="E5" s="36" t="n">
        <v>-939995000000</v>
      </c>
      <c r="F5" s="36" t="n">
        <v>-1110111000000</v>
      </c>
      <c r="G5" s="36" t="n">
        <v>-1232358000000</v>
      </c>
      <c r="H5" s="36" t="n">
        <v>-1618886000000</v>
      </c>
      <c r="I5" s="36" t="n">
        <v>-657030000000</v>
      </c>
      <c r="J5" s="36" t="n">
        <v>-15166000000</v>
      </c>
      <c r="K5" s="36" t="n">
        <v>-28496000000</v>
      </c>
      <c r="L5" s="36" t="n">
        <v>-128196000000</v>
      </c>
      <c r="M5" s="36" t="n">
        <v>-214783000000</v>
      </c>
      <c r="N5" s="36" t="n">
        <v>-286413000000</v>
      </c>
      <c r="O5" s="36" t="n">
        <v>-1052218000000</v>
      </c>
      <c r="P5" s="36" t="n">
        <v>-35503000000</v>
      </c>
      <c r="Q5" s="36" t="n">
        <v>-271585000000</v>
      </c>
      <c r="R5" s="36" t="n">
        <v>-201513000000</v>
      </c>
      <c r="S5" s="36" t="n">
        <v>-148429000000</v>
      </c>
      <c r="T5" s="36" t="n">
        <v>-35724000000</v>
      </c>
      <c r="U5" s="36" t="n">
        <v>-132552000000</v>
      </c>
    </row>
    <row r="6">
      <c r="A6" s="35" t="inlineStr">
        <is>
          <t>Tiền thu được từ thanh lý, nhượng bán tài sản cố định</t>
        </is>
      </c>
      <c r="B6" s="36" t="n">
        <v>6097000000</v>
      </c>
      <c r="C6" s="36" t="n">
        <v>31428000000</v>
      </c>
      <c r="D6" s="36" t="n">
        <v>6837000000</v>
      </c>
      <c r="E6" s="36" t="n">
        <v>57506000000</v>
      </c>
      <c r="F6" s="36" t="n">
        <v>44111000000</v>
      </c>
      <c r="G6" s="36" t="n">
        <v>22156000000</v>
      </c>
      <c r="H6" s="36" t="n">
        <v>1741528000000</v>
      </c>
      <c r="I6" s="36" t="n">
        <v>3503000000</v>
      </c>
      <c r="J6" s="36" t="n">
        <v>2398000000</v>
      </c>
      <c r="K6" s="36" t="n">
        <v>4437000000</v>
      </c>
      <c r="L6" s="36" t="n">
        <v>-6060000000</v>
      </c>
      <c r="M6" s="36" t="n">
        <v>0</v>
      </c>
      <c r="N6" s="36" t="n">
        <v>229812000000</v>
      </c>
      <c r="O6" s="36" t="n">
        <v>1510044000000</v>
      </c>
      <c r="P6" s="36" t="n">
        <v>345000000</v>
      </c>
      <c r="Q6" s="36" t="n">
        <v>1499000000</v>
      </c>
      <c r="R6" s="36" t="n">
        <v>840000000</v>
      </c>
      <c r="S6" s="36" t="n">
        <v>819000000</v>
      </c>
      <c r="T6" s="36" t="n">
        <v>672000000</v>
      </c>
      <c r="U6" s="36" t="n">
        <v>50095000000</v>
      </c>
    </row>
    <row r="7">
      <c r="A7" s="35" t="inlineStr">
        <is>
          <t>Tiền chi đầu tư, góp vốn vào các đơn vị khác</t>
        </is>
      </c>
      <c r="B7" s="36" t="n">
        <v>-799000000</v>
      </c>
      <c r="C7" s="36" t="n">
        <v>0</v>
      </c>
      <c r="D7" s="36" t="n">
        <v>0</v>
      </c>
      <c r="E7" s="36" t="n">
        <v>-1497000000</v>
      </c>
      <c r="F7" s="36" t="n">
        <v>0</v>
      </c>
      <c r="G7" s="36" t="n">
        <v>-3033432000000</v>
      </c>
      <c r="H7" s="36" t="n">
        <v>-56278000000</v>
      </c>
      <c r="I7" s="36" t="n">
        <v>-199836000000</v>
      </c>
      <c r="J7" s="36" t="n">
        <v>0</v>
      </c>
      <c r="K7" s="36" t="n">
        <v>894427000000</v>
      </c>
      <c r="L7" s="36" t="n">
        <v>0</v>
      </c>
      <c r="M7" s="36" t="n">
        <v>0</v>
      </c>
      <c r="N7" s="36" t="n">
        <v>-1278000000</v>
      </c>
      <c r="O7" s="36" t="n">
        <v>-55000000000</v>
      </c>
      <c r="P7" s="36" t="n">
        <v>0</v>
      </c>
      <c r="Q7" s="36" t="n">
        <v>0</v>
      </c>
      <c r="R7" s="36" t="n">
        <v>-43283000000</v>
      </c>
      <c r="S7" s="36" t="n">
        <v>-156553000000</v>
      </c>
      <c r="T7" s="36" t="n">
        <v>0</v>
      </c>
      <c r="U7" s="36" t="n">
        <v>165000000000</v>
      </c>
    </row>
    <row r="8">
      <c r="A8" s="35" t="inlineStr">
        <is>
          <t>Tiền thu từ đầu tư, góp vốn vào các đơn vị khác</t>
        </is>
      </c>
      <c r="B8" s="36" t="n">
        <v>915560000000</v>
      </c>
      <c r="C8" s="36" t="n">
        <v>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894428000000</v>
      </c>
      <c r="K8" s="36" t="n">
        <v>-894428000000</v>
      </c>
      <c r="L8" s="36" t="n">
        <v>0</v>
      </c>
      <c r="M8" s="36" t="n">
        <v>1000000</v>
      </c>
      <c r="N8" s="36" t="n">
        <v>0</v>
      </c>
      <c r="O8" s="36" t="n">
        <v>0</v>
      </c>
      <c r="P8" s="36" t="n">
        <v>0</v>
      </c>
      <c r="Q8" s="36" t="n">
        <v>0</v>
      </c>
      <c r="R8" s="36" t="n">
        <v>0</v>
      </c>
      <c r="S8" s="36" t="n">
        <v>0</v>
      </c>
      <c r="T8" s="36" t="n">
        <v>0</v>
      </c>
      <c r="U8" s="36" t="n">
        <v>0</v>
      </c>
    </row>
    <row r="9">
      <c r="A9" s="35" t="inlineStr">
        <is>
          <t>Tiền thu cổ tức và lợi nhuận được chia từ các khoản đầu tư góp vốn dài hạn</t>
        </is>
      </c>
      <c r="B9" s="36" t="n">
        <v>275000000</v>
      </c>
      <c r="C9" s="36" t="n">
        <v>4216000000</v>
      </c>
      <c r="D9" s="36" t="n">
        <v>4191000000</v>
      </c>
      <c r="E9" s="36" t="n">
        <v>4043000000</v>
      </c>
      <c r="F9" s="36" t="n">
        <v>8776000000</v>
      </c>
      <c r="G9" s="36" t="n">
        <v>34756000000</v>
      </c>
      <c r="H9" s="36" t="n">
        <v>64561000000</v>
      </c>
      <c r="I9" s="36" t="n">
        <v>39938000000</v>
      </c>
      <c r="J9" s="36" t="n">
        <v>0</v>
      </c>
      <c r="K9" s="36" t="n">
        <v>276000000</v>
      </c>
      <c r="L9" s="36" t="n">
        <v>0</v>
      </c>
      <c r="M9" s="36" t="n">
        <v>-1000000</v>
      </c>
      <c r="N9" s="36" t="n">
        <v>6406000000</v>
      </c>
      <c r="O9" s="36" t="n">
        <v>67000000</v>
      </c>
      <c r="P9" s="36" t="n">
        <v>43000000</v>
      </c>
      <c r="Q9" s="36" t="n">
        <v>31518000000</v>
      </c>
      <c r="R9" s="36" t="n">
        <v>6497000000</v>
      </c>
      <c r="S9" s="36" t="n">
        <v>1880000000</v>
      </c>
      <c r="T9" s="36" t="n">
        <v>2217000000</v>
      </c>
      <c r="U9" s="36" t="n">
        <v>7489000000</v>
      </c>
    </row>
    <row r="10">
      <c r="A10" s="35" t="inlineStr">
        <is>
          <t>Lưu chuyển tiền thuần từ hoạt động đầu tư</t>
        </is>
      </c>
      <c r="B10" s="36" t="n">
        <v>519470000000</v>
      </c>
      <c r="C10" s="36" t="n">
        <v>-222244000000</v>
      </c>
      <c r="D10" s="36" t="n">
        <v>-655391000000</v>
      </c>
      <c r="E10" s="36" t="n">
        <v>-879943000000</v>
      </c>
      <c r="F10" s="36" t="n">
        <v>-1057275000000</v>
      </c>
      <c r="G10" s="36" t="n">
        <v>-2912466000000</v>
      </c>
      <c r="H10" s="36" t="n">
        <v>-382599000000</v>
      </c>
      <c r="I10" s="36" t="n">
        <v>-816440000000</v>
      </c>
      <c r="J10" s="36" t="n">
        <v>883680000000</v>
      </c>
      <c r="K10" s="36" t="n">
        <v>-34251000000</v>
      </c>
      <c r="L10" s="36" t="n">
        <v>-128042000000</v>
      </c>
      <c r="M10" s="36" t="n">
        <v>-214852000000</v>
      </c>
      <c r="N10" s="36" t="n">
        <v>-50233000000</v>
      </c>
      <c r="O10" s="36" t="n">
        <v>-846810000000</v>
      </c>
      <c r="P10" s="36" t="n">
        <v>-35158000000</v>
      </c>
      <c r="Q10" s="36" t="n">
        <v>-251094000000</v>
      </c>
      <c r="R10" s="36" t="n">
        <v>-227849000000</v>
      </c>
      <c r="S10" s="36" t="n">
        <v>-302339000000</v>
      </c>
      <c r="T10" s="36" t="n">
        <v>-32965000000</v>
      </c>
      <c r="U10" s="36" t="n">
        <v>90162000000</v>
      </c>
    </row>
    <row r="11">
      <c r="A11" s="35" t="inlineStr">
        <is>
          <t>Tăng vốn cổ phần từ góp vốn và/hoặc phát hành cổ phiếu</t>
        </is>
      </c>
      <c r="B11" s="36" t="n">
        <v>0</v>
      </c>
      <c r="C11" s="36" t="n">
        <v>35428000000</v>
      </c>
      <c r="D11" s="36" t="n">
        <v>47602000000</v>
      </c>
      <c r="E11" s="36" t="n">
        <v>60053000000</v>
      </c>
      <c r="F11" s="36" t="n">
        <v>65072000000</v>
      </c>
      <c r="G11" s="36" t="n">
        <v>52664000000</v>
      </c>
      <c r="H11" s="36" t="n">
        <v>200495000000</v>
      </c>
      <c r="I11" s="36" t="n">
        <v>12320661000000</v>
      </c>
      <c r="J11" s="36" t="n">
        <v>0</v>
      </c>
      <c r="K11" s="36" t="n">
        <v>0</v>
      </c>
      <c r="L11" s="36" t="n">
        <v>0</v>
      </c>
      <c r="M11" s="36" t="n">
        <v>0</v>
      </c>
      <c r="N11" s="36" t="n">
        <v>0</v>
      </c>
      <c r="O11" s="36" t="n">
        <v>198242000000</v>
      </c>
      <c r="P11" s="36" t="n">
        <v>0</v>
      </c>
      <c r="Q11" s="36" t="n">
        <v>1376714000000</v>
      </c>
      <c r="R11" s="36" t="n">
        <v>10730125000000</v>
      </c>
      <c r="S11" s="36" t="n">
        <v>213822000000</v>
      </c>
      <c r="T11" s="36" t="n">
        <v>2755000000</v>
      </c>
      <c r="U11" s="36" t="n">
        <v>0</v>
      </c>
    </row>
    <row r="12">
      <c r="A12" s="35" t="inlineStr">
        <is>
          <t>Cổ tức trả cho cổ đông, lợi nhuận đã chia</t>
        </is>
      </c>
      <c r="B12" s="36" t="n">
        <v>0</v>
      </c>
      <c r="C12" s="36" t="n">
        <v>0</v>
      </c>
      <c r="D12" s="36" t="n">
        <v>-65086000000</v>
      </c>
      <c r="E12" s="36" t="n">
        <v>0</v>
      </c>
      <c r="F12" s="36" t="n">
        <v>-74648000000</v>
      </c>
      <c r="G12" s="36" t="n">
        <v>854000000</v>
      </c>
      <c r="H12" s="36" t="n">
        <v>-5210255000000</v>
      </c>
      <c r="I12" s="36" t="n">
        <v>-7084911000000</v>
      </c>
      <c r="J12" s="36" t="n">
        <v>0</v>
      </c>
      <c r="K12" s="36" t="n">
        <v>0</v>
      </c>
      <c r="L12" s="36" t="n">
        <v>0</v>
      </c>
      <c r="M12" s="36" t="n">
        <v>0</v>
      </c>
      <c r="N12" s="36" t="n">
        <v>-70238000000</v>
      </c>
      <c r="O12" s="36" t="n">
        <v>0</v>
      </c>
      <c r="P12" s="36" t="n">
        <v>0</v>
      </c>
      <c r="Q12" s="36" t="n">
        <v>0</v>
      </c>
      <c r="R12" s="36" t="n">
        <v>0</v>
      </c>
      <c r="S12" s="36" t="n">
        <v>-7084911000000</v>
      </c>
      <c r="T12" s="36" t="n">
        <v>0</v>
      </c>
      <c r="U12" s="36" t="n">
        <v>-5192618000000</v>
      </c>
    </row>
    <row r="13">
      <c r="A13" s="35" t="inlineStr">
        <is>
          <t>Lưu chuyển tiền thuần trong kỳ</t>
        </is>
      </c>
      <c r="B13" s="36" t="n">
        <v>13699378000000</v>
      </c>
      <c r="C13" s="36" t="n">
        <v>-3094234000000</v>
      </c>
      <c r="D13" s="36" t="n">
        <v>-174546000000</v>
      </c>
      <c r="E13" s="36" t="n">
        <v>60053000000</v>
      </c>
      <c r="F13" s="36" t="n">
        <v>-709576000000</v>
      </c>
      <c r="G13" s="36" t="n">
        <v>53518000000</v>
      </c>
      <c r="H13" s="36" t="n">
        <v>-5009760000000</v>
      </c>
      <c r="I13" s="36" t="n">
        <v>5235750000000</v>
      </c>
      <c r="J13" s="36" t="n">
        <v>8631761000000</v>
      </c>
      <c r="K13" s="36" t="n">
        <v>6517507000000</v>
      </c>
      <c r="L13" s="36" t="n">
        <v>-1507761000000</v>
      </c>
      <c r="M13" s="36" t="n">
        <v>57871000000</v>
      </c>
      <c r="N13" s="36" t="n">
        <v>-70238000000</v>
      </c>
      <c r="O13" s="36" t="n">
        <v>198242000000</v>
      </c>
      <c r="P13" s="36" t="n">
        <v>0</v>
      </c>
      <c r="Q13" s="36" t="n">
        <v>1376714000000</v>
      </c>
      <c r="R13" s="36" t="n">
        <v>10730125000000</v>
      </c>
      <c r="S13" s="36" t="n">
        <v>-6871089000000</v>
      </c>
      <c r="T13" s="36" t="n">
        <v>2755000000</v>
      </c>
      <c r="U13" s="36" t="n">
        <v>-5192618000000</v>
      </c>
    </row>
    <row r="14">
      <c r="A14" s="35" t="inlineStr">
        <is>
          <t>Tiền và các khoản tương đương tiền tài thời điểm đầu kỳ</t>
        </is>
      </c>
      <c r="B14" s="36" t="n">
        <v>22681199000000</v>
      </c>
      <c r="C14" s="36" t="n">
        <v>37198979000000</v>
      </c>
      <c r="D14" s="36" t="n">
        <v>46514303000000</v>
      </c>
      <c r="E14" s="36" t="n">
        <v>35595899000000</v>
      </c>
      <c r="F14" s="36" t="n">
        <v>47604230000000</v>
      </c>
      <c r="G14" s="36" t="n">
        <v>101305880000000</v>
      </c>
      <c r="H14" s="36" t="n">
        <v>110500219000000</v>
      </c>
      <c r="I14" s="36" t="n">
        <v>147484415000000</v>
      </c>
      <c r="J14" s="36" t="n">
        <v>22681199000000</v>
      </c>
      <c r="K14" s="36" t="n">
        <v>24037489000000</v>
      </c>
      <c r="L14" s="36" t="n">
        <v>50050197000000</v>
      </c>
      <c r="M14" s="36" t="n">
        <v>42604730000000</v>
      </c>
      <c r="N14" s="36" t="n">
        <v>124891909000000</v>
      </c>
      <c r="O14" s="36" t="n">
        <v>123109810000000</v>
      </c>
      <c r="P14" s="36" t="n">
        <v>147484415000000</v>
      </c>
      <c r="Q14" s="36" t="n">
        <v>136433981000000</v>
      </c>
      <c r="R14" s="36" t="n">
        <v>129788389000000</v>
      </c>
      <c r="S14" s="36" t="n">
        <v>159923680000000</v>
      </c>
      <c r="T14" s="36" t="n">
        <v>191827343000000</v>
      </c>
      <c r="U14" s="36" t="n">
        <v>179709358000000</v>
      </c>
    </row>
    <row r="15">
      <c r="A15" s="35" t="inlineStr">
        <is>
          <t>Điều chỉnh ảnh hưởng của thay đổi tỷ giá</t>
        </is>
      </c>
      <c r="B15" s="36" t="n">
        <v>0</v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 t="n">
        <v>0</v>
      </c>
      <c r="I15" s="36" t="n">
        <v>0</v>
      </c>
      <c r="J15" s="36" t="n">
        <v>4264000000</v>
      </c>
      <c r="K15" s="36" t="n">
        <v>-4614000000</v>
      </c>
      <c r="L15" s="36" t="n">
        <v>-149000000</v>
      </c>
      <c r="M15" s="36" t="n">
        <v>499000000</v>
      </c>
      <c r="N15" s="36" t="n">
        <v>23693000000</v>
      </c>
      <c r="O15" s="36" t="n">
        <v>-10494000000</v>
      </c>
      <c r="P15" s="36" t="n">
        <v>0</v>
      </c>
      <c r="Q15" s="36" t="n">
        <v>0</v>
      </c>
      <c r="R15" s="36" t="n">
        <v>0</v>
      </c>
      <c r="S15" s="36" t="n">
        <v>0</v>
      </c>
      <c r="T15" s="36" t="n">
        <v>0</v>
      </c>
      <c r="U15" s="36" t="n">
        <v>0</v>
      </c>
    </row>
    <row r="16">
      <c r="A16" s="35" t="inlineStr">
        <is>
          <t>Tiền và các khoản tương đương tiền tại thời điểm cuối kỳ</t>
        </is>
      </c>
      <c r="B16" s="36" t="n">
        <v>37198979000000</v>
      </c>
      <c r="C16" s="36" t="n">
        <v>46514303000000</v>
      </c>
      <c r="D16" s="36" t="n">
        <v>35595899000000</v>
      </c>
      <c r="E16" s="36" t="n">
        <v>47604230000000</v>
      </c>
      <c r="F16" s="36" t="n">
        <v>101305880000000</v>
      </c>
      <c r="G16" s="36" t="n">
        <v>110500219000000</v>
      </c>
      <c r="H16" s="36" t="n">
        <v>147484415000000</v>
      </c>
      <c r="I16" s="36" t="n">
        <v>191827343000000</v>
      </c>
      <c r="J16" s="36" t="n">
        <v>24037489000000</v>
      </c>
      <c r="K16" s="36" t="n">
        <v>50050197000000</v>
      </c>
      <c r="L16" s="36" t="n">
        <v>42604730000000</v>
      </c>
      <c r="M16" s="36" t="n">
        <v>37146241000000</v>
      </c>
      <c r="N16" s="36" t="n">
        <v>123109810000000</v>
      </c>
      <c r="O16" s="36" t="n">
        <v>147484415000000</v>
      </c>
      <c r="P16" s="36" t="n">
        <v>136433981000000</v>
      </c>
      <c r="Q16" s="36" t="n">
        <v>129788389000000</v>
      </c>
      <c r="R16" s="36" t="n">
        <v>159923680000000</v>
      </c>
      <c r="S16" s="36" t="n">
        <v>191827343000000</v>
      </c>
      <c r="T16" s="36" t="n">
        <v>179709358000000</v>
      </c>
      <c r="U16" s="36" t="n">
        <v>170247424000000</v>
      </c>
    </row>
    <row r="17">
      <c r="A17" s="35" t="inlineStr">
        <is>
          <t>Tiền thuế thu nhập thực nộp trong kỳ</t>
        </is>
      </c>
      <c r="B17" s="36" t="n">
        <v>-2140758000000</v>
      </c>
      <c r="C17" s="36" t="n">
        <v>-2678919000000</v>
      </c>
      <c r="D17" s="36" t="n">
        <v>-2881901000000</v>
      </c>
      <c r="E17" s="36" t="n">
        <v>-4829911000000</v>
      </c>
      <c r="F17" s="36" t="n">
        <v>-2301394000000</v>
      </c>
      <c r="G17" s="36" t="n">
        <v>-5048936000000</v>
      </c>
      <c r="H17" s="36" t="n">
        <v>-4089321000000</v>
      </c>
      <c r="I17" s="36" t="n">
        <v>-7177741000000</v>
      </c>
      <c r="J17" s="36" t="n">
        <v>-850636000000</v>
      </c>
      <c r="K17" s="36" t="n">
        <v>-319364000000</v>
      </c>
      <c r="L17" s="36" t="n">
        <v>-358451000000</v>
      </c>
      <c r="M17" s="36" t="n">
        <v>-612307000000</v>
      </c>
      <c r="N17" s="36" t="n">
        <v>-104524000000</v>
      </c>
      <c r="O17" s="36" t="n">
        <v>-58026000000</v>
      </c>
      <c r="P17" s="36" t="n">
        <v>-5409700000000</v>
      </c>
      <c r="Q17" s="36" t="n">
        <v>-775924000000</v>
      </c>
      <c r="R17" s="36" t="n">
        <v>-970902000000</v>
      </c>
      <c r="S17" s="36" t="n">
        <v>-21215000000</v>
      </c>
      <c r="T17" s="36" t="n">
        <v>-4607917000000</v>
      </c>
      <c r="U17" s="36" t="n">
        <v>-776383000000</v>
      </c>
    </row>
    <row r="18">
      <c r="A18" s="35" t="inlineStr">
        <is>
          <t>Tiền gửi tại NHNN</t>
        </is>
      </c>
      <c r="B18" s="36" t="n">
        <v>0</v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6" t="n">
        <v>0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0</v>
      </c>
      <c r="T18" s="36" t="n">
        <v>0</v>
      </c>
      <c r="U18" s="36" t="n">
        <v>0</v>
      </c>
    </row>
    <row r="19">
      <c r="A19" s="35" t="inlineStr">
        <is>
          <t>Tăng/giảm các khoản tiền gửi và cho vay các tổ chức tín dụng khác</t>
        </is>
      </c>
      <c r="B19" s="36" t="n">
        <v>2576067000000</v>
      </c>
      <c r="C19" s="36" t="n">
        <v>2033530000000</v>
      </c>
      <c r="D19" s="36" t="n">
        <v>1401381000000</v>
      </c>
      <c r="E19" s="36" t="n">
        <v>-23454273000000</v>
      </c>
      <c r="F19" s="36" t="n">
        <v>18490986000000</v>
      </c>
      <c r="G19" s="36" t="n">
        <v>-12287858000000</v>
      </c>
      <c r="H19" s="36" t="n">
        <v>12721924000000</v>
      </c>
      <c r="I19" s="36" t="n">
        <v>1553157000000</v>
      </c>
      <c r="J19" s="36" t="n">
        <v>-1043807000000</v>
      </c>
      <c r="K19" s="36" t="n">
        <v>1592735000000</v>
      </c>
      <c r="L19" s="36" t="n">
        <v>-2683634000000</v>
      </c>
      <c r="M19" s="36" t="n">
        <v>4601229000000</v>
      </c>
      <c r="N19" s="36" t="n">
        <v>2121848000000</v>
      </c>
      <c r="O19" s="36" t="n">
        <v>-977593000000</v>
      </c>
      <c r="P19" s="36" t="n">
        <v>95062000000</v>
      </c>
      <c r="Q19" s="36" t="n">
        <v>673400000000</v>
      </c>
      <c r="R19" s="36" t="n">
        <v>-6079069000000</v>
      </c>
      <c r="S19" s="36" t="n">
        <v>6863764000000</v>
      </c>
      <c r="T19" s="36" t="n">
        <v>4338587000000</v>
      </c>
      <c r="U19" s="36" t="n">
        <v>-7914120000000</v>
      </c>
    </row>
    <row r="20">
      <c r="A20" s="35" t="inlineStr">
        <is>
          <t>Tăng/giảm các khoản về kinh doanh chứng khoán</t>
        </is>
      </c>
      <c r="B20" s="36" t="n">
        <v>-35935551000000</v>
      </c>
      <c r="C20" s="36" t="n">
        <v>18030873000000</v>
      </c>
      <c r="D20" s="36" t="n">
        <v>-16005291000000</v>
      </c>
      <c r="E20" s="36" t="n">
        <v>-10804075000000</v>
      </c>
      <c r="F20" s="36" t="n">
        <v>13920515000000</v>
      </c>
      <c r="G20" s="36" t="n">
        <v>-19582416000000</v>
      </c>
      <c r="H20" s="36" t="n">
        <v>-31627229000000</v>
      </c>
      <c r="I20" s="36" t="n">
        <v>-9019169000000</v>
      </c>
      <c r="J20" s="36" t="n">
        <v>1208146000000</v>
      </c>
      <c r="K20" s="36" t="n">
        <v>621781000000</v>
      </c>
      <c r="L20" s="36" t="n">
        <v>-12694115000000</v>
      </c>
      <c r="M20" s="36" t="n">
        <v>-25071363000000</v>
      </c>
      <c r="N20" s="36" t="n">
        <v>-6387413000000</v>
      </c>
      <c r="O20" s="36" t="n">
        <v>-33856012000000</v>
      </c>
      <c r="P20" s="36" t="n">
        <v>13805189000000</v>
      </c>
      <c r="Q20" s="36" t="n">
        <v>-16447433000000</v>
      </c>
      <c r="R20" s="36" t="n">
        <v>3431116000000</v>
      </c>
      <c r="S20" s="36" t="n">
        <v>-9808041000000</v>
      </c>
      <c r="T20" s="36" t="n">
        <v>7588573000000</v>
      </c>
      <c r="U20" s="36" t="n">
        <v>-38852184000000</v>
      </c>
    </row>
    <row r="21">
      <c r="A21" s="35" t="inlineStr">
        <is>
          <t>Tăng/giảm các công cụ tài chính phái sinh và các tài sản tài chính khác</t>
        </is>
      </c>
      <c r="B21" s="36" t="n">
        <v>36292000000</v>
      </c>
      <c r="C21" s="36" t="n">
        <v>0</v>
      </c>
      <c r="D21" s="36" t="n">
        <v>0</v>
      </c>
      <c r="E21" s="36" t="n">
        <v>-293768000000</v>
      </c>
      <c r="F21" s="36" t="n">
        <v>293768000000</v>
      </c>
      <c r="G21" s="36" t="n">
        <v>-143611000000</v>
      </c>
      <c r="H21" s="36" t="n">
        <v>143611000000</v>
      </c>
      <c r="I21" s="36" t="n">
        <v>0</v>
      </c>
      <c r="J21" s="36" t="n">
        <v>-77603000000</v>
      </c>
      <c r="K21" s="36" t="n">
        <v>113895000000</v>
      </c>
      <c r="L21" s="36" t="n">
        <v>0</v>
      </c>
      <c r="M21" s="36" t="n">
        <v>0</v>
      </c>
      <c r="N21" s="36" t="n">
        <v>-98880000000</v>
      </c>
      <c r="O21" s="36" t="n">
        <v>269237000000</v>
      </c>
      <c r="P21" s="36" t="n">
        <v>0</v>
      </c>
      <c r="Q21" s="36" t="n">
        <v>0</v>
      </c>
      <c r="R21" s="36" t="n">
        <v>0</v>
      </c>
      <c r="S21" s="36" t="n">
        <v>0</v>
      </c>
      <c r="T21" s="36" t="n">
        <v>0</v>
      </c>
      <c r="U21" s="36" t="n">
        <v>0</v>
      </c>
    </row>
    <row r="22">
      <c r="A22" s="35" t="inlineStr">
        <is>
          <t>Tăng/giảm các khoản cho vay khách hàng</t>
        </is>
      </c>
      <c r="B22" s="36" t="n">
        <v>909820000000</v>
      </c>
      <c r="C22" s="36" t="n">
        <v>-70862810000000</v>
      </c>
      <c r="D22" s="36" t="n">
        <v>-46722588000000</v>
      </c>
      <c r="E22" s="36" t="n">
        <v>-69816629000000</v>
      </c>
      <c r="F22" s="36" t="n">
        <v>-73182461000000</v>
      </c>
      <c r="G22" s="36" t="n">
        <v>-98117863000000</v>
      </c>
      <c r="H22" s="36" t="n">
        <v>-113083396000000</v>
      </c>
      <c r="I22" s="36" t="n">
        <v>-135892165000000</v>
      </c>
      <c r="J22" s="36" t="n">
        <v>-3099317000000</v>
      </c>
      <c r="K22" s="36" t="n">
        <v>-2752067000000</v>
      </c>
      <c r="L22" s="36" t="n">
        <v>-238429000000</v>
      </c>
      <c r="M22" s="36" t="n">
        <v>6996802000000</v>
      </c>
      <c r="N22" s="36" t="n">
        <v>-34207506000000</v>
      </c>
      <c r="O22" s="36" t="n">
        <v>-5434187000000</v>
      </c>
      <c r="P22" s="36" t="n">
        <v>-31967902000000</v>
      </c>
      <c r="Q22" s="36" t="n">
        <v>-46620144000000</v>
      </c>
      <c r="R22" s="36" t="n">
        <v>-56396919000000</v>
      </c>
      <c r="S22" s="36" t="n">
        <v>-907200000000</v>
      </c>
      <c r="T22" s="36" t="n">
        <v>-29246822000000</v>
      </c>
      <c r="U22" s="36" t="n">
        <v>-50471617000000</v>
      </c>
    </row>
    <row r="23">
      <c r="A23" s="35" t="inlineStr">
        <is>
          <t>(Tăng)/Giảm lãi, phí phải thu</t>
        </is>
      </c>
      <c r="B23" s="36" t="n">
        <v>0</v>
      </c>
      <c r="C23" s="36" t="n">
        <v>0</v>
      </c>
      <c r="D23" s="36" t="n">
        <v>0</v>
      </c>
      <c r="E23" s="36" t="n">
        <v>0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6" t="n">
        <v>0</v>
      </c>
      <c r="O23" s="36" t="n">
        <v>0</v>
      </c>
      <c r="P23" s="36" t="n">
        <v>0</v>
      </c>
      <c r="Q23" s="36" t="n">
        <v>0</v>
      </c>
      <c r="R23" s="36" t="n">
        <v>0</v>
      </c>
      <c r="S23" s="36" t="n">
        <v>0</v>
      </c>
      <c r="T23" s="36" t="n">
        <v>0</v>
      </c>
      <c r="U23" s="36" t="n">
        <v>0</v>
      </c>
    </row>
    <row r="24">
      <c r="A24" s="35" t="inlineStr">
        <is>
          <t>Tăng/giảm nguồn dự phòng để bù đắp tổn thất các khoản</t>
        </is>
      </c>
      <c r="B24" s="36" t="n">
        <v>-2553203000000</v>
      </c>
      <c r="C24" s="36" t="n">
        <v>-257259000000</v>
      </c>
      <c r="D24" s="36" t="n">
        <v>-3363570000000</v>
      </c>
      <c r="E24" s="36" t="n">
        <v>-626647000000</v>
      </c>
      <c r="F24" s="36" t="n">
        <v>-683006000000</v>
      </c>
      <c r="G24" s="36" t="n">
        <v>-2667877000000</v>
      </c>
      <c r="H24" s="36" t="n">
        <v>-2670781000000</v>
      </c>
      <c r="I24" s="36" t="n">
        <v>-2072791000000</v>
      </c>
      <c r="J24" s="36" t="n">
        <v>-1131589000000</v>
      </c>
      <c r="K24" s="36" t="n">
        <v>0</v>
      </c>
      <c r="L24" s="36" t="n">
        <v>-1094762000000</v>
      </c>
      <c r="M24" s="36" t="n">
        <v>-326853000000</v>
      </c>
      <c r="N24" s="36" t="n">
        <v>-206580000000</v>
      </c>
      <c r="O24" s="36" t="n">
        <v>-488732000000</v>
      </c>
      <c r="P24" s="36" t="n">
        <v>-525500000000</v>
      </c>
      <c r="Q24" s="36" t="n">
        <v>-214319000000</v>
      </c>
      <c r="R24" s="36" t="n">
        <v>-372588000000</v>
      </c>
      <c r="S24" s="36" t="n">
        <v>-960384000000</v>
      </c>
      <c r="T24" s="36" t="n">
        <v>-182597000000</v>
      </c>
      <c r="U24" s="36" t="n">
        <v>-380852000000</v>
      </c>
    </row>
    <row r="25">
      <c r="A25" s="35" t="inlineStr">
        <is>
          <t>Tăng/giảm khác về tài sản hoạt động</t>
        </is>
      </c>
      <c r="B25" s="36" t="n">
        <v>-3308223000000</v>
      </c>
      <c r="C25" s="36" t="n">
        <v>-4670454000000</v>
      </c>
      <c r="D25" s="36" t="n">
        <v>-6261043000000</v>
      </c>
      <c r="E25" s="36" t="n">
        <v>-15607626000000</v>
      </c>
      <c r="F25" s="36" t="n">
        <v>-36029613000000</v>
      </c>
      <c r="G25" s="36" t="n">
        <v>-9317279000000</v>
      </c>
      <c r="H25" s="36" t="n">
        <v>34701809000000</v>
      </c>
      <c r="I25" s="36" t="n">
        <v>-29615168000000</v>
      </c>
      <c r="J25" s="36" t="n">
        <v>1354026000000</v>
      </c>
      <c r="K25" s="36" t="n">
        <v>-1237058000000</v>
      </c>
      <c r="L25" s="36" t="n">
        <v>-1804546000000</v>
      </c>
      <c r="M25" s="36" t="n">
        <v>-1514548000000</v>
      </c>
      <c r="N25" s="36" t="n">
        <v>16936573000000</v>
      </c>
      <c r="O25" s="36" t="n">
        <v>7395609000000</v>
      </c>
      <c r="P25" s="36" t="n">
        <v>-3646841000000</v>
      </c>
      <c r="Q25" s="36" t="n">
        <v>5921853000000</v>
      </c>
      <c r="R25" s="36" t="n">
        <v>-3344188000000</v>
      </c>
      <c r="S25" s="36" t="n">
        <v>-28545992000000</v>
      </c>
      <c r="T25" s="36" t="n">
        <v>5896711000000</v>
      </c>
      <c r="U25" s="36" t="n">
        <v>4403261000000</v>
      </c>
    </row>
    <row r="26">
      <c r="A26" s="35" t="inlineStr">
        <is>
          <t>Tăng/(Giảm) các khoản nợ chính phủ và NHNN</t>
        </is>
      </c>
      <c r="B26" s="36" t="n">
        <v>4024907000000</v>
      </c>
      <c r="C26" s="36" t="n">
        <v>-4024907000000</v>
      </c>
      <c r="D26" s="36" t="n">
        <v>0</v>
      </c>
      <c r="E26" s="36" t="n">
        <v>0</v>
      </c>
      <c r="F26" s="36" t="n">
        <v>0</v>
      </c>
      <c r="G26" s="36" t="n">
        <v>0</v>
      </c>
      <c r="H26" s="36" t="n">
        <v>0</v>
      </c>
      <c r="I26" s="36" t="n">
        <v>4306722000000</v>
      </c>
      <c r="J26" s="36" t="n">
        <v>0</v>
      </c>
      <c r="K26" s="36" t="n">
        <v>0</v>
      </c>
      <c r="L26" s="36" t="n">
        <v>0</v>
      </c>
      <c r="M26" s="36" t="n">
        <v>3024907000000</v>
      </c>
      <c r="N26" s="36" t="n">
        <v>0</v>
      </c>
      <c r="O26" s="36" t="n">
        <v>0</v>
      </c>
      <c r="P26" s="36" t="n">
        <v>0</v>
      </c>
      <c r="Q26" s="36" t="n">
        <v>0</v>
      </c>
      <c r="R26" s="36" t="n">
        <v>0</v>
      </c>
      <c r="S26" s="36" t="n">
        <v>4306722000000</v>
      </c>
      <c r="T26" s="36" t="n">
        <v>38028000000</v>
      </c>
      <c r="U26" s="36" t="n">
        <v>3883888000000</v>
      </c>
    </row>
    <row r="27">
      <c r="A27" s="35" t="inlineStr">
        <is>
          <t>Tăng/(Giảm) các khoản tiền gửi và vay các TCTD khác</t>
        </is>
      </c>
      <c r="B27" s="36" t="n">
        <v>-9898265000000</v>
      </c>
      <c r="C27" s="36" t="n">
        <v>24841075000000</v>
      </c>
      <c r="D27" s="36" t="n">
        <v>-13781823000000</v>
      </c>
      <c r="E27" s="36" t="n">
        <v>64973879000000</v>
      </c>
      <c r="F27" s="36" t="n">
        <v>55104278000000</v>
      </c>
      <c r="G27" s="36" t="n">
        <v>-14389967000000</v>
      </c>
      <c r="H27" s="36" t="n">
        <v>-20933914000000</v>
      </c>
      <c r="I27" s="36" t="n">
        <v>12743888000000</v>
      </c>
      <c r="J27" s="36" t="n">
        <v>-20922854000000</v>
      </c>
      <c r="K27" s="36" t="n">
        <v>12305331000000</v>
      </c>
      <c r="L27" s="36" t="n">
        <v>1865123000000</v>
      </c>
      <c r="M27" s="36" t="n">
        <v>-3145865000000</v>
      </c>
      <c r="N27" s="36" t="n">
        <v>-16150142000000</v>
      </c>
      <c r="O27" s="36" t="n">
        <v>-6223186000000</v>
      </c>
      <c r="P27" s="36" t="n">
        <v>3074617000000</v>
      </c>
      <c r="Q27" s="36" t="n">
        <v>1750598000000</v>
      </c>
      <c r="R27" s="36" t="n">
        <v>9579576000000</v>
      </c>
      <c r="S27" s="36" t="n">
        <v>-1660903000000</v>
      </c>
      <c r="T27" s="36" t="n">
        <v>5284205000000</v>
      </c>
      <c r="U27" s="36" t="n">
        <v>14472278000000</v>
      </c>
    </row>
    <row r="28">
      <c r="A28" s="35" t="inlineStr">
        <is>
          <t>Tăng/(Giảm) tiền gửi của khách hàng</t>
        </is>
      </c>
      <c r="B28" s="36" t="n">
        <v>31443819000000</v>
      </c>
      <c r="C28" s="36" t="n">
        <v>27882109000000</v>
      </c>
      <c r="D28" s="36" t="n">
        <v>46161890000000</v>
      </c>
      <c r="E28" s="36" t="n">
        <v>37294716000000</v>
      </c>
      <c r="F28" s="36" t="n">
        <v>43658244000000</v>
      </c>
      <c r="G28" s="36" t="n">
        <v>96249299000000</v>
      </c>
      <c r="H28" s="36" t="n">
        <v>78742971000000</v>
      </c>
      <c r="I28" s="36" t="n">
        <v>85524799000000</v>
      </c>
      <c r="J28" s="36" t="n">
        <v>11419720000000</v>
      </c>
      <c r="K28" s="36" t="n">
        <v>4892656000000</v>
      </c>
      <c r="L28" s="36" t="n">
        <v>7299923000000</v>
      </c>
      <c r="M28" s="36" t="n">
        <v>8888324000000</v>
      </c>
      <c r="N28" s="36" t="n">
        <v>12703939000000</v>
      </c>
      <c r="O28" s="36" t="n">
        <v>38429322000000</v>
      </c>
      <c r="P28" s="36" t="n">
        <v>-1702450000000</v>
      </c>
      <c r="Q28" s="36" t="n">
        <v>13424332000000</v>
      </c>
      <c r="R28" s="36" t="n">
        <v>50002432000000</v>
      </c>
      <c r="S28" s="36" t="n">
        <v>23800485000000</v>
      </c>
      <c r="T28" s="36" t="n">
        <v>-18792063000000</v>
      </c>
      <c r="U28" s="36" t="n">
        <v>62328258000000</v>
      </c>
    </row>
    <row r="29">
      <c r="A29" s="35" t="inlineStr">
        <is>
          <t>Tăng/(Giảm) các công cụ tài chính phái sinh và các khoản nợ tài chính khác</t>
        </is>
      </c>
      <c r="B29" s="36" t="n">
        <v>310313000000</v>
      </c>
      <c r="C29" s="36" t="n">
        <v>123695000000</v>
      </c>
      <c r="D29" s="36" t="n">
        <v>-167082000000</v>
      </c>
      <c r="E29" s="36" t="n">
        <v>-266926000000</v>
      </c>
      <c r="F29" s="36" t="n">
        <v>1851213000000</v>
      </c>
      <c r="G29" s="36" t="n">
        <v>-1851213000000</v>
      </c>
      <c r="H29" s="36" t="n">
        <v>931231000000</v>
      </c>
      <c r="I29" s="36" t="n">
        <v>1485716000000</v>
      </c>
      <c r="J29" s="36" t="n">
        <v>0</v>
      </c>
      <c r="K29" s="36" t="n">
        <v>67057000000</v>
      </c>
      <c r="L29" s="36" t="n">
        <v>315615000000</v>
      </c>
      <c r="M29" s="36" t="n">
        <v>-72359000000</v>
      </c>
      <c r="N29" s="36" t="n">
        <v>0</v>
      </c>
      <c r="O29" s="36" t="n">
        <v>931231000000</v>
      </c>
      <c r="P29" s="36" t="n">
        <v>-242695000000</v>
      </c>
      <c r="Q29" s="36" t="n">
        <v>404323000000</v>
      </c>
      <c r="R29" s="36" t="n">
        <v>619294000000</v>
      </c>
      <c r="S29" s="36" t="n">
        <v>704794000000</v>
      </c>
      <c r="T29" s="36" t="n">
        <v>-200636000000</v>
      </c>
      <c r="U29" s="36" t="n">
        <v>-1369000000</v>
      </c>
    </row>
    <row r="30">
      <c r="A30" s="35" t="inlineStr">
        <is>
          <t>Tăng/(Giảm) vốn tài trợ, uỷ thác đầu tư của chính phủ và các TCTD khác</t>
        </is>
      </c>
      <c r="B30" s="36" t="n">
        <v>0</v>
      </c>
      <c r="C30" s="36" t="n">
        <v>0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6" t="n">
        <v>0</v>
      </c>
      <c r="O30" s="36" t="n">
        <v>0</v>
      </c>
      <c r="P30" s="36" t="n">
        <v>0</v>
      </c>
      <c r="Q30" s="36" t="n">
        <v>0</v>
      </c>
      <c r="R30" s="36" t="n">
        <v>0</v>
      </c>
      <c r="S30" s="36" t="n">
        <v>0</v>
      </c>
      <c r="T30" s="36" t="n">
        <v>0</v>
      </c>
      <c r="U30" s="36" t="n">
        <v>0</v>
      </c>
    </row>
    <row r="31">
      <c r="A31" s="35" t="inlineStr">
        <is>
          <t>Tăng/(Giảm) phát hành giấy tờ có giá</t>
        </is>
      </c>
      <c r="B31" s="36" t="n">
        <v>-1762011000000</v>
      </c>
      <c r="C31" s="36" t="n">
        <v>7482675000000</v>
      </c>
      <c r="D31" s="36" t="n">
        <v>10596719000000</v>
      </c>
      <c r="E31" s="36" t="n">
        <v>5780184000000</v>
      </c>
      <c r="F31" s="36" t="n">
        <v>1026795000000</v>
      </c>
      <c r="G31" s="36" t="n">
        <v>50696681000000</v>
      </c>
      <c r="H31" s="36" t="n">
        <v>55719021000000</v>
      </c>
      <c r="I31" s="36" t="n">
        <v>74907807000000</v>
      </c>
      <c r="J31" s="36" t="n">
        <v>2434093000000</v>
      </c>
      <c r="K31" s="36" t="n">
        <v>30233000000</v>
      </c>
      <c r="L31" s="36" t="n">
        <v>-164231000000</v>
      </c>
      <c r="M31" s="36" t="n">
        <v>-4062106000000</v>
      </c>
      <c r="N31" s="36" t="n">
        <v>14076026000000</v>
      </c>
      <c r="O31" s="36" t="n">
        <v>14361012000000</v>
      </c>
      <c r="P31" s="36" t="n">
        <v>7510749000000</v>
      </c>
      <c r="Q31" s="36" t="n">
        <v>24404572000000</v>
      </c>
      <c r="R31" s="36" t="n">
        <v>9404879000000</v>
      </c>
      <c r="S31" s="36" t="n">
        <v>33587607000000</v>
      </c>
      <c r="T31" s="36" t="n">
        <v>2566880000000</v>
      </c>
      <c r="U31" s="36" t="n">
        <v>-5817104000000</v>
      </c>
    </row>
    <row r="32">
      <c r="A32" s="35" t="inlineStr">
        <is>
          <t>Tăng/(Giảm) lãi, phí phải trả</t>
        </is>
      </c>
      <c r="B32" s="36" t="n">
        <v>0</v>
      </c>
      <c r="C32" s="36" t="n">
        <v>0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  <c r="N32" s="36" t="n">
        <v>0</v>
      </c>
      <c r="O32" s="36" t="n">
        <v>0</v>
      </c>
      <c r="P32" s="36" t="n">
        <v>0</v>
      </c>
      <c r="Q32" s="36" t="n">
        <v>0</v>
      </c>
      <c r="R32" s="36" t="n">
        <v>0</v>
      </c>
      <c r="S32" s="36" t="n">
        <v>0</v>
      </c>
      <c r="T32" s="36" t="n">
        <v>0</v>
      </c>
      <c r="U32" s="36" t="n">
        <v>0</v>
      </c>
    </row>
    <row r="33">
      <c r="A33" s="35" t="inlineStr">
        <is>
          <t>Tăng/(Giảm) khác về công nợ hoạt động</t>
        </is>
      </c>
      <c r="B33" s="36" t="n">
        <v>4528623000000</v>
      </c>
      <c r="C33" s="36" t="n">
        <v>-944721000000</v>
      </c>
      <c r="D33" s="36" t="n">
        <v>422272000000</v>
      </c>
      <c r="E33" s="36" t="n">
        <v>2598519000000</v>
      </c>
      <c r="F33" s="36" t="n">
        <v>2009069000000</v>
      </c>
      <c r="G33" s="36" t="n">
        <v>-1468412000000</v>
      </c>
      <c r="H33" s="36" t="n">
        <v>-3303550000000</v>
      </c>
      <c r="I33" s="36" t="n">
        <v>2712170000000</v>
      </c>
      <c r="J33" s="36" t="n">
        <v>738013000000</v>
      </c>
      <c r="K33" s="36" t="n">
        <v>950941000000</v>
      </c>
      <c r="L33" s="36" t="n">
        <v>795413000000</v>
      </c>
      <c r="M33" s="36" t="n">
        <v>2047088000000</v>
      </c>
      <c r="N33" s="36" t="n">
        <v>126015000000</v>
      </c>
      <c r="O33" s="36" t="n">
        <v>-1650307000000</v>
      </c>
      <c r="P33" s="36" t="n">
        <v>1496282000000</v>
      </c>
      <c r="Q33" s="36" t="n">
        <v>691408000000</v>
      </c>
      <c r="R33" s="36" t="n">
        <v>3148007000000</v>
      </c>
      <c r="S33" s="36" t="n">
        <v>-2623527000000</v>
      </c>
      <c r="T33" s="36" t="n">
        <v>4866393000000</v>
      </c>
      <c r="U33" s="36" t="n">
        <v>1840624000000</v>
      </c>
    </row>
    <row r="34">
      <c r="A34" s="35" t="inlineStr">
        <is>
          <t>Lưu chuyển tiền thuần từ hoạt động kinh doanh trước thuế thu nhập DN</t>
        </is>
      </c>
      <c r="B34" s="36" t="n">
        <v>298991000000</v>
      </c>
      <c r="C34" s="36" t="n">
        <v>12641715000000</v>
      </c>
      <c r="D34" s="36" t="n">
        <v>-10087852000000</v>
      </c>
      <c r="E34" s="36" t="n">
        <v>12838970000000</v>
      </c>
      <c r="F34" s="36" t="n">
        <v>55473357000000</v>
      </c>
      <c r="G34" s="36" t="n">
        <v>12058300000000</v>
      </c>
      <c r="H34" s="36" t="n">
        <v>42379134000000</v>
      </c>
      <c r="I34" s="36" t="n">
        <v>39925552000000</v>
      </c>
      <c r="J34" s="36" t="n">
        <v>-8163415000000</v>
      </c>
      <c r="K34" s="36" t="n">
        <v>19534066000000</v>
      </c>
      <c r="L34" s="36" t="n">
        <v>-5809515000000</v>
      </c>
      <c r="M34" s="36" t="n">
        <v>-5301948000000</v>
      </c>
      <c r="N34" s="36" t="n">
        <v>-1684931000000</v>
      </c>
      <c r="O34" s="36" t="n">
        <v>25033888000000</v>
      </c>
      <c r="P34" s="36" t="n">
        <v>-11014809000000</v>
      </c>
      <c r="Q34" s="36" t="n">
        <v>-7771210000000</v>
      </c>
      <c r="R34" s="36" t="n">
        <v>19633302000000</v>
      </c>
      <c r="S34" s="36" t="n">
        <v>39078269000000</v>
      </c>
      <c r="T34" s="36" t="n">
        <v>-12087511000000</v>
      </c>
      <c r="U34" s="36" t="n">
        <v>-4359470000000</v>
      </c>
    </row>
    <row r="35">
      <c r="A35" s="35" t="inlineStr">
        <is>
          <t>Chi từ các quỹ của TCTD</t>
        </is>
      </c>
      <c r="B35" s="36" t="n">
        <v>-59000000</v>
      </c>
      <c r="C35" s="36" t="n">
        <v>-9913000000</v>
      </c>
      <c r="D35" s="36" t="n">
        <v>-615000000</v>
      </c>
      <c r="E35" s="36" t="n">
        <v>-10749000000</v>
      </c>
      <c r="F35" s="36" t="n">
        <v>-4856000000</v>
      </c>
      <c r="G35" s="36" t="n">
        <v>-5013000000</v>
      </c>
      <c r="H35" s="36" t="n">
        <v>-2579000000</v>
      </c>
      <c r="I35" s="36" t="n">
        <v>-1934000000</v>
      </c>
      <c r="J35" s="36" t="n">
        <v>0</v>
      </c>
      <c r="K35" s="36" t="n">
        <v>0</v>
      </c>
      <c r="L35" s="36" t="n">
        <v>0</v>
      </c>
      <c r="M35" s="36" t="n">
        <v>-59000000</v>
      </c>
      <c r="N35" s="36" t="n">
        <v>-390000000</v>
      </c>
      <c r="O35" s="36" t="n">
        <v>-221000000</v>
      </c>
      <c r="P35" s="36" t="n">
        <v>-467000000</v>
      </c>
      <c r="Q35" s="36" t="n">
        <v>-2000000</v>
      </c>
      <c r="R35" s="36" t="n">
        <v>-287000000</v>
      </c>
      <c r="S35" s="36" t="n">
        <v>-1178000000</v>
      </c>
      <c r="T35" s="36" t="n">
        <v>-264000000</v>
      </c>
      <c r="U35" s="36" t="n">
        <v>-8000000</v>
      </c>
    </row>
    <row r="36">
      <c r="A36" s="35" t="inlineStr">
        <is>
          <t>Thu được từ nợ khó đòi</t>
        </is>
      </c>
      <c r="B36" s="36" t="n">
        <v>0</v>
      </c>
      <c r="C36" s="36" t="n">
        <v>0</v>
      </c>
      <c r="D36" s="36" t="n">
        <v>0</v>
      </c>
      <c r="E36" s="36" t="n">
        <v>0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0</v>
      </c>
      <c r="L36" s="36" t="n">
        <v>0</v>
      </c>
      <c r="M36" s="36" t="n">
        <v>0</v>
      </c>
      <c r="N36" s="36" t="n">
        <v>0</v>
      </c>
      <c r="O36" s="36" t="n">
        <v>0</v>
      </c>
      <c r="P36" s="36" t="n">
        <v>0</v>
      </c>
      <c r="Q36" s="36" t="n">
        <v>0</v>
      </c>
      <c r="R36" s="36" t="n">
        <v>0</v>
      </c>
      <c r="S36" s="36" t="n">
        <v>0</v>
      </c>
      <c r="T36" s="36" t="n">
        <v>0</v>
      </c>
      <c r="U36" s="36" t="n">
        <v>0</v>
      </c>
    </row>
    <row r="37">
      <c r="A37" s="35" t="inlineStr">
        <is>
          <t>Tiền chi từ thanh lý, nhượng bán TSCĐ</t>
        </is>
      </c>
      <c r="B37" s="36" t="n">
        <v>-89000000</v>
      </c>
      <c r="C37" s="36" t="n">
        <v>-268000000</v>
      </c>
      <c r="D37" s="36" t="n">
        <v>-559000000</v>
      </c>
      <c r="E37" s="36" t="n">
        <v>0</v>
      </c>
      <c r="F37" s="36" t="n">
        <v>-51000000</v>
      </c>
      <c r="G37" s="36" t="n">
        <v>-35000000</v>
      </c>
      <c r="H37" s="36" t="n">
        <v>-1249743000000</v>
      </c>
      <c r="I37" s="36" t="n">
        <v>-3015000000</v>
      </c>
      <c r="J37" s="36" t="n">
        <v>0</v>
      </c>
      <c r="K37" s="36" t="n">
        <v>-8447000000</v>
      </c>
      <c r="L37" s="36" t="n">
        <v>6214000000</v>
      </c>
      <c r="M37" s="36" t="n">
        <v>-69000000</v>
      </c>
      <c r="N37" s="36" t="n">
        <v>-38000000</v>
      </c>
      <c r="O37" s="36" t="n">
        <v>-1249703000000</v>
      </c>
      <c r="P37" s="36" t="n">
        <v>-43000000</v>
      </c>
      <c r="Q37" s="36" t="n">
        <v>-2243000000</v>
      </c>
      <c r="R37" s="36" t="n">
        <v>-673000000</v>
      </c>
      <c r="S37" s="36" t="n">
        <v>-56000000</v>
      </c>
      <c r="T37" s="36" t="n">
        <v>-130000000</v>
      </c>
      <c r="U37" s="36" t="n">
        <v>130000000</v>
      </c>
    </row>
    <row r="38">
      <c r="A38" s="35" t="inlineStr">
        <is>
          <t>Mua sắm Bất động sản đầu tư</t>
        </is>
      </c>
      <c r="B38" s="36" t="n">
        <v>0</v>
      </c>
      <c r="C38" s="36" t="n">
        <v>0</v>
      </c>
      <c r="D38" s="36" t="n">
        <v>0</v>
      </c>
      <c r="E38" s="36" t="n">
        <v>0</v>
      </c>
      <c r="F38" s="36" t="n">
        <v>0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6" t="n">
        <v>0</v>
      </c>
      <c r="O38" s="36" t="n">
        <v>0</v>
      </c>
      <c r="P38" s="36" t="n">
        <v>0</v>
      </c>
      <c r="Q38" s="36" t="n">
        <v>0</v>
      </c>
      <c r="R38" s="36" t="n">
        <v>0</v>
      </c>
      <c r="S38" s="36" t="n">
        <v>0</v>
      </c>
      <c r="T38" s="36" t="n">
        <v>0</v>
      </c>
      <c r="U38" s="36" t="n">
        <v>0</v>
      </c>
    </row>
    <row r="39">
      <c r="A39" s="35" t="inlineStr">
        <is>
          <t>Tiền thu từ bán, thanh lý bất động sản đầu tư</t>
        </is>
      </c>
      <c r="B39" s="36" t="n">
        <v>0</v>
      </c>
      <c r="C39" s="36" t="n">
        <v>0</v>
      </c>
      <c r="D39" s="36" t="n">
        <v>0</v>
      </c>
      <c r="E39" s="36" t="n">
        <v>0</v>
      </c>
      <c r="F39" s="36" t="n">
        <v>0</v>
      </c>
      <c r="G39" s="36" t="n">
        <v>1296447000000</v>
      </c>
      <c r="H39" s="36" t="n">
        <v>736219000000</v>
      </c>
      <c r="I39" s="36" t="n">
        <v>0</v>
      </c>
      <c r="J39" s="36" t="n">
        <v>2020000000</v>
      </c>
      <c r="K39" s="36" t="n">
        <v>-2020000000</v>
      </c>
      <c r="L39" s="36" t="n">
        <v>0</v>
      </c>
      <c r="M39" s="36" t="n">
        <v>0</v>
      </c>
      <c r="N39" s="36" t="n">
        <v>-736219000000</v>
      </c>
      <c r="O39" s="36" t="n">
        <v>736219000000</v>
      </c>
      <c r="P39" s="36" t="n">
        <v>0</v>
      </c>
      <c r="Q39" s="36" t="n">
        <v>0</v>
      </c>
      <c r="R39" s="36" t="n">
        <v>0</v>
      </c>
      <c r="S39" s="36" t="n">
        <v>0</v>
      </c>
      <c r="T39" s="36" t="n">
        <v>0</v>
      </c>
      <c r="U39" s="36" t="n">
        <v>0</v>
      </c>
    </row>
    <row r="40">
      <c r="A40" s="35" t="inlineStr">
        <is>
          <t>Tiền chi ra do bán, thanh lý bất động sản đầu tư</t>
        </is>
      </c>
      <c r="B40" s="36" t="n">
        <v>0</v>
      </c>
      <c r="C40" s="36" t="n">
        <v>0</v>
      </c>
      <c r="D40" s="36" t="n">
        <v>0</v>
      </c>
      <c r="E40" s="36" t="n">
        <v>0</v>
      </c>
      <c r="F40" s="36" t="n">
        <v>0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6" t="n">
        <v>737497000000</v>
      </c>
      <c r="O40" s="36" t="n">
        <v>-736219000000</v>
      </c>
      <c r="P40" s="36" t="n">
        <v>0</v>
      </c>
      <c r="Q40" s="36" t="n">
        <v>-10283000000</v>
      </c>
      <c r="R40" s="36" t="n">
        <v>10283000000</v>
      </c>
      <c r="S40" s="36" t="n">
        <v>0</v>
      </c>
      <c r="T40" s="36" t="n">
        <v>0</v>
      </c>
      <c r="U40" s="36" t="n">
        <v>0</v>
      </c>
    </row>
    <row r="41">
      <c r="A41" s="35" t="inlineStr">
        <is>
          <t>Tiền thu từ phát hành giấy tờ có giá dài hạn đủ điều kiện tính vào vốn tự có và các khoản vốn vay dài hạn khác</t>
        </is>
      </c>
      <c r="B41" s="36" t="n">
        <v>310000000000</v>
      </c>
      <c r="C41" s="36" t="n">
        <v>0</v>
      </c>
      <c r="D41" s="36" t="n">
        <v>0</v>
      </c>
      <c r="E41" s="36" t="n">
        <v>0</v>
      </c>
      <c r="F41" s="36" t="n">
        <v>0</v>
      </c>
      <c r="G41" s="36" t="n">
        <v>0</v>
      </c>
      <c r="H41" s="36" t="n">
        <v>0</v>
      </c>
      <c r="I41" s="36" t="n">
        <v>0</v>
      </c>
      <c r="J41" s="36" t="n">
        <v>8631761000000</v>
      </c>
      <c r="K41" s="36" t="n">
        <v>-8631761000000</v>
      </c>
      <c r="L41" s="36" t="n">
        <v>0</v>
      </c>
      <c r="M41" s="36" t="n">
        <v>310000000000</v>
      </c>
      <c r="N41" s="36" t="n">
        <v>0</v>
      </c>
      <c r="O41" s="36" t="n">
        <v>0</v>
      </c>
      <c r="P41" s="36" t="n">
        <v>0</v>
      </c>
      <c r="Q41" s="36" t="n">
        <v>0</v>
      </c>
      <c r="R41" s="36" t="n">
        <v>0</v>
      </c>
      <c r="S41" s="36" t="n">
        <v>0</v>
      </c>
      <c r="T41" s="36" t="n">
        <v>0</v>
      </c>
      <c r="U41" s="36" t="n">
        <v>0</v>
      </c>
    </row>
    <row r="42">
      <c r="A42" s="35" t="inlineStr">
        <is>
          <t>Tiền chi thanh toán giấy tờ có giá dài hạn đủ điều kiện tính vào vốn tự có và các khoản vốn vay dài hạn khác</t>
        </is>
      </c>
      <c r="B42" s="36" t="n">
        <v>-3010000000000</v>
      </c>
      <c r="C42" s="36" t="n">
        <v>-3200000000000</v>
      </c>
      <c r="D42" s="36" t="n">
        <v>-157713000000</v>
      </c>
      <c r="E42" s="36" t="n">
        <v>0</v>
      </c>
      <c r="F42" s="36" t="n">
        <v>-700000000000</v>
      </c>
      <c r="G42" s="36" t="n">
        <v>0</v>
      </c>
      <c r="H42" s="36" t="n">
        <v>0</v>
      </c>
      <c r="I42" s="36" t="n">
        <v>0</v>
      </c>
      <c r="J42" s="36" t="n">
        <v>0</v>
      </c>
      <c r="K42" s="36" t="n">
        <v>-1200000000000</v>
      </c>
      <c r="L42" s="36" t="n">
        <v>-1500000000000</v>
      </c>
      <c r="M42" s="36" t="n">
        <v>-310000000000</v>
      </c>
      <c r="N42" s="36" t="n">
        <v>0</v>
      </c>
      <c r="O42" s="36" t="n">
        <v>0</v>
      </c>
      <c r="P42" s="36" t="n">
        <v>0</v>
      </c>
      <c r="Q42" s="36" t="n">
        <v>0</v>
      </c>
      <c r="R42" s="36" t="n">
        <v>0</v>
      </c>
      <c r="S42" s="36" t="n">
        <v>0</v>
      </c>
      <c r="T42" s="36" t="n">
        <v>0</v>
      </c>
      <c r="U42" s="36" t="n">
        <v>0</v>
      </c>
    </row>
    <row r="43">
      <c r="A43" s="35" t="inlineStr">
        <is>
          <t>Tiền chi ra mua cổ phiếu quỹ</t>
        </is>
      </c>
      <c r="B43" s="36" t="n">
        <v>0</v>
      </c>
      <c r="C43" s="36" t="n">
        <v>0</v>
      </c>
      <c r="D43" s="36" t="n">
        <v>0</v>
      </c>
      <c r="E43" s="36" t="n">
        <v>0</v>
      </c>
      <c r="F43" s="36" t="n">
        <v>0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6" t="n">
        <v>0</v>
      </c>
      <c r="O43" s="36" t="n">
        <v>0</v>
      </c>
      <c r="P43" s="36" t="n">
        <v>0</v>
      </c>
      <c r="Q43" s="36" t="n">
        <v>0</v>
      </c>
      <c r="R43" s="36" t="n">
        <v>0</v>
      </c>
      <c r="S43" s="36" t="n">
        <v>0</v>
      </c>
      <c r="T43" s="36" t="n">
        <v>0</v>
      </c>
      <c r="U43" s="36" t="n">
        <v>0</v>
      </c>
    </row>
    <row r="44">
      <c r="A44" s="35" t="inlineStr">
        <is>
          <t>Tiền thu được do bán cổ phiếu quỹ</t>
        </is>
      </c>
      <c r="B44" s="36" t="n">
        <v>16399378000000</v>
      </c>
      <c r="C44" s="36" t="n">
        <v>70338000000</v>
      </c>
      <c r="D44" s="36" t="n">
        <v>651000000</v>
      </c>
      <c r="E44" s="36" t="n">
        <v>0</v>
      </c>
      <c r="F44" s="36" t="n">
        <v>0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16349268000000</v>
      </c>
      <c r="L44" s="36" t="n">
        <v>-7761000000</v>
      </c>
      <c r="M44" s="36" t="n">
        <v>57871000000</v>
      </c>
      <c r="N44" s="36" t="n">
        <v>0</v>
      </c>
      <c r="O44" s="36" t="n">
        <v>0</v>
      </c>
      <c r="P44" s="36" t="n">
        <v>0</v>
      </c>
      <c r="Q44" s="36" t="n">
        <v>0</v>
      </c>
      <c r="R44" s="36" t="n">
        <v>0</v>
      </c>
      <c r="S44" s="36" t="n">
        <v>0</v>
      </c>
      <c r="T44" s="36" t="n">
        <v>0</v>
      </c>
      <c r="U44" s="36" t="n">
        <v>0</v>
      </c>
    </row>
    <row r="45">
      <c r="A45" s="35" t="inlineStr">
        <is>
          <t>Thu nhập lãi và các khoản thu nhập tương tự nhận được</t>
        </is>
      </c>
      <c r="B45" s="36" t="n">
        <v>20445343000000</v>
      </c>
      <c r="C45" s="36" t="n">
        <v>25677175000000</v>
      </c>
      <c r="D45" s="36" t="n">
        <v>28933307000000</v>
      </c>
      <c r="E45" s="36" t="n">
        <v>35224259000000</v>
      </c>
      <c r="F45" s="36" t="n">
        <v>43558389000000</v>
      </c>
      <c r="G45" s="36" t="n">
        <v>53749365000000</v>
      </c>
      <c r="H45" s="36" t="n">
        <v>61748921000000</v>
      </c>
      <c r="I45" s="36" t="n">
        <v>67231128000000</v>
      </c>
      <c r="J45" s="36" t="n">
        <v>4456617000000</v>
      </c>
      <c r="K45" s="36" t="n">
        <v>4644611000000</v>
      </c>
      <c r="L45" s="36" t="n">
        <v>4314036000000</v>
      </c>
      <c r="M45" s="36" t="n">
        <v>5874100000000</v>
      </c>
      <c r="N45" s="36" t="n">
        <v>14499039000000</v>
      </c>
      <c r="O45" s="36" t="n">
        <v>20797973000000</v>
      </c>
      <c r="P45" s="36" t="n">
        <v>14066961000000</v>
      </c>
      <c r="Q45" s="36" t="n">
        <v>16217877000000</v>
      </c>
      <c r="R45" s="36" t="n">
        <v>16500085000000</v>
      </c>
      <c r="S45" s="36" t="n">
        <v>20446205000000</v>
      </c>
      <c r="T45" s="36" t="n">
        <v>19598279000000</v>
      </c>
      <c r="U45" s="36" t="n">
        <v>21787810000000</v>
      </c>
    </row>
    <row r="46">
      <c r="A46" s="35" t="inlineStr">
        <is>
          <t>Chi phí lãi và các chi phí tương tự đã trả</t>
        </is>
      </c>
      <c r="B46" s="36" t="n">
        <v>-9797235000000</v>
      </c>
      <c r="C46" s="36" t="n">
        <v>-10865013000000</v>
      </c>
      <c r="D46" s="36" t="n">
        <v>-10155492000000</v>
      </c>
      <c r="E46" s="36" t="n">
        <v>-9042851000000</v>
      </c>
      <c r="F46" s="36" t="n">
        <v>-12185090000000</v>
      </c>
      <c r="G46" s="36" t="n">
        <v>-25941911000000</v>
      </c>
      <c r="H46" s="36" t="n">
        <v>-26124464000000</v>
      </c>
      <c r="I46" s="36" t="n">
        <v>-27761618000000</v>
      </c>
      <c r="J46" s="36" t="n">
        <v>-2336864000000</v>
      </c>
      <c r="K46" s="36" t="n">
        <v>-2194066000000</v>
      </c>
      <c r="L46" s="36" t="n">
        <v>-2077215000000</v>
      </c>
      <c r="M46" s="36" t="n">
        <v>-2755281000000</v>
      </c>
      <c r="N46" s="36" t="n">
        <v>-5847446000000</v>
      </c>
      <c r="O46" s="36" t="n">
        <v>-6517275000000</v>
      </c>
      <c r="P46" s="36" t="n">
        <v>-5978921000000</v>
      </c>
      <c r="Q46" s="36" t="n">
        <v>-7377543000000</v>
      </c>
      <c r="R46" s="36" t="n">
        <v>-7027917000000</v>
      </c>
      <c r="S46" s="36" t="n">
        <v>-7377237000000</v>
      </c>
      <c r="T46" s="36" t="n">
        <v>-8293092000000</v>
      </c>
      <c r="U46" s="36" t="n">
        <v>-10191573000000</v>
      </c>
    </row>
    <row r="47">
      <c r="A47" s="35" t="inlineStr">
        <is>
          <t>Thu nhập từ hoạt động dịch vụ nhận được</t>
        </is>
      </c>
      <c r="B47" s="36" t="n">
        <v>2966562000000</v>
      </c>
      <c r="C47" s="36" t="n">
        <v>3170716000000</v>
      </c>
      <c r="D47" s="36" t="n">
        <v>4140309000000</v>
      </c>
      <c r="E47" s="36" t="n">
        <v>5958416000000</v>
      </c>
      <c r="F47" s="36" t="n">
        <v>8076844000000</v>
      </c>
      <c r="G47" s="36" t="n">
        <v>9134752000000</v>
      </c>
      <c r="H47" s="36" t="n">
        <v>7679933000000</v>
      </c>
      <c r="I47" s="36" t="n">
        <v>8396946000000</v>
      </c>
      <c r="J47" s="36" t="n">
        <v>491695000000</v>
      </c>
      <c r="K47" s="36" t="n">
        <v>687924000000</v>
      </c>
      <c r="L47" s="36" t="n">
        <v>933786000000</v>
      </c>
      <c r="M47" s="36" t="n">
        <v>1422599000000</v>
      </c>
      <c r="N47" s="36" t="n">
        <v>1967038000000</v>
      </c>
      <c r="O47" s="36" t="n">
        <v>1512713000000</v>
      </c>
      <c r="P47" s="36" t="n">
        <v>1774998000000</v>
      </c>
      <c r="Q47" s="36" t="n">
        <v>1992435000000</v>
      </c>
      <c r="R47" s="36" t="n">
        <v>2280122000000</v>
      </c>
      <c r="S47" s="36" t="n">
        <v>2349391000000</v>
      </c>
      <c r="T47" s="36" t="n">
        <v>2854668000000</v>
      </c>
      <c r="U47" s="36" t="n">
        <v>3855143000000</v>
      </c>
    </row>
    <row r="48">
      <c r="A48" s="35" t="inlineStr">
        <is>
          <t>Thu nhập thuần từ hoạt động kinh doanh ngoại hối và vàng</t>
        </is>
      </c>
      <c r="B48" s="36" t="n">
        <v>0</v>
      </c>
      <c r="C48" s="36" t="n">
        <v>0</v>
      </c>
      <c r="D48" s="36" t="n">
        <v>1897196000000</v>
      </c>
      <c r="E48" s="36" t="n">
        <v>2502188000000</v>
      </c>
      <c r="F48" s="36" t="n">
        <v>0</v>
      </c>
      <c r="G48" s="36" t="n">
        <v>0</v>
      </c>
      <c r="H48" s="36" t="n">
        <v>0</v>
      </c>
      <c r="I48" s="36" t="n">
        <v>0</v>
      </c>
      <c r="J48" s="36" t="n">
        <v>509749000000</v>
      </c>
      <c r="K48" s="36" t="n">
        <v>0</v>
      </c>
      <c r="L48" s="36" t="n">
        <v>218307000000</v>
      </c>
      <c r="M48" s="36" t="n">
        <v>180839000000</v>
      </c>
      <c r="N48" s="36" t="n">
        <v>0</v>
      </c>
      <c r="O48" s="36" t="n">
        <v>0</v>
      </c>
      <c r="P48" s="36" t="n">
        <v>0</v>
      </c>
      <c r="Q48" s="36" t="n">
        <v>0</v>
      </c>
      <c r="R48" s="36" t="n">
        <v>0</v>
      </c>
      <c r="S48" s="36" t="n">
        <v>0</v>
      </c>
      <c r="T48" s="36" t="n">
        <v>0</v>
      </c>
      <c r="U48" s="36" t="n">
        <v>0</v>
      </c>
    </row>
    <row r="49">
      <c r="A49" s="35" t="inlineStr">
        <is>
          <t>Thu nhập từ hoạt động kinh doanh chứng khoán</t>
        </is>
      </c>
      <c r="B49" s="36" t="n">
        <v>1310321000000</v>
      </c>
      <c r="C49" s="36" t="n">
        <v>1703869000000</v>
      </c>
      <c r="D49" s="36" t="n">
        <v>0</v>
      </c>
      <c r="E49" s="36" t="n">
        <v>0</v>
      </c>
      <c r="F49" s="36" t="n">
        <v>-420995000000</v>
      </c>
      <c r="G49" s="36" t="n">
        <v>1168505000000</v>
      </c>
      <c r="H49" s="36" t="n">
        <v>3150018000000</v>
      </c>
      <c r="I49" s="36" t="n">
        <v>4478027000000</v>
      </c>
      <c r="J49" s="36" t="n">
        <v>0</v>
      </c>
      <c r="K49" s="36" t="n">
        <v>401406000000</v>
      </c>
      <c r="L49" s="36" t="n">
        <v>0</v>
      </c>
      <c r="M49" s="36" t="n">
        <v>0</v>
      </c>
      <c r="N49" s="36" t="n">
        <v>378272000000</v>
      </c>
      <c r="O49" s="36" t="n">
        <v>-20600000000</v>
      </c>
      <c r="P49" s="36" t="n">
        <v>1054270000000</v>
      </c>
      <c r="Q49" s="36" t="n">
        <v>1085080000000</v>
      </c>
      <c r="R49" s="36" t="n">
        <v>1339137000000</v>
      </c>
      <c r="S49" s="36" t="n">
        <v>999540000000</v>
      </c>
      <c r="T49" s="36" t="n">
        <v>865683000000</v>
      </c>
      <c r="U49" s="36" t="n">
        <v>383834000000</v>
      </c>
    </row>
    <row r="50">
      <c r="A50" s="35" t="inlineStr">
        <is>
          <t>Thu nhập khác</t>
        </is>
      </c>
      <c r="B50" s="36" t="n">
        <v>151294000000</v>
      </c>
      <c r="C50" s="36" t="n">
        <v>485024000000</v>
      </c>
      <c r="D50" s="36" t="n">
        <v>1190483000000</v>
      </c>
      <c r="E50" s="36" t="n">
        <v>816228000000</v>
      </c>
      <c r="F50" s="36" t="n">
        <v>605946000000</v>
      </c>
      <c r="G50" s="36" t="n">
        <v>1384616000000</v>
      </c>
      <c r="H50" s="36" t="n">
        <v>-2359679000000</v>
      </c>
      <c r="I50" s="36" t="n">
        <v>96244000000</v>
      </c>
      <c r="J50" s="36" t="n">
        <v>67951000000</v>
      </c>
      <c r="K50" s="36" t="n">
        <v>53886000000</v>
      </c>
      <c r="L50" s="36" t="n">
        <v>114824000000</v>
      </c>
      <c r="M50" s="36" t="n">
        <v>-25779000000</v>
      </c>
      <c r="N50" s="36" t="n">
        <v>37289000000</v>
      </c>
      <c r="O50" s="36" t="n">
        <v>-1078660000000</v>
      </c>
      <c r="P50" s="36" t="n">
        <v>-102654000000</v>
      </c>
      <c r="Q50" s="36" t="n">
        <v>6371000000</v>
      </c>
      <c r="R50" s="36" t="n">
        <v>5713000000</v>
      </c>
      <c r="S50" s="36" t="n">
        <v>186814000000</v>
      </c>
      <c r="T50" s="36" t="n">
        <v>-232677000000</v>
      </c>
      <c r="U50" s="36" t="n">
        <v>378380000000</v>
      </c>
    </row>
    <row r="51">
      <c r="A51" s="35" t="inlineStr">
        <is>
          <t>Tiền chi trả cho nhân viên và hoạt động quản lý, cộng cụ</t>
        </is>
      </c>
      <c r="B51" s="36" t="n">
        <v>-4432019000000</v>
      </c>
      <c r="C51" s="36" t="n">
        <v>-5565179000000</v>
      </c>
      <c r="D51" s="36" t="n">
        <v>-6752272000000</v>
      </c>
      <c r="E51" s="36" t="n">
        <v>-8687948000000</v>
      </c>
      <c r="F51" s="36" t="n">
        <v>-9631184000000</v>
      </c>
      <c r="G51" s="36" t="n">
        <v>-10339365000000</v>
      </c>
      <c r="H51" s="36" t="n">
        <v>-10106171000000</v>
      </c>
      <c r="I51" s="36" t="n">
        <v>-13326686000000</v>
      </c>
      <c r="J51" s="36" t="n">
        <v>-1542108000000</v>
      </c>
      <c r="K51" s="36" t="n">
        <v>-635746000000</v>
      </c>
      <c r="L51" s="36" t="n">
        <v>-896635000000</v>
      </c>
      <c r="M51" s="36" t="n">
        <v>-1357530000000</v>
      </c>
      <c r="N51" s="36" t="n">
        <v>-1919821000000</v>
      </c>
      <c r="O51" s="36" t="n">
        <v>-2667704000000</v>
      </c>
      <c r="P51" s="36" t="n">
        <v>-4603082000000</v>
      </c>
      <c r="Q51" s="36" t="n">
        <v>-3160841000000</v>
      </c>
      <c r="R51" s="36" t="n">
        <v>-3046546000000</v>
      </c>
      <c r="S51" s="36" t="n">
        <v>-2516217000000</v>
      </c>
      <c r="T51" s="36" t="n">
        <v>-4607109000000</v>
      </c>
      <c r="U51" s="36" t="n">
        <v>-3484918000000</v>
      </c>
    </row>
    <row r="52">
      <c r="A52" s="35" t="inlineStr">
        <is>
          <t>Tiền thu các khoản nợ đã được xử lý, xóa, bù đắp bằng nguồn rủi ro</t>
        </is>
      </c>
      <c r="B52" s="36" t="n">
        <v>1422895000000</v>
      </c>
      <c r="C52" s="36" t="n">
        <v>1080236000000</v>
      </c>
      <c r="D52" s="36" t="n">
        <v>1259653000000</v>
      </c>
      <c r="E52" s="36" t="n">
        <v>1121235000000</v>
      </c>
      <c r="F52" s="36" t="n">
        <v>1311053000000</v>
      </c>
      <c r="G52" s="36" t="n">
        <v>831790000000</v>
      </c>
      <c r="H52" s="36" t="n">
        <v>1138200000000</v>
      </c>
      <c r="I52" s="36" t="n">
        <v>1354286000000</v>
      </c>
      <c r="J52" s="36" t="n">
        <v>161353000000</v>
      </c>
      <c r="K52" s="36" t="n">
        <v>309911000000</v>
      </c>
      <c r="L52" s="36" t="n">
        <v>345476000000</v>
      </c>
      <c r="M52" s="36" t="n">
        <v>606155000000</v>
      </c>
      <c r="N52" s="36" t="n">
        <v>391342000000</v>
      </c>
      <c r="O52" s="36" t="n">
        <v>309073000000</v>
      </c>
      <c r="P52" s="36" t="n">
        <v>286808000000</v>
      </c>
      <c r="Q52" s="36" t="n">
        <v>252745000000</v>
      </c>
      <c r="R52" s="36" t="n">
        <v>561070000000</v>
      </c>
      <c r="S52" s="36" t="n">
        <v>253663000000</v>
      </c>
      <c r="T52" s="36" t="n">
        <v>177395000000</v>
      </c>
      <c r="U52" s="36" t="n">
        <v>197174000000</v>
      </c>
    </row>
    <row r="53">
      <c r="A53" s="35" t="inlineStr">
        <is>
          <t>Chênh lệch số tiền thực thu/thực chi từ hoạt động kinh doanh</t>
        </is>
      </c>
      <c r="B53" s="36" t="n">
        <v>1310321000000</v>
      </c>
      <c r="C53" s="36" t="n">
        <v>1703869000000</v>
      </c>
      <c r="D53" s="36" t="n">
        <v>1897196000000</v>
      </c>
      <c r="E53" s="36" t="n">
        <v>2502188000000</v>
      </c>
      <c r="F53" s="36" t="n">
        <v>-420995000000</v>
      </c>
      <c r="G53" s="36" t="n">
        <v>1168505000000</v>
      </c>
      <c r="H53" s="36" t="n">
        <v>3150018000000</v>
      </c>
      <c r="I53" s="36" t="n">
        <v>4478027000000</v>
      </c>
      <c r="J53" s="36" t="n">
        <v>509749000000</v>
      </c>
      <c r="K53" s="36" t="n">
        <v>401406000000</v>
      </c>
      <c r="L53" s="36" t="n">
        <v>218307000000</v>
      </c>
      <c r="M53" s="36" t="n">
        <v>180839000000</v>
      </c>
      <c r="N53" s="36" t="n">
        <v>378272000000</v>
      </c>
      <c r="O53" s="36" t="n">
        <v>-20600000000</v>
      </c>
      <c r="P53" s="36" t="n">
        <v>1054270000000</v>
      </c>
      <c r="Q53" s="36" t="n">
        <v>1085080000000</v>
      </c>
      <c r="R53" s="36" t="n">
        <v>1339137000000</v>
      </c>
      <c r="S53" s="36" t="n">
        <v>999540000000</v>
      </c>
      <c r="T53" s="36" t="n">
        <v>865683000000</v>
      </c>
      <c r="U53" s="36" t="n">
        <v>383834000000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tabSelected="1" topLeftCell="A4" zoomScaleNormal="100" workbookViewId="0">
      <selection activeCell="I22" sqref="B2:I22"/>
    </sheetView>
  </sheetViews>
  <sheetFormatPr baseColWidth="8" defaultRowHeight="12.75"/>
  <cols>
    <col width="60.875" bestFit="1" customWidth="1" style="6" min="1" max="1"/>
    <col width="19.625" bestFit="1" customWidth="1" style="6" min="2" max="2"/>
    <col width="9" customWidth="1" style="6" min="3" max="3"/>
    <col width="9" customWidth="1" style="6" min="4" max="16384"/>
  </cols>
  <sheetData>
    <row r="1">
      <c r="A1" s="16" t="inlineStr">
        <is>
          <t>Chỉ tiêu</t>
        </is>
      </c>
      <c r="B1" s="17">
        <f>balance_sheet!J1</f>
        <v/>
      </c>
      <c r="C1" s="17">
        <f>balance_sheet!K1</f>
        <v/>
      </c>
      <c r="D1" s="17">
        <f>balance_sheet!L1</f>
        <v/>
      </c>
      <c r="E1" s="17">
        <f>balance_sheet!M1</f>
        <v/>
      </c>
      <c r="F1" s="17">
        <f>balance_sheet!N1</f>
        <v/>
      </c>
      <c r="G1" s="17">
        <f>balance_sheet!O1</f>
        <v/>
      </c>
      <c r="H1" s="17">
        <f>balance_sheet!P1</f>
        <v/>
      </c>
      <c r="I1" s="17">
        <f>balance_sheet!Q1</f>
        <v/>
      </c>
    </row>
    <row r="2">
      <c r="A2" s="2" t="inlineStr">
        <is>
          <t>ROE</t>
        </is>
      </c>
      <c r="B2" s="3">
        <f>IFERROR(B$64/AVERAGE(#REF!,B$52),"n/a")</f>
        <v/>
      </c>
      <c r="C2" s="37">
        <f>IFERROR(C$64/AVERAGE(B$52,C$52),"n/a")</f>
        <v/>
      </c>
      <c r="D2" s="37">
        <f>IFERROR(D$64/AVERAGE(C$52,D$52),"n/a")</f>
        <v/>
      </c>
      <c r="E2" s="37">
        <f>IFERROR(E$64/AVERAGE(D$52,E$52),"n/a")</f>
        <v/>
      </c>
      <c r="F2" s="37">
        <f>IFERROR(F$64/AVERAGE(E$52,F$52),"n/a")</f>
        <v/>
      </c>
      <c r="G2" s="37">
        <f>IFERROR(G$64/AVERAGE(F$52,G$52),"n/a")</f>
        <v/>
      </c>
      <c r="H2" s="37">
        <f>IFERROR(H$64/AVERAGE(G$52,H$52),"n/a")</f>
        <v/>
      </c>
      <c r="I2" s="37">
        <f>IFERROR(I$64/AVERAGE(H$52,I$52),"n/a")</f>
        <v/>
      </c>
    </row>
    <row r="3">
      <c r="A3" s="2" t="inlineStr">
        <is>
          <t>Tăng trưởng LNST QQ</t>
        </is>
      </c>
      <c r="B3" s="3">
        <f>IFERROR((B$64-#REF!)/ABS(#REF!),"n/a")</f>
        <v/>
      </c>
      <c r="C3" s="18">
        <f>IFERROR((C$64-B$64)/ABS(B$64),"n/a")</f>
        <v/>
      </c>
      <c r="D3" s="18">
        <f>IFERROR((D$64-C$64)/ABS(C$64),"n/a")</f>
        <v/>
      </c>
      <c r="E3" s="18">
        <f>IFERROR((E$64-D$64)/ABS(D$64),"n/a")</f>
        <v/>
      </c>
      <c r="F3" s="18">
        <f>IFERROR((F$64-E$64)/ABS(E$64),"n/a")</f>
        <v/>
      </c>
      <c r="G3" s="18">
        <f>IFERROR((G$64-F$64)/ABS(F$64),"n/a")</f>
        <v/>
      </c>
      <c r="H3" s="18">
        <f>IFERROR((H$64-G$64)/ABS(G$64),"n/a")</f>
        <v/>
      </c>
      <c r="I3" s="18">
        <f>IFERROR((I$64-H$64)/ABS(H$64),"n/a")</f>
        <v/>
      </c>
    </row>
    <row r="4">
      <c r="A4" s="2" t="inlineStr">
        <is>
          <t>Tăng trưởng LNST YY</t>
        </is>
      </c>
      <c r="B4" s="3" t="n"/>
      <c r="C4" s="3" t="n"/>
      <c r="D4" s="3" t="n"/>
      <c r="E4" s="3" t="n"/>
      <c r="F4" s="37">
        <f>IFERROR((F$64-B$64)/ABS(B$64),"n/a")</f>
        <v/>
      </c>
      <c r="G4" s="37">
        <f>IFERROR((G$64-C$64)/ABS(C$64),"n/a")</f>
        <v/>
      </c>
      <c r="H4" s="37">
        <f>IFERROR((H$64-D$64)/ABS(D$64),"n/a")</f>
        <v/>
      </c>
      <c r="I4" s="37">
        <f>IFERROR((I$64-E$64)/ABS(E$64),"n/a")</f>
        <v/>
      </c>
    </row>
    <row r="5">
      <c r="A5" s="2" t="inlineStr">
        <is>
          <t>Tăng trưởng thu nhập hoạt động QQ</t>
        </is>
      </c>
      <c r="B5" s="3">
        <f>IFERROR((B$58-#REF!)/ABS(#REF!),"n/a")</f>
        <v/>
      </c>
      <c r="C5" s="19">
        <f>IFERROR((C$58-B$58)/ABS(B$58),"n/a")</f>
        <v/>
      </c>
      <c r="D5" s="19">
        <f>IFERROR((D$58-C$58)/ABS(C$58),"n/a")</f>
        <v/>
      </c>
      <c r="E5" s="19">
        <f>IFERROR((E$58-D$58)/ABS(D$58),"n/a")</f>
        <v/>
      </c>
      <c r="F5" s="19">
        <f>IFERROR((F$58-E$58)/ABS(E$58),"n/a")</f>
        <v/>
      </c>
      <c r="G5" s="19">
        <f>IFERROR((G$58-F$58)/ABS(F$58),"n/a")</f>
        <v/>
      </c>
      <c r="H5" s="19">
        <f>IFERROR((H$58-G$58)/ABS(G$58),"n/a")</f>
        <v/>
      </c>
      <c r="I5" s="19">
        <f>IFERROR((I$58-H$58)/ABS(H$58),"n/a")</f>
        <v/>
      </c>
    </row>
    <row r="6">
      <c r="A6" s="2" t="inlineStr">
        <is>
          <t>Tăng trưởng thu nhập hoạt động YY</t>
        </is>
      </c>
      <c r="B6" s="3" t="n"/>
      <c r="C6" s="3" t="n"/>
      <c r="D6" s="3" t="n"/>
      <c r="E6" s="3" t="n"/>
      <c r="F6" s="37">
        <f>IFERROR((F$58-B$58)/ABS(B$58),"n/a")</f>
        <v/>
      </c>
      <c r="G6" s="37">
        <f>IFERROR((G$58-C$58)/ABS(C$58),"n/a")</f>
        <v/>
      </c>
      <c r="H6" s="37">
        <f>IFERROR((H$58-D$58)/ABS(D$58),"n/a")</f>
        <v/>
      </c>
      <c r="I6" s="37">
        <f>IFERROR((I$58-E$58)/ABS(E$58),"n/a")</f>
        <v/>
      </c>
    </row>
    <row r="7">
      <c r="A7" s="2" t="inlineStr">
        <is>
          <t>% Dư nợ cho vay kinh doanh BĐS</t>
        </is>
      </c>
      <c r="B7" s="3">
        <f>IFERROR(B$40/#REF!,"n/a")</f>
        <v/>
      </c>
      <c r="C7" s="3">
        <f>IFERROR(C$40/#REF!,"n/a")</f>
        <v/>
      </c>
      <c r="D7" s="3">
        <f>IFERROR(D$40/#REF!,"n/a")</f>
        <v/>
      </c>
      <c r="E7" s="3">
        <f>IFERROR(E$40/#REF!,"n/a")</f>
        <v/>
      </c>
      <c r="F7" s="3">
        <f>IFERROR(F$40/#REF!,"n/a")</f>
        <v/>
      </c>
      <c r="G7" s="3">
        <f>IFERROR(G$40/#REF!,"n/a")</f>
        <v/>
      </c>
      <c r="H7" s="3">
        <f>IFERROR(H$40/#REF!,"n/a")</f>
        <v/>
      </c>
      <c r="I7" s="3">
        <f>IFERROR(I$40/#REF!,"n/a")</f>
        <v/>
      </c>
    </row>
    <row r="8">
      <c r="A8" s="4" t="inlineStr">
        <is>
          <t>NIM</t>
        </is>
      </c>
      <c r="B8" s="3">
        <f>IFERROR(B$58/AVERAGE(B$46,#REF!),"n/a")</f>
        <v/>
      </c>
      <c r="C8" s="3">
        <f>IFERROR(C$58/AVERAGE(C$46,B46),"n/a")</f>
        <v/>
      </c>
      <c r="D8" s="3">
        <f>IFERROR(D$58/AVERAGE(D$46,C46),"n/a")</f>
        <v/>
      </c>
      <c r="E8" s="3">
        <f>IFERROR(E$58/AVERAGE(E$46,D46),"n/a")</f>
        <v/>
      </c>
      <c r="F8" s="3">
        <f>IFERROR(F$58/AVERAGE(F$46,E46),"n/a")</f>
        <v/>
      </c>
      <c r="G8" s="3">
        <f>IFERROR(G$58/AVERAGE(G$46,F46),"n/a")</f>
        <v/>
      </c>
      <c r="H8" s="3">
        <f>IFERROR(H$58/AVERAGE(H$46,G46),"n/a")</f>
        <v/>
      </c>
      <c r="I8" s="3">
        <f>IFERROR(I$58/AVERAGE(I$46,H46),"n/a")</f>
        <v/>
      </c>
    </row>
    <row r="9">
      <c r="A9" s="2" t="inlineStr">
        <is>
          <t>CASA</t>
        </is>
      </c>
      <c r="B9" s="3">
        <f>IFERROR((#REF!+B$49+#REF!+B$51)/(#REF!+B$48),"n/a")</f>
        <v/>
      </c>
      <c r="C9" s="3">
        <f>IFERROR((B$49+C$49+B$51+C$51)/(B$48+C$48),"n/a")</f>
        <v/>
      </c>
      <c r="D9" s="3">
        <f>IFERROR((C$49+D$49+C$51+D$51)/(C$48+D$48),"n/a")</f>
        <v/>
      </c>
      <c r="E9" s="3">
        <f>IFERROR((D$49+E$49+D$51+E$51)/(D$48+E$48),"n/a")</f>
        <v/>
      </c>
      <c r="F9" s="3">
        <f>IFERROR((E$49+F$49+E$51+F$51)/(E$48+F$48),"n/a")</f>
        <v/>
      </c>
      <c r="G9" s="3">
        <f>IFERROR((F$49+G$49+F$51+G$51)/(F$48+G$48),"n/a")</f>
        <v/>
      </c>
      <c r="H9" s="3">
        <f>IFERROR((G$49+H$49+G$51+H$51)/(G$48+H$48),"n/a")</f>
        <v/>
      </c>
      <c r="I9" s="3">
        <f>IFERROR((H$49+I$49+H$51+I$51)/(H$48+I$48),"n/a")</f>
        <v/>
      </c>
    </row>
    <row r="10">
      <c r="A10" s="2" t="inlineStr">
        <is>
          <t>NPL</t>
        </is>
      </c>
      <c r="B10" s="3">
        <f>IFERROR((B$39/#REF!),"n/a")</f>
        <v/>
      </c>
      <c r="C10" s="3">
        <f>IFERROR((C$39/#REF!),"n/a")</f>
        <v/>
      </c>
      <c r="D10" s="3">
        <f>IFERROR((D$39/#REF!),"n/a")</f>
        <v/>
      </c>
      <c r="E10" s="3">
        <f>IFERROR((E$39/#REF!),"n/a")</f>
        <v/>
      </c>
      <c r="F10" s="3">
        <f>IFERROR((F$39/#REF!),"n/a")</f>
        <v/>
      </c>
      <c r="G10" s="3">
        <f>IFERROR((G$39/#REF!),"n/a")</f>
        <v/>
      </c>
      <c r="H10" s="3">
        <f>IFERROR((H$39/#REF!),"n/a")</f>
        <v/>
      </c>
      <c r="I10" s="3">
        <f>IFERROR((I$39/#REF!),"n/a")</f>
        <v/>
      </c>
    </row>
    <row r="11">
      <c r="A11" s="4" t="inlineStr">
        <is>
          <t>COF</t>
        </is>
      </c>
      <c r="B11" s="20">
        <f>IFERROR(ABS(B$57)/AVERAGE(B$46,#REF!),"n/a")</f>
        <v/>
      </c>
      <c r="C11" s="20">
        <f>IFERROR(ABS(C$57)/AVERAGE(C$46,B46),"n/a")</f>
        <v/>
      </c>
      <c r="D11" s="20">
        <f>IFERROR(ABS(D$57)/AVERAGE(D$46,C46),"n/a")</f>
        <v/>
      </c>
      <c r="E11" s="20">
        <f>IFERROR(ABS(E$57)/AVERAGE(E$46,D46),"n/a")</f>
        <v/>
      </c>
      <c r="F11" s="20">
        <f>IFERROR(ABS(F$57)/AVERAGE(F$46,E46),"n/a")</f>
        <v/>
      </c>
      <c r="G11" s="20">
        <f>IFERROR(ABS(G$57)/AVERAGE(G$46,F46),"n/a")</f>
        <v/>
      </c>
      <c r="H11" s="20">
        <f>IFERROR(ABS(H$57)/AVERAGE(H$46,G46),"n/a")</f>
        <v/>
      </c>
      <c r="I11" s="20">
        <f>IFERROR(ABS(I$57)/AVERAGE(I$46,H46),"n/a")</f>
        <v/>
      </c>
    </row>
    <row r="12">
      <c r="A12" s="2" t="inlineStr">
        <is>
          <t>LLR</t>
        </is>
      </c>
      <c r="B12" s="3">
        <f>IFERROR(ABS(B$41)/B$39,"n/a")</f>
        <v/>
      </c>
      <c r="C12" s="3">
        <f>IFERROR(ABS(C$41)/C$39,"n/a")</f>
        <v/>
      </c>
      <c r="D12" s="3">
        <f>IFERROR(ABS(D$41)/D$39,"n/a")</f>
        <v/>
      </c>
      <c r="E12" s="3">
        <f>IFERROR(ABS(E$41)/E$39,"n/a")</f>
        <v/>
      </c>
      <c r="F12" s="3">
        <f>IFERROR(ABS(F$41)/F$39,"n/a")</f>
        <v/>
      </c>
      <c r="G12" s="3">
        <f>IFERROR(ABS(G$41)/G$39,"n/a")</f>
        <v/>
      </c>
      <c r="H12" s="3">
        <f>IFERROR(ABS(H$41)/H$39,"n/a")</f>
        <v/>
      </c>
      <c r="I12" s="3">
        <f>IFERROR(ABS(I$41)/I$39,"n/a")</f>
        <v/>
      </c>
    </row>
    <row r="13">
      <c r="A13" s="2" t="inlineStr">
        <is>
          <t>CAR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2" t="inlineStr">
        <is>
          <t>LDR</t>
        </is>
      </c>
      <c r="B14" s="3">
        <f>IFERROR(B$33/B$48,"n/a")</f>
        <v/>
      </c>
      <c r="C14" s="3">
        <f>IFERROR(C$33/C$48,"n/a")</f>
        <v/>
      </c>
      <c r="D14" s="3">
        <f>IFERROR(D$33/D$48,"n/a")</f>
        <v/>
      </c>
      <c r="E14" s="3">
        <f>IFERROR(E$33/E$48,"n/a")</f>
        <v/>
      </c>
      <c r="F14" s="3">
        <f>IFERROR(F$33/F$48,"n/a")</f>
        <v/>
      </c>
      <c r="G14" s="3">
        <f>IFERROR(G$33/G$48,"n/a")</f>
        <v/>
      </c>
      <c r="H14" s="3">
        <f>IFERROR(H$33/H$48,"n/a")</f>
        <v/>
      </c>
      <c r="I14" s="3">
        <f>IFERROR(I$33/I$48,"n/a")</f>
        <v/>
      </c>
    </row>
    <row r="15">
      <c r="A15" s="2" t="inlineStr">
        <is>
          <t>Tăng trưởng vốn huy động QQ</t>
        </is>
      </c>
      <c r="B15" s="3">
        <f>IFERROR((B$48-#REF!)/ABS(#REF!),"n/a")</f>
        <v/>
      </c>
      <c r="C15" s="3">
        <f>IFERROR((C$48-B$48)/ABS(B$48),"n/a")</f>
        <v/>
      </c>
      <c r="D15" s="3">
        <f>IFERROR((D$48-C$48)/ABS(C$48),"n/a")</f>
        <v/>
      </c>
      <c r="E15" s="3">
        <f>IFERROR((E$48-D$48)/ABS(D$48),"n/a")</f>
        <v/>
      </c>
      <c r="F15" s="3">
        <f>IFERROR((F$48-E$48)/ABS(E$48),"n/a")</f>
        <v/>
      </c>
      <c r="G15" s="3">
        <f>IFERROR((G$48-F$48)/ABS(F$48),"n/a")</f>
        <v/>
      </c>
      <c r="H15" s="3">
        <f>IFERROR((H$48-G$48)/ABS(G$48),"n/a")</f>
        <v/>
      </c>
      <c r="I15" s="3">
        <f>IFERROR((I$48-H$48)/ABS(H$48),"n/a")</f>
        <v/>
      </c>
    </row>
    <row r="16">
      <c r="A16" s="2" t="inlineStr">
        <is>
          <t>Tăng trưởng vốn huy động YY</t>
        </is>
      </c>
      <c r="B16" s="3" t="n"/>
      <c r="C16" s="3" t="n"/>
      <c r="D16" s="3" t="n"/>
      <c r="E16" s="3" t="n"/>
      <c r="F16" s="3">
        <f>IFERROR((F$48-B$48)/ABS(B$48),"n/a")</f>
        <v/>
      </c>
      <c r="G16" s="3">
        <f>IFERROR((G$48-C$48)/ABS(C$48),"n/a")</f>
        <v/>
      </c>
      <c r="H16" s="3">
        <f>IFERROR((H$48-D$48)/ABS(D$48),"n/a")</f>
        <v/>
      </c>
      <c r="I16" s="3">
        <f>IFERROR((I$48-E$48)/ABS(E$48),"n/a")</f>
        <v/>
      </c>
    </row>
    <row r="17">
      <c r="A17" s="2" t="inlineStr">
        <is>
          <t>Tăng trưởng tín dụng QQ</t>
        </is>
      </c>
      <c r="B17" s="3">
        <f>IFERROR((B$33-#REF!)/ABS(#REF!),"n/a")</f>
        <v/>
      </c>
      <c r="C17" s="3">
        <f>IFERROR((C$33-B$33)/ABS(B$33),"n/a")</f>
        <v/>
      </c>
      <c r="D17" s="3">
        <f>IFERROR((D$33-C$33)/ABS(C$33),"n/a")</f>
        <v/>
      </c>
      <c r="E17" s="3">
        <f>IFERROR((E$33-D$33)/ABS(D$33),"n/a")</f>
        <v/>
      </c>
      <c r="F17" s="3">
        <f>IFERROR((F$33-E$33)/ABS(E$33),"n/a")</f>
        <v/>
      </c>
      <c r="G17" s="3">
        <f>IFERROR((G$33-F$33)/ABS(F$33),"n/a")</f>
        <v/>
      </c>
      <c r="H17" s="3">
        <f>IFERROR((H$33-G$33)/ABS(G$33),"n/a")</f>
        <v/>
      </c>
      <c r="I17" s="3">
        <f>IFERROR((I$33-H$33)/ABS(H$33),"n/a")</f>
        <v/>
      </c>
    </row>
    <row r="18">
      <c r="A18" s="2" t="inlineStr">
        <is>
          <t>Tăng trưởng tín dụng YY</t>
        </is>
      </c>
      <c r="B18" s="3" t="n"/>
      <c r="C18" s="3" t="n"/>
      <c r="D18" s="3" t="n"/>
      <c r="E18" s="3" t="n"/>
      <c r="F18" s="3">
        <f>IFERROR((F$33-B$33)/ABS(B$33),"n/a")</f>
        <v/>
      </c>
      <c r="G18" s="3">
        <f>IFERROR((G$33-C$33)/ABS(C$33),"n/a")</f>
        <v/>
      </c>
      <c r="H18" s="3">
        <f>IFERROR((H$33-D$33)/ABS(D$33),"n/a")</f>
        <v/>
      </c>
      <c r="I18" s="3">
        <f>IFERROR((I$33-E$33)/ABS(E$33),"n/a")</f>
        <v/>
      </c>
    </row>
    <row r="19">
      <c r="A19" s="2" t="inlineStr">
        <is>
          <t>CIR</t>
        </is>
      </c>
      <c r="B19" s="3">
        <f>IFERROR(ABS(B$61)/B$60,"n/a")</f>
        <v/>
      </c>
      <c r="C19" s="3">
        <f>IFERROR(ABS(C$61)/C$60,"n/a")</f>
        <v/>
      </c>
      <c r="D19" s="3">
        <f>IFERROR(ABS(D$61)/D$60,"n/a")</f>
        <v/>
      </c>
      <c r="E19" s="3">
        <f>IFERROR(ABS(E$61)/E$60,"n/a")</f>
        <v/>
      </c>
      <c r="F19" s="3">
        <f>IFERROR(ABS(F$61)/F$60,"n/a")</f>
        <v/>
      </c>
      <c r="G19" s="3">
        <f>IFERROR(ABS(G$61)/G$60,"n/a")</f>
        <v/>
      </c>
      <c r="H19" s="3">
        <f>IFERROR(ABS(H$61)/H$60,"n/a")</f>
        <v/>
      </c>
      <c r="I19" s="3">
        <f>IFERROR(ABS(I$61)/I$60,"n/a")</f>
        <v/>
      </c>
    </row>
    <row r="20">
      <c r="A20" s="4" t="inlineStr">
        <is>
          <t>VCSH/Tổng tài sản</t>
        </is>
      </c>
      <c r="B20" s="20">
        <f>IFERROR(B$52/B$28,"n/a")</f>
        <v/>
      </c>
      <c r="C20" s="20">
        <f>IFERROR(C$52/C$28,"n/a")</f>
        <v/>
      </c>
      <c r="D20" s="20">
        <f>IFERROR(D$52/D$28,"n/a")</f>
        <v/>
      </c>
      <c r="E20" s="20">
        <f>IFERROR(E$52/E$28,"n/a")</f>
        <v/>
      </c>
      <c r="F20" s="20">
        <f>IFERROR(F$52/F$28,"n/a")</f>
        <v/>
      </c>
      <c r="G20" s="20">
        <f>IFERROR(G$52/G$28,"n/a")</f>
        <v/>
      </c>
      <c r="H20" s="20">
        <f>IFERROR(H$52/H$28,"n/a")</f>
        <v/>
      </c>
      <c r="I20" s="20">
        <f>IFERROR(I$52/I$28,"n/a")</f>
        <v/>
      </c>
    </row>
    <row r="21">
      <c r="A21" s="4" t="inlineStr">
        <is>
          <t>Tỷ lệ lãi và phí phải thu/Thu nhập lãi</t>
        </is>
      </c>
      <c r="B21" s="20">
        <f>IFERROR(B62/B$56,"n/a")</f>
        <v/>
      </c>
      <c r="C21" s="20">
        <f>IFERROR(C62/C$56,"n/a")</f>
        <v/>
      </c>
      <c r="D21" s="20">
        <f>IFERROR(D62/D$56,"n/a")</f>
        <v/>
      </c>
      <c r="E21" s="20">
        <f>IFERROR(E62/E$56,"n/a")</f>
        <v/>
      </c>
      <c r="F21" s="20">
        <f>IFERROR(F62/F$56,"n/a")</f>
        <v/>
      </c>
      <c r="G21" s="20">
        <f>IFERROR(G62/G$56,"n/a")</f>
        <v/>
      </c>
      <c r="H21" s="20">
        <f>IFERROR(H62/H$56,"n/a")</f>
        <v/>
      </c>
      <c r="I21" s="20">
        <f>IFERROR(I62/I$56,"n/a")</f>
        <v/>
      </c>
    </row>
    <row r="22">
      <c r="A22" s="2" t="inlineStr">
        <is>
          <t>Thu nhập ngoài lãi/Thu nhập hoạt động</t>
        </is>
      </c>
      <c r="B22" s="3">
        <f>IFERROR(B$59/B$60,"n/a")</f>
        <v/>
      </c>
      <c r="C22" s="3">
        <f>IFERROR(C$59/C$60,"n/a")</f>
        <v/>
      </c>
      <c r="D22" s="3">
        <f>IFERROR(D$59/D$60,"n/a")</f>
        <v/>
      </c>
      <c r="E22" s="3">
        <f>IFERROR(E$59/E$60,"n/a")</f>
        <v/>
      </c>
      <c r="F22" s="3">
        <f>IFERROR(F$59/F$60,"n/a")</f>
        <v/>
      </c>
      <c r="G22" s="3">
        <f>IFERROR(G$59/G$60,"n/a")</f>
        <v/>
      </c>
      <c r="H22" s="3">
        <f>IFERROR(H$59/H$60,"n/a")</f>
        <v/>
      </c>
      <c r="I22" s="3">
        <f>IFERROR(I$59/I$60,"n/a")</f>
        <v/>
      </c>
    </row>
    <row r="24">
      <c r="A24" s="21" t="inlineStr">
        <is>
          <t>II. DỮ LIỆU TRÍCH XUẤT (tự động dò theo tên khoản mục)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</row>
    <row r="25">
      <c r="A25" s="10" t="inlineStr">
        <is>
          <t>Khoản mục</t>
        </is>
      </c>
      <c r="B25" s="23">
        <f>balance_sheet!J1</f>
        <v/>
      </c>
      <c r="C25" s="23">
        <f>balance_sheet!K1</f>
        <v/>
      </c>
      <c r="D25" s="23">
        <f>balance_sheet!L1</f>
        <v/>
      </c>
      <c r="E25" s="23">
        <f>balance_sheet!M1</f>
        <v/>
      </c>
      <c r="F25" s="23">
        <f>balance_sheet!N1</f>
        <v/>
      </c>
      <c r="G25" s="23">
        <f>balance_sheet!O1</f>
        <v/>
      </c>
      <c r="H25" s="23">
        <f>balance_sheet!P1</f>
        <v/>
      </c>
      <c r="I25" s="23">
        <f>balance_sheet!Q1</f>
        <v/>
      </c>
    </row>
    <row r="26">
      <c r="A26" s="10" t="inlineStr">
        <is>
          <t>CĐKT</t>
        </is>
      </c>
      <c r="B26" s="24" t="n"/>
      <c r="C26" s="24" t="n"/>
      <c r="D26" s="24" t="n"/>
      <c r="E26" s="24" t="n"/>
      <c r="F26" s="24" t="n"/>
      <c r="G26" s="24" t="n"/>
      <c r="H26" s="24" t="n"/>
      <c r="I26" s="24" t="n"/>
    </row>
    <row r="27">
      <c r="A27" s="10" t="inlineStr">
        <is>
          <t>Tài sản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</row>
    <row r="28">
      <c r="A28" s="1" t="inlineStr">
        <is>
          <t>TỔNG TÀI SẢN</t>
        </is>
      </c>
      <c r="B28" s="11">
        <f>IFERROR(INDEX(balance_sheet!$B:$XFD,MATCH("TỔNG TÀI SẢN",balance_sheet!$A:$A,0),MATCH(B$25,balance_sheet!$B$1:$XFD$1,0)),"")</f>
        <v/>
      </c>
      <c r="C28" s="11">
        <f>IFERROR(INDEX(balance_sheet!$B:$XFD,MATCH("TỔNG TÀI SẢN",balance_sheet!$A:$A,0),MATCH(C$25,balance_sheet!$B$1:$XFD$1,0)),"")</f>
        <v/>
      </c>
      <c r="D28" s="11">
        <f>IFERROR(INDEX(balance_sheet!$B:$XFD,MATCH("TỔNG TÀI SẢN",balance_sheet!$A:$A,0),MATCH(D$25,balance_sheet!$B$1:$XFD$1,0)),"")</f>
        <v/>
      </c>
      <c r="E28" s="11">
        <f>IFERROR(INDEX(balance_sheet!$B:$XFD,MATCH("TỔNG TÀI SẢN",balance_sheet!$A:$A,0),MATCH(E$25,balance_sheet!$B$1:$XFD$1,0)),"")</f>
        <v/>
      </c>
      <c r="F28" s="11">
        <f>IFERROR(INDEX(balance_sheet!$B:$XFD,MATCH("TỔNG TÀI SẢN",balance_sheet!$A:$A,0),MATCH(F$25,balance_sheet!$B$1:$XFD$1,0)),"")</f>
        <v/>
      </c>
      <c r="G28" s="11">
        <f>IFERROR(INDEX(balance_sheet!$B:$XFD,MATCH("TỔNG TÀI SẢN",balance_sheet!$A:$A,0),MATCH(G$25,balance_sheet!$B$1:$XFD$1,0)),"")</f>
        <v/>
      </c>
      <c r="H28" s="11">
        <f>IFERROR(INDEX(balance_sheet!$B:$XFD,MATCH("TỔNG TÀI SẢN",balance_sheet!$A:$A,0),MATCH(H$25,balance_sheet!$B$1:$XFD$1,0)),"")</f>
        <v/>
      </c>
      <c r="I28" s="11">
        <f>IFERROR(INDEX(balance_sheet!$B:$XFD,MATCH("TỔNG TÀI SẢN",balance_sheet!$A:$A,0),MATCH(I$25,balance_sheet!$B$1:$XFD$1,0)),"")</f>
        <v/>
      </c>
    </row>
    <row r="29">
      <c r="A29" s="1" t="inlineStr">
        <is>
          <t>Tiền gửi tại Ngân hàng nhà nước Việt Nam</t>
        </is>
      </c>
      <c r="B29" s="11">
        <f>IFERROR(INDEX(balance_sheet!$B:$XFD,MATCH("Tiền gửi tại Ngân hàng nhà nước Việt Nam",balance_sheet!$A:$A,0),MATCH(B$25,balance_sheet!$B$1:$XFD$1,0)),"")</f>
        <v/>
      </c>
      <c r="C29" s="11">
        <f>IFERROR(INDEX(balance_sheet!$B:$XFD,MATCH("Tiền gửi tại Ngân hàng nhà nước Việt Nam",balance_sheet!$A:$A,0),MATCH(C$25,balance_sheet!$B$1:$XFD$1,0)),"")</f>
        <v/>
      </c>
      <c r="D29" s="11">
        <f>IFERROR(INDEX(balance_sheet!$B:$XFD,MATCH("Tiền gửi tại Ngân hàng nhà nước Việt Nam",balance_sheet!$A:$A,0),MATCH(D$25,balance_sheet!$B$1:$XFD$1,0)),"")</f>
        <v/>
      </c>
      <c r="E29" s="11">
        <f>IFERROR(INDEX(balance_sheet!$B:$XFD,MATCH("Tiền gửi tại Ngân hàng nhà nước Việt Nam",balance_sheet!$A:$A,0),MATCH(E$25,balance_sheet!$B$1:$XFD$1,0)),"")</f>
        <v/>
      </c>
      <c r="F29" s="11">
        <f>IFERROR(INDEX(balance_sheet!$B:$XFD,MATCH("Tiền gửi tại Ngân hàng nhà nước Việt Nam",balance_sheet!$A:$A,0),MATCH(F$25,balance_sheet!$B$1:$XFD$1,0)),"")</f>
        <v/>
      </c>
      <c r="G29" s="11">
        <f>IFERROR(INDEX(balance_sheet!$B:$XFD,MATCH("Tiền gửi tại Ngân hàng nhà nước Việt Nam",balance_sheet!$A:$A,0),MATCH(G$25,balance_sheet!$B$1:$XFD$1,0)),"")</f>
        <v/>
      </c>
      <c r="H29" s="11">
        <f>IFERROR(INDEX(balance_sheet!$B:$XFD,MATCH("Tiền gửi tại Ngân hàng nhà nước Việt Nam",balance_sheet!$A:$A,0),MATCH(H$25,balance_sheet!$B$1:$XFD$1,0)),"")</f>
        <v/>
      </c>
      <c r="I29" s="11">
        <f>IFERROR(INDEX(balance_sheet!$B:$XFD,MATCH("Tiền gửi tại Ngân hàng nhà nước Việt Nam",balance_sheet!$A:$A,0),MATCH(I$25,balance_sheet!$B$1:$XFD$1,0)),"")</f>
        <v/>
      </c>
    </row>
    <row r="30">
      <c r="A30" s="1" t="inlineStr">
        <is>
          <t>Tiền gửi tại các TCTD khác và cho vay các TCTD khác</t>
        </is>
      </c>
      <c r="B30" s="11">
        <f>IFERROR(INDEX(balance_sheet!$B:$XFD,MATCH("Tiền gửi tại các TCTD khác và cho vay các TCTD khác",balance_sheet!$A:$A,0),MATCH(B$25,balance_sheet!$B$1:$XFD$1,0)),"")</f>
        <v/>
      </c>
      <c r="C30" s="11">
        <f>IFERROR(INDEX(balance_sheet!$B:$XFD,MATCH("Tiền gửi tại các TCTD khác và cho vay các TCTD khác",balance_sheet!$A:$A,0),MATCH(C$25,balance_sheet!$B$1:$XFD$1,0)),"")</f>
        <v/>
      </c>
      <c r="D30" s="11">
        <f>IFERROR(INDEX(balance_sheet!$B:$XFD,MATCH("Tiền gửi tại các TCTD khác và cho vay các TCTD khác",balance_sheet!$A:$A,0),MATCH(D$25,balance_sheet!$B$1:$XFD$1,0)),"")</f>
        <v/>
      </c>
      <c r="E30" s="11">
        <f>IFERROR(INDEX(balance_sheet!$B:$XFD,MATCH("Tiền gửi tại các TCTD khác và cho vay các TCTD khác",balance_sheet!$A:$A,0),MATCH(E$25,balance_sheet!$B$1:$XFD$1,0)),"")</f>
        <v/>
      </c>
      <c r="F30" s="11">
        <f>IFERROR(INDEX(balance_sheet!$B:$XFD,MATCH("Tiền gửi tại các TCTD khác và cho vay các TCTD khác",balance_sheet!$A:$A,0),MATCH(F$25,balance_sheet!$B$1:$XFD$1,0)),"")</f>
        <v/>
      </c>
      <c r="G30" s="11">
        <f>IFERROR(INDEX(balance_sheet!$B:$XFD,MATCH("Tiền gửi tại các TCTD khác và cho vay các TCTD khác",balance_sheet!$A:$A,0),MATCH(G$25,balance_sheet!$B$1:$XFD$1,0)),"")</f>
        <v/>
      </c>
      <c r="H30" s="11">
        <f>IFERROR(INDEX(balance_sheet!$B:$XFD,MATCH("Tiền gửi tại các TCTD khác và cho vay các TCTD khác",balance_sheet!$A:$A,0),MATCH(H$25,balance_sheet!$B$1:$XFD$1,0)),"")</f>
        <v/>
      </c>
      <c r="I30" s="11">
        <f>IFERROR(INDEX(balance_sheet!$B:$XFD,MATCH("Tiền gửi tại các TCTD khác và cho vay các TCTD khác",balance_sheet!$A:$A,0),MATCH(I$25,balance_sheet!$B$1:$XFD$1,0)),"")</f>
        <v/>
      </c>
    </row>
    <row r="31">
      <c r="A31" s="5" t="inlineStr">
        <is>
          <t>Dự phòng rủi ro cho vay các TCTD khác</t>
        </is>
      </c>
      <c r="B31" s="11">
        <f>IFERROR(INDEX(balance_sheet!$B:$XFD,MATCH("Dự phòng rủi ro",balance_sheet!$A:$A,0),MATCH(B$25,balance_sheet!$B$1:$XFD$1,0)),"")</f>
        <v/>
      </c>
      <c r="C31" s="11">
        <f>IFERROR(INDEX(balance_sheet!$B:$XFD,MATCH("Dự phòng rủi ro",balance_sheet!$A:$A,0),MATCH(C$25,balance_sheet!$B$1:$XFD$1,0)),"")</f>
        <v/>
      </c>
      <c r="D31" s="11">
        <f>IFERROR(INDEX(balance_sheet!$B:$XFD,MATCH("Dự phòng rủi ro",balance_sheet!$A:$A,0),MATCH(D$25,balance_sheet!$B$1:$XFD$1,0)),"")</f>
        <v/>
      </c>
      <c r="E31" s="11">
        <f>IFERROR(INDEX(balance_sheet!$B:$XFD,MATCH("Dự phòng rủi ro",balance_sheet!$A:$A,0),MATCH(E$25,balance_sheet!$B$1:$XFD$1,0)),"")</f>
        <v/>
      </c>
      <c r="F31" s="11">
        <f>IFERROR(INDEX(balance_sheet!$B:$XFD,MATCH("Dự phòng rủi ro",balance_sheet!$A:$A,0),MATCH(F$25,balance_sheet!$B$1:$XFD$1,0)),"")</f>
        <v/>
      </c>
      <c r="G31" s="11">
        <f>IFERROR(INDEX(balance_sheet!$B:$XFD,MATCH("Dự phòng rủi ro",balance_sheet!$A:$A,0),MATCH(G$25,balance_sheet!$B$1:$XFD$1,0)),"")</f>
        <v/>
      </c>
      <c r="H31" s="11">
        <f>IFERROR(INDEX(balance_sheet!$B:$XFD,MATCH("Dự phòng rủi ro",balance_sheet!$A:$A,0),MATCH(H$25,balance_sheet!$B$1:$XFD$1,0)),"")</f>
        <v/>
      </c>
      <c r="I31" s="11">
        <f>IFERROR(INDEX(balance_sheet!$B:$XFD,MATCH("Dự phòng rủi ro",balance_sheet!$A:$A,0),MATCH(I$25,balance_sheet!$B$1:$XFD$1,0)),"")</f>
        <v/>
      </c>
    </row>
    <row r="32">
      <c r="A32" s="1" t="inlineStr">
        <is>
          <t>Chứng khoán kinh doanh</t>
        </is>
      </c>
      <c r="B32" s="11">
        <f>IFERROR(INDEX(balance_sheet!$B:$XFD,MATCH("Chứng khoán kinh doanh",balance_sheet!$A:$A,0),MATCH(B$25,balance_sheet!$B$1:$XFD$1,0)),"")</f>
        <v/>
      </c>
      <c r="C32" s="11">
        <f>IFERROR(INDEX(balance_sheet!$B:$XFD,MATCH("Chứng khoán kinh doanh",balance_sheet!$A:$A,0),MATCH(C$25,balance_sheet!$B$1:$XFD$1,0)),"")</f>
        <v/>
      </c>
      <c r="D32" s="11">
        <f>IFERROR(INDEX(balance_sheet!$B:$XFD,MATCH("Chứng khoán kinh doanh",balance_sheet!$A:$A,0),MATCH(D$25,balance_sheet!$B$1:$XFD$1,0)),"")</f>
        <v/>
      </c>
      <c r="E32" s="11">
        <f>IFERROR(INDEX(balance_sheet!$B:$XFD,MATCH("Chứng khoán kinh doanh",balance_sheet!$A:$A,0),MATCH(E$25,balance_sheet!$B$1:$XFD$1,0)),"")</f>
        <v/>
      </c>
      <c r="F32" s="11">
        <f>IFERROR(INDEX(balance_sheet!$B:$XFD,MATCH("Chứng khoán kinh doanh",balance_sheet!$A:$A,0),MATCH(F$25,balance_sheet!$B$1:$XFD$1,0)),"")</f>
        <v/>
      </c>
      <c r="G32" s="11">
        <f>IFERROR(INDEX(balance_sheet!$B:$XFD,MATCH("Chứng khoán kinh doanh",balance_sheet!$A:$A,0),MATCH(G$25,balance_sheet!$B$1:$XFD$1,0)),"")</f>
        <v/>
      </c>
      <c r="H32" s="11">
        <f>IFERROR(INDEX(balance_sheet!$B:$XFD,MATCH("Chứng khoán kinh doanh",balance_sheet!$A:$A,0),MATCH(H$25,balance_sheet!$B$1:$XFD$1,0)),"")</f>
        <v/>
      </c>
      <c r="I32" s="11">
        <f>IFERROR(INDEX(balance_sheet!$B:$XFD,MATCH("Chứng khoán kinh doanh",balance_sheet!$A:$A,0),MATCH(I$25,balance_sheet!$B$1:$XFD$1,0)),"")</f>
        <v/>
      </c>
    </row>
    <row r="33">
      <c r="A33" s="1" t="inlineStr">
        <is>
          <t>Cho vay khách hàng</t>
        </is>
      </c>
      <c r="B33" s="11">
        <f>IFERROR(INDEX(balance_sheet!$B:$XFD,MATCH("Cho vay khách hàng",balance_sheet!$A:$A,0),MATCH(B$25,balance_sheet!$B$1:$XFD$1,0)),"")</f>
        <v/>
      </c>
      <c r="C33" s="11">
        <f>IFERROR(INDEX(balance_sheet!$B:$XFD,MATCH("Cho vay khách hàng",balance_sheet!$A:$A,0),MATCH(C$25,balance_sheet!$B$1:$XFD$1,0)),"")</f>
        <v/>
      </c>
      <c r="D33" s="11">
        <f>IFERROR(INDEX(balance_sheet!$B:$XFD,MATCH("Cho vay khách hàng",balance_sheet!$A:$A,0),MATCH(D$25,balance_sheet!$B$1:$XFD$1,0)),"")</f>
        <v/>
      </c>
      <c r="E33" s="11">
        <f>IFERROR(INDEX(balance_sheet!$B:$XFD,MATCH("Cho vay khách hàng",balance_sheet!$A:$A,0),MATCH(E$25,balance_sheet!$B$1:$XFD$1,0)),"")</f>
        <v/>
      </c>
      <c r="F33" s="11">
        <f>IFERROR(INDEX(balance_sheet!$B:$XFD,MATCH("Cho vay khách hàng",balance_sheet!$A:$A,0),MATCH(F$25,balance_sheet!$B$1:$XFD$1,0)),"")</f>
        <v/>
      </c>
      <c r="G33" s="11">
        <f>IFERROR(INDEX(balance_sheet!$B:$XFD,MATCH("Cho vay khách hàng",balance_sheet!$A:$A,0),MATCH(G$25,balance_sheet!$B$1:$XFD$1,0)),"")</f>
        <v/>
      </c>
      <c r="H33" s="11">
        <f>IFERROR(INDEX(balance_sheet!$B:$XFD,MATCH("Cho vay khách hàng",balance_sheet!$A:$A,0),MATCH(H$25,balance_sheet!$B$1:$XFD$1,0)),"")</f>
        <v/>
      </c>
      <c r="I33" s="11">
        <f>IFERROR(INDEX(balance_sheet!$B:$XFD,MATCH("Cho vay khách hàng",balance_sheet!$A:$A,0),MATCH(I$25,balance_sheet!$B$1:$XFD$1,0)),"")</f>
        <v/>
      </c>
    </row>
    <row r="34">
      <c r="A34" s="5" t="inlineStr">
        <is>
          <t>+ Nợ đủ tiêu chuẩn</t>
        </is>
      </c>
      <c r="B34" s="12" t="n">
        <v>799648000000000</v>
      </c>
      <c r="C34" s="12" t="n">
        <v>902336000000000</v>
      </c>
      <c r="D34" s="12" t="n">
        <v>1005024000000000</v>
      </c>
      <c r="E34" s="12" t="n">
        <v>1107712000000000</v>
      </c>
      <c r="F34" s="12" t="n">
        <v>1210400000000000</v>
      </c>
      <c r="G34" s="12" t="n">
        <v>1313088000000000</v>
      </c>
      <c r="H34" s="12" t="n">
        <v>1415776000000000</v>
      </c>
      <c r="I34" s="12" t="n">
        <v>1518464000000000</v>
      </c>
    </row>
    <row r="35">
      <c r="A35" s="5" t="inlineStr">
        <is>
          <t>+ Nợ cần chú ý</t>
        </is>
      </c>
      <c r="B35" s="12" t="n">
        <v>4445000000000</v>
      </c>
      <c r="C35" s="12" t="n">
        <v>4447000000000</v>
      </c>
      <c r="D35" s="12" t="n">
        <v>4449000000000</v>
      </c>
      <c r="E35" s="12" t="n">
        <v>4451000000000</v>
      </c>
      <c r="F35" s="12" t="n">
        <v>4453000000000</v>
      </c>
      <c r="G35" s="12" t="n">
        <v>4455000000000</v>
      </c>
      <c r="H35" s="12" t="n">
        <v>4457000000000</v>
      </c>
      <c r="I35" s="12" t="n">
        <v>4459000000000</v>
      </c>
    </row>
    <row r="36">
      <c r="A36" s="5" t="inlineStr">
        <is>
          <t>+ Nợ dưới tiêu chuẩn</t>
        </is>
      </c>
      <c r="B36" s="12" t="n">
        <v>384000000000</v>
      </c>
      <c r="C36" s="12" t="n">
        <v>-107000000000</v>
      </c>
      <c r="D36" s="12" t="n">
        <v>-598000000000</v>
      </c>
      <c r="E36" s="12" t="n">
        <v>-1089000000000</v>
      </c>
      <c r="F36" s="12" t="n">
        <v>-1580000000000</v>
      </c>
      <c r="G36" s="12" t="n">
        <v>-2071000000000</v>
      </c>
      <c r="H36" s="12" t="n">
        <v>-2562000000000</v>
      </c>
      <c r="I36" s="12" t="n">
        <v>-3053000000000</v>
      </c>
    </row>
    <row r="37">
      <c r="A37" s="5" t="inlineStr">
        <is>
          <t>+ Nợ nghi ngờ</t>
        </is>
      </c>
      <c r="B37" s="12" t="n">
        <v>1874000000000</v>
      </c>
      <c r="C37" s="12" t="n">
        <v>1578000000000</v>
      </c>
      <c r="D37" s="12" t="n">
        <v>1282000000000</v>
      </c>
      <c r="E37" s="12" t="n">
        <v>986000000000</v>
      </c>
      <c r="F37" s="12" t="n">
        <v>690000000000</v>
      </c>
      <c r="G37" s="12" t="n">
        <v>394000000000</v>
      </c>
      <c r="H37" s="12" t="n">
        <v>98000000000</v>
      </c>
      <c r="I37" s="12" t="n">
        <v>-198000000000</v>
      </c>
    </row>
    <row r="38">
      <c r="A38" s="5" t="inlineStr">
        <is>
          <t>+ Nợ có khả năng mất vốn</t>
        </is>
      </c>
      <c r="B38" s="12" t="n">
        <v>7050000000000</v>
      </c>
      <c r="C38" s="12" t="n">
        <v>8940000000000</v>
      </c>
      <c r="D38" s="12" t="n">
        <v>10830000000000</v>
      </c>
      <c r="E38" s="12" t="n">
        <v>12720000000000</v>
      </c>
      <c r="F38" s="12" t="n">
        <v>14610000000000</v>
      </c>
      <c r="G38" s="12" t="n">
        <v>16500000000000</v>
      </c>
      <c r="H38" s="12" t="n">
        <v>18390000000000</v>
      </c>
      <c r="I38" s="12" t="n">
        <v>20280000000000</v>
      </c>
    </row>
    <row r="39" customFormat="1" s="8">
      <c r="A39" s="7" t="inlineStr">
        <is>
          <t>Nợ xấu</t>
        </is>
      </c>
      <c r="B39" s="13">
        <f>SUM(B36:B38)</f>
        <v/>
      </c>
      <c r="C39" s="13">
        <f>SUM(C36:C38)</f>
        <v/>
      </c>
      <c r="D39" s="13">
        <f>SUM(D36:D38)</f>
        <v/>
      </c>
      <c r="E39" s="13">
        <f>SUM(E36:E38)</f>
        <v/>
      </c>
      <c r="F39" s="13">
        <f>SUM(F36:F38)</f>
        <v/>
      </c>
      <c r="G39" s="13">
        <f>SUM(G36:G38)</f>
        <v/>
      </c>
      <c r="H39" s="13">
        <f>SUM(H36:H38)</f>
        <v/>
      </c>
      <c r="I39" s="13">
        <f>SUM(I36:I38)</f>
        <v/>
      </c>
    </row>
    <row r="40">
      <c r="A40" s="1" t="inlineStr">
        <is>
          <t>Cho vay KDBĐS</t>
        </is>
      </c>
      <c r="B40" s="12" t="n">
        <v>207692000000000</v>
      </c>
      <c r="C40" s="12" t="n">
        <v>217988000000000</v>
      </c>
      <c r="D40" s="12" t="n">
        <v>228284000000000</v>
      </c>
      <c r="E40" s="12" t="n">
        <v>238580000000000</v>
      </c>
      <c r="F40" s="12" t="n">
        <v>248876000000000</v>
      </c>
      <c r="G40" s="12" t="n">
        <v>259172000000000</v>
      </c>
      <c r="H40" s="12" t="n">
        <v>269468000000000</v>
      </c>
      <c r="I40" s="12" t="n">
        <v>279764000000000</v>
      </c>
    </row>
    <row r="41">
      <c r="A41" s="1" t="inlineStr">
        <is>
          <t>Dự phòng rủi ro cho vay khách hàng</t>
        </is>
      </c>
      <c r="B41" s="11">
        <f>IFERROR(INDEX(balance_sheet!$B:$XFD,MATCH("Dự phòng rủi ro cho vay khách hàng",balance_sheet!$A:$A,0),MATCH(B$25,balance_sheet!$B$1:$XFD$1,0)),"")</f>
        <v/>
      </c>
      <c r="C41" s="11">
        <f>IFERROR(INDEX(balance_sheet!$B:$XFD,MATCH("Dự phòng rủi ro cho vay khách hàng",balance_sheet!$A:$A,0),MATCH(C$25,balance_sheet!$B$1:$XFD$1,0)),"")</f>
        <v/>
      </c>
      <c r="D41" s="11">
        <f>IFERROR(INDEX(balance_sheet!$B:$XFD,MATCH("Dự phòng rủi ro cho vay khách hàng",balance_sheet!$A:$A,0),MATCH(D$25,balance_sheet!$B$1:$XFD$1,0)),"")</f>
        <v/>
      </c>
      <c r="E41" s="11">
        <f>IFERROR(INDEX(balance_sheet!$B:$XFD,MATCH("Dự phòng rủi ro cho vay khách hàng",balance_sheet!$A:$A,0),MATCH(E$25,balance_sheet!$B$1:$XFD$1,0)),"")</f>
        <v/>
      </c>
      <c r="F41" s="11">
        <f>IFERROR(INDEX(balance_sheet!$B:$XFD,MATCH("Dự phòng rủi ro cho vay khách hàng",balance_sheet!$A:$A,0),MATCH(F$25,balance_sheet!$B$1:$XFD$1,0)),"")</f>
        <v/>
      </c>
      <c r="G41" s="11">
        <f>IFERROR(INDEX(balance_sheet!$B:$XFD,MATCH("Dự phòng rủi ro cho vay khách hàng",balance_sheet!$A:$A,0),MATCH(G$25,balance_sheet!$B$1:$XFD$1,0)),"")</f>
        <v/>
      </c>
      <c r="H41" s="11">
        <f>IFERROR(INDEX(balance_sheet!$B:$XFD,MATCH("Dự phòng rủi ro cho vay khách hàng",balance_sheet!$A:$A,0),MATCH(H$25,balance_sheet!$B$1:$XFD$1,0)),"")</f>
        <v/>
      </c>
      <c r="I41" s="11">
        <f>IFERROR(INDEX(balance_sheet!$B:$XFD,MATCH("Dự phòng rủi ro cho vay khách hàng",balance_sheet!$A:$A,0),MATCH(I$25,balance_sheet!$B$1:$XFD$1,0)),"")</f>
        <v/>
      </c>
    </row>
    <row r="42">
      <c r="A42" s="1" t="inlineStr">
        <is>
          <t>Chứng khoán đầu tư</t>
        </is>
      </c>
      <c r="B42" s="11">
        <f>IFERROR(INDEX(balance_sheet!$B:$XFD,MATCH("Chứng khoán đầu tư",balance_sheet!$A:$A,0),MATCH(B$25,balance_sheet!$B$1:$XFD$1,0)),"")</f>
        <v/>
      </c>
      <c r="C42" s="11">
        <f>IFERROR(INDEX(balance_sheet!$B:$XFD,MATCH("Chứng khoán đầu tư",balance_sheet!$A:$A,0),MATCH(C$25,balance_sheet!$B$1:$XFD$1,0)),"")</f>
        <v/>
      </c>
      <c r="D42" s="11">
        <f>IFERROR(INDEX(balance_sheet!$B:$XFD,MATCH("Chứng khoán đầu tư",balance_sheet!$A:$A,0),MATCH(D$25,balance_sheet!$B$1:$XFD$1,0)),"")</f>
        <v/>
      </c>
      <c r="E42" s="11">
        <f>IFERROR(INDEX(balance_sheet!$B:$XFD,MATCH("Chứng khoán đầu tư",balance_sheet!$A:$A,0),MATCH(E$25,balance_sheet!$B$1:$XFD$1,0)),"")</f>
        <v/>
      </c>
      <c r="F42" s="11">
        <f>IFERROR(INDEX(balance_sheet!$B:$XFD,MATCH("Chứng khoán đầu tư",balance_sheet!$A:$A,0),MATCH(F$25,balance_sheet!$B$1:$XFD$1,0)),"")</f>
        <v/>
      </c>
      <c r="G42" s="11">
        <f>IFERROR(INDEX(balance_sheet!$B:$XFD,MATCH("Chứng khoán đầu tư",balance_sheet!$A:$A,0),MATCH(G$25,balance_sheet!$B$1:$XFD$1,0)),"")</f>
        <v/>
      </c>
      <c r="H42" s="11">
        <f>IFERROR(INDEX(balance_sheet!$B:$XFD,MATCH("Chứng khoán đầu tư",balance_sheet!$A:$A,0),MATCH(H$25,balance_sheet!$B$1:$XFD$1,0)),"")</f>
        <v/>
      </c>
      <c r="I42" s="11">
        <f>IFERROR(INDEX(balance_sheet!$B:$XFD,MATCH("Chứng khoán đầu tư",balance_sheet!$A:$A,0),MATCH(I$25,balance_sheet!$B$1:$XFD$1,0)),"")</f>
        <v/>
      </c>
    </row>
    <row r="43">
      <c r="A43" s="1" t="inlineStr">
        <is>
          <t>Dự phòng giảm giá chứng khoán đầu tư</t>
        </is>
      </c>
      <c r="B43" s="11">
        <f>IFERROR(INDEX(balance_sheet!$B:$XFD,MATCH("Dự phòng giảm giá chứng khoán đầu tư",balance_sheet!$A:$A,0),MATCH(B$25,balance_sheet!$B$1:$XFD$1,0)),"")</f>
        <v/>
      </c>
      <c r="C43" s="11">
        <f>IFERROR(INDEX(balance_sheet!$B:$XFD,MATCH("Dự phòng giảm giá chứng khoán đầu tư",balance_sheet!$A:$A,0),MATCH(C$25,balance_sheet!$B$1:$XFD$1,0)),"")</f>
        <v/>
      </c>
      <c r="D43" s="11">
        <f>IFERROR(INDEX(balance_sheet!$B:$XFD,MATCH("Dự phòng giảm giá chứng khoán đầu tư",balance_sheet!$A:$A,0),MATCH(D$25,balance_sheet!$B$1:$XFD$1,0)),"")</f>
        <v/>
      </c>
      <c r="E43" s="11">
        <f>IFERROR(INDEX(balance_sheet!$B:$XFD,MATCH("Dự phòng giảm giá chứng khoán đầu tư",balance_sheet!$A:$A,0),MATCH(E$25,balance_sheet!$B$1:$XFD$1,0)),"")</f>
        <v/>
      </c>
      <c r="F43" s="11">
        <f>IFERROR(INDEX(balance_sheet!$B:$XFD,MATCH("Dự phòng giảm giá chứng khoán đầu tư",balance_sheet!$A:$A,0),MATCH(F$25,balance_sheet!$B$1:$XFD$1,0)),"")</f>
        <v/>
      </c>
      <c r="G43" s="11">
        <f>IFERROR(INDEX(balance_sheet!$B:$XFD,MATCH("Dự phòng giảm giá chứng khoán đầu tư",balance_sheet!$A:$A,0),MATCH(G$25,balance_sheet!$B$1:$XFD$1,0)),"")</f>
        <v/>
      </c>
      <c r="H43" s="11">
        <f>IFERROR(INDEX(balance_sheet!$B:$XFD,MATCH("Dự phòng giảm giá chứng khoán đầu tư",balance_sheet!$A:$A,0),MATCH(H$25,balance_sheet!$B$1:$XFD$1,0)),"")</f>
        <v/>
      </c>
      <c r="I43" s="11">
        <f>IFERROR(INDEX(balance_sheet!$B:$XFD,MATCH("Dự phòng giảm giá chứng khoán đầu tư",balance_sheet!$A:$A,0),MATCH(I$25,balance_sheet!$B$1:$XFD$1,0)),"")</f>
        <v/>
      </c>
    </row>
    <row r="44">
      <c r="A44" s="1" t="inlineStr">
        <is>
          <t>Góp vốn, đầu tư dài hạn</t>
        </is>
      </c>
      <c r="B44" s="11">
        <f>IFERROR(INDEX(balance_sheet!$B:$XFD,MATCH("Góp vốn, đầu tư dài hạn",balance_sheet!$A:$A,0),MATCH(B$25,balance_sheet!$B$1:$XFD$1,0)),"")</f>
        <v/>
      </c>
      <c r="C44" s="11">
        <f>IFERROR(INDEX(balance_sheet!$B:$XFD,MATCH("Góp vốn, đầu tư dài hạn",balance_sheet!$A:$A,0),MATCH(C$25,balance_sheet!$B$1:$XFD$1,0)),"")</f>
        <v/>
      </c>
      <c r="D44" s="11">
        <f>IFERROR(INDEX(balance_sheet!$B:$XFD,MATCH("Góp vốn, đầu tư dài hạn",balance_sheet!$A:$A,0),MATCH(D$25,balance_sheet!$B$1:$XFD$1,0)),"")</f>
        <v/>
      </c>
      <c r="E44" s="11">
        <f>IFERROR(INDEX(balance_sheet!$B:$XFD,MATCH("Góp vốn, đầu tư dài hạn",balance_sheet!$A:$A,0),MATCH(E$25,balance_sheet!$B$1:$XFD$1,0)),"")</f>
        <v/>
      </c>
      <c r="F44" s="11">
        <f>IFERROR(INDEX(balance_sheet!$B:$XFD,MATCH("Góp vốn, đầu tư dài hạn",balance_sheet!$A:$A,0),MATCH(F$25,balance_sheet!$B$1:$XFD$1,0)),"")</f>
        <v/>
      </c>
      <c r="G44" s="11">
        <f>IFERROR(INDEX(balance_sheet!$B:$XFD,MATCH("Góp vốn, đầu tư dài hạn",balance_sheet!$A:$A,0),MATCH(G$25,balance_sheet!$B$1:$XFD$1,0)),"")</f>
        <v/>
      </c>
      <c r="H44" s="11">
        <f>IFERROR(INDEX(balance_sheet!$B:$XFD,MATCH("Góp vốn, đầu tư dài hạn",balance_sheet!$A:$A,0),MATCH(H$25,balance_sheet!$B$1:$XFD$1,0)),"")</f>
        <v/>
      </c>
      <c r="I44" s="11">
        <f>IFERROR(INDEX(balance_sheet!$B:$XFD,MATCH("Góp vốn, đầu tư dài hạn",balance_sheet!$A:$A,0),MATCH(I$25,balance_sheet!$B$1:$XFD$1,0)),"")</f>
        <v/>
      </c>
    </row>
    <row r="45">
      <c r="A45" s="1" t="inlineStr">
        <is>
          <t>Dự phòng giảm giá đầu tư dài hạn</t>
        </is>
      </c>
      <c r="B45" s="11">
        <f>IFERROR(INDEX(balance_sheet!$B:$XFD,MATCH("Dự phòng giảm giá đầu tư dài hạn",balance_sheet!$A:$A,0),MATCH(B$25,balance_sheet!$B$1:$XFD$1,0)),"")</f>
        <v/>
      </c>
      <c r="C45" s="11">
        <f>IFERROR(INDEX(balance_sheet!$B:$XFD,MATCH("Dự phòng giảm giá đầu tư dài hạn",balance_sheet!$A:$A,0),MATCH(C$25,balance_sheet!$B$1:$XFD$1,0)),"")</f>
        <v/>
      </c>
      <c r="D45" s="11">
        <f>IFERROR(INDEX(balance_sheet!$B:$XFD,MATCH("Dự phòng giảm giá đầu tư dài hạn",balance_sheet!$A:$A,0),MATCH(D$25,balance_sheet!$B$1:$XFD$1,0)),"")</f>
        <v/>
      </c>
      <c r="E45" s="11">
        <f>IFERROR(INDEX(balance_sheet!$B:$XFD,MATCH("Dự phòng giảm giá đầu tư dài hạn",balance_sheet!$A:$A,0),MATCH(E$25,balance_sheet!$B$1:$XFD$1,0)),"")</f>
        <v/>
      </c>
      <c r="F45" s="11">
        <f>IFERROR(INDEX(balance_sheet!$B:$XFD,MATCH("Dự phòng giảm giá đầu tư dài hạn",balance_sheet!$A:$A,0),MATCH(F$25,balance_sheet!$B$1:$XFD$1,0)),"")</f>
        <v/>
      </c>
      <c r="G45" s="11">
        <f>IFERROR(INDEX(balance_sheet!$B:$XFD,MATCH("Dự phòng giảm giá đầu tư dài hạn",balance_sheet!$A:$A,0),MATCH(G$25,balance_sheet!$B$1:$XFD$1,0)),"")</f>
        <v/>
      </c>
      <c r="H45" s="11">
        <f>IFERROR(INDEX(balance_sheet!$B:$XFD,MATCH("Dự phòng giảm giá đầu tư dài hạn",balance_sheet!$A:$A,0),MATCH(H$25,balance_sheet!$B$1:$XFD$1,0)),"")</f>
        <v/>
      </c>
      <c r="I45" s="11">
        <f>IFERROR(INDEX(balance_sheet!$B:$XFD,MATCH("Dự phòng giảm giá đầu tư dài hạn",balance_sheet!$A:$A,0),MATCH(I$25,balance_sheet!$B$1:$XFD$1,0)),"")</f>
        <v/>
      </c>
    </row>
    <row r="46">
      <c r="A46" s="1" t="inlineStr">
        <is>
          <t>Tài sản sinh lời</t>
        </is>
      </c>
      <c r="B46" s="13">
        <f>B29+B30-B31+B32+B33+B42-B43+B44-B45</f>
        <v/>
      </c>
      <c r="C46" s="13">
        <f>C29+C30-C31+C32+C33+C42-C43+C44-C45</f>
        <v/>
      </c>
      <c r="D46" s="13">
        <f>D29+D30-D31+D32+D33+D42-D43+D44-D45</f>
        <v/>
      </c>
      <c r="E46" s="13">
        <f>E29+E30-E31+E32+E33+E42-E43+E44-E45</f>
        <v/>
      </c>
      <c r="F46" s="13">
        <f>F29+F30-F31+F32+F33+F42-F43+F44-F45</f>
        <v/>
      </c>
      <c r="G46" s="13">
        <f>G29+G30-G31+G32+G33+G42-G43+G44-G45</f>
        <v/>
      </c>
      <c r="H46" s="13">
        <f>H29+H30-H31+H32+H33+H42-H43+H44-H45</f>
        <v/>
      </c>
      <c r="I46" s="13">
        <f>I29+I30-I31+I32+I33+I42-I43+I44-I45</f>
        <v/>
      </c>
    </row>
    <row r="47">
      <c r="A47" s="9" t="inlineStr">
        <is>
          <t>Nguồn vốn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</row>
    <row r="48">
      <c r="A48" s="1" t="inlineStr">
        <is>
          <t>Tiền gửi khách hàng</t>
        </is>
      </c>
      <c r="B48" s="11">
        <f>IFERROR(INDEX(balance_sheet!$B:$XFD,MATCH("Tiền gửi của khách hàng",balance_sheet!$A:$A,0),MATCH(B$25,balance_sheet!$B$1:$XFD$1,0)),"")</f>
        <v/>
      </c>
      <c r="C48" s="11">
        <f>IFERROR(INDEX(balance_sheet!$B:$XFD,MATCH("Tiền gửi của khách hàng",balance_sheet!$A:$A,0),MATCH(C$25,balance_sheet!$B$1:$XFD$1,0)),"")</f>
        <v/>
      </c>
      <c r="D48" s="11">
        <f>IFERROR(INDEX(balance_sheet!$B:$XFD,MATCH("Tiền gửi của khách hàng",balance_sheet!$A:$A,0),MATCH(D$25,balance_sheet!$B$1:$XFD$1,0)),"")</f>
        <v/>
      </c>
      <c r="E48" s="11">
        <f>IFERROR(INDEX(balance_sheet!$B:$XFD,MATCH("Tiền gửi của khách hàng",balance_sheet!$A:$A,0),MATCH(E$25,balance_sheet!$B$1:$XFD$1,0)),"")</f>
        <v/>
      </c>
      <c r="F48" s="11">
        <f>IFERROR(INDEX(balance_sheet!$B:$XFD,MATCH("Tiền gửi của khách hàng",balance_sheet!$A:$A,0),MATCH(F$25,balance_sheet!$B$1:$XFD$1,0)),"")</f>
        <v/>
      </c>
      <c r="G48" s="11">
        <f>IFERROR(INDEX(balance_sheet!$B:$XFD,MATCH("Tiền gửi của khách hàng",balance_sheet!$A:$A,0),MATCH(G$25,balance_sheet!$B$1:$XFD$1,0)),"")</f>
        <v/>
      </c>
      <c r="H48" s="11">
        <f>IFERROR(INDEX(balance_sheet!$B:$XFD,MATCH("Tiền gửi của khách hàng",balance_sheet!$A:$A,0),MATCH(H$25,balance_sheet!$B$1:$XFD$1,0)),"")</f>
        <v/>
      </c>
      <c r="I48" s="11">
        <f>IFERROR(INDEX(balance_sheet!$B:$XFD,MATCH("Tiền gửi của khách hàng",balance_sheet!$A:$A,0),MATCH(I$25,balance_sheet!$B$1:$XFD$1,0)),"")</f>
        <v/>
      </c>
    </row>
    <row r="49">
      <c r="A49" s="5" t="inlineStr">
        <is>
          <t>+ Tiền gửi không kỳ hạn</t>
        </is>
      </c>
      <c r="B49" s="12" t="n">
        <v>229648000000000</v>
      </c>
      <c r="C49" s="12" t="n">
        <v>248612000000000</v>
      </c>
      <c r="D49" s="12" t="n">
        <v>267576000000000</v>
      </c>
      <c r="E49" s="12" t="n">
        <v>286540000000000</v>
      </c>
      <c r="F49" s="12" t="n">
        <v>305504000000000</v>
      </c>
      <c r="G49" s="12" t="n">
        <v>324468000000000</v>
      </c>
      <c r="H49" s="12" t="n">
        <v>343432000000000</v>
      </c>
      <c r="I49" s="12" t="n">
        <v>362396000000000</v>
      </c>
    </row>
    <row r="50">
      <c r="A50" s="5" t="inlineStr">
        <is>
          <t>+ Tiền gửi có kỳ hạn</t>
        </is>
      </c>
      <c r="B50" s="12" t="n">
        <v>456076000000000</v>
      </c>
      <c r="C50" s="12" t="n">
        <v>517039000000000</v>
      </c>
      <c r="D50" s="12" t="n">
        <v>578002000000000</v>
      </c>
      <c r="E50" s="12" t="n">
        <v>638965000000000</v>
      </c>
      <c r="F50" s="12" t="n">
        <v>699928000000000</v>
      </c>
      <c r="G50" s="12" t="n">
        <v>760891000000000</v>
      </c>
      <c r="H50" s="12" t="n">
        <v>821854000000000</v>
      </c>
      <c r="I50" s="12" t="n">
        <v>882817000000000</v>
      </c>
    </row>
    <row r="51">
      <c r="A51" s="5" t="inlineStr">
        <is>
          <t>+ Tiền ký quỹ</t>
        </is>
      </c>
      <c r="B51" s="12" t="n">
        <v>5133000000000</v>
      </c>
      <c r="C51" s="12" t="n">
        <v>3938000000000</v>
      </c>
      <c r="D51" s="12" t="n">
        <v>2743000000000</v>
      </c>
      <c r="E51" s="12" t="n">
        <v>1548000000000</v>
      </c>
      <c r="F51" s="12" t="n">
        <v>353000000000</v>
      </c>
      <c r="G51" s="12" t="n">
        <v>-842000000000</v>
      </c>
      <c r="H51" s="12" t="n">
        <v>-2037000000000</v>
      </c>
      <c r="I51" s="12" t="n">
        <v>-3232000000000</v>
      </c>
    </row>
    <row r="52" customFormat="1" s="25">
      <c r="A52" s="10" t="inlineStr">
        <is>
          <t>VỐN CHỦ SỞ HỮU</t>
        </is>
      </c>
      <c r="B52" s="15">
        <f>IFERROR(INDEX(balance_sheet!$B:$XFD,MATCH("VỐN CHỦ SỞ HỮU",balance_sheet!$A:$A,0),MATCH(B$25,balance_sheet!$B$1:$XFD$1,0)),"")</f>
        <v/>
      </c>
      <c r="C52" s="15">
        <f>IFERROR(INDEX(balance_sheet!$B:$XFD,MATCH("VỐN CHỦ SỞ HỮU",balance_sheet!$A:$A,0),MATCH(C$25,balance_sheet!$B$1:$XFD$1,0)),"")</f>
        <v/>
      </c>
      <c r="D52" s="15">
        <f>IFERROR(INDEX(balance_sheet!$B:$XFD,MATCH("VỐN CHỦ SỞ HỮU",balance_sheet!$A:$A,0),MATCH(D$25,balance_sheet!$B$1:$XFD$1,0)),"")</f>
        <v/>
      </c>
      <c r="E52" s="15">
        <f>IFERROR(INDEX(balance_sheet!$B:$XFD,MATCH("VỐN CHỦ SỞ HỮU",balance_sheet!$A:$A,0),MATCH(E$25,balance_sheet!$B$1:$XFD$1,0)),"")</f>
        <v/>
      </c>
      <c r="F52" s="15">
        <f>IFERROR(INDEX(balance_sheet!$B:$XFD,MATCH("VỐN CHỦ SỞ HỮU",balance_sheet!$A:$A,0),MATCH(F$25,balance_sheet!$B$1:$XFD$1,0)),"")</f>
        <v/>
      </c>
      <c r="G52" s="15">
        <f>IFERROR(INDEX(balance_sheet!$B:$XFD,MATCH("VỐN CHỦ SỞ HỮU",balance_sheet!$A:$A,0),MATCH(G$25,balance_sheet!$B$1:$XFD$1,0)),"")</f>
        <v/>
      </c>
      <c r="H52" s="15">
        <f>IFERROR(INDEX(balance_sheet!$B:$XFD,MATCH("VỐN CHỦ SỞ HỮU",balance_sheet!$A:$A,0),MATCH(H$25,balance_sheet!$B$1:$XFD$1,0)),"")</f>
        <v/>
      </c>
      <c r="I52" s="15">
        <f>IFERROR(INDEX(balance_sheet!$B:$XFD,MATCH("VỐN CHỦ SỞ HỮU",balance_sheet!$A:$A,0),MATCH(I$25,balance_sheet!$B$1:$XFD$1,0)),"")</f>
        <v/>
      </c>
    </row>
    <row r="53" customFormat="1" s="25">
      <c r="A53" s="27" t="inlineStr">
        <is>
          <t>Tăng VCSH/LN cty mẹ</t>
        </is>
      </c>
      <c r="B53" s="26">
        <f>(B52-#REF!)/B64</f>
        <v/>
      </c>
      <c r="C53" s="26">
        <f>(C52-B52)/C64</f>
        <v/>
      </c>
      <c r="D53" s="26">
        <f>(D52-C52)/D64</f>
        <v/>
      </c>
      <c r="E53" s="26">
        <f>(E52-D52)/E64</f>
        <v/>
      </c>
      <c r="F53" s="26">
        <f>(F52-E52)/F64</f>
        <v/>
      </c>
      <c r="G53" s="26">
        <f>(G52-F52)/G64</f>
        <v/>
      </c>
      <c r="H53" s="26">
        <f>(H52-G52)/H64</f>
        <v/>
      </c>
      <c r="I53" s="26">
        <f>(I52-H52)/I64</f>
        <v/>
      </c>
    </row>
    <row r="54" customFormat="1" s="25">
      <c r="A54" s="10" t="inlineStr">
        <is>
          <t>Lợi ích của cổ đông thiểu số</t>
        </is>
      </c>
      <c r="B54" s="15">
        <f>IFERROR(INDEX(balance_sheet!$B:$XFD,MATCH("Lợi ích của cổ đông thiểu số",balance_sheet!$A:$A,0),MATCH(B$25,balance_sheet!$B$1:$XFD$1,0)),"")</f>
        <v/>
      </c>
      <c r="C54" s="15">
        <f>IFERROR(INDEX(balance_sheet!$B:$XFD,MATCH("Lợi ích của cổ đông thiểu số",balance_sheet!$A:$A,0),MATCH(C$25,balance_sheet!$B$1:$XFD$1,0)),"")</f>
        <v/>
      </c>
      <c r="D54" s="15">
        <f>IFERROR(INDEX(balance_sheet!$B:$XFD,MATCH("Lợi ích của cổ đông thiểu số",balance_sheet!$A:$A,0),MATCH(D$25,balance_sheet!$B$1:$XFD$1,0)),"")</f>
        <v/>
      </c>
      <c r="E54" s="15">
        <f>IFERROR(INDEX(balance_sheet!$B:$XFD,MATCH("Lợi ích của cổ đông thiểu số",balance_sheet!$A:$A,0),MATCH(E$25,balance_sheet!$B$1:$XFD$1,0)),"")</f>
        <v/>
      </c>
      <c r="F54" s="15">
        <f>IFERROR(INDEX(balance_sheet!$B:$XFD,MATCH("Lợi ích của cổ đông thiểu số",balance_sheet!$A:$A,0),MATCH(F$25,balance_sheet!$B$1:$XFD$1,0)),"")</f>
        <v/>
      </c>
      <c r="G54" s="15">
        <f>IFERROR(INDEX(balance_sheet!$B:$XFD,MATCH("Lợi ích của cổ đông thiểu số",balance_sheet!$A:$A,0),MATCH(G$25,balance_sheet!$B$1:$XFD$1,0)),"")</f>
        <v/>
      </c>
      <c r="H54" s="15">
        <f>IFERROR(INDEX(balance_sheet!$B:$XFD,MATCH("Lợi ích của cổ đông thiểu số",balance_sheet!$A:$A,0),MATCH(H$25,balance_sheet!$B$1:$XFD$1,0)),"")</f>
        <v/>
      </c>
      <c r="I54" s="15">
        <f>IFERROR(INDEX(balance_sheet!$B:$XFD,MATCH("Lợi ích của cổ đông thiểu số",balance_sheet!$A:$A,0),MATCH(I$25,balance_sheet!$B$1:$XFD$1,0)),"")</f>
        <v/>
      </c>
    </row>
    <row r="55">
      <c r="A55" s="10" t="inlineStr">
        <is>
          <t>Kết quả hoạt động kinh doanh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</row>
    <row r="56">
      <c r="A56" s="1" t="inlineStr">
        <is>
          <t>Thu nhập lãi</t>
        </is>
      </c>
      <c r="B56" s="11">
        <f>IFERROR(INDEX(income_statement!$B:$XFD,MATCH("Thu nhập lãi và các khoản thu nhập tương tự",income_statement!$A:$A,0),MATCH(B$25,income_statement!$B$1:$XFD$1,0)),"")</f>
        <v/>
      </c>
      <c r="C56" s="11">
        <f>IFERROR(INDEX(income_statement!$B:$XFD,MATCH("Thu nhập lãi và các khoản thu nhập tương tự",income_statement!$A:$A,0),MATCH(C$25,income_statement!$B$1:$XFD$1,0)),"")</f>
        <v/>
      </c>
      <c r="D56" s="11">
        <f>IFERROR(INDEX(income_statement!$B:$XFD,MATCH("Thu nhập lãi và các khoản thu nhập tương tự",income_statement!$A:$A,0),MATCH(D$25,income_statement!$B$1:$XFD$1,0)),"")</f>
        <v/>
      </c>
      <c r="E56" s="11">
        <f>IFERROR(INDEX(income_statement!$B:$XFD,MATCH("Thu nhập lãi và các khoản thu nhập tương tự",income_statement!$A:$A,0),MATCH(E$25,income_statement!$B$1:$XFD$1,0)),"")</f>
        <v/>
      </c>
      <c r="F56" s="11">
        <f>IFERROR(INDEX(income_statement!$B:$XFD,MATCH("Thu nhập lãi và các khoản thu nhập tương tự",income_statement!$A:$A,0),MATCH(F$25,income_statement!$B$1:$XFD$1,0)),"")</f>
        <v/>
      </c>
      <c r="G56" s="11">
        <f>IFERROR(INDEX(income_statement!$B:$XFD,MATCH("Thu nhập lãi và các khoản thu nhập tương tự",income_statement!$A:$A,0),MATCH(G$25,income_statement!$B$1:$XFD$1,0)),"")</f>
        <v/>
      </c>
      <c r="H56" s="11">
        <f>IFERROR(INDEX(income_statement!$B:$XFD,MATCH("Thu nhập lãi và các khoản thu nhập tương tự",income_statement!$A:$A,0),MATCH(H$25,income_statement!$B$1:$XFD$1,0)),"")</f>
        <v/>
      </c>
      <c r="I56" s="11">
        <f>IFERROR(INDEX(income_statement!$B:$XFD,MATCH("Thu nhập lãi và các khoản thu nhập tương tự",income_statement!$A:$A,0),MATCH(I$25,income_statement!$B$1:$XFD$1,0)),"")</f>
        <v/>
      </c>
    </row>
    <row r="57">
      <c r="A57" s="1" t="inlineStr">
        <is>
          <t>Chi phí lãi</t>
        </is>
      </c>
      <c r="B57" s="11">
        <f>IFERROR(INDEX(income_statement!$B:$XFD,MATCH("Chi phí lãi và các chi phí tương tự",income_statement!$A:$A,0),MATCH(B$25,income_statement!$B$1:$XFD$1,0)),"")</f>
        <v/>
      </c>
      <c r="C57" s="11">
        <f>IFERROR(INDEX(income_statement!$B:$XFD,MATCH("Chi phí lãi và các chi phí tương tự",income_statement!$A:$A,0),MATCH(C$25,income_statement!$B$1:$XFD$1,0)),"")</f>
        <v/>
      </c>
      <c r="D57" s="11">
        <f>IFERROR(INDEX(income_statement!$B:$XFD,MATCH("Chi phí lãi và các chi phí tương tự",income_statement!$A:$A,0),MATCH(D$25,income_statement!$B$1:$XFD$1,0)),"")</f>
        <v/>
      </c>
      <c r="E57" s="11">
        <f>IFERROR(INDEX(income_statement!$B:$XFD,MATCH("Chi phí lãi và các chi phí tương tự",income_statement!$A:$A,0),MATCH(E$25,income_statement!$B$1:$XFD$1,0)),"")</f>
        <v/>
      </c>
      <c r="F57" s="11">
        <f>IFERROR(INDEX(income_statement!$B:$XFD,MATCH("Chi phí lãi và các chi phí tương tự",income_statement!$A:$A,0),MATCH(F$25,income_statement!$B$1:$XFD$1,0)),"")</f>
        <v/>
      </c>
      <c r="G57" s="11">
        <f>IFERROR(INDEX(income_statement!$B:$XFD,MATCH("Chi phí lãi và các chi phí tương tự",income_statement!$A:$A,0),MATCH(G$25,income_statement!$B$1:$XFD$1,0)),"")</f>
        <v/>
      </c>
      <c r="H57" s="11">
        <f>IFERROR(INDEX(income_statement!$B:$XFD,MATCH("Chi phí lãi và các chi phí tương tự",income_statement!$A:$A,0),MATCH(H$25,income_statement!$B$1:$XFD$1,0)),"")</f>
        <v/>
      </c>
      <c r="I57" s="11">
        <f>IFERROR(INDEX(income_statement!$B:$XFD,MATCH("Chi phí lãi và các chi phí tương tự",income_statement!$A:$A,0),MATCH(I$25,income_statement!$B$1:$XFD$1,0)),"")</f>
        <v/>
      </c>
    </row>
    <row r="58" customFormat="1" s="25">
      <c r="A58" s="10" t="inlineStr">
        <is>
          <t>Thu nhập lãi thuần</t>
        </is>
      </c>
      <c r="B58" s="15">
        <f>IFERROR(INDEX(income_statement!$B:$XFD,MATCH("Thu nhập lãi thuần",income_statement!$A:$A,0),MATCH(B$25,income_statement!$B$1:$XFD$1,0)),"")</f>
        <v/>
      </c>
      <c r="C58" s="15">
        <f>IFERROR(INDEX(income_statement!$B:$XFD,MATCH("Thu nhập lãi thuần",income_statement!$A:$A,0),MATCH(C$25,income_statement!$B$1:$XFD$1,0)),"")</f>
        <v/>
      </c>
      <c r="D58" s="15">
        <f>IFERROR(INDEX(income_statement!$B:$XFD,MATCH("Thu nhập lãi thuần",income_statement!$A:$A,0),MATCH(D$25,income_statement!$B$1:$XFD$1,0)),"")</f>
        <v/>
      </c>
      <c r="E58" s="15">
        <f>IFERROR(INDEX(income_statement!$B:$XFD,MATCH("Thu nhập lãi thuần",income_statement!$A:$A,0),MATCH(E$25,income_statement!$B$1:$XFD$1,0)),"")</f>
        <v/>
      </c>
      <c r="F58" s="15">
        <f>IFERROR(INDEX(income_statement!$B:$XFD,MATCH("Thu nhập lãi thuần",income_statement!$A:$A,0),MATCH(F$25,income_statement!$B$1:$XFD$1,0)),"")</f>
        <v/>
      </c>
      <c r="G58" s="15">
        <f>IFERROR(INDEX(income_statement!$B:$XFD,MATCH("Thu nhập lãi thuần",income_statement!$A:$A,0),MATCH(G$25,income_statement!$B$1:$XFD$1,0)),"")</f>
        <v/>
      </c>
      <c r="H58" s="15">
        <f>IFERROR(INDEX(income_statement!$B:$XFD,MATCH("Thu nhập lãi thuần",income_statement!$A:$A,0),MATCH(H$25,income_statement!$B$1:$XFD$1,0)),"")</f>
        <v/>
      </c>
      <c r="I58" s="15">
        <f>IFERROR(INDEX(income_statement!$B:$XFD,MATCH("Thu nhập lãi thuần",income_statement!$A:$A,0),MATCH(I$25,income_statement!$B$1:$XFD$1,0)),"")</f>
        <v/>
      </c>
    </row>
    <row r="59">
      <c r="A59" s="1" t="inlineStr">
        <is>
          <t>Thu nhập ngoài lãi</t>
        </is>
      </c>
      <c r="B59" s="13">
        <f>IF(OR(B$60="",B$58=""),"",B$60-B$58)</f>
        <v/>
      </c>
      <c r="C59" s="13">
        <f>IF(OR(C$60="",C$58=""),"",C$60-C$58)</f>
        <v/>
      </c>
      <c r="D59" s="13">
        <f>IF(OR(D$60="",D$58=""),"",D$60-D$58)</f>
        <v/>
      </c>
      <c r="E59" s="13">
        <f>IF(OR(E$60="",E$58=""),"",E$60-E$58)</f>
        <v/>
      </c>
      <c r="F59" s="13">
        <f>IF(OR(F$60="",F$58=""),"",F$60-F$58)</f>
        <v/>
      </c>
      <c r="G59" s="13">
        <f>IF(OR(G$60="",G$58=""),"",G$60-G$58)</f>
        <v/>
      </c>
      <c r="H59" s="13">
        <f>IF(OR(H$60="",H$58=""),"",H$60-H$58)</f>
        <v/>
      </c>
      <c r="I59" s="13">
        <f>IF(OR(I$60="",I$58=""),"",I$60-I$58)</f>
        <v/>
      </c>
    </row>
    <row r="60">
      <c r="A60" s="1" t="inlineStr">
        <is>
          <t>Tổng thu nhập hoạt động</t>
        </is>
      </c>
      <c r="B60" s="11">
        <f>IFERROR(INDEX(income_statement!$B:$XFD,MATCH("Tổng thu nhập hoạt động",income_statement!$A:$A,0),MATCH(B$25,income_statement!$B$1:$XFD$1,0)),"")</f>
        <v/>
      </c>
      <c r="C60" s="11">
        <f>IFERROR(INDEX(income_statement!$B:$XFD,MATCH("Tổng thu nhập hoạt động",income_statement!$A:$A,0),MATCH(C$25,income_statement!$B$1:$XFD$1,0)),"")</f>
        <v/>
      </c>
      <c r="D60" s="11">
        <f>IFERROR(INDEX(income_statement!$B:$XFD,MATCH("Tổng thu nhập hoạt động",income_statement!$A:$A,0),MATCH(D$25,income_statement!$B$1:$XFD$1,0)),"")</f>
        <v/>
      </c>
      <c r="E60" s="11">
        <f>IFERROR(INDEX(income_statement!$B:$XFD,MATCH("Tổng thu nhập hoạt động",income_statement!$A:$A,0),MATCH(E$25,income_statement!$B$1:$XFD$1,0)),"")</f>
        <v/>
      </c>
      <c r="F60" s="11">
        <f>IFERROR(INDEX(income_statement!$B:$XFD,MATCH("Tổng thu nhập hoạt động",income_statement!$A:$A,0),MATCH(F$25,income_statement!$B$1:$XFD$1,0)),"")</f>
        <v/>
      </c>
      <c r="G60" s="11">
        <f>IFERROR(INDEX(income_statement!$B:$XFD,MATCH("Tổng thu nhập hoạt động",income_statement!$A:$A,0),MATCH(G$25,income_statement!$B$1:$XFD$1,0)),"")</f>
        <v/>
      </c>
      <c r="H60" s="11">
        <f>IFERROR(INDEX(income_statement!$B:$XFD,MATCH("Tổng thu nhập hoạt động",income_statement!$A:$A,0),MATCH(H$25,income_statement!$B$1:$XFD$1,0)),"")</f>
        <v/>
      </c>
      <c r="I60" s="11">
        <f>IFERROR(INDEX(income_statement!$B:$XFD,MATCH("Tổng thu nhập hoạt động",income_statement!$A:$A,0),MATCH(I$25,income_statement!$B$1:$XFD$1,0)),"")</f>
        <v/>
      </c>
    </row>
    <row r="61">
      <c r="A61" s="1" t="inlineStr">
        <is>
          <t>Chi phí hoạt động</t>
        </is>
      </c>
      <c r="B61" s="11">
        <f>IFERROR(INDEX(income_statement!$B:$XFD,MATCH("Chi phí quản lý doanh nghiệp",income_statement!$A:$A,0),MATCH(B$25,income_statement!$B$1:$XFD$1,0)),"")</f>
        <v/>
      </c>
      <c r="C61" s="11">
        <f>IFERROR(INDEX(income_statement!$B:$XFD,MATCH("Chi phí quản lý doanh nghiệp",income_statement!$A:$A,0),MATCH(C$25,income_statement!$B$1:$XFD$1,0)),"")</f>
        <v/>
      </c>
      <c r="D61" s="11">
        <f>IFERROR(INDEX(income_statement!$B:$XFD,MATCH("Chi phí quản lý doanh nghiệp",income_statement!$A:$A,0),MATCH(D$25,income_statement!$B$1:$XFD$1,0)),"")</f>
        <v/>
      </c>
      <c r="E61" s="11">
        <f>IFERROR(INDEX(income_statement!$B:$XFD,MATCH("Chi phí quản lý doanh nghiệp",income_statement!$A:$A,0),MATCH(E$25,income_statement!$B$1:$XFD$1,0)),"")</f>
        <v/>
      </c>
      <c r="F61" s="11">
        <f>IFERROR(INDEX(income_statement!$B:$XFD,MATCH("Chi phí quản lý doanh nghiệp",income_statement!$A:$A,0),MATCH(F$25,income_statement!$B$1:$XFD$1,0)),"")</f>
        <v/>
      </c>
      <c r="G61" s="11">
        <f>IFERROR(INDEX(income_statement!$B:$XFD,MATCH("Chi phí quản lý doanh nghiệp",income_statement!$A:$A,0),MATCH(G$25,income_statement!$B$1:$XFD$1,0)),"")</f>
        <v/>
      </c>
      <c r="H61" s="11">
        <f>IFERROR(INDEX(income_statement!$B:$XFD,MATCH("Chi phí quản lý doanh nghiệp",income_statement!$A:$A,0),MATCH(H$25,income_statement!$B$1:$XFD$1,0)),"")</f>
        <v/>
      </c>
      <c r="I61" s="11">
        <f>IFERROR(INDEX(income_statement!$B:$XFD,MATCH("Chi phí quản lý doanh nghiệp",income_statement!$A:$A,0),MATCH(I$25,income_statement!$B$1:$XFD$1,0)),"")</f>
        <v/>
      </c>
    </row>
    <row r="62">
      <c r="A62" s="1" t="inlineStr">
        <is>
          <t>Lãi và phí phải thu</t>
        </is>
      </c>
      <c r="B62" s="11">
        <f>IFERROR(INDEX(balance_sheet!$B:$XFD,MATCH("Các khoản lãi và phí phải thu",balance_sheet!$A:$A,0),MATCH(B$25,balance_sheet!$B$1:$XFD$1,0)),"")</f>
        <v/>
      </c>
      <c r="C62" s="11">
        <f>IFERROR(INDEX(balance_sheet!$B:$XFD,MATCH("Các khoản lãi và phí phải thu",balance_sheet!$A:$A,0),MATCH(C$25,balance_sheet!$B$1:$XFD$1,0)),"")</f>
        <v/>
      </c>
      <c r="D62" s="11">
        <f>IFERROR(INDEX(balance_sheet!$B:$XFD,MATCH("Các khoản lãi và phí phải thu",balance_sheet!$A:$A,0),MATCH(D$25,balance_sheet!$B$1:$XFD$1,0)),"")</f>
        <v/>
      </c>
      <c r="E62" s="11">
        <f>IFERROR(INDEX(balance_sheet!$B:$XFD,MATCH("Các khoản lãi và phí phải thu",balance_sheet!$A:$A,0),MATCH(E$25,balance_sheet!$B$1:$XFD$1,0)),"")</f>
        <v/>
      </c>
      <c r="F62" s="11">
        <f>IFERROR(INDEX(balance_sheet!$B:$XFD,MATCH("Các khoản lãi và phí phải thu",balance_sheet!$A:$A,0),MATCH(F$25,balance_sheet!$B$1:$XFD$1,0)),"")</f>
        <v/>
      </c>
      <c r="G62" s="11">
        <f>IFERROR(INDEX(balance_sheet!$B:$XFD,MATCH("Các khoản lãi và phí phải thu",balance_sheet!$A:$A,0),MATCH(G$25,balance_sheet!$B$1:$XFD$1,0)),"")</f>
        <v/>
      </c>
      <c r="H62" s="11">
        <f>IFERROR(INDEX(balance_sheet!$B:$XFD,MATCH("Các khoản lãi và phí phải thu",balance_sheet!$A:$A,0),MATCH(H$25,balance_sheet!$B$1:$XFD$1,0)),"")</f>
        <v/>
      </c>
      <c r="I62" s="11">
        <f>IFERROR(INDEX(balance_sheet!$B:$XFD,MATCH("Các khoản lãi và phí phải thu",balance_sheet!$A:$A,0),MATCH(I$25,balance_sheet!$B$1:$XFD$1,0)),"")</f>
        <v/>
      </c>
    </row>
    <row r="63" customFormat="1" s="25">
      <c r="A63" s="10" t="inlineStr">
        <is>
          <t>LNST</t>
        </is>
      </c>
      <c r="B63" s="15">
        <f>IFERROR(INDEX(income_statement!$B:$XFD,MATCH("Lợi nhuận sau thuế",income_statement!$A:$A,0),MATCH(B$25,income_statement!$B$1:$XFD$1,0)),"")</f>
        <v/>
      </c>
      <c r="C63" s="15">
        <f>IFERROR(INDEX(income_statement!$B:$XFD,MATCH("Lợi nhuận sau thuế",income_statement!$A:$A,0),MATCH(C$25,income_statement!$B$1:$XFD$1,0)),"")</f>
        <v/>
      </c>
      <c r="D63" s="15">
        <f>IFERROR(INDEX(income_statement!$B:$XFD,MATCH("Lợi nhuận sau thuế",income_statement!$A:$A,0),MATCH(D$25,income_statement!$B$1:$XFD$1,0)),"")</f>
        <v/>
      </c>
      <c r="E63" s="15">
        <f>IFERROR(INDEX(income_statement!$B:$XFD,MATCH("Lợi nhuận sau thuế",income_statement!$A:$A,0),MATCH(E$25,income_statement!$B$1:$XFD$1,0)),"")</f>
        <v/>
      </c>
      <c r="F63" s="15">
        <f>IFERROR(INDEX(income_statement!$B:$XFD,MATCH("Lợi nhuận sau thuế",income_statement!$A:$A,0),MATCH(F$25,income_statement!$B$1:$XFD$1,0)),"")</f>
        <v/>
      </c>
      <c r="G63" s="15">
        <f>IFERROR(INDEX(income_statement!$B:$XFD,MATCH("Lợi nhuận sau thuế",income_statement!$A:$A,0),MATCH(G$25,income_statement!$B$1:$XFD$1,0)),"")</f>
        <v/>
      </c>
      <c r="H63" s="15">
        <f>IFERROR(INDEX(income_statement!$B:$XFD,MATCH("Lợi nhuận sau thuế",income_statement!$A:$A,0),MATCH(H$25,income_statement!$B$1:$XFD$1,0)),"")</f>
        <v/>
      </c>
      <c r="I63" s="15">
        <f>IFERROR(INDEX(income_statement!$B:$XFD,MATCH("Lợi nhuận sau thuế",income_statement!$A:$A,0),MATCH(I$25,income_statement!$B$1:$XFD$1,0)),"")</f>
        <v/>
      </c>
    </row>
    <row r="64" customFormat="1" s="25">
      <c r="A64" s="10" t="inlineStr">
        <is>
          <t>LNST CĐ Công ty mẹ</t>
        </is>
      </c>
      <c r="B64" s="15">
        <f>IFERROR(INDEX(income_statement!$B:$XFD,MATCH("Cổ đông của Công ty mẹ",income_statement!$A:$A,0),MATCH(B$25,income_statement!$B$1:$XFD$1,0)),"")</f>
        <v/>
      </c>
      <c r="C64" s="15">
        <f>IFERROR(INDEX(income_statement!$B:$XFD,MATCH("Cổ đông của Công ty mẹ",income_statement!$A:$A,0),MATCH(C$25,income_statement!$B$1:$XFD$1,0)),"")</f>
        <v/>
      </c>
      <c r="D64" s="15">
        <f>IFERROR(INDEX(income_statement!$B:$XFD,MATCH("Cổ đông của Công ty mẹ",income_statement!$A:$A,0),MATCH(D$25,income_statement!$B$1:$XFD$1,0)),"")</f>
        <v/>
      </c>
      <c r="E64" s="15">
        <f>IFERROR(INDEX(income_statement!$B:$XFD,MATCH("Cổ đông của Công ty mẹ",income_statement!$A:$A,0),MATCH(E$25,income_statement!$B$1:$XFD$1,0)),"")</f>
        <v/>
      </c>
      <c r="F64" s="15">
        <f>IFERROR(INDEX(income_statement!$B:$XFD,MATCH("Cổ đông của Công ty mẹ",income_statement!$A:$A,0),MATCH(F$25,income_statement!$B$1:$XFD$1,0)),"")</f>
        <v/>
      </c>
      <c r="G64" s="15">
        <f>IFERROR(INDEX(income_statement!$B:$XFD,MATCH("Cổ đông của Công ty mẹ",income_statement!$A:$A,0),MATCH(G$25,income_statement!$B$1:$XFD$1,0)),"")</f>
        <v/>
      </c>
      <c r="H64" s="15">
        <f>IFERROR(INDEX(income_statement!$B:$XFD,MATCH("Cổ đông của Công ty mẹ",income_statement!$A:$A,0),MATCH(H$25,income_statement!$B$1:$XFD$1,0)),"")</f>
        <v/>
      </c>
      <c r="I64" s="15">
        <f>IFERROR(INDEX(income_statement!$B:$XFD,MATCH("Cổ đông của Công ty mẹ",income_statement!$A:$A,0),MATCH(I$25,income_statement!$B$1:$XFD$1,0)),"")</f>
        <v/>
      </c>
    </row>
    <row r="65" customFormat="1" s="25">
      <c r="A65" s="10" t="inlineStr">
        <is>
          <t>Tổng lợi nhuận/lỗ trước thuế</t>
        </is>
      </c>
      <c r="B65" s="15">
        <f>IFERROR(INDEX(income_statement!$B:$XFD,MATCH("Tổng lợi nhuận/lỗ trước thuế",income_statement!$A:$A,0),MATCH(B$25,income_statement!$B$1:$XFD$1,0)),"")</f>
        <v/>
      </c>
      <c r="C65" s="15">
        <f>IFERROR(INDEX(income_statement!$B:$XFD,MATCH("Tổng lợi nhuận/lỗ trước thuế",income_statement!$A:$A,0),MATCH(C$25,income_statement!$B$1:$XFD$1,0)),"")</f>
        <v/>
      </c>
      <c r="D65" s="15">
        <f>IFERROR(INDEX(income_statement!$B:$XFD,MATCH("Tổng lợi nhuận/lỗ trước thuế",income_statement!$A:$A,0),MATCH(D$25,income_statement!$B$1:$XFD$1,0)),"")</f>
        <v/>
      </c>
      <c r="E65" s="15">
        <f>IFERROR(INDEX(income_statement!$B:$XFD,MATCH("Tổng lợi nhuận/lỗ trước thuế",income_statement!$A:$A,0),MATCH(E$25,income_statement!$B$1:$XFD$1,0)),"")</f>
        <v/>
      </c>
      <c r="F65" s="15">
        <f>IFERROR(INDEX(income_statement!$B:$XFD,MATCH("Tổng lợi nhuận/lỗ trước thuế",income_statement!$A:$A,0),MATCH(F$25,income_statement!$B$1:$XFD$1,0)),"")</f>
        <v/>
      </c>
      <c r="G65" s="15">
        <f>IFERROR(INDEX(income_statement!$B:$XFD,MATCH("Tổng lợi nhuận/lỗ trước thuế",income_statement!$A:$A,0),MATCH(G$25,income_statement!$B$1:$XFD$1,0)),"")</f>
        <v/>
      </c>
      <c r="H65" s="15">
        <f>IFERROR(INDEX(income_statement!$B:$XFD,MATCH("Tổng lợi nhuận/lỗ trước thuế",income_statement!$A:$A,0),MATCH(H$25,income_statement!$B$1:$XFD$1,0)),"")</f>
        <v/>
      </c>
      <c r="I65" s="15">
        <f>IFERROR(INDEX(income_statement!$B:$XFD,MATCH("Tổng lợi nhuận/lỗ trước thuế",income_statement!$A:$A,0),MATCH(I$25,income_statement!$B$1:$XFD$1,0)),"")</f>
        <v/>
      </c>
    </row>
  </sheetData>
  <conditionalFormatting sqref="B2:I2">
    <cfRule type="cellIs" priority="7" operator="greaterThanOrEqual" dxfId="1">
      <formula>0.15/4</formula>
    </cfRule>
    <cfRule type="cellIs" priority="8" operator="lessThan" dxfId="2">
      <formula>0.15/4</formula>
    </cfRule>
  </conditionalFormatting>
  <conditionalFormatting sqref="B3:I3 B5:I5">
    <cfRule type="cellIs" priority="9" operator="lessThan" dxfId="7">
      <formula>0.1/4</formula>
    </cfRule>
    <cfRule type="cellIs" priority="10" operator="greaterThan" dxfId="6">
      <formula>0.15/4</formula>
    </cfRule>
  </conditionalFormatting>
  <conditionalFormatting sqref="F4:I4">
    <cfRule type="cellIs" priority="4" operator="lessThan" dxfId="2">
      <formula>0.1</formula>
    </cfRule>
    <cfRule type="cellIs" priority="5" operator="greaterThanOrEqual" dxfId="1">
      <formula>0.15</formula>
    </cfRule>
    <cfRule type="cellIs" priority="6" operator="between" dxfId="0">
      <formula>0.1</formula>
      <formula>0.15</formula>
    </cfRule>
  </conditionalFormatting>
  <conditionalFormatting sqref="F6:I6">
    <cfRule type="cellIs" priority="1" operator="lessThan" dxfId="2">
      <formula>0.1</formula>
    </cfRule>
    <cfRule type="cellIs" priority="2" operator="greaterThanOrEqual" dxfId="1">
      <formula>0.15</formula>
    </cfRule>
    <cfRule type="cellIs" priority="3" operator="between" dxfId="0">
      <formula>0.1</formula>
      <formula>0.15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2026-08-21T13:08:27Z</dcterms:created>
  <dcterms:modified xsi:type="dcterms:W3CDTF">2026-10-28T04:39:05Z</dcterms:modified>
  <cp:lastModifiedBy>Anh Thai</cp:lastModifiedBy>
</cp:coreProperties>
</file>
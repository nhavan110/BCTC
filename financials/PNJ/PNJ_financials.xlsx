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7" fillId="3" borderId="0" pivotButton="0" quotePrefix="0" xfId="0"/>
    <xf numFmtId="0" fontId="8" fillId="0" borderId="2" pivotButton="0" quotePrefix="0" xfId="0"/>
    <xf numFmtId="1" fontId="8" fillId="0" borderId="2" applyAlignment="1" pivotButton="0" quotePrefix="0" xfId="0">
      <alignment horizontal="center"/>
    </xf>
    <xf numFmtId="0" fontId="9" fillId="0" borderId="0" pivotButton="0" quotePrefix="0" xfId="0"/>
    <xf numFmtId="0" fontId="10" fillId="0" borderId="2" pivotButton="0" quotePrefix="0" xfId="0"/>
    <xf numFmtId="0" fontId="11" fillId="0" borderId="2" pivotButton="0" quotePrefix="0" xfId="0"/>
    <xf numFmtId="165" fontId="12" fillId="0" borderId="2" pivotButton="0" quotePrefix="0" xfId="0"/>
    <xf numFmtId="166" fontId="12" fillId="0" borderId="2" pivotButton="0" quotePrefix="0" xfId="0"/>
    <xf numFmtId="167" fontId="12" fillId="0" borderId="2" pivotButton="0" quotePrefix="0" xfId="0"/>
    <xf numFmtId="164" fontId="1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TÀI SẢN NGẮN HẠN</t>
        </is>
      </c>
      <c r="B2" s="4" t="n">
        <v>11966357761798</v>
      </c>
      <c r="C2" s="4" t="n">
        <v>12958118192260</v>
      </c>
      <c r="D2" s="4" t="n">
        <v>15692597267632</v>
      </c>
      <c r="E2" s="4" t="n">
        <v>18614031193890</v>
      </c>
    </row>
    <row r="3">
      <c r="A3" s="3" t="inlineStr">
        <is>
          <t>Tiền và tương đương tiền</t>
        </is>
      </c>
      <c r="B3" s="4" t="n">
        <v>879548130711</v>
      </c>
      <c r="C3" s="4" t="n">
        <v>896147917336</v>
      </c>
      <c r="D3" s="4" t="n">
        <v>1122712392130</v>
      </c>
      <c r="E3" s="4" t="n">
        <v>522025257031</v>
      </c>
    </row>
    <row r="4">
      <c r="A4" s="3" t="inlineStr">
        <is>
          <t>Tiền</t>
        </is>
      </c>
      <c r="B4" s="4" t="n">
        <v>879548130711</v>
      </c>
      <c r="C4" s="4" t="n">
        <v>896147917336</v>
      </c>
      <c r="D4" s="4" t="n">
        <v>1022712392130</v>
      </c>
      <c r="E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100000000000</v>
      </c>
      <c r="E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97918137408</v>
      </c>
    </row>
    <row r="7">
      <c r="A7" s="3" t="inlineStr">
        <is>
          <t>Đầu tư ngắn hạn</t>
        </is>
      </c>
      <c r="B7" s="4" t="n">
        <v>0</v>
      </c>
      <c r="C7" s="4" t="n">
        <v>0</v>
      </c>
      <c r="D7" s="4" t="n">
        <v>0</v>
      </c>
      <c r="E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</row>
    <row r="9">
      <c r="A9" s="3" t="inlineStr">
        <is>
          <t>Các khoản phải thu</t>
        </is>
      </c>
      <c r="B9" s="4" t="n">
        <v>300880402245</v>
      </c>
      <c r="C9" s="4" t="n">
        <v>215035937840</v>
      </c>
      <c r="D9" s="4" t="n">
        <v>401134922152</v>
      </c>
      <c r="E9" s="4" t="n">
        <v>153980309545</v>
      </c>
    </row>
    <row r="10">
      <c r="A10" s="3" t="inlineStr">
        <is>
          <t>Phải thu khách hàng</t>
        </is>
      </c>
      <c r="B10" s="4" t="n">
        <v>56532707659</v>
      </c>
      <c r="C10" s="4" t="n">
        <v>69277567110</v>
      </c>
      <c r="D10" s="4" t="n">
        <v>70851635761</v>
      </c>
      <c r="E10" s="4" t="n">
        <v>48760415990</v>
      </c>
    </row>
    <row r="11">
      <c r="A11" s="3" t="inlineStr">
        <is>
          <t>Trả trước người bán</t>
        </is>
      </c>
      <c r="B11" s="4" t="n">
        <v>68902837213</v>
      </c>
      <c r="C11" s="4" t="n">
        <v>27775617785</v>
      </c>
      <c r="D11" s="4" t="n">
        <v>253102611434</v>
      </c>
      <c r="E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</row>
    <row r="14">
      <c r="A14" s="3" t="inlineStr">
        <is>
          <t>Phải thu khác</t>
        </is>
      </c>
      <c r="B14" s="4" t="n">
        <v>37641170145</v>
      </c>
      <c r="C14" s="4" t="n">
        <v>32980198226</v>
      </c>
      <c r="D14" s="4" t="n">
        <v>64867442121</v>
      </c>
      <c r="E14" s="4" t="n">
        <v>90681158676</v>
      </c>
    </row>
    <row r="15">
      <c r="A15" s="3" t="inlineStr">
        <is>
          <t>Dự phòng nợ khó đòi</t>
        </is>
      </c>
      <c r="B15" s="4" t="n">
        <v>-2862909308</v>
      </c>
      <c r="C15" s="4" t="n">
        <v>-5049680837</v>
      </c>
      <c r="D15" s="4" t="n">
        <v>-28518444279</v>
      </c>
      <c r="E15" s="4" t="n">
        <v>-31918617346</v>
      </c>
    </row>
    <row r="16">
      <c r="A16" s="3" t="inlineStr">
        <is>
          <t>Hàng tồn kho, ròng</t>
        </is>
      </c>
      <c r="B16" s="4" t="n">
        <v>10506054932284</v>
      </c>
      <c r="C16" s="4" t="n">
        <v>10940937959289</v>
      </c>
      <c r="D16" s="4" t="n">
        <v>13015170477311</v>
      </c>
      <c r="E16" s="4" t="n">
        <v>15835334529837</v>
      </c>
    </row>
    <row r="17">
      <c r="A17" s="3" t="inlineStr">
        <is>
          <t>Hàng tồn kho</t>
        </is>
      </c>
      <c r="B17" s="4" t="n">
        <v>10508065026916</v>
      </c>
      <c r="C17" s="4" t="n">
        <v>10944749006797</v>
      </c>
      <c r="D17" s="4" t="n">
        <v>13074586927914</v>
      </c>
      <c r="E17" s="4" t="n">
        <v>15881309718303</v>
      </c>
    </row>
    <row r="18">
      <c r="A18" s="3" t="inlineStr">
        <is>
          <t>Dự phòng giảm giá hàng tồn kho</t>
        </is>
      </c>
      <c r="B18" s="4" t="n">
        <v>-2010094632</v>
      </c>
      <c r="C18" s="4" t="n">
        <v>-3811047508</v>
      </c>
      <c r="D18" s="4" t="n">
        <v>-59416450603</v>
      </c>
      <c r="E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</row>
    <row r="20">
      <c r="A20" s="3" t="inlineStr">
        <is>
          <t>Chi phí trả trước ngắn hạn</t>
        </is>
      </c>
      <c r="B20" s="4" t="n">
        <v>74007356286</v>
      </c>
      <c r="C20" s="4" t="n">
        <v>94051248427</v>
      </c>
      <c r="D20" s="4" t="n">
        <v>132726608716</v>
      </c>
      <c r="E20" s="4" t="n">
        <v>94862372660</v>
      </c>
    </row>
    <row r="21">
      <c r="A21" s="3" t="inlineStr">
        <is>
          <t>Thuế GTGT được khấu trừ</t>
        </is>
      </c>
      <c r="B21" s="4" t="n">
        <v>5866940272</v>
      </c>
      <c r="C21" s="4" t="n">
        <v>1845129368</v>
      </c>
      <c r="D21" s="4" t="n">
        <v>682867323</v>
      </c>
      <c r="E21" s="4" t="n">
        <v>234579085</v>
      </c>
    </row>
    <row r="22">
      <c r="A22" s="3" t="inlineStr">
        <is>
          <t>Phải thu thuế khác</t>
        </is>
      </c>
      <c r="B22" s="4" t="n">
        <v>0</v>
      </c>
      <c r="C22" s="4" t="n">
        <v>0</v>
      </c>
      <c r="D22" s="4" t="n">
        <v>0</v>
      </c>
      <c r="E22" s="4" t="n">
        <v>106008324</v>
      </c>
    </row>
    <row r="23">
      <c r="A23" s="3" t="inlineStr">
        <is>
          <t>Tài sản lưu động khác</t>
        </is>
      </c>
      <c r="B23" s="4" t="n">
        <v>0</v>
      </c>
      <c r="C23" s="4" t="n">
        <v>0</v>
      </c>
      <c r="D23" s="4" t="n">
        <v>0</v>
      </c>
      <c r="E23" s="4" t="n">
        <v>0</v>
      </c>
    </row>
    <row r="24">
      <c r="A24" s="3" t="inlineStr">
        <is>
          <t>TÀI SẢN DÀI HẠN</t>
        </is>
      </c>
      <c r="B24" s="4" t="n">
        <v>1370766887448</v>
      </c>
      <c r="C24" s="4" t="n">
        <v>1469439823096</v>
      </c>
      <c r="D24" s="4" t="n">
        <v>1515133510053</v>
      </c>
      <c r="E24" s="4" t="n">
        <v>1549599053151</v>
      </c>
    </row>
    <row r="25">
      <c r="A25" s="3" t="inlineStr">
        <is>
          <t>Phải thu dài hạn</t>
        </is>
      </c>
      <c r="B25" s="4" t="n">
        <v>93956493011</v>
      </c>
      <c r="C25" s="4" t="n">
        <v>104636239106</v>
      </c>
      <c r="D25" s="4" t="n">
        <v>115599492454</v>
      </c>
      <c r="E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</row>
    <row r="28">
      <c r="A28" s="3" t="inlineStr">
        <is>
          <t>Phải thu dài hạn khác</t>
        </is>
      </c>
      <c r="B28" s="4" t="n">
        <v>93956493011</v>
      </c>
      <c r="C28" s="4" t="n">
        <v>104636239106</v>
      </c>
      <c r="D28" s="4" t="n">
        <v>115599492454</v>
      </c>
      <c r="E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</row>
    <row r="30">
      <c r="A30" s="3" t="inlineStr">
        <is>
          <t>Tài sản cố định</t>
        </is>
      </c>
      <c r="B30" s="4" t="n">
        <v>882432821075</v>
      </c>
      <c r="C30" s="4" t="n">
        <v>882715109732</v>
      </c>
      <c r="D30" s="4" t="n">
        <v>857118818527</v>
      </c>
      <c r="E30" s="4" t="n">
        <v>855770473476</v>
      </c>
    </row>
    <row r="31">
      <c r="A31" s="3" t="inlineStr">
        <is>
          <t>GTCL TSCĐ hữu hình</t>
        </is>
      </c>
      <c r="B31" s="4" t="n">
        <v>239734551747</v>
      </c>
      <c r="C31" s="4" t="n">
        <v>256373758673</v>
      </c>
      <c r="D31" s="4" t="n">
        <v>248430247930</v>
      </c>
      <c r="E31" s="4" t="n">
        <v>236245161003</v>
      </c>
    </row>
    <row r="32">
      <c r="A32" s="3" t="inlineStr">
        <is>
          <t>Nguyên giá TSCĐ hữu hình</t>
        </is>
      </c>
      <c r="B32" s="4" t="n">
        <v>672781337441</v>
      </c>
      <c r="C32" s="4" t="n">
        <v>747570855214</v>
      </c>
      <c r="D32" s="4" t="n">
        <v>796271142120</v>
      </c>
      <c r="E32" s="4" t="n">
        <v>845032678156</v>
      </c>
    </row>
    <row r="33">
      <c r="A33" s="3" t="inlineStr">
        <is>
          <t>Khấu hao lũy kế TSCĐ hữu hình</t>
        </is>
      </c>
      <c r="B33" s="4" t="n">
        <v>-433046785694</v>
      </c>
      <c r="C33" s="4" t="n">
        <v>-491197096541</v>
      </c>
      <c r="D33" s="4" t="n">
        <v>-547840894190</v>
      </c>
      <c r="E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</row>
    <row r="37">
      <c r="A37" s="3" t="inlineStr">
        <is>
          <t>GTCL tài sản cố định vô hình</t>
        </is>
      </c>
      <c r="B37" s="4" t="n">
        <v>642698269328</v>
      </c>
      <c r="C37" s="4" t="n">
        <v>626341351059</v>
      </c>
      <c r="D37" s="4" t="n">
        <v>608688570597</v>
      </c>
      <c r="E37" s="4" t="n">
        <v>619525312473</v>
      </c>
    </row>
    <row r="38">
      <c r="A38" s="3" t="inlineStr">
        <is>
          <t>Nguyên giá TSCĐ vô hình</t>
        </is>
      </c>
      <c r="B38" s="4" t="n">
        <v>707010800099</v>
      </c>
      <c r="C38" s="4" t="n">
        <v>708071904553</v>
      </c>
      <c r="D38" s="4" t="n">
        <v>708142194553</v>
      </c>
      <c r="E38" s="4" t="n">
        <v>734945157553</v>
      </c>
    </row>
    <row r="39">
      <c r="A39" s="3" t="inlineStr">
        <is>
          <t>Khấu hao lũy kế TSCĐ vô hình</t>
        </is>
      </c>
      <c r="B39" s="4" t="n">
        <v>-64312530771</v>
      </c>
      <c r="C39" s="4" t="n">
        <v>-81730553494</v>
      </c>
      <c r="D39" s="4" t="n">
        <v>-99453623956</v>
      </c>
      <c r="E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3980000000</v>
      </c>
      <c r="D44" s="4" t="n">
        <v>3980000000</v>
      </c>
      <c r="E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399251613400</v>
      </c>
      <c r="D47" s="4" t="n">
        <v>399251613400</v>
      </c>
      <c r="E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</row>
    <row r="50">
      <c r="A50" s="3" t="inlineStr">
        <is>
          <t>Tài sản dài hạn khác</t>
        </is>
      </c>
      <c r="B50" s="4" t="n">
        <v>363550944173</v>
      </c>
      <c r="C50" s="4" t="n">
        <v>449008425848</v>
      </c>
      <c r="D50" s="4" t="n">
        <v>473732557913</v>
      </c>
      <c r="E50" s="4" t="n">
        <v>472022383285</v>
      </c>
    </row>
    <row r="51">
      <c r="A51" s="3" t="inlineStr">
        <is>
          <t>Trả trước dài hạn</t>
        </is>
      </c>
      <c r="B51" s="4" t="n">
        <v>243656590750</v>
      </c>
      <c r="C51" s="4" t="n">
        <v>329182091504</v>
      </c>
      <c r="D51" s="4" t="n">
        <v>276525499295</v>
      </c>
      <c r="E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</row>
    <row r="54">
      <c r="A54" s="3" t="inlineStr">
        <is>
          <t>TỔNG CỘNG TÀI SẢN</t>
        </is>
      </c>
      <c r="B54" s="4" t="n">
        <v>13337124649246</v>
      </c>
      <c r="C54" s="4" t="n">
        <v>14427558015356</v>
      </c>
      <c r="D54" s="4" t="n">
        <v>17207730777685</v>
      </c>
      <c r="E54" s="4" t="n">
        <v>20163630247041</v>
      </c>
    </row>
    <row r="55">
      <c r="A55" s="3" t="inlineStr">
        <is>
          <t>NỢ PHẢI TRẢ</t>
        </is>
      </c>
      <c r="B55" s="4" t="n">
        <v>4893029994396</v>
      </c>
      <c r="C55" s="4" t="n">
        <v>4621377351380</v>
      </c>
      <c r="D55" s="4" t="n">
        <v>5952424147163</v>
      </c>
      <c r="E55" s="4" t="n">
        <v>6888716787629</v>
      </c>
    </row>
    <row r="56">
      <c r="A56" s="3" t="inlineStr">
        <is>
          <t>Nợ ngắn hạn</t>
        </is>
      </c>
      <c r="B56" s="4" t="n">
        <v>4883064421396</v>
      </c>
      <c r="C56" s="4" t="n">
        <v>4611956609380</v>
      </c>
      <c r="D56" s="4" t="n">
        <v>5941881733413</v>
      </c>
      <c r="E56" s="4" t="n">
        <v>6874318773629</v>
      </c>
    </row>
    <row r="57">
      <c r="A57" s="3" t="inlineStr">
        <is>
          <t>Vay ngắn hạn</t>
        </is>
      </c>
      <c r="B57" s="4" t="n">
        <v>2683045875772</v>
      </c>
      <c r="C57" s="4" t="n">
        <v>2384288254693</v>
      </c>
      <c r="D57" s="4" t="n">
        <v>3341542016760</v>
      </c>
      <c r="E57" s="4" t="n">
        <v>4223385635653</v>
      </c>
    </row>
    <row r="58">
      <c r="A58" s="3" t="inlineStr">
        <is>
          <t>Phải trả người bán</t>
        </is>
      </c>
      <c r="B58" s="4" t="n">
        <v>277212839495</v>
      </c>
      <c r="C58" s="4" t="n">
        <v>257304950807</v>
      </c>
      <c r="D58" s="4" t="n">
        <v>624291098148</v>
      </c>
      <c r="E58" s="4" t="n">
        <v>333861329514</v>
      </c>
    </row>
    <row r="59">
      <c r="A59" s="3" t="inlineStr">
        <is>
          <t>Người mua trả tiền trước</t>
        </is>
      </c>
      <c r="B59" s="4" t="n">
        <v>222164283405</v>
      </c>
      <c r="C59" s="4" t="n">
        <v>215299493413</v>
      </c>
      <c r="D59" s="4" t="n">
        <v>188182044409</v>
      </c>
      <c r="E59" s="4" t="n">
        <v>182492529057</v>
      </c>
    </row>
    <row r="60">
      <c r="A60" s="3" t="inlineStr">
        <is>
          <t>Thuế và các khoản phải trả Nhà nước</t>
        </is>
      </c>
      <c r="B60" s="4" t="n">
        <v>292985361927</v>
      </c>
      <c r="C60" s="4" t="n">
        <v>344258054659</v>
      </c>
      <c r="D60" s="4" t="n">
        <v>448697283312</v>
      </c>
      <c r="E60" s="4" t="n">
        <v>777717691575</v>
      </c>
    </row>
    <row r="61">
      <c r="A61" s="3" t="inlineStr">
        <is>
          <t>Phải trả người lao động</t>
        </is>
      </c>
      <c r="B61" s="4" t="n">
        <v>534807250396</v>
      </c>
      <c r="C61" s="4" t="n">
        <v>673116492808</v>
      </c>
      <c r="D61" s="4" t="n">
        <v>596322426230</v>
      </c>
      <c r="E61" s="4" t="n">
        <v>569308694234</v>
      </c>
    </row>
    <row r="62">
      <c r="A62" s="3" t="inlineStr">
        <is>
          <t>Chi phí phải trả</t>
        </is>
      </c>
      <c r="B62" s="4" t="n">
        <v>453432735944</v>
      </c>
      <c r="C62" s="4" t="n">
        <v>307718428978</v>
      </c>
      <c r="D62" s="4" t="n">
        <v>360040211420</v>
      </c>
      <c r="E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</row>
    <row r="65">
      <c r="A65" s="3" t="inlineStr">
        <is>
          <t>Phải trả khác</t>
        </is>
      </c>
      <c r="B65" s="4" t="n">
        <v>227169093119</v>
      </c>
      <c r="C65" s="4" t="n">
        <v>228798913738</v>
      </c>
      <c r="D65" s="4" t="n">
        <v>106241642105</v>
      </c>
      <c r="E65" s="4" t="n">
        <v>103175435252</v>
      </c>
    </row>
    <row r="66">
      <c r="A66" s="3" t="inlineStr">
        <is>
          <t>Dự phòng các khoản phải trả ngắn hạn</t>
        </is>
      </c>
      <c r="B66" s="4" t="n">
        <v>30129306488</v>
      </c>
      <c r="C66" s="4" t="n">
        <v>29061192534</v>
      </c>
      <c r="D66" s="4" t="n">
        <v>26547708303</v>
      </c>
      <c r="E66" s="4" t="n">
        <v>26574672229</v>
      </c>
    </row>
    <row r="67">
      <c r="A67" s="3" t="inlineStr">
        <is>
          <t>Quỹ khen thưởng, phúc lợi</t>
        </is>
      </c>
      <c r="B67" s="4" t="n">
        <v>162117674850</v>
      </c>
      <c r="C67" s="4" t="n">
        <v>172110827750</v>
      </c>
      <c r="D67" s="4" t="n">
        <v>250017302726</v>
      </c>
      <c r="E67" s="4" t="n">
        <v>335975695659</v>
      </c>
    </row>
    <row r="68">
      <c r="A68" s="3" t="inlineStr">
        <is>
          <t>Nợ dài hạn</t>
        </is>
      </c>
      <c r="B68" s="4" t="n">
        <v>9965573000</v>
      </c>
      <c r="C68" s="4" t="n">
        <v>9420742000</v>
      </c>
      <c r="D68" s="4" t="n">
        <v>10542413750</v>
      </c>
      <c r="E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</row>
    <row r="71">
      <c r="A71" s="3" t="inlineStr">
        <is>
          <t>Phải trả dài hạn khác</t>
        </is>
      </c>
      <c r="B71" s="4" t="n">
        <v>218668000</v>
      </c>
      <c r="C71" s="4" t="n">
        <v>218668000</v>
      </c>
      <c r="D71" s="4" t="n">
        <v>178668000</v>
      </c>
      <c r="E71" s="4" t="n">
        <v>1715384000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</row>
    <row r="73">
      <c r="A73" s="3" t="inlineStr">
        <is>
          <t>Thuế thu nhập hoãn lại</t>
        </is>
      </c>
      <c r="B73" s="4" t="n">
        <v>0</v>
      </c>
      <c r="C73" s="4" t="n">
        <v>0</v>
      </c>
      <c r="D73" s="4" t="n">
        <v>0</v>
      </c>
      <c r="E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</row>
    <row r="75">
      <c r="A75" s="3" t="inlineStr">
        <is>
          <t>Dự phòng các khoản nợ dài hạn</t>
        </is>
      </c>
      <c r="B75" s="4" t="n">
        <v>9746905000</v>
      </c>
      <c r="C75" s="4" t="n">
        <v>9202074000</v>
      </c>
      <c r="D75" s="4" t="n">
        <v>10363745750</v>
      </c>
      <c r="E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</row>
    <row r="78">
      <c r="A78" s="3" t="inlineStr">
        <is>
          <t>Vốn chủ sở hữu</t>
        </is>
      </c>
      <c r="B78" s="4" t="n">
        <v>8444094654850</v>
      </c>
      <c r="C78" s="4" t="n">
        <v>9806180663976</v>
      </c>
      <c r="D78" s="4" t="n">
        <v>11255306630522</v>
      </c>
      <c r="E78" s="4" t="n">
        <v>13274913459412</v>
      </c>
    </row>
    <row r="79">
      <c r="A79" s="3" t="inlineStr">
        <is>
          <t>Vốn và các quỹ</t>
        </is>
      </c>
      <c r="B79" s="4" t="n">
        <v>8444094654850</v>
      </c>
      <c r="C79" s="4" t="n">
        <v>9806180663976</v>
      </c>
      <c r="D79" s="4" t="n">
        <v>11255306630522</v>
      </c>
      <c r="E79" s="4" t="n">
        <v>13274913459412</v>
      </c>
    </row>
    <row r="80">
      <c r="A80" s="3" t="inlineStr">
        <is>
          <t>Vốn góp</t>
        </is>
      </c>
      <c r="B80" s="4" t="n">
        <v>2461716200000</v>
      </c>
      <c r="C80" s="4" t="n">
        <v>3281691880000</v>
      </c>
      <c r="D80" s="4" t="n">
        <v>3380747760000</v>
      </c>
      <c r="E80" s="4" t="n">
        <v>3413186660000</v>
      </c>
    </row>
    <row r="81">
      <c r="A81" s="3" t="inlineStr">
        <is>
          <t>Thặng dư vốn cổ phần</t>
        </is>
      </c>
      <c r="B81" s="4" t="n">
        <v>2251376032458</v>
      </c>
      <c r="C81" s="4" t="n">
        <v>1851376032458</v>
      </c>
      <c r="D81" s="4" t="n">
        <v>1950309912458</v>
      </c>
      <c r="E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</row>
    <row r="83">
      <c r="A83" s="3" t="inlineStr">
        <is>
          <t>Cổ phiếu quỹ</t>
        </is>
      </c>
      <c r="B83" s="4" t="n">
        <v>-3384090000</v>
      </c>
      <c r="C83" s="4" t="n">
        <v>-3384090000</v>
      </c>
      <c r="D83" s="4" t="n">
        <v>-3384090000</v>
      </c>
      <c r="E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</row>
    <row r="86">
      <c r="A86" s="3" t="inlineStr">
        <is>
          <t>Quỹ đầu tư và phát triển</t>
        </is>
      </c>
      <c r="B86" s="4" t="n">
        <v>1212120556918</v>
      </c>
      <c r="C86" s="4" t="n">
        <v>1936397556918</v>
      </c>
      <c r="D86" s="4" t="n">
        <v>2626281556918</v>
      </c>
      <c r="E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</row>
    <row r="89">
      <c r="A89" s="3" t="inlineStr">
        <is>
          <t>Lãi chưa phân phối</t>
        </is>
      </c>
      <c r="B89" s="4" t="n">
        <v>2522265955474</v>
      </c>
      <c r="C89" s="4" t="n">
        <v>2740099284600</v>
      </c>
      <c r="D89" s="4" t="n">
        <v>3301351491146</v>
      </c>
      <c r="E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</row>
    <row r="95">
      <c r="A95" s="3" t="inlineStr">
        <is>
          <t>Tổng cộng nguồn vốn</t>
        </is>
      </c>
      <c r="B95" s="4" t="n">
        <v>13337124649246</v>
      </c>
      <c r="C95" s="4" t="n">
        <v>14427558015356</v>
      </c>
      <c r="D95" s="4" t="n">
        <v>17207730777685</v>
      </c>
      <c r="E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</row>
    <row r="99">
      <c r="A99" s="3" t="inlineStr">
        <is>
          <t>Tài sản thiếu cần xử lý</t>
        </is>
      </c>
      <c r="B99" s="4" t="n">
        <v>666596536</v>
      </c>
      <c r="C99" s="4" t="n">
        <v>52235556</v>
      </c>
      <c r="D99" s="4" t="n">
        <v>831677115</v>
      </c>
      <c r="E99" s="4" t="n">
        <v>372199982</v>
      </c>
    </row>
    <row r="100">
      <c r="A100" s="3" t="inlineStr">
        <is>
          <t>Phải thu cho vay ngắn hạn</t>
        </is>
      </c>
      <c r="B100" s="4" t="n">
        <v>140000000000</v>
      </c>
      <c r="C100" s="4" t="n">
        <v>90000000000</v>
      </c>
      <c r="D100" s="4" t="n">
        <v>40000000000</v>
      </c>
      <c r="E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</row>
    <row r="104">
      <c r="A104" s="3" t="inlineStr">
        <is>
          <t>Tài sản dở dang dài hạn</t>
        </is>
      </c>
      <c r="B104" s="4" t="n">
        <v>30826629189</v>
      </c>
      <c r="C104" s="4" t="n">
        <v>29100048410</v>
      </c>
      <c r="D104" s="4" t="n">
        <v>64702641159</v>
      </c>
      <c r="E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</row>
    <row r="106">
      <c r="A106" s="3" t="inlineStr">
        <is>
          <t>Đầu tư nắm giữ đến ngày đáo hạn</t>
        </is>
      </c>
      <c r="B106" s="4" t="n">
        <v>0</v>
      </c>
      <c r="C106" s="4" t="n">
        <v>0</v>
      </c>
      <c r="D106" s="4" t="n">
        <v>0</v>
      </c>
      <c r="E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</row>
    <row r="115">
      <c r="A115" s="3" t="inlineStr">
        <is>
          <t>Cổ phiếu ưu đãi</t>
        </is>
      </c>
      <c r="B115" s="4" t="n">
        <v>0</v>
      </c>
      <c r="C115" s="4" t="n">
        <v>0</v>
      </c>
      <c r="D115" s="4" t="n">
        <v>0</v>
      </c>
      <c r="E115" s="4" t="n">
        <v>0</v>
      </c>
    </row>
    <row r="116">
      <c r="A116" s="3" t="inlineStr">
        <is>
          <t>Cổ phiếu phổ thông</t>
        </is>
      </c>
      <c r="B116" s="4" t="n">
        <v>2461716200000</v>
      </c>
      <c r="C116" s="4" t="n">
        <v>3281691880000</v>
      </c>
      <c r="D116" s="4" t="n">
        <v>3380747760000</v>
      </c>
      <c r="E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</row>
    <row r="118">
      <c r="A118" s="3" t="inlineStr">
        <is>
          <t>LNST chưa phân phối lũy kế đến cuối kỳ trước</t>
        </is>
      </c>
      <c r="B118" s="4" t="n">
        <v>859175348677</v>
      </c>
      <c r="C118" s="4" t="n">
        <v>769000107465</v>
      </c>
      <c r="D118" s="4" t="n">
        <v>1188435208200</v>
      </c>
      <c r="E118" s="4" t="n">
        <v>1582471057146</v>
      </c>
    </row>
    <row r="119">
      <c r="A119" s="3" t="inlineStr">
        <is>
          <t>LNST chưa phân phối kỳ này</t>
        </is>
      </c>
      <c r="B119" s="4" t="n">
        <v>1663090606797</v>
      </c>
      <c r="C119" s="4" t="n">
        <v>1971099177135</v>
      </c>
      <c r="D119" s="4" t="n">
        <v>2112916282946</v>
      </c>
      <c r="E119" s="4" t="n">
        <v>2828497462890</v>
      </c>
    </row>
    <row r="120">
      <c r="A120" s="3" t="inlineStr">
        <is>
          <t>Xây dựng cơ bản đang dở dang</t>
        </is>
      </c>
      <c r="B120" s="4" t="n">
        <v>30826629189</v>
      </c>
      <c r="C120" s="4" t="n">
        <v>29100048410</v>
      </c>
      <c r="D120" s="4" t="n">
        <v>64702641159</v>
      </c>
      <c r="E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34211128942240</v>
      </c>
      <c r="C2" s="4" t="n">
        <v>33481608954953</v>
      </c>
      <c r="D2" s="4" t="n">
        <v>38232401184050</v>
      </c>
      <c r="E2" s="4" t="n">
        <v>35410589612616</v>
      </c>
    </row>
    <row r="3">
      <c r="A3" s="3" t="inlineStr">
        <is>
          <t>Các khoản giảm trừ doanh thu</t>
        </is>
      </c>
      <c r="B3" s="4" t="n">
        <v>-334674383087</v>
      </c>
      <c r="C3" s="4" t="n">
        <v>-344679758524</v>
      </c>
      <c r="D3" s="4" t="n">
        <v>-409564012665</v>
      </c>
      <c r="E3" s="4" t="n">
        <v>-434546683224</v>
      </c>
    </row>
    <row r="4">
      <c r="A4" s="3" t="inlineStr">
        <is>
          <t>Doanh thu thuần</t>
        </is>
      </c>
      <c r="B4" s="4" t="n">
        <v>33876454559153</v>
      </c>
      <c r="C4" s="4" t="n">
        <v>33136929196429</v>
      </c>
      <c r="D4" s="4" t="n">
        <v>37822837171385</v>
      </c>
      <c r="E4" s="4" t="n">
        <v>34976042929392</v>
      </c>
    </row>
    <row r="5">
      <c r="A5" s="3" t="inlineStr">
        <is>
          <t>Giá vốn hàng bán</t>
        </is>
      </c>
      <c r="B5" s="4" t="n">
        <v>-27949348024381</v>
      </c>
      <c r="C5" s="4" t="n">
        <v>-27078338249235</v>
      </c>
      <c r="D5" s="4" t="n">
        <v>-31149334531193</v>
      </c>
      <c r="E5" s="4" t="n">
        <v>-27292194621378</v>
      </c>
    </row>
    <row r="6">
      <c r="A6" s="3" t="inlineStr">
        <is>
          <t>Lợi nhuận gộp</t>
        </is>
      </c>
      <c r="B6" s="4" t="n">
        <v>5927106534772</v>
      </c>
      <c r="C6" s="4" t="n">
        <v>6058590947194</v>
      </c>
      <c r="D6" s="4" t="n">
        <v>6673502640192</v>
      </c>
      <c r="E6" s="4" t="n">
        <v>7683848308014</v>
      </c>
    </row>
    <row r="7">
      <c r="A7" s="3" t="inlineStr">
        <is>
          <t>Doanh thu hoạt động tài chính</t>
        </is>
      </c>
      <c r="B7" s="4" t="n">
        <v>54036974170</v>
      </c>
      <c r="C7" s="4" t="n">
        <v>97825547538</v>
      </c>
      <c r="D7" s="4" t="n">
        <v>75567438524</v>
      </c>
      <c r="E7" s="4" t="n">
        <v>136303226388</v>
      </c>
    </row>
    <row r="8">
      <c r="A8" s="3" t="inlineStr">
        <is>
          <t>Chi phí tài chính</t>
        </is>
      </c>
      <c r="B8" s="4" t="n">
        <v>-141471203463</v>
      </c>
      <c r="C8" s="4" t="n">
        <v>-142580680640</v>
      </c>
      <c r="D8" s="4" t="n">
        <v>-93616780951</v>
      </c>
      <c r="E8" s="4" t="n">
        <v>-153168770819</v>
      </c>
    </row>
    <row r="9">
      <c r="A9" s="3" t="inlineStr">
        <is>
          <t>Chi phí lãi vay</t>
        </is>
      </c>
      <c r="B9" s="4" t="n">
        <v>-94143431408</v>
      </c>
      <c r="C9" s="4" t="n">
        <v>-118568804103</v>
      </c>
      <c r="D9" s="4" t="n">
        <v>-46775305829</v>
      </c>
      <c r="E9" s="4" t="n">
        <v>-119082599327</v>
      </c>
    </row>
    <row r="10">
      <c r="A10" s="3" t="inlineStr">
        <is>
          <t>Chi phí bán hàng</t>
        </is>
      </c>
      <c r="B10" s="4" t="n">
        <v>-2828208644376</v>
      </c>
      <c r="C10" s="4" t="n">
        <v>-2835769469802</v>
      </c>
      <c r="D10" s="4" t="n">
        <v>-3207574691174</v>
      </c>
      <c r="E10" s="4" t="n">
        <v>-3322701974507</v>
      </c>
    </row>
    <row r="11">
      <c r="A11" s="3" t="inlineStr">
        <is>
          <t>Chi phí quản lý doanh nghiệp</t>
        </is>
      </c>
      <c r="B11" s="4" t="n">
        <v>-673996996684</v>
      </c>
      <c r="C11" s="4" t="n">
        <v>-693934934718</v>
      </c>
      <c r="D11" s="4" t="n">
        <v>-795749355922</v>
      </c>
      <c r="E11" s="4" t="n">
        <v>-824395851865</v>
      </c>
    </row>
    <row r="12">
      <c r="A12" s="3" t="inlineStr">
        <is>
          <t>Lãi/(lỗ) từ hoạt động kinh doanh</t>
        </is>
      </c>
      <c r="B12" s="4" t="n">
        <v>2337466664419</v>
      </c>
      <c r="C12" s="4" t="n">
        <v>2484131409572</v>
      </c>
      <c r="D12" s="4" t="n">
        <v>2652129250669</v>
      </c>
      <c r="E12" s="4" t="n">
        <v>3519884937211</v>
      </c>
    </row>
    <row r="13">
      <c r="A13" s="3" t="inlineStr">
        <is>
          <t>Thu nhập khác</t>
        </is>
      </c>
      <c r="B13" s="4" t="n">
        <v>8582642521</v>
      </c>
      <c r="C13" s="4" t="n">
        <v>11846230257</v>
      </c>
      <c r="D13" s="4" t="n">
        <v>10013781125</v>
      </c>
      <c r="E13" s="4" t="n">
        <v>41188910080</v>
      </c>
    </row>
    <row r="14">
      <c r="A14" s="3" t="inlineStr">
        <is>
          <t>Chi phí khác</t>
        </is>
      </c>
      <c r="B14" s="4" t="n">
        <v>-33721752227</v>
      </c>
      <c r="C14" s="4" t="n">
        <v>-7217637455</v>
      </c>
      <c r="D14" s="4" t="n">
        <v>-11130582486</v>
      </c>
      <c r="E14" s="4" t="n">
        <v>-13234356500</v>
      </c>
    </row>
    <row r="15">
      <c r="A15" s="3" t="inlineStr">
        <is>
          <t>Thu nhập khác, ròng</t>
        </is>
      </c>
      <c r="B15" s="4" t="n">
        <v>-25139109706</v>
      </c>
      <c r="C15" s="4" t="n">
        <v>4628592802</v>
      </c>
      <c r="D15" s="4" t="n">
        <v>-1116801361</v>
      </c>
      <c r="E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</row>
    <row r="17">
      <c r="A17" s="3" t="inlineStr">
        <is>
          <t>Lãi/(lỗ) trước thuế</t>
        </is>
      </c>
      <c r="B17" s="4" t="n">
        <v>2312327554713</v>
      </c>
      <c r="C17" s="4" t="n">
        <v>2488760002374</v>
      </c>
      <c r="D17" s="4" t="n">
        <v>2651012449308</v>
      </c>
      <c r="E17" s="4" t="n">
        <v>3547839490791</v>
      </c>
    </row>
    <row r="18">
      <c r="A18" s="3" t="inlineStr">
        <is>
          <t>Thuế thu nhập doanh nghiệp - hiện thời</t>
        </is>
      </c>
      <c r="B18" s="4" t="n">
        <v>-521061271124</v>
      </c>
      <c r="C18" s="4" t="n">
        <v>-517592806160</v>
      </c>
      <c r="D18" s="4" t="n">
        <v>-615476890636</v>
      </c>
      <c r="E18" s="4" t="n">
        <v>-849656975908</v>
      </c>
    </row>
    <row r="19">
      <c r="A19" s="3" t="inlineStr">
        <is>
          <t>Thuế thu nhập doanh nghiệp - hoãn lại</t>
        </is>
      </c>
      <c r="B19" s="4" t="n">
        <v>19425559808</v>
      </c>
      <c r="C19" s="4" t="n">
        <v>-68019079</v>
      </c>
      <c r="D19" s="4" t="n">
        <v>77380724274</v>
      </c>
      <c r="E19" s="4" t="n">
        <v>130314948007</v>
      </c>
    </row>
    <row r="20">
      <c r="A20" s="3" t="inlineStr">
        <is>
          <t>Chi phí thuế thu nhập doanh nghiệp</t>
        </is>
      </c>
      <c r="B20" s="4" t="n">
        <v>-501635711316</v>
      </c>
      <c r="C20" s="4" t="n">
        <v>-517660825239</v>
      </c>
      <c r="D20" s="4" t="n">
        <v>-538096166362</v>
      </c>
      <c r="E20" s="4" t="n">
        <v>-719342027901</v>
      </c>
    </row>
    <row r="21">
      <c r="A21" s="3" t="inlineStr">
        <is>
          <t>Lãi/(lỗ) thuần sau thuế</t>
        </is>
      </c>
      <c r="B21" s="4" t="n">
        <v>1810691843397</v>
      </c>
      <c r="C21" s="4" t="n">
        <v>1971099177135</v>
      </c>
      <c r="D21" s="4" t="n">
        <v>2112916282946</v>
      </c>
      <c r="E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</row>
    <row r="23">
      <c r="A23" s="3" t="inlineStr">
        <is>
          <t>Lợi nhuận của Cổ đông của Công ty mẹ</t>
        </is>
      </c>
      <c r="B23" s="4" t="n">
        <v>1810691843397</v>
      </c>
      <c r="C23" s="4" t="n">
        <v>1971099177135</v>
      </c>
      <c r="D23" s="4" t="n">
        <v>2112916282946</v>
      </c>
      <c r="E23" s="4" t="n">
        <v>2828497462890</v>
      </c>
    </row>
    <row r="24">
      <c r="A24" s="3" t="inlineStr">
        <is>
          <t>Lãi cơ bản trên cổ phiếu (VND)</t>
        </is>
      </c>
      <c r="B24" s="4" t="n">
        <v>5350</v>
      </c>
      <c r="C24" s="4" t="n">
        <v>5436</v>
      </c>
      <c r="D24" s="4" t="n">
        <v>5713</v>
      </c>
      <c r="E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5436</v>
      </c>
      <c r="D25" s="4" t="n">
        <v>5713</v>
      </c>
      <c r="E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9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2312327554713</v>
      </c>
      <c r="C2" s="4" t="n">
        <v>2488760002374</v>
      </c>
      <c r="D2" s="4" t="n">
        <v>2651012449308</v>
      </c>
      <c r="E2" s="4" t="n">
        <v>3547839490791</v>
      </c>
    </row>
    <row r="3">
      <c r="A3" s="3" t="inlineStr">
        <is>
          <t>Khấu hao TSCĐ và BĐSĐT</t>
        </is>
      </c>
      <c r="B3" s="4" t="n">
        <v>79516376971</v>
      </c>
      <c r="C3" s="4" t="n">
        <v>81257091304</v>
      </c>
      <c r="D3" s="4" t="n">
        <v>80821846271</v>
      </c>
      <c r="E3" s="4" t="n">
        <v>85291458403</v>
      </c>
    </row>
    <row r="4">
      <c r="A4" s="3" t="inlineStr">
        <is>
          <t>Chi phí dự phòng</t>
        </is>
      </c>
      <c r="B4" s="4" t="n">
        <v>2868205863</v>
      </c>
      <c r="C4" s="4" t="n">
        <v>2374779451</v>
      </c>
      <c r="D4" s="4" t="n">
        <v>77722354056</v>
      </c>
      <c r="E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-8239903282</v>
      </c>
      <c r="C5" s="4" t="n">
        <v>-1611805757</v>
      </c>
      <c r="D5" s="4" t="n">
        <v>140360327</v>
      </c>
      <c r="E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</row>
    <row r="7">
      <c r="A7" s="3" t="inlineStr">
        <is>
          <t>(Lãi)/lỗ từ hoạt động đầu tư</t>
        </is>
      </c>
      <c r="B7" s="4" t="n">
        <v>-21327686776</v>
      </c>
      <c r="C7" s="4" t="n">
        <v>-79561268312</v>
      </c>
      <c r="D7" s="4" t="n">
        <v>-47046699012</v>
      </c>
      <c r="E7" s="4" t="n">
        <v>-110244947701</v>
      </c>
    </row>
    <row r="8">
      <c r="A8" s="3" t="inlineStr">
        <is>
          <t>Chi phí lãi vay</t>
        </is>
      </c>
      <c r="B8" s="4" t="n">
        <v>94421152974</v>
      </c>
      <c r="C8" s="4" t="n">
        <v>118568804103</v>
      </c>
      <c r="D8" s="4" t="n">
        <v>46775305829</v>
      </c>
      <c r="E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2459565700463</v>
      </c>
      <c r="C10" s="4" t="n">
        <v>2609787603163</v>
      </c>
      <c r="D10" s="4" t="n">
        <v>2809425616779</v>
      </c>
      <c r="E10" s="4" t="n">
        <v>3631839011356</v>
      </c>
    </row>
    <row r="11">
      <c r="A11" s="3" t="inlineStr">
        <is>
          <t>(Tăng)/giảm các khoản phải thu</t>
        </is>
      </c>
      <c r="B11" s="4" t="n">
        <v>-52151674870</v>
      </c>
      <c r="C11" s="4" t="n">
        <v>39100711762</v>
      </c>
      <c r="D11" s="4" t="n">
        <v>-261742771385</v>
      </c>
      <c r="E11" s="4" t="n">
        <v>235691148778</v>
      </c>
    </row>
    <row r="12">
      <c r="A12" s="3" t="inlineStr">
        <is>
          <t>(Tăng)/giảm hàng tồn kho</t>
        </is>
      </c>
      <c r="B12" s="4" t="n">
        <v>-1753323314557</v>
      </c>
      <c r="C12" s="4" t="n">
        <v>-436683979881</v>
      </c>
      <c r="D12" s="4" t="n">
        <v>-2129837921117</v>
      </c>
      <c r="E12" s="4" t="n">
        <v>-2806722790389</v>
      </c>
    </row>
    <row r="13">
      <c r="A13" s="3" t="inlineStr">
        <is>
          <t>Tăng/(giảm) các khoản phải trả</t>
        </is>
      </c>
      <c r="B13" s="4" t="n">
        <v>76506711125</v>
      </c>
      <c r="C13" s="4" t="n">
        <v>92449328770</v>
      </c>
      <c r="D13" s="4" t="n">
        <v>273559805376</v>
      </c>
      <c r="E13" s="4" t="n">
        <v>-369026498161</v>
      </c>
    </row>
    <row r="14">
      <c r="A14" s="3" t="inlineStr">
        <is>
          <t>(Tăng)/giảm chi phí trả trước</t>
        </is>
      </c>
      <c r="B14" s="4" t="n">
        <v>-59503878567</v>
      </c>
      <c r="C14" s="4" t="n">
        <v>-103556391934</v>
      </c>
      <c r="D14" s="4" t="n">
        <v>13981231920</v>
      </c>
      <c r="E14" s="4" t="n">
        <v>169889358691</v>
      </c>
    </row>
    <row r="15">
      <c r="A15" s="3" t="inlineStr">
        <is>
          <t>Tiền lãi vay đã trả</t>
        </is>
      </c>
      <c r="B15" s="4" t="n">
        <v>-90657750651</v>
      </c>
      <c r="C15" s="4" t="n">
        <v>-122841644646</v>
      </c>
      <c r="D15" s="4" t="n">
        <v>-46067825009</v>
      </c>
      <c r="E15" s="4" t="n">
        <v>-117889071318</v>
      </c>
    </row>
    <row r="16">
      <c r="A16" s="3" t="inlineStr">
        <is>
          <t>Thuế thu nhập doanh nghiệp đã nộp</t>
        </is>
      </c>
      <c r="B16" s="4" t="n">
        <v>-464338080937</v>
      </c>
      <c r="C16" s="4" t="n">
        <v>-466349274224</v>
      </c>
      <c r="D16" s="4" t="n">
        <v>-555484436785</v>
      </c>
      <c r="E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</row>
    <row r="18">
      <c r="A18" s="3" t="inlineStr">
        <is>
          <t>Tiền chi khác cho hoạt động kinh doanh</t>
        </is>
      </c>
      <c r="B18" s="4" t="n">
        <v>-15516505310</v>
      </c>
      <c r="C18" s="4" t="n">
        <v>-104164881917</v>
      </c>
      <c r="D18" s="4" t="n">
        <v>-20648525024</v>
      </c>
      <c r="E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100581206696</v>
      </c>
      <c r="C19" s="4" t="n">
        <v>1507741471093</v>
      </c>
      <c r="D19" s="4" t="n">
        <v>83185174755</v>
      </c>
      <c r="E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-52384601566</v>
      </c>
      <c r="C20" s="4" t="n">
        <v>-83115434103</v>
      </c>
      <c r="D20" s="4" t="n">
        <v>-90406299690</v>
      </c>
      <c r="E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1498185785</v>
      </c>
      <c r="C21" s="4" t="n">
        <v>2289295529</v>
      </c>
      <c r="D21" s="4" t="n">
        <v>3181818</v>
      </c>
      <c r="E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-540000000000</v>
      </c>
      <c r="C22" s="4" t="n">
        <v>-2240100000000</v>
      </c>
      <c r="D22" s="4" t="n">
        <v>-1120070000000</v>
      </c>
      <c r="E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200000000000</v>
      </c>
      <c r="C23" s="4" t="n">
        <v>1680000000000</v>
      </c>
      <c r="D23" s="4" t="n">
        <v>960000000000</v>
      </c>
      <c r="E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-3980000000</v>
      </c>
      <c r="D24" s="4" t="n">
        <v>0</v>
      </c>
      <c r="E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</row>
    <row r="26">
      <c r="A26" s="3" t="inlineStr">
        <is>
          <t>Tiền thu lãi cho vay, cổ tức và lợi nhuận được chia</t>
        </is>
      </c>
      <c r="B26" s="4" t="n">
        <v>20219137155</v>
      </c>
      <c r="C26" s="4" t="n">
        <v>66432820820</v>
      </c>
      <c r="D26" s="4" t="n">
        <v>39436141188</v>
      </c>
      <c r="E26" s="4" t="n">
        <v>81101160826</v>
      </c>
    </row>
    <row r="27">
      <c r="A27" s="3" t="inlineStr">
        <is>
          <t>Lưu chuyển tiền thuần từ hoạt động đầu tư</t>
        </is>
      </c>
      <c r="B27" s="4" t="n">
        <v>-370667278626</v>
      </c>
      <c r="C27" s="4" t="n">
        <v>-578473317754</v>
      </c>
      <c r="D27" s="4" t="n">
        <v>-211036976684</v>
      </c>
      <c r="E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1447231530000</v>
      </c>
      <c r="C28" s="4" t="n">
        <v>0</v>
      </c>
      <c r="D28" s="4" t="n">
        <v>67243920000</v>
      </c>
      <c r="E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</row>
    <row r="30">
      <c r="A30" s="3" t="inlineStr">
        <is>
          <t>Tiền thu được các khoản đi vay</t>
        </is>
      </c>
      <c r="B30" s="4" t="n">
        <v>6261254967206</v>
      </c>
      <c r="C30" s="4" t="n">
        <v>8159472964689</v>
      </c>
      <c r="D30" s="4" t="n">
        <v>6788859495016</v>
      </c>
      <c r="E30" s="4" t="n">
        <v>9817871495359</v>
      </c>
    </row>
    <row r="31">
      <c r="A31" s="3" t="inlineStr">
        <is>
          <t>Tiền trả nợ gốc vay</t>
        </is>
      </c>
      <c r="B31" s="4" t="n">
        <v>-6300139792578</v>
      </c>
      <c r="C31" s="4" t="n">
        <v>-8458230585768</v>
      </c>
      <c r="D31" s="4" t="n">
        <v>-5831605732949</v>
      </c>
      <c r="E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</row>
    <row r="33">
      <c r="A33" s="3" t="inlineStr">
        <is>
          <t>Cổ tức, lợi nhuận đã trả cho chủ sở hữu</t>
        </is>
      </c>
      <c r="B33" s="4" t="n">
        <v>-616671158340</v>
      </c>
      <c r="C33" s="4" t="n">
        <v>-615443389700</v>
      </c>
      <c r="D33" s="4" t="n">
        <v>-671681829760</v>
      </c>
      <c r="E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</row>
    <row r="35">
      <c r="A35" s="3" t="inlineStr">
        <is>
          <t>Lưu chuyển tiền thuần từ hoạt động tài chính</t>
        </is>
      </c>
      <c r="B35" s="4" t="n">
        <v>791675546288</v>
      </c>
      <c r="C35" s="4" t="n">
        <v>-914201010779</v>
      </c>
      <c r="D35" s="4" t="n">
        <v>352815852307</v>
      </c>
      <c r="E35" s="4" t="n">
        <v>272974961063</v>
      </c>
    </row>
    <row r="36">
      <c r="A36" s="3" t="inlineStr">
        <is>
          <t>Lưu chuyển tiền thuần trong kỳ</t>
        </is>
      </c>
      <c r="B36" s="4" t="n">
        <v>521589474358</v>
      </c>
      <c r="C36" s="4" t="n">
        <v>15067142560</v>
      </c>
      <c r="D36" s="4" t="n">
        <v>224964050378</v>
      </c>
      <c r="E36" s="4" t="n">
        <v>-601922665156</v>
      </c>
    </row>
    <row r="37">
      <c r="A37" s="3" t="inlineStr">
        <is>
          <t>Tiền và tương đương tiền đầu kỳ</t>
        </is>
      </c>
      <c r="B37" s="4" t="n">
        <v>355454838957</v>
      </c>
      <c r="C37" s="4" t="n">
        <v>879548130711</v>
      </c>
      <c r="D37" s="4" t="n">
        <v>896147917336</v>
      </c>
      <c r="E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2503817396</v>
      </c>
      <c r="C38" s="4" t="n">
        <v>1532644065</v>
      </c>
      <c r="D38" s="4" t="n">
        <v>1600424416</v>
      </c>
      <c r="E38" s="4" t="n">
        <v>1235530057</v>
      </c>
    </row>
    <row r="39">
      <c r="A39" s="3" t="inlineStr">
        <is>
          <t>Tiền và tương đương tiền cuối kỳ</t>
        </is>
      </c>
      <c r="B39" s="4" t="n">
        <v>879548130711</v>
      </c>
      <c r="C39" s="4" t="n">
        <v>896147917336</v>
      </c>
      <c r="D39" s="4" t="n">
        <v>1122712392130</v>
      </c>
      <c r="E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19" customWidth="1" min="5" max="5"/>
    <col width="3" customWidth="1" min="6" max="6"/>
  </cols>
  <sheetData>
    <row r="1" ht="22" customHeight="1">
      <c r="A1" s="5" t="inlineStr">
        <is>
          <t>CHỈ SỐ TÀI CHÍNH — PNJ</t>
        </is>
      </c>
    </row>
    <row r="2" ht="15" customHeight="1">
      <c r="A2" s="6" t="n"/>
    </row>
    <row r="3"/>
    <row r="4">
      <c r="A4" s="7" t="inlineStr">
        <is>
          <t>I. CHỈ SỐ TÀI CHÍNH</t>
        </is>
      </c>
      <c r="B4" s="8" t="n"/>
      <c r="C4" s="8" t="n"/>
      <c r="D4" s="8" t="n"/>
      <c r="E4" s="8" t="n"/>
    </row>
    <row r="5">
      <c r="A5" s="9" t="inlineStr">
        <is>
          <t>Chỉ tiêu</t>
        </is>
      </c>
      <c r="B5" s="10">
        <f>'balance_sheet'!B1</f>
        <v/>
      </c>
      <c r="C5" s="10">
        <f>'balance_sheet'!C1</f>
        <v/>
      </c>
      <c r="D5" s="10">
        <f>'balance_sheet'!D1</f>
        <v/>
      </c>
      <c r="E5" s="10">
        <f>'balance_sheet'!E1</f>
        <v/>
      </c>
    </row>
    <row r="6">
      <c r="A6" s="11" t="inlineStr">
        <is>
          <t>1. Khả năng sinh lời</t>
        </is>
      </c>
    </row>
    <row r="7">
      <c r="A7" s="12" t="inlineStr">
        <is>
          <t>ROE (LNST CĐ Cty mẹ / VCSH bình quân)</t>
        </is>
      </c>
      <c r="B7" s="13" t="inlineStr">
        <is>
          <t>n/a</t>
        </is>
      </c>
      <c r="C7" s="14">
        <f>IFERROR(C$54/((C$39+B$39)/2),"n/a")</f>
        <v/>
      </c>
      <c r="D7" s="14">
        <f>IFERROR(D$54/((D$39+C$39)/2),"n/a")</f>
        <v/>
      </c>
      <c r="E7" s="14">
        <f>IFERROR(E$54/((E$39+D$39)/2),"n/a")</f>
        <v/>
      </c>
    </row>
    <row r="8">
      <c r="A8" s="12" t="inlineStr">
        <is>
          <t>ROA (LNST / Tổng tài sản bình quân)</t>
        </is>
      </c>
      <c r="B8" s="13" t="inlineStr">
        <is>
          <t>n/a</t>
        </is>
      </c>
      <c r="C8" s="14">
        <f>IFERROR(C$53/((C$40+B$40)/2),"n/a")</f>
        <v/>
      </c>
      <c r="D8" s="14">
        <f>IFERROR(D$53/((D$40+C$40)/2),"n/a")</f>
        <v/>
      </c>
      <c r="E8" s="14">
        <f>IFERROR(E$53/((E$40+D$40)/2),"n/a")</f>
        <v/>
      </c>
    </row>
    <row r="9">
      <c r="A9" s="12" t="inlineStr">
        <is>
          <t>Tăng trưởng LN Cổ đông Cty mẹ</t>
        </is>
      </c>
      <c r="B9" s="13" t="inlineStr">
        <is>
          <t>n/a</t>
        </is>
      </c>
      <c r="C9" s="14">
        <f>IFERROR((C$54-B$54)/ABS(B$54),"n/a")</f>
        <v/>
      </c>
      <c r="D9" s="14">
        <f>IFERROR((D$54-C$54)/ABS(C$54),"n/a")</f>
        <v/>
      </c>
      <c r="E9" s="14">
        <f>IFERROR((E$54-D$54)/ABS(D$54),"n/a")</f>
        <v/>
      </c>
    </row>
    <row r="10">
      <c r="A10" s="12" t="inlineStr">
        <is>
          <t>Tăng trưởng Doanh thu thuần</t>
        </is>
      </c>
      <c r="B10" s="13" t="inlineStr">
        <is>
          <t>n/a</t>
        </is>
      </c>
      <c r="C10" s="14">
        <f>IFERROR((C$46-B$46)/ABS(B$46),"n/a")</f>
        <v/>
      </c>
      <c r="D10" s="14">
        <f>IFERROR((D$46-C$46)/ABS(C$46),"n/a")</f>
        <v/>
      </c>
      <c r="E10" s="14">
        <f>IFERROR((E$46-D$46)/ABS(D$46),"n/a")</f>
        <v/>
      </c>
    </row>
    <row r="11"/>
    <row r="12">
      <c r="A12" s="11" t="inlineStr">
        <is>
          <t>2. Biên lợi nhuận</t>
        </is>
      </c>
    </row>
    <row r="13">
      <c r="A13" s="12" t="inlineStr">
        <is>
          <t>Biên lợi nhuận gộp</t>
        </is>
      </c>
      <c r="B13" s="14">
        <f>IFERROR(B$48/B$46,"n/a")</f>
        <v/>
      </c>
      <c r="C13" s="14">
        <f>IFERROR(C$48/C$46,"n/a")</f>
        <v/>
      </c>
      <c r="D13" s="14">
        <f>IFERROR(D$48/D$46,"n/a")</f>
        <v/>
      </c>
      <c r="E13" s="14">
        <f>IFERROR(E$48/E$46,"n/a")</f>
        <v/>
      </c>
    </row>
    <row r="14">
      <c r="A14" s="12" t="inlineStr">
        <is>
          <t>Biên lợi nhuận ròng</t>
        </is>
      </c>
      <c r="B14" s="14">
        <f>IFERROR(B$53/B$46,"n/a")</f>
        <v/>
      </c>
      <c r="C14" s="14">
        <f>IFERROR(C$53/C$46,"n/a")</f>
        <v/>
      </c>
      <c r="D14" s="14">
        <f>IFERROR(D$53/D$46,"n/a")</f>
        <v/>
      </c>
      <c r="E14" s="14">
        <f>IFERROR(E$53/E$46,"n/a")</f>
        <v/>
      </c>
    </row>
    <row r="15"/>
    <row r="16">
      <c r="A16" s="11" t="inlineStr">
        <is>
          <t>3. Đòn bẩy tài chính</t>
        </is>
      </c>
    </row>
    <row r="17">
      <c r="A17" s="12" t="inlineStr">
        <is>
          <t>D/E (Nợ vay / Vốn chủ sở hữu)</t>
        </is>
      </c>
      <c r="B17" s="15">
        <f>IFERROR((B$44+B$45)/B$39,"n/a")</f>
        <v/>
      </c>
      <c r="C17" s="15">
        <f>IFERROR((C$44+C$45)/C$39,"n/a")</f>
        <v/>
      </c>
      <c r="D17" s="15">
        <f>IFERROR((D$44+D$45)/D$39,"n/a")</f>
        <v/>
      </c>
      <c r="E17" s="15">
        <f>IFERROR((E$44+E$45)/E$39,"n/a")</f>
        <v/>
      </c>
    </row>
    <row r="18">
      <c r="A18" s="3" t="inlineStr">
        <is>
          <t xml:space="preserve">     - Nợ vay dài hạn/Vốn chủ sở hữu</t>
        </is>
      </c>
      <c r="B18" s="15">
        <f>IFERROR(B$45/B$39,"n/a")</f>
        <v/>
      </c>
      <c r="C18" s="15">
        <f>IFERROR(C$45/C$39,"n/a")</f>
        <v/>
      </c>
      <c r="D18" s="15">
        <f>IFERROR(D$45/D$39,"n/a")</f>
        <v/>
      </c>
      <c r="E18" s="15">
        <f>IFERROR(E$45/E$39,"n/a")</f>
        <v/>
      </c>
    </row>
    <row r="19">
      <c r="A19" s="3" t="inlineStr">
        <is>
          <t xml:space="preserve">     - Nợ vay ngắn hạn/Vốn chủ sở hữu</t>
        </is>
      </c>
      <c r="B19" s="15">
        <f>IFERROR(B$44/B$39,"n/a")</f>
        <v/>
      </c>
      <c r="C19" s="15">
        <f>IFERROR(C$44/C$39,"n/a")</f>
        <v/>
      </c>
      <c r="D19" s="15">
        <f>IFERROR(D$44/D$39,"n/a")</f>
        <v/>
      </c>
      <c r="E19" s="15">
        <f>IFERROR(E$44/E$39,"n/a")</f>
        <v/>
      </c>
    </row>
    <row r="20">
      <c r="A20" s="12" t="inlineStr">
        <is>
          <t>Nợ phải trả/Vốn chủ sở hữu</t>
        </is>
      </c>
      <c r="B20" s="15">
        <f>IFERROR(B$41/B$39,"n/a")</f>
        <v/>
      </c>
      <c r="C20" s="15">
        <f>IFERROR(C$41/C$39,"n/a")</f>
        <v/>
      </c>
      <c r="D20" s="15">
        <f>IFERROR(D$41/D$39,"n/a")</f>
        <v/>
      </c>
      <c r="E20" s="15">
        <f>IFERROR(E$41/E$39,"n/a")</f>
        <v/>
      </c>
    </row>
    <row r="21">
      <c r="A21" s="3" t="inlineStr">
        <is>
          <t xml:space="preserve">     - Nợ dài hạn/Vốn chủ sở hữu</t>
        </is>
      </c>
      <c r="B21" s="15">
        <f>IFERROR(B$43/B$39,"n/a")</f>
        <v/>
      </c>
      <c r="C21" s="15">
        <f>IFERROR(C$43/C$39,"n/a")</f>
        <v/>
      </c>
      <c r="D21" s="15">
        <f>IFERROR(D$43/D$39,"n/a")</f>
        <v/>
      </c>
      <c r="E21" s="15">
        <f>IFERROR(E$43/E$39,"n/a")</f>
        <v/>
      </c>
    </row>
    <row r="22">
      <c r="A22" s="3" t="inlineStr">
        <is>
          <t xml:space="preserve">     - Nợ ngắn hạn/Vốn chủ sở hữu</t>
        </is>
      </c>
      <c r="B22" s="15">
        <f>IFERROR(B$42/B$39,"n/a")</f>
        <v/>
      </c>
      <c r="C22" s="15">
        <f>IFERROR(C$42/C$39,"n/a")</f>
        <v/>
      </c>
      <c r="D22" s="15">
        <f>IFERROR(D$42/D$39,"n/a")</f>
        <v/>
      </c>
      <c r="E22" s="15">
        <f>IFERROR(E$42/E$39,"n/a")</f>
        <v/>
      </c>
    </row>
    <row r="23"/>
    <row r="24">
      <c r="A24" s="11" t="inlineStr">
        <is>
          <t>4. Chi phí &amp; khả năng trả lãi</t>
        </is>
      </c>
    </row>
    <row r="25">
      <c r="A25" s="12" t="inlineStr">
        <is>
          <t>Chi phí bán hàng, quản lý/LN gộp</t>
        </is>
      </c>
      <c r="B25" s="14">
        <f>IFERROR((ABS(B$49)+ABS(B$50))/B$48,"n/a")</f>
        <v/>
      </c>
      <c r="C25" s="14">
        <f>IFERROR((ABS(C$49)+ABS(C$50))/C$48,"n/a")</f>
        <v/>
      </c>
      <c r="D25" s="14">
        <f>IFERROR((ABS(D$49)+ABS(D$50))/D$48,"n/a")</f>
        <v/>
      </c>
      <c r="E25" s="14">
        <f>IFERROR((ABS(E$49)+ABS(E$50))/E$48,"n/a")</f>
        <v/>
      </c>
    </row>
    <row r="26">
      <c r="A26" s="12" t="inlineStr">
        <is>
          <t>Chi phí lãi vay/LN từ hoạt động kinh doanh</t>
        </is>
      </c>
      <c r="B26" s="14">
        <f>IFERROR(ABS(B$52)/B$51,"n/a")</f>
        <v/>
      </c>
      <c r="C26" s="14">
        <f>IFERROR(ABS(C$52)/C$51,"n/a")</f>
        <v/>
      </c>
      <c r="D26" s="14">
        <f>IFERROR(ABS(D$52)/D$51,"n/a")</f>
        <v/>
      </c>
      <c r="E26" s="14">
        <f>IFERROR(ABS(E$52)/E$51,"n/a")</f>
        <v/>
      </c>
    </row>
    <row r="27"/>
    <row r="28">
      <c r="A28" s="11" t="inlineStr">
        <is>
          <t>5. Chu kỳ hoạt động vốn lưu động</t>
        </is>
      </c>
    </row>
    <row r="29">
      <c r="A29" s="12" t="inlineStr">
        <is>
          <t>Số ngày phải trả (DPO)</t>
        </is>
      </c>
      <c r="B29" s="13" t="inlineStr">
        <is>
          <t>n/a</t>
        </is>
      </c>
      <c r="C29" s="16">
        <f>IFERROR(((C$56+B$56)/2)/ABS(C$47)*365,"n/a")</f>
        <v/>
      </c>
      <c r="D29" s="16">
        <f>IFERROR(((D$56+C$56)/2)/ABS(D$47)*365,"n/a")</f>
        <v/>
      </c>
      <c r="E29" s="16">
        <f>IFERROR(((E$56+D$56)/2)/ABS(E$47)*365,"n/a")</f>
        <v/>
      </c>
    </row>
    <row r="30">
      <c r="A30" s="12" t="inlineStr">
        <is>
          <t>Số ngày phải thu (DSO)</t>
        </is>
      </c>
      <c r="B30" s="13" t="inlineStr">
        <is>
          <t>n/a</t>
        </is>
      </c>
      <c r="C30" s="16">
        <f>IFERROR(((C$55+B$55)/2)/C$46*365,"n/a")</f>
        <v/>
      </c>
      <c r="D30" s="16">
        <f>IFERROR(((D$55+C$55)/2)/D$46*365,"n/a")</f>
        <v/>
      </c>
      <c r="E30" s="16">
        <f>IFERROR(((E$55+D$55)/2)/E$46*365,"n/a")</f>
        <v/>
      </c>
    </row>
    <row r="31">
      <c r="A31" s="12" t="inlineStr">
        <is>
          <t>Số ngày tồn kho (DIO)</t>
        </is>
      </c>
      <c r="B31" s="13" t="inlineStr">
        <is>
          <t>n/a</t>
        </is>
      </c>
      <c r="C31" s="16">
        <f>IFERROR(((C$57+B$57)/2)/ABS(C$47)*365,"n/a")</f>
        <v/>
      </c>
      <c r="D31" s="16">
        <f>IFERROR(((D$57+C$57)/2)/ABS(D$47)*365,"n/a")</f>
        <v/>
      </c>
      <c r="E31" s="16">
        <f>IFERROR(((E$57+D$57)/2)/ABS(E$47)*365,"n/a")</f>
        <v/>
      </c>
    </row>
    <row r="32"/>
    <row r="33">
      <c r="A33" s="11" t="inlineStr">
        <is>
          <t>6. Cơ cấu tài sản</t>
        </is>
      </c>
    </row>
    <row r="34">
      <c r="A34" s="12" t="inlineStr">
        <is>
          <t>Tiền và tương đương tiền/Tài sản</t>
        </is>
      </c>
      <c r="B34" s="14">
        <f>IFERROR(B$58/B$40,"n/a")</f>
        <v/>
      </c>
      <c r="C34" s="14">
        <f>IFERROR(C$58/C$40,"n/a")</f>
        <v/>
      </c>
      <c r="D34" s="14">
        <f>IFERROR(D$58/D$40,"n/a")</f>
        <v/>
      </c>
      <c r="E34" s="14">
        <f>IFERROR(E$58/E$40,"n/a")</f>
        <v/>
      </c>
    </row>
    <row r="35">
      <c r="A35" s="12" t="inlineStr">
        <is>
          <t>Hàng tồn kho/Tài sản</t>
        </is>
      </c>
      <c r="B35" s="14">
        <f>IFERROR(B$57/B$40,"n/a")</f>
        <v/>
      </c>
      <c r="C35" s="14">
        <f>IFERROR(C$57/C$40,"n/a")</f>
        <v/>
      </c>
      <c r="D35" s="14">
        <f>IFERROR(D$57/D$40,"n/a")</f>
        <v/>
      </c>
      <c r="E35" s="14">
        <f>IFERROR(E$57/E$40,"n/a")</f>
        <v/>
      </c>
    </row>
    <row r="36"/>
    <row r="37">
      <c r="A37" s="7" t="inlineStr">
        <is>
          <t>II. DỮ LIỆU TRÍCH XUẤT (tự động dò theo tên khoản mục)</t>
        </is>
      </c>
      <c r="B37" s="8" t="n"/>
      <c r="C37" s="8" t="n"/>
      <c r="D37" s="8" t="n"/>
      <c r="E37" s="8" t="n"/>
    </row>
    <row r="38">
      <c r="A38" s="9" t="inlineStr">
        <is>
          <t>Khoản mục</t>
        </is>
      </c>
      <c r="B38" s="10">
        <f>'balance_sheet'!B1</f>
        <v/>
      </c>
      <c r="C38" s="10">
        <f>'balance_sheet'!C1</f>
        <v/>
      </c>
      <c r="D38" s="10">
        <f>'balance_sheet'!D1</f>
        <v/>
      </c>
      <c r="E38" s="10">
        <f>'balance_sheet'!E1</f>
        <v/>
      </c>
    </row>
    <row r="39">
      <c r="A39" s="3" t="inlineStr">
        <is>
          <t>Vốn chủ sở hữu</t>
        </is>
      </c>
      <c r="B39" s="17">
        <f>IFERROR(INDEX(balance_sheet!$B:$E,MATCH("Vốn chủ sở hữu",balance_sheet!$A:$A,0),MATCH(B$38,balance_sheet!$B$1:$E$1,0)),"")</f>
        <v/>
      </c>
      <c r="C39" s="17">
        <f>IFERROR(INDEX(balance_sheet!$B:$E,MATCH("Vốn chủ sở hữu",balance_sheet!$A:$A,0),MATCH(C$38,balance_sheet!$B$1:$E$1,0)),"")</f>
        <v/>
      </c>
      <c r="D39" s="17">
        <f>IFERROR(INDEX(balance_sheet!$B:$E,MATCH("Vốn chủ sở hữu",balance_sheet!$A:$A,0),MATCH(D$38,balance_sheet!$B$1:$E$1,0)),"")</f>
        <v/>
      </c>
      <c r="E39" s="17">
        <f>IFERROR(INDEX(balance_sheet!$B:$E,MATCH("Vốn chủ sở hữu",balance_sheet!$A:$A,0),MATCH(E$38,balance_sheet!$B$1:$E$1,0)),"")</f>
        <v/>
      </c>
    </row>
    <row r="40">
      <c r="A40" s="3" t="inlineStr">
        <is>
          <t>TỔNG CỘNG TÀI SẢN</t>
        </is>
      </c>
      <c r="B40" s="17">
        <f>IFERROR(INDEX(balance_sheet!$B:$E,MATCH("TỔNG CỘNG TÀI SẢN",balance_sheet!$A:$A,0),MATCH(B$38,balance_sheet!$B$1:$E$1,0)),"")</f>
        <v/>
      </c>
      <c r="C40" s="17">
        <f>IFERROR(INDEX(balance_sheet!$B:$E,MATCH("TỔNG CỘNG TÀI SẢN",balance_sheet!$A:$A,0),MATCH(C$38,balance_sheet!$B$1:$E$1,0)),"")</f>
        <v/>
      </c>
      <c r="D40" s="17">
        <f>IFERROR(INDEX(balance_sheet!$B:$E,MATCH("TỔNG CỘNG TÀI SẢN",balance_sheet!$A:$A,0),MATCH(D$38,balance_sheet!$B$1:$E$1,0)),"")</f>
        <v/>
      </c>
      <c r="E40" s="17">
        <f>IFERROR(INDEX(balance_sheet!$B:$E,MATCH("TỔNG CỘNG TÀI SẢN",balance_sheet!$A:$A,0),MATCH(E$38,balance_sheet!$B$1:$E$1,0)),"")</f>
        <v/>
      </c>
    </row>
    <row r="41">
      <c r="A41" s="3" t="inlineStr">
        <is>
          <t>NỢ PHẢI TRẢ</t>
        </is>
      </c>
      <c r="B41" s="17">
        <f>IFERROR(INDEX(balance_sheet!$B:$E,MATCH("NỢ PHẢI TRẢ",balance_sheet!$A:$A,0),MATCH(B$38,balance_sheet!$B$1:$E$1,0)),"")</f>
        <v/>
      </c>
      <c r="C41" s="17">
        <f>IFERROR(INDEX(balance_sheet!$B:$E,MATCH("NỢ PHẢI TRẢ",balance_sheet!$A:$A,0),MATCH(C$38,balance_sheet!$B$1:$E$1,0)),"")</f>
        <v/>
      </c>
      <c r="D41" s="17">
        <f>IFERROR(INDEX(balance_sheet!$B:$E,MATCH("NỢ PHẢI TRẢ",balance_sheet!$A:$A,0),MATCH(D$38,balance_sheet!$B$1:$E$1,0)),"")</f>
        <v/>
      </c>
      <c r="E41" s="17">
        <f>IFERROR(INDEX(balance_sheet!$B:$E,MATCH("NỢ PHẢI TRẢ",balance_sheet!$A:$A,0),MATCH(E$38,balance_sheet!$B$1:$E$1,0)),"")</f>
        <v/>
      </c>
    </row>
    <row r="42">
      <c r="A42" s="3" t="inlineStr">
        <is>
          <t>Nợ ngắn hạn</t>
        </is>
      </c>
      <c r="B42" s="17">
        <f>IFERROR(INDEX(balance_sheet!$B:$E,MATCH("Nợ ngắn hạn",balance_sheet!$A:$A,0),MATCH(B$38,balance_sheet!$B$1:$E$1,0)),"")</f>
        <v/>
      </c>
      <c r="C42" s="17">
        <f>IFERROR(INDEX(balance_sheet!$B:$E,MATCH("Nợ ngắn hạn",balance_sheet!$A:$A,0),MATCH(C$38,balance_sheet!$B$1:$E$1,0)),"")</f>
        <v/>
      </c>
      <c r="D42" s="17">
        <f>IFERROR(INDEX(balance_sheet!$B:$E,MATCH("Nợ ngắn hạn",balance_sheet!$A:$A,0),MATCH(D$38,balance_sheet!$B$1:$E$1,0)),"")</f>
        <v/>
      </c>
      <c r="E42" s="17">
        <f>IFERROR(INDEX(balance_sheet!$B:$E,MATCH("Nợ ngắn hạn",balance_sheet!$A:$A,0),MATCH(E$38,balance_sheet!$B$1:$E$1,0)),"")</f>
        <v/>
      </c>
    </row>
    <row r="43">
      <c r="A43" s="3" t="inlineStr">
        <is>
          <t>Nợ dài hạn</t>
        </is>
      </c>
      <c r="B43" s="17">
        <f>IFERROR(INDEX(balance_sheet!$B:$E,MATCH("Nợ dài hạn",balance_sheet!$A:$A,0),MATCH(B$38,balance_sheet!$B$1:$E$1,0)),"")</f>
        <v/>
      </c>
      <c r="C43" s="17">
        <f>IFERROR(INDEX(balance_sheet!$B:$E,MATCH("Nợ dài hạn",balance_sheet!$A:$A,0),MATCH(C$38,balance_sheet!$B$1:$E$1,0)),"")</f>
        <v/>
      </c>
      <c r="D43" s="17">
        <f>IFERROR(INDEX(balance_sheet!$B:$E,MATCH("Nợ dài hạn",balance_sheet!$A:$A,0),MATCH(D$38,balance_sheet!$B$1:$E$1,0)),"")</f>
        <v/>
      </c>
      <c r="E43" s="17">
        <f>IFERROR(INDEX(balance_sheet!$B:$E,MATCH("Nợ dài hạn",balance_sheet!$A:$A,0),MATCH(E$38,balance_sheet!$B$1:$E$1,0)),"")</f>
        <v/>
      </c>
    </row>
    <row r="44">
      <c r="A44" s="3" t="inlineStr">
        <is>
          <t>Vay ngắn hạn</t>
        </is>
      </c>
      <c r="B44" s="17">
        <f>IFERROR(INDEX(balance_sheet!$B:$E,MATCH("Vay ngắn hạn",balance_sheet!$A:$A,0),MATCH(B$38,balance_sheet!$B$1:$E$1,0)),"")</f>
        <v/>
      </c>
      <c r="C44" s="17">
        <f>IFERROR(INDEX(balance_sheet!$B:$E,MATCH("Vay ngắn hạn",balance_sheet!$A:$A,0),MATCH(C$38,balance_sheet!$B$1:$E$1,0)),"")</f>
        <v/>
      </c>
      <c r="D44" s="17">
        <f>IFERROR(INDEX(balance_sheet!$B:$E,MATCH("Vay ngắn hạn",balance_sheet!$A:$A,0),MATCH(D$38,balance_sheet!$B$1:$E$1,0)),"")</f>
        <v/>
      </c>
      <c r="E44" s="17">
        <f>IFERROR(INDEX(balance_sheet!$B:$E,MATCH("Vay ngắn hạn",balance_sheet!$A:$A,0),MATCH(E$38,balance_sheet!$B$1:$E$1,0)),"")</f>
        <v/>
      </c>
    </row>
    <row r="45">
      <c r="A45" s="3" t="inlineStr">
        <is>
          <t>Vay dài hạn</t>
        </is>
      </c>
      <c r="B45" s="17">
        <f>IFERROR(INDEX(balance_sheet!$B:$E,MATCH("Vay dài hạn",balance_sheet!$A:$A,0),MATCH(B$38,balance_sheet!$B$1:$E$1,0)),"")</f>
        <v/>
      </c>
      <c r="C45" s="17">
        <f>IFERROR(INDEX(balance_sheet!$B:$E,MATCH("Vay dài hạn",balance_sheet!$A:$A,0),MATCH(C$38,balance_sheet!$B$1:$E$1,0)),"")</f>
        <v/>
      </c>
      <c r="D45" s="17">
        <f>IFERROR(INDEX(balance_sheet!$B:$E,MATCH("Vay dài hạn",balance_sheet!$A:$A,0),MATCH(D$38,balance_sheet!$B$1:$E$1,0)),"")</f>
        <v/>
      </c>
      <c r="E45" s="17">
        <f>IFERROR(INDEX(balance_sheet!$B:$E,MATCH("Vay dài hạn",balance_sheet!$A:$A,0),MATCH(E$38,balance_sheet!$B$1:$E$1,0)),"")</f>
        <v/>
      </c>
    </row>
    <row r="46">
      <c r="A46" s="3" t="inlineStr">
        <is>
          <t>Doanh thu thuần</t>
        </is>
      </c>
      <c r="B46" s="17">
        <f>IFERROR(INDEX(income_statement!$B:$E,MATCH("Doanh thu thuần",income_statement!$A:$A,0),MATCH(B$38,income_statement!$B$1:$E$1,0)),"")</f>
        <v/>
      </c>
      <c r="C46" s="17">
        <f>IFERROR(INDEX(income_statement!$B:$E,MATCH("Doanh thu thuần",income_statement!$A:$A,0),MATCH(C$38,income_statement!$B$1:$E$1,0)),"")</f>
        <v/>
      </c>
      <c r="D46" s="17">
        <f>IFERROR(INDEX(income_statement!$B:$E,MATCH("Doanh thu thuần",income_statement!$A:$A,0),MATCH(D$38,income_statement!$B$1:$E$1,0)),"")</f>
        <v/>
      </c>
      <c r="E46" s="17">
        <f>IFERROR(INDEX(income_statement!$B:$E,MATCH("Doanh thu thuần",income_statement!$A:$A,0),MATCH(E$38,income_statement!$B$1:$E$1,0)),"")</f>
        <v/>
      </c>
    </row>
    <row r="47">
      <c r="A47" s="3" t="inlineStr">
        <is>
          <t>Giá vốn hàng bán</t>
        </is>
      </c>
      <c r="B47" s="17">
        <f>IFERROR(INDEX(income_statement!$B:$E,MATCH("Giá vốn hàng bán",income_statement!$A:$A,0),MATCH(B$38,income_statement!$B$1:$E$1,0)),"")</f>
        <v/>
      </c>
      <c r="C47" s="17">
        <f>IFERROR(INDEX(income_statement!$B:$E,MATCH("Giá vốn hàng bán",income_statement!$A:$A,0),MATCH(C$38,income_statement!$B$1:$E$1,0)),"")</f>
        <v/>
      </c>
      <c r="D47" s="17">
        <f>IFERROR(INDEX(income_statement!$B:$E,MATCH("Giá vốn hàng bán",income_statement!$A:$A,0),MATCH(D$38,income_statement!$B$1:$E$1,0)),"")</f>
        <v/>
      </c>
      <c r="E47" s="17">
        <f>IFERROR(INDEX(income_statement!$B:$E,MATCH("Giá vốn hàng bán",income_statement!$A:$A,0),MATCH(E$38,income_statement!$B$1:$E$1,0)),"")</f>
        <v/>
      </c>
    </row>
    <row r="48">
      <c r="A48" s="3" t="inlineStr">
        <is>
          <t>Lợi nhuận gộp</t>
        </is>
      </c>
      <c r="B48" s="17">
        <f>IFERROR(INDEX(income_statement!$B:$E,MATCH("Lợi nhuận gộp",income_statement!$A:$A,0),MATCH(B$38,income_statement!$B$1:$E$1,0)),"")</f>
        <v/>
      </c>
      <c r="C48" s="17">
        <f>IFERROR(INDEX(income_statement!$B:$E,MATCH("Lợi nhuận gộp",income_statement!$A:$A,0),MATCH(C$38,income_statement!$B$1:$E$1,0)),"")</f>
        <v/>
      </c>
      <c r="D48" s="17">
        <f>IFERROR(INDEX(income_statement!$B:$E,MATCH("Lợi nhuận gộp",income_statement!$A:$A,0),MATCH(D$38,income_statement!$B$1:$E$1,0)),"")</f>
        <v/>
      </c>
      <c r="E48" s="17">
        <f>IFERROR(INDEX(income_statement!$B:$E,MATCH("Lợi nhuận gộp",income_statement!$A:$A,0),MATCH(E$38,income_statement!$B$1:$E$1,0)),"")</f>
        <v/>
      </c>
    </row>
    <row r="49">
      <c r="A49" s="3" t="inlineStr">
        <is>
          <t>Chi phí bán hàng</t>
        </is>
      </c>
      <c r="B49" s="17">
        <f>IFERROR(INDEX(income_statement!$B:$E,MATCH("Chi phí bán hàng",income_statement!$A:$A,0),MATCH(B$38,income_statement!$B$1:$E$1,0)),"")</f>
        <v/>
      </c>
      <c r="C49" s="17">
        <f>IFERROR(INDEX(income_statement!$B:$E,MATCH("Chi phí bán hàng",income_statement!$A:$A,0),MATCH(C$38,income_statement!$B$1:$E$1,0)),"")</f>
        <v/>
      </c>
      <c r="D49" s="17">
        <f>IFERROR(INDEX(income_statement!$B:$E,MATCH("Chi phí bán hàng",income_statement!$A:$A,0),MATCH(D$38,income_statement!$B$1:$E$1,0)),"")</f>
        <v/>
      </c>
      <c r="E49" s="17">
        <f>IFERROR(INDEX(income_statement!$B:$E,MATCH("Chi phí bán hàng",income_statement!$A:$A,0),MATCH(E$38,income_statement!$B$1:$E$1,0)),"")</f>
        <v/>
      </c>
    </row>
    <row r="50">
      <c r="A50" s="3" t="inlineStr">
        <is>
          <t>Chi phí quản lý doanh nghiệp</t>
        </is>
      </c>
      <c r="B50" s="17">
        <f>IFERROR(INDEX(income_statement!$B:$E,MATCH("Chi phí quản lý doanh nghiệp",income_statement!$A:$A,0),MATCH(B$38,income_statement!$B$1:$E$1,0)),"")</f>
        <v/>
      </c>
      <c r="C50" s="17">
        <f>IFERROR(INDEX(income_statement!$B:$E,MATCH("Chi phí quản lý doanh nghiệp",income_statement!$A:$A,0),MATCH(C$38,income_statement!$B$1:$E$1,0)),"")</f>
        <v/>
      </c>
      <c r="D50" s="17">
        <f>IFERROR(INDEX(income_statement!$B:$E,MATCH("Chi phí quản lý doanh nghiệp",income_statement!$A:$A,0),MATCH(D$38,income_statement!$B$1:$E$1,0)),"")</f>
        <v/>
      </c>
      <c r="E50" s="17">
        <f>IFERROR(INDEX(income_statement!$B:$E,MATCH("Chi phí quản lý doanh nghiệp",income_statement!$A:$A,0),MATCH(E$38,income_statement!$B$1:$E$1,0)),"")</f>
        <v/>
      </c>
    </row>
    <row r="51">
      <c r="A51" s="3" t="inlineStr">
        <is>
          <t>Lãi/(lỗ) từ hoạt động kinh doanh</t>
        </is>
      </c>
      <c r="B51" s="17">
        <f>IFERROR(INDEX(income_statement!$B:$E,MATCH("Lãi/(lỗ) từ hoạt động kinh doanh",income_statement!$A:$A,0),MATCH(B$38,income_statement!$B$1:$E$1,0)),"")</f>
        <v/>
      </c>
      <c r="C51" s="17">
        <f>IFERROR(INDEX(income_statement!$B:$E,MATCH("Lãi/(lỗ) từ hoạt động kinh doanh",income_statement!$A:$A,0),MATCH(C$38,income_statement!$B$1:$E$1,0)),"")</f>
        <v/>
      </c>
      <c r="D51" s="17">
        <f>IFERROR(INDEX(income_statement!$B:$E,MATCH("Lãi/(lỗ) từ hoạt động kinh doanh",income_statement!$A:$A,0),MATCH(D$38,income_statement!$B$1:$E$1,0)),"")</f>
        <v/>
      </c>
      <c r="E51" s="17">
        <f>IFERROR(INDEX(income_statement!$B:$E,MATCH("Lãi/(lỗ) từ hoạt động kinh doanh",income_statement!$A:$A,0),MATCH(E$38,income_statement!$B$1:$E$1,0)),"")</f>
        <v/>
      </c>
    </row>
    <row r="52">
      <c r="A52" s="3" t="inlineStr">
        <is>
          <t>Chi phí lãi vay</t>
        </is>
      </c>
      <c r="B52" s="17">
        <f>IFERROR(INDEX(income_statement!$B:$E,MATCH("Chi phí lãi vay",income_statement!$A:$A,0),MATCH(B$38,income_statement!$B$1:$E$1,0)),"")</f>
        <v/>
      </c>
      <c r="C52" s="17">
        <f>IFERROR(INDEX(income_statement!$B:$E,MATCH("Chi phí lãi vay",income_statement!$A:$A,0),MATCH(C$38,income_statement!$B$1:$E$1,0)),"")</f>
        <v/>
      </c>
      <c r="D52" s="17">
        <f>IFERROR(INDEX(income_statement!$B:$E,MATCH("Chi phí lãi vay",income_statement!$A:$A,0),MATCH(D$38,income_statement!$B$1:$E$1,0)),"")</f>
        <v/>
      </c>
      <c r="E52" s="17">
        <f>IFERROR(INDEX(income_statement!$B:$E,MATCH("Chi phí lãi vay",income_statement!$A:$A,0),MATCH(E$38,income_statement!$B$1:$E$1,0)),"")</f>
        <v/>
      </c>
    </row>
    <row r="53">
      <c r="A53" s="3" t="inlineStr">
        <is>
          <t>Lãi/(lỗ) thuần sau thuế</t>
        </is>
      </c>
      <c r="B53" s="17">
        <f>IFERROR(INDEX(income_statement!$B:$E,MATCH("Lãi/(lỗ) thuần sau thuế",income_statement!$A:$A,0),MATCH(B$38,income_statement!$B$1:$E$1,0)),"")</f>
        <v/>
      </c>
      <c r="C53" s="17">
        <f>IFERROR(INDEX(income_statement!$B:$E,MATCH("Lãi/(lỗ) thuần sau thuế",income_statement!$A:$A,0),MATCH(C$38,income_statement!$B$1:$E$1,0)),"")</f>
        <v/>
      </c>
      <c r="D53" s="17">
        <f>IFERROR(INDEX(income_statement!$B:$E,MATCH("Lãi/(lỗ) thuần sau thuế",income_statement!$A:$A,0),MATCH(D$38,income_statement!$B$1:$E$1,0)),"")</f>
        <v/>
      </c>
      <c r="E53" s="17">
        <f>IFERROR(INDEX(income_statement!$B:$E,MATCH("Lãi/(lỗ) thuần sau thuế",income_statement!$A:$A,0),MATCH(E$38,income_statement!$B$1:$E$1,0)),"")</f>
        <v/>
      </c>
    </row>
    <row r="54">
      <c r="A54" s="3" t="inlineStr">
        <is>
          <t>Lợi nhuận của Cổ đông của Công ty mẹ</t>
        </is>
      </c>
      <c r="B54" s="17">
        <f>IFERROR(INDEX(income_statement!$B:$E,MATCH("Lợi nhuận của Cổ đông của Công ty mẹ",income_statement!$A:$A,0),MATCH(B$38,income_statement!$B$1:$E$1,0)),"")</f>
        <v/>
      </c>
      <c r="C54" s="17">
        <f>IFERROR(INDEX(income_statement!$B:$E,MATCH("Lợi nhuận của Cổ đông của Công ty mẹ",income_statement!$A:$A,0),MATCH(C$38,income_statement!$B$1:$E$1,0)),"")</f>
        <v/>
      </c>
      <c r="D54" s="17">
        <f>IFERROR(INDEX(income_statement!$B:$E,MATCH("Lợi nhuận của Cổ đông của Công ty mẹ",income_statement!$A:$A,0),MATCH(D$38,income_statement!$B$1:$E$1,0)),"")</f>
        <v/>
      </c>
      <c r="E54" s="17">
        <f>IFERROR(INDEX(income_statement!$B:$E,MATCH("Lợi nhuận của Cổ đông của Công ty mẹ",income_statement!$A:$A,0),MATCH(E$38,income_statement!$B$1:$E$1,0)),"")</f>
        <v/>
      </c>
    </row>
    <row r="55">
      <c r="A55" s="3" t="inlineStr">
        <is>
          <t>Phải thu khách hàng</t>
        </is>
      </c>
      <c r="B55" s="17">
        <f>IFERROR(INDEX(balance_sheet!$B:$E,MATCH("Phải thu khách hàng",balance_sheet!$A:$A,0),MATCH(B$38,balance_sheet!$B$1:$E$1,0)),"")</f>
        <v/>
      </c>
      <c r="C55" s="17">
        <f>IFERROR(INDEX(balance_sheet!$B:$E,MATCH("Phải thu khách hàng",balance_sheet!$A:$A,0),MATCH(C$38,balance_sheet!$B$1:$E$1,0)),"")</f>
        <v/>
      </c>
      <c r="D55" s="17">
        <f>IFERROR(INDEX(balance_sheet!$B:$E,MATCH("Phải thu khách hàng",balance_sheet!$A:$A,0),MATCH(D$38,balance_sheet!$B$1:$E$1,0)),"")</f>
        <v/>
      </c>
      <c r="E55" s="17">
        <f>IFERROR(INDEX(balance_sheet!$B:$E,MATCH("Phải thu khách hàng",balance_sheet!$A:$A,0),MATCH(E$38,balance_sheet!$B$1:$E$1,0)),"")</f>
        <v/>
      </c>
    </row>
    <row r="56">
      <c r="A56" s="3" t="inlineStr">
        <is>
          <t>Phải trả người bán</t>
        </is>
      </c>
      <c r="B56" s="17">
        <f>IFERROR(INDEX(balance_sheet!$B:$E,MATCH("Phải trả người bán",balance_sheet!$A:$A,0),MATCH(B$38,balance_sheet!$B$1:$E$1,0)),"")</f>
        <v/>
      </c>
      <c r="C56" s="17">
        <f>IFERROR(INDEX(balance_sheet!$B:$E,MATCH("Phải trả người bán",balance_sheet!$A:$A,0),MATCH(C$38,balance_sheet!$B$1:$E$1,0)),"")</f>
        <v/>
      </c>
      <c r="D56" s="17">
        <f>IFERROR(INDEX(balance_sheet!$B:$E,MATCH("Phải trả người bán",balance_sheet!$A:$A,0),MATCH(D$38,balance_sheet!$B$1:$E$1,0)),"")</f>
        <v/>
      </c>
      <c r="E56" s="17">
        <f>IFERROR(INDEX(balance_sheet!$B:$E,MATCH("Phải trả người bán",balance_sheet!$A:$A,0),MATCH(E$38,balance_sheet!$B$1:$E$1,0)),"")</f>
        <v/>
      </c>
    </row>
    <row r="57">
      <c r="A57" s="3" t="inlineStr">
        <is>
          <t>Hàng tồn kho, ròng</t>
        </is>
      </c>
      <c r="B57" s="17">
        <f>IFERROR(INDEX(balance_sheet!$B:$E,MATCH("Hàng tồn kho, ròng",balance_sheet!$A:$A,0),MATCH(B$38,balance_sheet!$B$1:$E$1,0)),"")</f>
        <v/>
      </c>
      <c r="C57" s="17">
        <f>IFERROR(INDEX(balance_sheet!$B:$E,MATCH("Hàng tồn kho, ròng",balance_sheet!$A:$A,0),MATCH(C$38,balance_sheet!$B$1:$E$1,0)),"")</f>
        <v/>
      </c>
      <c r="D57" s="17">
        <f>IFERROR(INDEX(balance_sheet!$B:$E,MATCH("Hàng tồn kho, ròng",balance_sheet!$A:$A,0),MATCH(D$38,balance_sheet!$B$1:$E$1,0)),"")</f>
        <v/>
      </c>
      <c r="E57" s="17">
        <f>IFERROR(INDEX(balance_sheet!$B:$E,MATCH("Hàng tồn kho, ròng",balance_sheet!$A:$A,0),MATCH(E$38,balance_sheet!$B$1:$E$1,0)),"")</f>
        <v/>
      </c>
    </row>
    <row r="58">
      <c r="A58" s="3" t="inlineStr">
        <is>
          <t>Tiền và tương đương tiền</t>
        </is>
      </c>
      <c r="B58" s="17">
        <f>IFERROR(INDEX(balance_sheet!$B:$E,MATCH("Tiền và tương đương tiền",balance_sheet!$A:$A,0),MATCH(B$38,balance_sheet!$B$1:$E$1,0)),"")</f>
        <v/>
      </c>
      <c r="C58" s="17">
        <f>IFERROR(INDEX(balance_sheet!$B:$E,MATCH("Tiền và tương đương tiền",balance_sheet!$A:$A,0),MATCH(C$38,balance_sheet!$B$1:$E$1,0)),"")</f>
        <v/>
      </c>
      <c r="D58" s="17">
        <f>IFERROR(INDEX(balance_sheet!$B:$E,MATCH("Tiền và tương đương tiền",balance_sheet!$A:$A,0),MATCH(D$38,balance_sheet!$B$1:$E$1,0)),"")</f>
        <v/>
      </c>
      <c r="E58" s="17">
        <f>IFERROR(INDEX(balance_sheet!$B:$E,MATCH("Tiền và tương đương tiền",balance_sheet!$A:$A,0),MATCH(E$38,balance_sheet!$B$1:$E$1,0)),"")</f>
        <v/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2026-08-18T09:49:21Z</dcterms:created>
  <dcterms:modified xmlns:dcterms="http://purl.org/dc/terms/" xmlns:xsi="http://www.w3.org/2001/XMLSchema-instance" xsi:type="dcterms:W3CDTF">2026-08-20T07:06:00Z</dcterms:modified>
</cp:coreProperties>
</file>
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_sheet" sheetId="1" state="visible" r:id="rId1"/>
    <sheet name="income_statement" sheetId="2" state="visible" r:id="rId2"/>
    <sheet name="cash_flow" sheetId="3" state="visible" r:id="rId3"/>
    <sheet name="chi_so_tai_ch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"/>
    <numFmt numFmtId="166" formatCode="0.00&quot;x&quot;"/>
    <numFmt numFmtId="167" formatCode="#,##0 &quot;ngày&quot;"/>
  </numFmts>
  <fonts count="12">
    <font>
      <name val="Calibri"/>
      <family val="2"/>
      <color theme="1"/>
      <sz val="11"/>
      <scheme val="minor"/>
    </font>
    <font>
      <b val="1"/>
    </font>
    <font>
      <name val="Tahoma"/>
      <b val="1"/>
      <color rgb="00FFFFFF"/>
    </font>
    <font>
      <name val="Tahoma"/>
      <sz val="10"/>
    </font>
    <font>
      <name val="Tahoma"/>
      <b val="1"/>
      <color rgb="00FFFFFF"/>
      <sz val="14"/>
    </font>
    <font>
      <name val="Tahoma"/>
      <b val="1"/>
      <sz val="11"/>
    </font>
    <font>
      <name val="Tahoma"/>
      <b val="1"/>
    </font>
    <font>
      <name val="Tahoma"/>
      <b val="1"/>
      <i val="1"/>
      <sz val="10"/>
    </font>
    <font>
      <name val="Tahoma"/>
      <b val="1"/>
      <sz val="10"/>
    </font>
    <font>
      <name val="Tahoma"/>
      <i val="1"/>
      <color rgb="00808080"/>
      <sz val="10"/>
    </font>
    <font>
      <name val="Tahoma"/>
      <color rgb="00000000"/>
      <sz val="10"/>
    </font>
    <font>
      <name val="Tahoma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2" applyAlignment="1" pivotButton="0" quotePrefix="0" xfId="0">
      <alignment horizontal="left"/>
    </xf>
    <xf numFmtId="0" fontId="2" fillId="2" borderId="2" applyAlignment="1" pivotButton="0" quotePrefix="0" xfId="0">
      <alignment horizontal="center"/>
    </xf>
    <xf numFmtId="0" fontId="3" fillId="0" borderId="2" pivotButton="0" quotePrefix="0" xfId="0"/>
    <xf numFmtId="164" fontId="3" fillId="0" borderId="2" pivotButton="0" quotePrefix="0" xfId="0"/>
    <xf numFmtId="0" fontId="4" fillId="2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6" fillId="0" borderId="2" pivotButton="0" quotePrefix="0" xfId="0"/>
    <xf numFmtId="1" fontId="6" fillId="0" borderId="2" applyAlignment="1" pivotButton="0" quotePrefix="0" xfId="0">
      <alignment horizontal="center"/>
    </xf>
    <xf numFmtId="0" fontId="7" fillId="0" borderId="0" pivotButton="0" quotePrefix="0" xfId="0"/>
    <xf numFmtId="0" fontId="8" fillId="0" borderId="2" pivotButton="0" quotePrefix="0" xfId="0"/>
    <xf numFmtId="0" fontId="9" fillId="0" borderId="2" pivotButton="0" quotePrefix="0" xfId="0"/>
    <xf numFmtId="165" fontId="10" fillId="0" borderId="2" pivotButton="0" quotePrefix="0" xfId="0"/>
    <xf numFmtId="166" fontId="10" fillId="0" borderId="2" pivotButton="0" quotePrefix="0" xfId="0"/>
    <xf numFmtId="167" fontId="10" fillId="0" borderId="2" pivotButton="0" quotePrefix="0" xfId="0"/>
    <xf numFmtId="164" fontId="1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19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TÀI SẢN NGẮN HẠN</t>
        </is>
      </c>
      <c r="B2" s="4" t="n">
        <v>5405256600641</v>
      </c>
      <c r="C2" s="4" t="n">
        <v>7333364485251</v>
      </c>
      <c r="D2" s="4" t="n">
        <v>7143929036497</v>
      </c>
      <c r="E2" s="4" t="n">
        <v>9292192238421</v>
      </c>
      <c r="F2" s="4" t="n">
        <v>11966357761798</v>
      </c>
      <c r="G2" s="4" t="n">
        <v>12958118192260</v>
      </c>
      <c r="H2" s="4" t="n">
        <v>15692597267632</v>
      </c>
      <c r="I2" s="4" t="n">
        <v>18614031193890</v>
      </c>
    </row>
    <row r="3">
      <c r="A3" s="3" t="inlineStr">
        <is>
          <t>Tiền và tương đương tiền</t>
        </is>
      </c>
      <c r="B3" s="4" t="n">
        <v>206721179629</v>
      </c>
      <c r="C3" s="4" t="n">
        <v>95224439008</v>
      </c>
      <c r="D3" s="4" t="n">
        <v>422234781061</v>
      </c>
      <c r="E3" s="4" t="n">
        <v>355454838957</v>
      </c>
      <c r="F3" s="4" t="n">
        <v>879548130711</v>
      </c>
      <c r="G3" s="4" t="n">
        <v>896147917336</v>
      </c>
      <c r="H3" s="4" t="n">
        <v>1122712392130</v>
      </c>
      <c r="I3" s="4" t="n">
        <v>522025257031</v>
      </c>
    </row>
    <row r="4">
      <c r="A4" s="3" t="inlineStr">
        <is>
          <t>Tiền</t>
        </is>
      </c>
      <c r="B4" s="4" t="n">
        <v>206721179629</v>
      </c>
      <c r="C4" s="4" t="n">
        <v>95224439008</v>
      </c>
      <c r="D4" s="4" t="n">
        <v>422234781061</v>
      </c>
      <c r="E4" s="4" t="n">
        <v>355454838957</v>
      </c>
      <c r="F4" s="4" t="n">
        <v>879548130711</v>
      </c>
      <c r="G4" s="4" t="n">
        <v>896147917336</v>
      </c>
      <c r="H4" s="4" t="n">
        <v>1022712392130</v>
      </c>
      <c r="I4" s="4" t="n">
        <v>438425257031</v>
      </c>
    </row>
    <row r="5">
      <c r="A5" s="3" t="inlineStr">
        <is>
          <t>Các khoản tương đương tiền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100000000000</v>
      </c>
      <c r="I5" s="4" t="n">
        <v>83600000000</v>
      </c>
    </row>
    <row r="6">
      <c r="A6" s="3" t="inlineStr">
        <is>
          <t>Đầu tư ngắn hạn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97918137408</v>
      </c>
    </row>
    <row r="7">
      <c r="A7" s="3" t="inlineStr">
        <is>
          <t>Đầu tư ngắn hạn</t>
        </is>
      </c>
      <c r="B7" s="4" t="inlineStr"/>
      <c r="C7" s="4" t="inlineStr"/>
      <c r="D7" s="4" t="inlineStr"/>
      <c r="E7" s="4" t="inlineStr"/>
      <c r="F7" s="4" t="n">
        <v>0</v>
      </c>
      <c r="G7" s="4" t="n">
        <v>0</v>
      </c>
      <c r="H7" s="4" t="n">
        <v>0</v>
      </c>
      <c r="I7" s="4" t="n">
        <v>97918137408</v>
      </c>
    </row>
    <row r="8">
      <c r="A8" s="3" t="inlineStr">
        <is>
          <t>Dự phòng giảm giá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</row>
    <row r="9">
      <c r="A9" s="3" t="inlineStr">
        <is>
          <t>Các khoản phải thu</t>
        </is>
      </c>
      <c r="B9" s="4" t="n">
        <v>155196257825</v>
      </c>
      <c r="C9" s="4" t="n">
        <v>129688313476</v>
      </c>
      <c r="D9" s="4" t="n">
        <v>98997286429</v>
      </c>
      <c r="E9" s="4" t="n">
        <v>111969758488</v>
      </c>
      <c r="F9" s="4" t="n">
        <v>300880402245</v>
      </c>
      <c r="G9" s="4" t="n">
        <v>215035937840</v>
      </c>
      <c r="H9" s="4" t="n">
        <v>401134922152</v>
      </c>
      <c r="I9" s="4" t="n">
        <v>153980309545</v>
      </c>
    </row>
    <row r="10">
      <c r="A10" s="3" t="inlineStr">
        <is>
          <t>Phải thu khách hàng</t>
        </is>
      </c>
      <c r="B10" s="4" t="n">
        <v>57664060443</v>
      </c>
      <c r="C10" s="4" t="n">
        <v>48292876716</v>
      </c>
      <c r="D10" s="4" t="n">
        <v>67591685619</v>
      </c>
      <c r="E10" s="4" t="n">
        <v>59930655833</v>
      </c>
      <c r="F10" s="4" t="n">
        <v>56532707659</v>
      </c>
      <c r="G10" s="4" t="n">
        <v>69277567110</v>
      </c>
      <c r="H10" s="4" t="n">
        <v>70851635761</v>
      </c>
      <c r="I10" s="4" t="n">
        <v>48760415990</v>
      </c>
    </row>
    <row r="11">
      <c r="A11" s="3" t="inlineStr">
        <is>
          <t>Trả trước người bán</t>
        </is>
      </c>
      <c r="B11" s="4" t="n">
        <v>57981679202</v>
      </c>
      <c r="C11" s="4" t="n">
        <v>74867455343</v>
      </c>
      <c r="D11" s="4" t="n">
        <v>20218946599</v>
      </c>
      <c r="E11" s="4" t="n">
        <v>30659175548</v>
      </c>
      <c r="F11" s="4" t="n">
        <v>68902837213</v>
      </c>
      <c r="G11" s="4" t="n">
        <v>27775617785</v>
      </c>
      <c r="H11" s="4" t="n">
        <v>253102611434</v>
      </c>
      <c r="I11" s="4" t="n">
        <v>38085152243</v>
      </c>
    </row>
    <row r="12">
      <c r="A12" s="3" t="inlineStr">
        <is>
          <t>Phải thu nội bộ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</row>
    <row r="13">
      <c r="A13" s="3" t="inlineStr">
        <is>
          <t>Phải thu hợp đồng xây dựng đang thực hiện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</row>
    <row r="14">
      <c r="A14" s="3" t="inlineStr">
        <is>
          <t>Phải thu khác</t>
        </is>
      </c>
      <c r="B14" s="4" t="n">
        <v>39159008338</v>
      </c>
      <c r="C14" s="4" t="n">
        <v>5287941028</v>
      </c>
      <c r="D14" s="4" t="n">
        <v>12261206010</v>
      </c>
      <c r="E14" s="4" t="n">
        <v>22831538994</v>
      </c>
      <c r="F14" s="4" t="n">
        <v>37641170145</v>
      </c>
      <c r="G14" s="4" t="n">
        <v>32980198226</v>
      </c>
      <c r="H14" s="4" t="n">
        <v>64867442121</v>
      </c>
      <c r="I14" s="4" t="n">
        <v>90681158676</v>
      </c>
    </row>
    <row r="15">
      <c r="A15" s="3" t="inlineStr">
        <is>
          <t>Dự phòng nợ khó đòi</t>
        </is>
      </c>
      <c r="B15" s="4" t="n">
        <v>0</v>
      </c>
      <c r="C15" s="4" t="n">
        <v>0</v>
      </c>
      <c r="D15" s="4" t="n">
        <v>-1202878846</v>
      </c>
      <c r="E15" s="4" t="n">
        <v>-2004798077</v>
      </c>
      <c r="F15" s="4" t="n">
        <v>-2862909308</v>
      </c>
      <c r="G15" s="4" t="n">
        <v>-5049680837</v>
      </c>
      <c r="H15" s="4" t="n">
        <v>-28518444279</v>
      </c>
      <c r="I15" s="4" t="n">
        <v>-31918617346</v>
      </c>
    </row>
    <row r="16">
      <c r="A16" s="3" t="inlineStr">
        <is>
          <t>Hàng tồn kho, ròng</t>
        </is>
      </c>
      <c r="B16" s="4" t="n">
        <v>4968145942990</v>
      </c>
      <c r="C16" s="4" t="n">
        <v>7030420371216</v>
      </c>
      <c r="D16" s="4" t="n">
        <v>6545905987056</v>
      </c>
      <c r="E16" s="4" t="n">
        <v>8754741712359</v>
      </c>
      <c r="F16" s="4" t="n">
        <v>10506054932284</v>
      </c>
      <c r="G16" s="4" t="n">
        <v>10940937959289</v>
      </c>
      <c r="H16" s="4" t="n">
        <v>13015170477311</v>
      </c>
      <c r="I16" s="4" t="n">
        <v>15835334529837</v>
      </c>
    </row>
    <row r="17">
      <c r="A17" s="3" t="inlineStr">
        <is>
          <t>Hàng tồn kho</t>
        </is>
      </c>
      <c r="B17" s="4" t="n">
        <v>4968145942990</v>
      </c>
      <c r="C17" s="4" t="n">
        <v>7030420371216</v>
      </c>
      <c r="D17" s="4" t="n">
        <v>6545905987056</v>
      </c>
      <c r="E17" s="4" t="n">
        <v>8754741712359</v>
      </c>
      <c r="F17" s="4" t="n">
        <v>10508065026916</v>
      </c>
      <c r="G17" s="4" t="n">
        <v>10944749006797</v>
      </c>
      <c r="H17" s="4" t="n">
        <v>13074586927914</v>
      </c>
      <c r="I17" s="4" t="n">
        <v>15881309718303</v>
      </c>
    </row>
    <row r="18">
      <c r="A18" s="3" t="inlineStr">
        <is>
          <t>Dự phòng giảm giá hàng tồn kho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-2010094632</v>
      </c>
      <c r="G18" s="4" t="n">
        <v>-3811047508</v>
      </c>
      <c r="H18" s="4" t="n">
        <v>-59416450603</v>
      </c>
      <c r="I18" s="4" t="n">
        <v>-45975188466</v>
      </c>
    </row>
    <row r="19">
      <c r="A19" s="3" t="inlineStr">
        <is>
          <t>Tài sản lưu động khác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</row>
    <row r="20">
      <c r="A20" s="3" t="inlineStr">
        <is>
          <t>Chi phí trả trước ngắn hạn</t>
        </is>
      </c>
      <c r="B20" s="4" t="n">
        <v>66191416708</v>
      </c>
      <c r="C20" s="4" t="n">
        <v>71633378895</v>
      </c>
      <c r="D20" s="4" t="n">
        <v>66112866470</v>
      </c>
      <c r="E20" s="4" t="n">
        <v>56716921380</v>
      </c>
      <c r="F20" s="4" t="n">
        <v>74007356286</v>
      </c>
      <c r="G20" s="4" t="n">
        <v>94051248427</v>
      </c>
      <c r="H20" s="4" t="n">
        <v>132726608716</v>
      </c>
      <c r="I20" s="4" t="n">
        <v>94862372660</v>
      </c>
    </row>
    <row r="21">
      <c r="A21" s="3" t="inlineStr">
        <is>
          <t>Thuế GTGT được khấu trừ</t>
        </is>
      </c>
      <c r="B21" s="4" t="n">
        <v>625511019</v>
      </c>
      <c r="C21" s="4" t="n">
        <v>6306692920</v>
      </c>
      <c r="D21" s="4" t="n">
        <v>10670276957</v>
      </c>
      <c r="E21" s="4" t="n">
        <v>8705831517</v>
      </c>
      <c r="F21" s="4" t="n">
        <v>5866940272</v>
      </c>
      <c r="G21" s="4" t="n">
        <v>1845129368</v>
      </c>
      <c r="H21" s="4" t="n">
        <v>682867323</v>
      </c>
      <c r="I21" s="4" t="n">
        <v>234579085</v>
      </c>
    </row>
    <row r="22">
      <c r="A22" s="3" t="inlineStr">
        <is>
          <t>Phải thu thuế khác</t>
        </is>
      </c>
      <c r="B22" s="4" t="n">
        <v>8376292470</v>
      </c>
      <c r="C22" s="4" t="n">
        <v>91289736</v>
      </c>
      <c r="D22" s="4" t="n">
        <v>7838524</v>
      </c>
      <c r="E22" s="4" t="n">
        <v>4603175720</v>
      </c>
      <c r="F22" s="4" t="n">
        <v>0</v>
      </c>
      <c r="G22" s="4" t="n">
        <v>0</v>
      </c>
      <c r="H22" s="4" t="n">
        <v>0</v>
      </c>
      <c r="I22" s="4" t="n">
        <v>106008324</v>
      </c>
    </row>
    <row r="23">
      <c r="A23" s="3" t="inlineStr">
        <is>
          <t>Tài sản lưu động khác</t>
        </is>
      </c>
      <c r="B23" s="4" t="inlineStr"/>
      <c r="C23" s="4" t="inlineStr"/>
      <c r="D23" s="4" t="inlineStr"/>
      <c r="E23" s="4" t="inlineStr"/>
      <c r="F23" s="4" t="n">
        <v>0</v>
      </c>
      <c r="G23" s="4" t="n">
        <v>0</v>
      </c>
      <c r="H23" s="4" t="n">
        <v>0</v>
      </c>
      <c r="I23" s="4" t="n">
        <v>0</v>
      </c>
    </row>
    <row r="24">
      <c r="A24" s="3" t="inlineStr">
        <is>
          <t>TÀI SẢN DÀI HẠN</t>
        </is>
      </c>
      <c r="B24" s="4" t="n">
        <v>1032638955963</v>
      </c>
      <c r="C24" s="4" t="n">
        <v>1269599936565</v>
      </c>
      <c r="D24" s="4" t="n">
        <v>1339217061954</v>
      </c>
      <c r="E24" s="4" t="n">
        <v>1326824308701</v>
      </c>
      <c r="F24" s="4" t="n">
        <v>1370766887448</v>
      </c>
      <c r="G24" s="4" t="n">
        <v>1469439823096</v>
      </c>
      <c r="H24" s="4" t="n">
        <v>1515133510053</v>
      </c>
      <c r="I24" s="4" t="n">
        <v>1549599053151</v>
      </c>
    </row>
    <row r="25">
      <c r="A25" s="3" t="inlineStr">
        <is>
          <t>Phải thu dài hạn</t>
        </is>
      </c>
      <c r="B25" s="4" t="n">
        <v>57498444869</v>
      </c>
      <c r="C25" s="4" t="n">
        <v>70721623109</v>
      </c>
      <c r="D25" s="4" t="n">
        <v>77310617360</v>
      </c>
      <c r="E25" s="4" t="n">
        <v>84131506164</v>
      </c>
      <c r="F25" s="4" t="n">
        <v>93956493011</v>
      </c>
      <c r="G25" s="4" t="n">
        <v>104636239106</v>
      </c>
      <c r="H25" s="4" t="n">
        <v>115599492454</v>
      </c>
      <c r="I25" s="4" t="n">
        <v>121168536356</v>
      </c>
    </row>
    <row r="26">
      <c r="A26" s="3" t="inlineStr">
        <is>
          <t>Phải thu khách hàng dài hạn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</row>
    <row r="27">
      <c r="A27" s="3" t="inlineStr">
        <is>
          <t>Phải thu nội bộ dài hạn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</row>
    <row r="28">
      <c r="A28" s="3" t="inlineStr">
        <is>
          <t>Phải thu dài hạn khác</t>
        </is>
      </c>
      <c r="B28" s="4" t="n">
        <v>57498444869</v>
      </c>
      <c r="C28" s="4" t="n">
        <v>70721623109</v>
      </c>
      <c r="D28" s="4" t="n">
        <v>77310617360</v>
      </c>
      <c r="E28" s="4" t="n">
        <v>84131506164</v>
      </c>
      <c r="F28" s="4" t="n">
        <v>93956493011</v>
      </c>
      <c r="G28" s="4" t="n">
        <v>104636239106</v>
      </c>
      <c r="H28" s="4" t="n">
        <v>115599492454</v>
      </c>
      <c r="I28" s="4" t="n">
        <v>121168536356</v>
      </c>
    </row>
    <row r="29">
      <c r="A29" s="3" t="inlineStr">
        <is>
          <t>Dự phòng phải thu dài hạn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</row>
    <row r="30">
      <c r="A30" s="3" t="inlineStr">
        <is>
          <t>Tài sản cố định</t>
        </is>
      </c>
      <c r="B30" s="4" t="n">
        <v>719287274744</v>
      </c>
      <c r="C30" s="4" t="n">
        <v>923870354474</v>
      </c>
      <c r="D30" s="4" t="n">
        <v>931617117533</v>
      </c>
      <c r="E30" s="4" t="n">
        <v>909985491983</v>
      </c>
      <c r="F30" s="4" t="n">
        <v>882432821075</v>
      </c>
      <c r="G30" s="4" t="n">
        <v>882715109732</v>
      </c>
      <c r="H30" s="4" t="n">
        <v>857118818527</v>
      </c>
      <c r="I30" s="4" t="n">
        <v>855770473476</v>
      </c>
    </row>
    <row r="31">
      <c r="A31" s="3" t="inlineStr">
        <is>
          <t>GTCL TSCĐ hữu hình</t>
        </is>
      </c>
      <c r="B31" s="4" t="n">
        <v>225960569846</v>
      </c>
      <c r="C31" s="4" t="n">
        <v>263827234353</v>
      </c>
      <c r="D31" s="4" t="n">
        <v>281244232172</v>
      </c>
      <c r="E31" s="4" t="n">
        <v>259137188160</v>
      </c>
      <c r="F31" s="4" t="n">
        <v>239734551747</v>
      </c>
      <c r="G31" s="4" t="n">
        <v>256373758673</v>
      </c>
      <c r="H31" s="4" t="n">
        <v>248430247930</v>
      </c>
      <c r="I31" s="4" t="n">
        <v>236245161003</v>
      </c>
    </row>
    <row r="32">
      <c r="A32" s="3" t="inlineStr">
        <is>
          <t>Nguyên giá TSCĐ hữu hình</t>
        </is>
      </c>
      <c r="B32" s="4" t="n">
        <v>454178423940</v>
      </c>
      <c r="C32" s="4" t="n">
        <v>534818699342</v>
      </c>
      <c r="D32" s="4" t="n">
        <v>600464186725</v>
      </c>
      <c r="E32" s="4" t="n">
        <v>633614629426</v>
      </c>
      <c r="F32" s="4" t="n">
        <v>672781337441</v>
      </c>
      <c r="G32" s="4" t="n">
        <v>747570855214</v>
      </c>
      <c r="H32" s="4" t="n">
        <v>796271142120</v>
      </c>
      <c r="I32" s="4" t="n">
        <v>845032678156</v>
      </c>
    </row>
    <row r="33">
      <c r="A33" s="3" t="inlineStr">
        <is>
          <t>Khấu hao lũy kế TSCĐ hữu hình</t>
        </is>
      </c>
      <c r="B33" s="4" t="n">
        <v>-228217854094</v>
      </c>
      <c r="C33" s="4" t="n">
        <v>-270991464989</v>
      </c>
      <c r="D33" s="4" t="n">
        <v>-319219954553</v>
      </c>
      <c r="E33" s="4" t="n">
        <v>-374477441266</v>
      </c>
      <c r="F33" s="4" t="n">
        <v>-433046785694</v>
      </c>
      <c r="G33" s="4" t="n">
        <v>-491197096541</v>
      </c>
      <c r="H33" s="4" t="n">
        <v>-547840894190</v>
      </c>
      <c r="I33" s="4" t="n">
        <v>-608787517153</v>
      </c>
    </row>
    <row r="34">
      <c r="A34" s="3" t="inlineStr">
        <is>
          <t>GTCL tài sản thuê tài chính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</row>
    <row r="35">
      <c r="A35" s="3" t="inlineStr">
        <is>
          <t>Nguyên giá tài sản thuê tài chính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</row>
    <row r="36">
      <c r="A36" s="3" t="inlineStr">
        <is>
          <t>Khấu hao lũy kế tài sản thuê tài chính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</row>
    <row r="37">
      <c r="A37" s="3" t="inlineStr">
        <is>
          <t>GTCL tài sản cố định vô hình</t>
        </is>
      </c>
      <c r="B37" s="4" t="n">
        <v>493326704898</v>
      </c>
      <c r="C37" s="4" t="n">
        <v>660043120121</v>
      </c>
      <c r="D37" s="4" t="n">
        <v>650372885361</v>
      </c>
      <c r="E37" s="4" t="n">
        <v>650848303823</v>
      </c>
      <c r="F37" s="4" t="n">
        <v>642698269328</v>
      </c>
      <c r="G37" s="4" t="n">
        <v>626341351059</v>
      </c>
      <c r="H37" s="4" t="n">
        <v>608688570597</v>
      </c>
      <c r="I37" s="4" t="n">
        <v>619525312473</v>
      </c>
    </row>
    <row r="38">
      <c r="A38" s="3" t="inlineStr">
        <is>
          <t>Nguyên giá TSCĐ vô hình</t>
        </is>
      </c>
      <c r="B38" s="4" t="n">
        <v>499937407873</v>
      </c>
      <c r="C38" s="4" t="n">
        <v>679619883005</v>
      </c>
      <c r="D38" s="4" t="n">
        <v>683791142309</v>
      </c>
      <c r="E38" s="4" t="n">
        <v>697774918988</v>
      </c>
      <c r="F38" s="4" t="n">
        <v>707010800099</v>
      </c>
      <c r="G38" s="4" t="n">
        <v>708071904553</v>
      </c>
      <c r="H38" s="4" t="n">
        <v>708142194553</v>
      </c>
      <c r="I38" s="4" t="n">
        <v>734945157553</v>
      </c>
    </row>
    <row r="39">
      <c r="A39" s="3" t="inlineStr">
        <is>
          <t>Khấu hao lũy kế TSCĐ vô hình</t>
        </is>
      </c>
      <c r="B39" s="4" t="n">
        <v>-6610702975</v>
      </c>
      <c r="C39" s="4" t="n">
        <v>-19576762884</v>
      </c>
      <c r="D39" s="4" t="n">
        <v>-33418256948</v>
      </c>
      <c r="E39" s="4" t="n">
        <v>-46926615165</v>
      </c>
      <c r="F39" s="4" t="n">
        <v>-64312530771</v>
      </c>
      <c r="G39" s="4" t="n">
        <v>-81730553494</v>
      </c>
      <c r="H39" s="4" t="n">
        <v>-99453623956</v>
      </c>
      <c r="I39" s="4" t="n">
        <v>-115419845080</v>
      </c>
    </row>
    <row r="40">
      <c r="A40" s="3" t="inlineStr">
        <is>
          <t>Xây dựng cơ bản đang dang dở (trước 2015)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</row>
    <row r="41">
      <c r="A41" s="3" t="inlineStr">
        <is>
          <t>Giá trị ròng tài sản đầu tư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</row>
    <row r="42">
      <c r="A42" s="3" t="inlineStr">
        <is>
          <t>Nguyên giá tài sản đầu tư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</row>
    <row r="43">
      <c r="A43" s="3" t="inlineStr">
        <is>
          <t>Khấu hao lũy kế tài sản đầu tư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</row>
    <row r="44">
      <c r="A44" s="3" t="inlineStr">
        <is>
          <t>Đầu tư dài hạn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3980000000</v>
      </c>
      <c r="H44" s="4" t="n">
        <v>3980000000</v>
      </c>
      <c r="I44" s="4" t="n">
        <v>5930000000</v>
      </c>
    </row>
    <row r="45">
      <c r="A45" s="3" t="inlineStr">
        <is>
          <t>Đầu tư vào các công ty con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</row>
    <row r="46">
      <c r="A46" s="3" t="inlineStr">
        <is>
          <t>Đầu tư vào các công ty liên kết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</row>
    <row r="47">
      <c r="A47" s="3" t="inlineStr">
        <is>
          <t>Đầu tư dài hạn khác</t>
        </is>
      </c>
      <c r="B47" s="4" t="n">
        <v>395271613400</v>
      </c>
      <c r="C47" s="4" t="n">
        <v>395271613400</v>
      </c>
      <c r="D47" s="4" t="n">
        <v>395271613400</v>
      </c>
      <c r="E47" s="4" t="n">
        <v>395271613400</v>
      </c>
      <c r="F47" s="4" t="n">
        <v>395271613400</v>
      </c>
      <c r="G47" s="4" t="n">
        <v>399251613400</v>
      </c>
      <c r="H47" s="4" t="n">
        <v>399251613400</v>
      </c>
      <c r="I47" s="4" t="n">
        <v>401201613400</v>
      </c>
    </row>
    <row r="48">
      <c r="A48" s="3" t="inlineStr">
        <is>
          <t>Dự phòng giảm giá đầu tư dài hạn</t>
        </is>
      </c>
      <c r="B48" s="4" t="n">
        <v>-395271613400</v>
      </c>
      <c r="C48" s="4" t="n">
        <v>-395271613400</v>
      </c>
      <c r="D48" s="4" t="n">
        <v>-395271613400</v>
      </c>
      <c r="E48" s="4" t="n">
        <v>-395271613400</v>
      </c>
      <c r="F48" s="4" t="n">
        <v>-395271613400</v>
      </c>
      <c r="G48" s="4" t="n">
        <v>-395271613400</v>
      </c>
      <c r="H48" s="4" t="n">
        <v>-395271613400</v>
      </c>
      <c r="I48" s="4" t="n">
        <v>-395271613400</v>
      </c>
    </row>
    <row r="49">
      <c r="A49" s="3" t="inlineStr">
        <is>
          <t>Lợi thế thương mại (trước 2015)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</row>
    <row r="50">
      <c r="A50" s="3" t="inlineStr">
        <is>
          <t>Tài sản dài hạn khác</t>
        </is>
      </c>
      <c r="B50" s="4" t="n">
        <v>185030555196</v>
      </c>
      <c r="C50" s="4" t="n">
        <v>246550560548</v>
      </c>
      <c r="D50" s="4" t="n">
        <v>297285460058</v>
      </c>
      <c r="E50" s="4" t="n">
        <v>301911940704</v>
      </c>
      <c r="F50" s="4" t="n">
        <v>363550944173</v>
      </c>
      <c r="G50" s="4" t="n">
        <v>449008425848</v>
      </c>
      <c r="H50" s="4" t="n">
        <v>473732557913</v>
      </c>
      <c r="I50" s="4" t="n">
        <v>472022383285</v>
      </c>
    </row>
    <row r="51">
      <c r="A51" s="3" t="inlineStr">
        <is>
          <t>Trả trước dài hạn</t>
        </is>
      </c>
      <c r="B51" s="4" t="n">
        <v>99678730358</v>
      </c>
      <c r="C51" s="4" t="n">
        <v>158318980481</v>
      </c>
      <c r="D51" s="4" t="n">
        <v>206301766031</v>
      </c>
      <c r="E51" s="4" t="n">
        <v>201443147089</v>
      </c>
      <c r="F51" s="4" t="n">
        <v>243656590750</v>
      </c>
      <c r="G51" s="4" t="n">
        <v>329182091504</v>
      </c>
      <c r="H51" s="4" t="n">
        <v>276525499295</v>
      </c>
      <c r="I51" s="4" t="n">
        <v>144500376660</v>
      </c>
    </row>
    <row r="52">
      <c r="A52" s="3" t="inlineStr">
        <is>
          <t>Thuế thu nhập hoãn lại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</row>
    <row r="53">
      <c r="A53" s="3" t="inlineStr">
        <is>
          <t>Các tài sản dài hạn khác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</row>
    <row r="54">
      <c r="A54" s="3" t="inlineStr">
        <is>
          <t>TỔNG CỘNG TÀI SẢN</t>
        </is>
      </c>
      <c r="B54" s="4" t="n">
        <v>6437895556604</v>
      </c>
      <c r="C54" s="4" t="n">
        <v>8602964421816</v>
      </c>
      <c r="D54" s="4" t="n">
        <v>8483146098451</v>
      </c>
      <c r="E54" s="4" t="n">
        <v>10619016547122</v>
      </c>
      <c r="F54" s="4" t="n">
        <v>13337124649246</v>
      </c>
      <c r="G54" s="4" t="n">
        <v>14427558015356</v>
      </c>
      <c r="H54" s="4" t="n">
        <v>17207730777685</v>
      </c>
      <c r="I54" s="4" t="n">
        <v>20163630247041</v>
      </c>
    </row>
    <row r="55">
      <c r="A55" s="3" t="inlineStr">
        <is>
          <t>NỢ PHẢI TRẢ</t>
        </is>
      </c>
      <c r="B55" s="4" t="n">
        <v>2692822128700</v>
      </c>
      <c r="C55" s="4" t="n">
        <v>4025698610469</v>
      </c>
      <c r="D55" s="4" t="n">
        <v>3241284233443</v>
      </c>
      <c r="E55" s="4" t="n">
        <v>4606382566869</v>
      </c>
      <c r="F55" s="4" t="n">
        <v>4893029994396</v>
      </c>
      <c r="G55" s="4" t="n">
        <v>4621377351380</v>
      </c>
      <c r="H55" s="4" t="n">
        <v>5952424147163</v>
      </c>
      <c r="I55" s="4" t="n">
        <v>6888716787629</v>
      </c>
    </row>
    <row r="56">
      <c r="A56" s="3" t="inlineStr">
        <is>
          <t>Nợ ngắn hạn</t>
        </is>
      </c>
      <c r="B56" s="4" t="n">
        <v>2677317785700</v>
      </c>
      <c r="C56" s="4" t="n">
        <v>4017860824469</v>
      </c>
      <c r="D56" s="4" t="n">
        <v>3231907356443</v>
      </c>
      <c r="E56" s="4" t="n">
        <v>4563002409508</v>
      </c>
      <c r="F56" s="4" t="n">
        <v>4883064421396</v>
      </c>
      <c r="G56" s="4" t="n">
        <v>4611956609380</v>
      </c>
      <c r="H56" s="4" t="n">
        <v>5941881733413</v>
      </c>
      <c r="I56" s="4" t="n">
        <v>6874318773629</v>
      </c>
    </row>
    <row r="57">
      <c r="A57" s="3" t="inlineStr">
        <is>
          <t>Vay ngắn hạn</t>
        </is>
      </c>
      <c r="B57" s="4" t="n">
        <v>1558482498026</v>
      </c>
      <c r="C57" s="4" t="n">
        <v>2610902622222</v>
      </c>
      <c r="D57" s="4" t="n">
        <v>1839275064065</v>
      </c>
      <c r="E57" s="4" t="n">
        <v>2721930701144</v>
      </c>
      <c r="F57" s="4" t="n">
        <v>2683045875772</v>
      </c>
      <c r="G57" s="4" t="n">
        <v>2384288254693</v>
      </c>
      <c r="H57" s="4" t="n">
        <v>3341542016760</v>
      </c>
      <c r="I57" s="4" t="n">
        <v>4223385635653</v>
      </c>
    </row>
    <row r="58">
      <c r="A58" s="3" t="inlineStr">
        <is>
          <t>Phải trả người bán</t>
        </is>
      </c>
      <c r="B58" s="4" t="n">
        <v>342676925196</v>
      </c>
      <c r="C58" s="4" t="n">
        <v>690808185195</v>
      </c>
      <c r="D58" s="4" t="n">
        <v>481588464720</v>
      </c>
      <c r="E58" s="4" t="n">
        <v>680447298103</v>
      </c>
      <c r="F58" s="4" t="n">
        <v>277212839495</v>
      </c>
      <c r="G58" s="4" t="n">
        <v>257304950807</v>
      </c>
      <c r="H58" s="4" t="n">
        <v>624291098148</v>
      </c>
      <c r="I58" s="4" t="n">
        <v>333861329514</v>
      </c>
    </row>
    <row r="59">
      <c r="A59" s="3" t="inlineStr">
        <is>
          <t>Người mua trả tiền trước</t>
        </is>
      </c>
      <c r="B59" s="4" t="n">
        <v>82798544221</v>
      </c>
      <c r="C59" s="4" t="n">
        <v>95353052369</v>
      </c>
      <c r="D59" s="4" t="n">
        <v>157182968364</v>
      </c>
      <c r="E59" s="4" t="n">
        <v>156729112135</v>
      </c>
      <c r="F59" s="4" t="n">
        <v>222164283405</v>
      </c>
      <c r="G59" s="4" t="n">
        <v>215299493413</v>
      </c>
      <c r="H59" s="4" t="n">
        <v>188182044409</v>
      </c>
      <c r="I59" s="4" t="n">
        <v>182492529057</v>
      </c>
    </row>
    <row r="60">
      <c r="A60" s="3" t="inlineStr">
        <is>
          <t>Thuế và các khoản phải trả Nhà nước</t>
        </is>
      </c>
      <c r="B60" s="4" t="n">
        <v>153579308096</v>
      </c>
      <c r="C60" s="4" t="n">
        <v>192682671178</v>
      </c>
      <c r="D60" s="4" t="n">
        <v>214710310923</v>
      </c>
      <c r="E60" s="4" t="n">
        <v>309500571902</v>
      </c>
      <c r="F60" s="4" t="n">
        <v>292985361927</v>
      </c>
      <c r="G60" s="4" t="n">
        <v>344258054659</v>
      </c>
      <c r="H60" s="4" t="n">
        <v>448697283312</v>
      </c>
      <c r="I60" s="4" t="n">
        <v>777717691575</v>
      </c>
    </row>
    <row r="61">
      <c r="A61" s="3" t="inlineStr">
        <is>
          <t>Phải trả người lao động</t>
        </is>
      </c>
      <c r="B61" s="4" t="n">
        <v>228337052181</v>
      </c>
      <c r="C61" s="4" t="n">
        <v>222296091737</v>
      </c>
      <c r="D61" s="4" t="n">
        <v>290765645610</v>
      </c>
      <c r="E61" s="4" t="n">
        <v>385144216152</v>
      </c>
      <c r="F61" s="4" t="n">
        <v>534807250396</v>
      </c>
      <c r="G61" s="4" t="n">
        <v>673116492808</v>
      </c>
      <c r="H61" s="4" t="n">
        <v>596322426230</v>
      </c>
      <c r="I61" s="4" t="n">
        <v>569308694234</v>
      </c>
    </row>
    <row r="62">
      <c r="A62" s="3" t="inlineStr">
        <is>
          <t>Chi phí phải trả</t>
        </is>
      </c>
      <c r="B62" s="4" t="n">
        <v>10833940595</v>
      </c>
      <c r="C62" s="4" t="n">
        <v>45877630688</v>
      </c>
      <c r="D62" s="4" t="n">
        <v>55520256916</v>
      </c>
      <c r="E62" s="4" t="n">
        <v>69534599697</v>
      </c>
      <c r="F62" s="4" t="n">
        <v>453432735944</v>
      </c>
      <c r="G62" s="4" t="n">
        <v>307718428978</v>
      </c>
      <c r="H62" s="4" t="n">
        <v>360040211420</v>
      </c>
      <c r="I62" s="4" t="n">
        <v>321827090456</v>
      </c>
    </row>
    <row r="63">
      <c r="A63" s="3" t="inlineStr">
        <is>
          <t>Phải trả nội bộ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</row>
    <row r="64">
      <c r="A64" s="3" t="inlineStr">
        <is>
          <t>Phải trả về xây dựng cơ bản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</row>
    <row r="65">
      <c r="A65" s="3" t="inlineStr">
        <is>
          <t>Phải trả khác</t>
        </is>
      </c>
      <c r="B65" s="4" t="n">
        <v>237629562960</v>
      </c>
      <c r="C65" s="4" t="n">
        <v>69257739996</v>
      </c>
      <c r="D65" s="4" t="n">
        <v>76978636900</v>
      </c>
      <c r="E65" s="4" t="n">
        <v>83404423727</v>
      </c>
      <c r="F65" s="4" t="n">
        <v>227169093119</v>
      </c>
      <c r="G65" s="4" t="n">
        <v>228798913738</v>
      </c>
      <c r="H65" s="4" t="n">
        <v>106241642105</v>
      </c>
      <c r="I65" s="4" t="n">
        <v>103175435252</v>
      </c>
    </row>
    <row r="66">
      <c r="A66" s="3" t="inlineStr">
        <is>
          <t>Dự phòng các khoản phải trả ngắn hạn</t>
        </is>
      </c>
      <c r="B66" s="4" t="n">
        <v>0</v>
      </c>
      <c r="C66" s="4" t="n">
        <v>0</v>
      </c>
      <c r="D66" s="4" t="n">
        <v>0</v>
      </c>
      <c r="E66" s="4" t="n">
        <v>30129306488</v>
      </c>
      <c r="F66" s="4" t="n">
        <v>30129306488</v>
      </c>
      <c r="G66" s="4" t="n">
        <v>29061192534</v>
      </c>
      <c r="H66" s="4" t="n">
        <v>26547708303</v>
      </c>
      <c r="I66" s="4" t="n">
        <v>26574672229</v>
      </c>
    </row>
    <row r="67">
      <c r="A67" s="3" t="inlineStr">
        <is>
          <t>Quỹ khen thưởng, phúc lợi</t>
        </is>
      </c>
      <c r="B67" s="4" t="n">
        <v>62979954425</v>
      </c>
      <c r="C67" s="4" t="n">
        <v>90682831084</v>
      </c>
      <c r="D67" s="4" t="n">
        <v>115886008945</v>
      </c>
      <c r="E67" s="4" t="n">
        <v>126182180160</v>
      </c>
      <c r="F67" s="4" t="n">
        <v>162117674850</v>
      </c>
      <c r="G67" s="4" t="n">
        <v>172110827750</v>
      </c>
      <c r="H67" s="4" t="n">
        <v>250017302726</v>
      </c>
      <c r="I67" s="4" t="n">
        <v>335975695659</v>
      </c>
    </row>
    <row r="68">
      <c r="A68" s="3" t="inlineStr">
        <is>
          <t>Nợ dài hạn</t>
        </is>
      </c>
      <c r="B68" s="4" t="n">
        <v>15504343000</v>
      </c>
      <c r="C68" s="4" t="n">
        <v>7837786000</v>
      </c>
      <c r="D68" s="4" t="n">
        <v>9376877000</v>
      </c>
      <c r="E68" s="4" t="n">
        <v>43380157361</v>
      </c>
      <c r="F68" s="4" t="n">
        <v>9965573000</v>
      </c>
      <c r="G68" s="4" t="n">
        <v>9420742000</v>
      </c>
      <c r="H68" s="4" t="n">
        <v>10542413750</v>
      </c>
      <c r="I68" s="4" t="n">
        <v>14398014000</v>
      </c>
    </row>
    <row r="69">
      <c r="A69" s="3" t="inlineStr">
        <is>
          <t>Phải trả nhà cung cấp dài hạn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</row>
    <row r="70">
      <c r="A70" s="3" t="inlineStr">
        <is>
          <t>Phải trả nội bộ dài hạn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</row>
    <row r="71">
      <c r="A71" s="3" t="inlineStr">
        <is>
          <t>Phải trả dài hạn khác</t>
        </is>
      </c>
      <c r="B71" s="4" t="n">
        <v>628026000</v>
      </c>
      <c r="C71" s="4" t="n">
        <v>476006000</v>
      </c>
      <c r="D71" s="4" t="n">
        <v>526168000</v>
      </c>
      <c r="E71" s="4" t="n">
        <v>518668000</v>
      </c>
      <c r="F71" s="4" t="n">
        <v>218668000</v>
      </c>
      <c r="G71" s="4" t="n">
        <v>218668000</v>
      </c>
      <c r="H71" s="4" t="n">
        <v>178668000</v>
      </c>
      <c r="I71" s="4" t="n">
        <v>1715384000</v>
      </c>
    </row>
    <row r="72">
      <c r="A72" s="3" t="inlineStr">
        <is>
          <t>Vay dài hạn</t>
        </is>
      </c>
      <c r="B72" s="4" t="n">
        <v>7800000000</v>
      </c>
      <c r="C72" s="4" t="n">
        <v>3700000000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</row>
    <row r="73">
      <c r="A73" s="3" t="inlineStr">
        <is>
          <t>Thuế thu nhập hoãn lại</t>
        </is>
      </c>
      <c r="B73" s="4" t="inlineStr"/>
      <c r="C73" s="4" t="inlineStr"/>
      <c r="D73" s="4" t="inlineStr"/>
      <c r="E73" s="4" t="inlineStr"/>
      <c r="F73" s="4" t="n">
        <v>0</v>
      </c>
      <c r="G73" s="4" t="n">
        <v>0</v>
      </c>
      <c r="H73" s="4" t="n">
        <v>0</v>
      </c>
      <c r="I73" s="4" t="n">
        <v>0</v>
      </c>
    </row>
    <row r="74">
      <c r="A74" s="3" t="inlineStr">
        <is>
          <t>Dự phòng trợ cấp thôi việc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</row>
    <row r="75">
      <c r="A75" s="3" t="inlineStr">
        <is>
          <t>Dự phòng các khoản nợ dài hạn</t>
        </is>
      </c>
      <c r="B75" s="4" t="n">
        <v>7076317000</v>
      </c>
      <c r="C75" s="4" t="n">
        <v>3661780000</v>
      </c>
      <c r="D75" s="4" t="n">
        <v>8850709000</v>
      </c>
      <c r="E75" s="4" t="n">
        <v>42861489361</v>
      </c>
      <c r="F75" s="4" t="n">
        <v>9746905000</v>
      </c>
      <c r="G75" s="4" t="n">
        <v>9202074000</v>
      </c>
      <c r="H75" s="4" t="n">
        <v>10363745750</v>
      </c>
      <c r="I75" s="4" t="n">
        <v>12682630000</v>
      </c>
    </row>
    <row r="76">
      <c r="A76" s="3" t="inlineStr">
        <is>
          <t>Doanh thu chưa thực hiện</t>
        </is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</row>
    <row r="77">
      <c r="A77" s="3" t="inlineStr">
        <is>
          <t>Quỹ phát triển khoa học công nghệ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</row>
    <row r="78">
      <c r="A78" s="3" t="inlineStr">
        <is>
          <t>Vốn chủ sở hữu</t>
        </is>
      </c>
      <c r="B78" s="4" t="n">
        <v>3745073427904</v>
      </c>
      <c r="C78" s="4" t="n">
        <v>4577265811347</v>
      </c>
      <c r="D78" s="4" t="n">
        <v>5241861865008</v>
      </c>
      <c r="E78" s="4" t="n">
        <v>6012633980253</v>
      </c>
      <c r="F78" s="4" t="n">
        <v>8444094654850</v>
      </c>
      <c r="G78" s="4" t="n">
        <v>9806180663976</v>
      </c>
      <c r="H78" s="4" t="n">
        <v>11255306630522</v>
      </c>
      <c r="I78" s="4" t="n">
        <v>13274913459412</v>
      </c>
    </row>
    <row r="79">
      <c r="A79" s="3" t="inlineStr">
        <is>
          <t>Vốn và các quỹ</t>
        </is>
      </c>
      <c r="B79" s="4" t="n">
        <v>3745073427904</v>
      </c>
      <c r="C79" s="4" t="n">
        <v>4577265811347</v>
      </c>
      <c r="D79" s="4" t="n">
        <v>5241861865008</v>
      </c>
      <c r="E79" s="4" t="n">
        <v>6012633980253</v>
      </c>
      <c r="F79" s="4" t="n">
        <v>8444094654850</v>
      </c>
      <c r="G79" s="4" t="n">
        <v>9806180663976</v>
      </c>
      <c r="H79" s="4" t="n">
        <v>11255306630522</v>
      </c>
      <c r="I79" s="4" t="n">
        <v>13274913459412</v>
      </c>
    </row>
    <row r="80">
      <c r="A80" s="3" t="inlineStr">
        <is>
          <t>Vốn góp</t>
        </is>
      </c>
      <c r="B80" s="4" t="n">
        <v>1670029820000</v>
      </c>
      <c r="C80" s="4" t="n">
        <v>2252935850000</v>
      </c>
      <c r="D80" s="4" t="n">
        <v>2276123620000</v>
      </c>
      <c r="E80" s="4" t="n">
        <v>2276123620000</v>
      </c>
      <c r="F80" s="4" t="n">
        <v>2461716200000</v>
      </c>
      <c r="G80" s="4" t="n">
        <v>3281691880000</v>
      </c>
      <c r="H80" s="4" t="n">
        <v>3380747760000</v>
      </c>
      <c r="I80" s="4" t="n">
        <v>3413186660000</v>
      </c>
    </row>
    <row r="81">
      <c r="A81" s="3" t="inlineStr">
        <is>
          <t>Thặng dư vốn cổ phần</t>
        </is>
      </c>
      <c r="B81" s="4" t="n">
        <v>925397862458</v>
      </c>
      <c r="C81" s="4" t="n">
        <v>968074112458</v>
      </c>
      <c r="D81" s="4" t="n">
        <v>991261882458</v>
      </c>
      <c r="E81" s="4" t="n">
        <v>991261882458</v>
      </c>
      <c r="F81" s="4" t="n">
        <v>2251376032458</v>
      </c>
      <c r="G81" s="4" t="n">
        <v>1851376032458</v>
      </c>
      <c r="H81" s="4" t="n">
        <v>1950309912458</v>
      </c>
      <c r="I81" s="4" t="n">
        <v>1982694812458</v>
      </c>
    </row>
    <row r="82">
      <c r="A82" s="3" t="inlineStr">
        <is>
          <t>Vốn khác</t>
        </is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</row>
    <row r="83">
      <c r="A83" s="3" t="inlineStr">
        <is>
          <t>Cổ phiếu quỹ</t>
        </is>
      </c>
      <c r="B83" s="4" t="n">
        <v>-7090000</v>
      </c>
      <c r="C83" s="4" t="n">
        <v>-2101090000</v>
      </c>
      <c r="D83" s="4" t="n">
        <v>-3384090000</v>
      </c>
      <c r="E83" s="4" t="n">
        <v>-4908890000</v>
      </c>
      <c r="F83" s="4" t="n">
        <v>-3384090000</v>
      </c>
      <c r="G83" s="4" t="n">
        <v>-3384090000</v>
      </c>
      <c r="H83" s="4" t="n">
        <v>-3384090000</v>
      </c>
      <c r="I83" s="4" t="n">
        <v>-3384090000</v>
      </c>
    </row>
    <row r="84">
      <c r="A84" s="3" t="inlineStr">
        <is>
          <t>Chênh lệch đánh giá lại tài sản</t>
        </is>
      </c>
      <c r="B84" s="4" t="n">
        <v>0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</row>
    <row r="85">
      <c r="A85" s="3" t="inlineStr">
        <is>
          <t>Chênh lệch tỷ giá</t>
        </is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</row>
    <row r="86">
      <c r="A86" s="3" t="inlineStr">
        <is>
          <t>Quỹ đầu tư và phát triển</t>
        </is>
      </c>
      <c r="B86" s="4" t="n">
        <v>265087556918</v>
      </c>
      <c r="C86" s="4" t="n">
        <v>313083556918</v>
      </c>
      <c r="D86" s="4" t="n">
        <v>372779556918</v>
      </c>
      <c r="E86" s="4" t="n">
        <v>800503556918</v>
      </c>
      <c r="F86" s="4" t="n">
        <v>1212120556918</v>
      </c>
      <c r="G86" s="4" t="n">
        <v>1936397556918</v>
      </c>
      <c r="H86" s="4" t="n">
        <v>2626281556918</v>
      </c>
      <c r="I86" s="4" t="n">
        <v>3471447556918</v>
      </c>
    </row>
    <row r="87">
      <c r="A87" s="3" t="inlineStr">
        <is>
          <t>Quỹ dự phòng tài chính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</row>
    <row r="88">
      <c r="A88" s="3" t="inlineStr">
        <is>
          <t>Quỹ khác</t>
        </is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</row>
    <row r="89">
      <c r="A89" s="3" t="inlineStr">
        <is>
          <t>Lãi chưa phân phối</t>
        </is>
      </c>
      <c r="B89" s="4" t="n">
        <v>884565278528</v>
      </c>
      <c r="C89" s="4" t="n">
        <v>1045273381971</v>
      </c>
      <c r="D89" s="4" t="n">
        <v>1605080895632</v>
      </c>
      <c r="E89" s="4" t="n">
        <v>1949653810877</v>
      </c>
      <c r="F89" s="4" t="n">
        <v>2522265955474</v>
      </c>
      <c r="G89" s="4" t="n">
        <v>2740099284600</v>
      </c>
      <c r="H89" s="4" t="n">
        <v>3301351491146</v>
      </c>
      <c r="I89" s="4" t="n">
        <v>4410968520036</v>
      </c>
    </row>
    <row r="90">
      <c r="A90" s="3" t="inlineStr">
        <is>
          <t>Quỹ hỗ trợ sắp xếp doanh nghiệp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</row>
    <row r="91">
      <c r="A91" s="3" t="inlineStr">
        <is>
          <t>Vốn Ngân sách nhà nước và quỹ khác</t>
        </is>
      </c>
      <c r="B91" s="4" t="n">
        <v>0</v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</row>
    <row r="92">
      <c r="A92" s="3" t="inlineStr">
        <is>
          <t>Quỹ khen thưởng, phúc lợi (trước 2010)</t>
        </is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</row>
    <row r="93">
      <c r="A93" s="3" t="inlineStr">
        <is>
          <t>Vốn ngân sách nhà nước và quỹ khác</t>
        </is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</row>
    <row r="94">
      <c r="A94" s="3" t="inlineStr">
        <is>
          <t>Lợi ích của cổ đông thiểu số</t>
        </is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</row>
    <row r="95">
      <c r="A95" s="3" t="inlineStr">
        <is>
          <t>Tổng cộng nguồn vốn</t>
        </is>
      </c>
      <c r="B95" s="4" t="n">
        <v>6437895556604</v>
      </c>
      <c r="C95" s="4" t="n">
        <v>8602964421816</v>
      </c>
      <c r="D95" s="4" t="n">
        <v>8483146098451</v>
      </c>
      <c r="E95" s="4" t="n">
        <v>10619016547122</v>
      </c>
      <c r="F95" s="4" t="n">
        <v>13337124649246</v>
      </c>
      <c r="G95" s="4" t="n">
        <v>14427558015356</v>
      </c>
      <c r="H95" s="4" t="n">
        <v>17207730777685</v>
      </c>
      <c r="I95" s="4" t="n">
        <v>20163630247041</v>
      </c>
    </row>
    <row r="96">
      <c r="A96" s="3" t="inlineStr">
        <is>
          <t>Cổ phiếu ưu đãi</t>
        </is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</row>
    <row r="97">
      <c r="A97" s="3" t="inlineStr">
        <is>
          <t>Đầu tư nắm giữ đến ngày đáo hạn</t>
        </is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</row>
    <row r="98">
      <c r="A98" s="3" t="inlineStr">
        <is>
          <t>Vốn kinh doanh ở các đơn vị trực thuộc</t>
        </is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</row>
    <row r="99">
      <c r="A99" s="3" t="inlineStr">
        <is>
          <t>Tài sản thiếu cần xử lý</t>
        </is>
      </c>
      <c r="B99" s="4" t="n">
        <v>391509842</v>
      </c>
      <c r="C99" s="4" t="n">
        <v>1240040389</v>
      </c>
      <c r="D99" s="4" t="n">
        <v>128327047</v>
      </c>
      <c r="E99" s="4" t="n">
        <v>553186190</v>
      </c>
      <c r="F99" s="4" t="n">
        <v>666596536</v>
      </c>
      <c r="G99" s="4" t="n">
        <v>52235556</v>
      </c>
      <c r="H99" s="4" t="n">
        <v>831677115</v>
      </c>
      <c r="I99" s="4" t="n">
        <v>372199982</v>
      </c>
    </row>
    <row r="100">
      <c r="A100" s="3" t="inlineStr">
        <is>
          <t>Phải thu cho vay ngắn hạn</t>
        </is>
      </c>
      <c r="B100" s="4" t="n">
        <v>0</v>
      </c>
      <c r="C100" s="4" t="n">
        <v>0</v>
      </c>
      <c r="D100" s="4" t="n">
        <v>0</v>
      </c>
      <c r="E100" s="4" t="n">
        <v>0</v>
      </c>
      <c r="F100" s="4" t="n">
        <v>140000000000</v>
      </c>
      <c r="G100" s="4" t="n">
        <v>90000000000</v>
      </c>
      <c r="H100" s="4" t="n">
        <v>40000000000</v>
      </c>
      <c r="I100" s="4" t="n">
        <v>8000000000</v>
      </c>
    </row>
    <row r="101">
      <c r="A101" s="3" t="inlineStr">
        <is>
          <t>Giao dịch mua bán lại trái phiếu Chính phủ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</row>
    <row r="102">
      <c r="A102" s="3" t="inlineStr">
        <is>
          <t>Trả trước người bán dài hạn</t>
        </is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</row>
    <row r="103">
      <c r="A103" s="3" t="inlineStr">
        <is>
          <t>Phải thu cho vay dài hạn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</row>
    <row r="104">
      <c r="A104" s="3" t="inlineStr">
        <is>
          <t>Tài sản dở dang dài hạn</t>
        </is>
      </c>
      <c r="B104" s="4" t="n">
        <v>70822681154</v>
      </c>
      <c r="C104" s="4" t="n">
        <v>28457398434</v>
      </c>
      <c r="D104" s="4" t="n">
        <v>33003867003</v>
      </c>
      <c r="E104" s="4" t="n">
        <v>30795369850</v>
      </c>
      <c r="F104" s="4" t="n">
        <v>30826629189</v>
      </c>
      <c r="G104" s="4" t="n">
        <v>29100048410</v>
      </c>
      <c r="H104" s="4" t="n">
        <v>64702641159</v>
      </c>
      <c r="I104" s="4" t="n">
        <v>94707660034</v>
      </c>
    </row>
    <row r="105">
      <c r="A105" s="3" t="inlineStr">
        <is>
          <t>Chi phí sản xuất, kinh doanh dở dang dài hạn</t>
        </is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</row>
    <row r="106">
      <c r="A106" s="3" t="inlineStr">
        <is>
          <t>Đầu tư nắm giữ đến ngày đáo hạn</t>
        </is>
      </c>
      <c r="B106" s="4" t="inlineStr"/>
      <c r="C106" s="4" t="inlineStr"/>
      <c r="D106" s="4" t="inlineStr"/>
      <c r="E106" s="4" t="inlineStr"/>
      <c r="F106" s="4" t="n">
        <v>0</v>
      </c>
      <c r="G106" s="4" t="n">
        <v>0</v>
      </c>
      <c r="H106" s="4" t="n">
        <v>0</v>
      </c>
      <c r="I106" s="4" t="n">
        <v>0</v>
      </c>
    </row>
    <row r="107">
      <c r="A107" s="3" t="inlineStr">
        <is>
          <t>Thiết bị, vật tư, phụ tùng thay thế dài hạn</t>
        </is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</row>
    <row r="108">
      <c r="A108" s="3" t="inlineStr">
        <is>
          <t>Doanh thu chưa thực hiện ngắn hạn</t>
        </is>
      </c>
      <c r="B108" s="4" t="n">
        <v>0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</row>
    <row r="109">
      <c r="A109" s="3" t="inlineStr">
        <is>
          <t>Quỹ bình ổn giá</t>
        </is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</row>
    <row r="110">
      <c r="A110" s="3" t="inlineStr">
        <is>
          <t>Giao dịch mua bán lại trái phiếu chính phủ</t>
        </is>
      </c>
      <c r="B110" s="4" t="n">
        <v>0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</row>
    <row r="111">
      <c r="A111" s="3" t="inlineStr">
        <is>
          <t>Người mua trả tiền trước dài hạn</t>
        </is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</row>
    <row r="112">
      <c r="A112" s="3" t="inlineStr">
        <is>
          <t>Chi phí phải trả dài hạn</t>
        </is>
      </c>
      <c r="B112" s="4" t="n">
        <v>0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</row>
    <row r="113">
      <c r="A113" s="3" t="inlineStr">
        <is>
          <t>Phải trả nội bộ về vốn kinh doanh</t>
        </is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</row>
    <row r="114">
      <c r="A114" s="3" t="inlineStr">
        <is>
          <t>Trái phiếu chuyển đổi</t>
        </is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</row>
    <row r="115">
      <c r="A115" s="3" t="inlineStr">
        <is>
          <t>Cổ phiếu ưu đãi</t>
        </is>
      </c>
      <c r="B115" s="4" t="inlineStr"/>
      <c r="C115" s="4" t="inlineStr"/>
      <c r="D115" s="4" t="inlineStr"/>
      <c r="E115" s="4" t="inlineStr"/>
      <c r="F115" s="4" t="n">
        <v>0</v>
      </c>
      <c r="G115" s="4" t="n">
        <v>0</v>
      </c>
      <c r="H115" s="4" t="n">
        <v>0</v>
      </c>
      <c r="I115" s="4" t="n">
        <v>0</v>
      </c>
    </row>
    <row r="116">
      <c r="A116" s="3" t="inlineStr">
        <is>
          <t>Cổ phiếu phổ thông</t>
        </is>
      </c>
      <c r="B116" s="4" t="n">
        <v>1670029820000</v>
      </c>
      <c r="C116" s="4" t="n">
        <v>2252935850000</v>
      </c>
      <c r="D116" s="4" t="n">
        <v>2276123620000</v>
      </c>
      <c r="E116" s="4" t="n">
        <v>2276123620000</v>
      </c>
      <c r="F116" s="4" t="n">
        <v>2461716200000</v>
      </c>
      <c r="G116" s="4" t="n">
        <v>3281691880000</v>
      </c>
      <c r="H116" s="4" t="n">
        <v>3380747760000</v>
      </c>
      <c r="I116" s="4" t="n">
        <v>3413186660000</v>
      </c>
    </row>
    <row r="117">
      <c r="A117" s="3" t="inlineStr">
        <is>
          <t>Quyền chọn chuyển đổi trái phiếu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</row>
    <row r="118">
      <c r="A118" s="3" t="inlineStr">
        <is>
          <t>LNST chưa phân phối lũy kế đến cuối kỳ trước</t>
        </is>
      </c>
      <c r="B118" s="4" t="n">
        <v>98780546381</v>
      </c>
      <c r="C118" s="4" t="n">
        <v>29482225528</v>
      </c>
      <c r="D118" s="4" t="n">
        <v>670845205971</v>
      </c>
      <c r="E118" s="4" t="n">
        <v>920611645232</v>
      </c>
      <c r="F118" s="4" t="n">
        <v>859175348677</v>
      </c>
      <c r="G118" s="4" t="n">
        <v>769000107465</v>
      </c>
      <c r="H118" s="4" t="n">
        <v>1188435208200</v>
      </c>
      <c r="I118" s="4" t="n">
        <v>1582471057146</v>
      </c>
    </row>
    <row r="119">
      <c r="A119" s="3" t="inlineStr">
        <is>
          <t>LNST chưa phân phối kỳ này</t>
        </is>
      </c>
      <c r="B119" s="4" t="n">
        <v>785784732147</v>
      </c>
      <c r="C119" s="4" t="n">
        <v>1015791156443</v>
      </c>
      <c r="D119" s="4" t="n">
        <v>934235689661</v>
      </c>
      <c r="E119" s="4" t="n">
        <v>1029042165645</v>
      </c>
      <c r="F119" s="4" t="n">
        <v>1663090606797</v>
      </c>
      <c r="G119" s="4" t="n">
        <v>1971099177135</v>
      </c>
      <c r="H119" s="4" t="n">
        <v>2112916282946</v>
      </c>
      <c r="I119" s="4" t="n">
        <v>2828497462890</v>
      </c>
    </row>
    <row r="120">
      <c r="A120" s="3" t="inlineStr">
        <is>
          <t>Xây dựng cơ bản đang dở dang</t>
        </is>
      </c>
      <c r="B120" s="4" t="n">
        <v>70822681154</v>
      </c>
      <c r="C120" s="4" t="n">
        <v>28457398434</v>
      </c>
      <c r="D120" s="4" t="n">
        <v>33003867003</v>
      </c>
      <c r="E120" s="4" t="n">
        <v>30795369850</v>
      </c>
      <c r="F120" s="4" t="n">
        <v>30826629189</v>
      </c>
      <c r="G120" s="4" t="n">
        <v>29100048410</v>
      </c>
      <c r="H120" s="4" t="n">
        <v>64702641159</v>
      </c>
      <c r="I120" s="4" t="n">
        <v>94707660034</v>
      </c>
    </row>
    <row r="121">
      <c r="A121" s="3" t="inlineStr">
        <is>
          <t>Lợi thế thương mại</t>
        </is>
      </c>
      <c r="B121" s="4" t="n">
        <v>0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</row>
    <row r="122">
      <c r="A122" s="3" t="inlineStr">
        <is>
          <t>Lợi ích cổ đông không kiểm soát</t>
        </is>
      </c>
      <c r="B122" s="4" t="n">
        <v>0</v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</row>
    <row r="123">
      <c r="A123" s="3" t="inlineStr">
        <is>
          <t>Nguồn kinh phí đã hình thành TSCĐ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Doanh thu bán hàng và cung cấp dịch vụ</t>
        </is>
      </c>
      <c r="B2" s="4" t="n">
        <v>14678799605798</v>
      </c>
      <c r="C2" s="4" t="n">
        <v>17144251446632</v>
      </c>
      <c r="D2" s="4" t="n">
        <v>17681913026177</v>
      </c>
      <c r="E2" s="4" t="n">
        <v>19735646137250</v>
      </c>
      <c r="F2" s="4" t="n">
        <v>34211128942240</v>
      </c>
      <c r="G2" s="4" t="n">
        <v>33481608954953</v>
      </c>
      <c r="H2" s="4" t="n">
        <v>38232401184050</v>
      </c>
      <c r="I2" s="4" t="n">
        <v>35410589612616</v>
      </c>
    </row>
    <row r="3">
      <c r="A3" s="3" t="inlineStr">
        <is>
          <t>Các khoản giảm trừ doanh thu</t>
        </is>
      </c>
      <c r="B3" s="4" t="n">
        <v>-107663860948</v>
      </c>
      <c r="C3" s="4" t="n">
        <v>-143570366109</v>
      </c>
      <c r="D3" s="4" t="n">
        <v>-171124375178</v>
      </c>
      <c r="E3" s="4" t="n">
        <v>-188587772416</v>
      </c>
      <c r="F3" s="4" t="n">
        <v>-334674383087</v>
      </c>
      <c r="G3" s="4" t="n">
        <v>-344679758524</v>
      </c>
      <c r="H3" s="4" t="n">
        <v>-409564012665</v>
      </c>
      <c r="I3" s="4" t="n">
        <v>-434546683224</v>
      </c>
    </row>
    <row r="4">
      <c r="A4" s="3" t="inlineStr">
        <is>
          <t>Doanh thu thuần</t>
        </is>
      </c>
      <c r="B4" s="4" t="n">
        <v>14571135744850</v>
      </c>
      <c r="C4" s="4" t="n">
        <v>17000681080523</v>
      </c>
      <c r="D4" s="4" t="n">
        <v>17510788650999</v>
      </c>
      <c r="E4" s="4" t="n">
        <v>19547058364834</v>
      </c>
      <c r="F4" s="4" t="n">
        <v>33876454559153</v>
      </c>
      <c r="G4" s="4" t="n">
        <v>33136929196429</v>
      </c>
      <c r="H4" s="4" t="n">
        <v>37822837171385</v>
      </c>
      <c r="I4" s="4" t="n">
        <v>34976042929392</v>
      </c>
    </row>
    <row r="5">
      <c r="A5" s="3" t="inlineStr">
        <is>
          <t>Giá vốn hàng bán</t>
        </is>
      </c>
      <c r="B5" s="4" t="n">
        <v>-11792052183391</v>
      </c>
      <c r="C5" s="4" t="n">
        <v>-13539967588262</v>
      </c>
      <c r="D5" s="4" t="n">
        <v>-14076055770112</v>
      </c>
      <c r="E5" s="4" t="n">
        <v>-15948760134458</v>
      </c>
      <c r="F5" s="4" t="n">
        <v>-27949348024381</v>
      </c>
      <c r="G5" s="4" t="n">
        <v>-27078338249235</v>
      </c>
      <c r="H5" s="4" t="n">
        <v>-31149334531193</v>
      </c>
      <c r="I5" s="4" t="n">
        <v>-27292194621378</v>
      </c>
    </row>
    <row r="6">
      <c r="A6" s="3" t="inlineStr">
        <is>
          <t>Lợi nhuận gộp</t>
        </is>
      </c>
      <c r="B6" s="4" t="n">
        <v>2779083561459</v>
      </c>
      <c r="C6" s="4" t="n">
        <v>3460713492261</v>
      </c>
      <c r="D6" s="4" t="n">
        <v>3434732880887</v>
      </c>
      <c r="E6" s="4" t="n">
        <v>3598298230376</v>
      </c>
      <c r="F6" s="4" t="n">
        <v>5927106534772</v>
      </c>
      <c r="G6" s="4" t="n">
        <v>6058590947194</v>
      </c>
      <c r="H6" s="4" t="n">
        <v>6673502640192</v>
      </c>
      <c r="I6" s="4" t="n">
        <v>7683848308014</v>
      </c>
    </row>
    <row r="7">
      <c r="A7" s="3" t="inlineStr">
        <is>
          <t>Doanh thu hoạt động tài chính</t>
        </is>
      </c>
      <c r="B7" s="4" t="n">
        <v>6846027091</v>
      </c>
      <c r="C7" s="4" t="n">
        <v>16820020734</v>
      </c>
      <c r="D7" s="4" t="n">
        <v>2368958316</v>
      </c>
      <c r="E7" s="4" t="n">
        <v>16326114795</v>
      </c>
      <c r="F7" s="4" t="n">
        <v>54036974170</v>
      </c>
      <c r="G7" s="4" t="n">
        <v>97825547538</v>
      </c>
      <c r="H7" s="4" t="n">
        <v>75567438524</v>
      </c>
      <c r="I7" s="4" t="n">
        <v>136303226388</v>
      </c>
    </row>
    <row r="8">
      <c r="A8" s="3" t="inlineStr">
        <is>
          <t>Chi phí tài chính</t>
        </is>
      </c>
      <c r="B8" s="4" t="n">
        <v>-66345864211</v>
      </c>
      <c r="C8" s="4" t="n">
        <v>-133678118497</v>
      </c>
      <c r="D8" s="4" t="n">
        <v>-161541087492</v>
      </c>
      <c r="E8" s="4" t="n">
        <v>-118252734395</v>
      </c>
      <c r="F8" s="4" t="n">
        <v>-141471203463</v>
      </c>
      <c r="G8" s="4" t="n">
        <v>-142580680640</v>
      </c>
      <c r="H8" s="4" t="n">
        <v>-93616780951</v>
      </c>
      <c r="I8" s="4" t="n">
        <v>-153168770819</v>
      </c>
    </row>
    <row r="9">
      <c r="A9" s="3" t="inlineStr">
        <is>
          <t>Chi phí lãi vay</t>
        </is>
      </c>
      <c r="B9" s="4" t="n">
        <v>-61109039390</v>
      </c>
      <c r="C9" s="4" t="n">
        <v>-115367610418</v>
      </c>
      <c r="D9" s="4" t="n">
        <v>-154416694276</v>
      </c>
      <c r="E9" s="4" t="n">
        <v>-104380274160</v>
      </c>
      <c r="F9" s="4" t="n">
        <v>-94143431408</v>
      </c>
      <c r="G9" s="4" t="n">
        <v>-118568804103</v>
      </c>
      <c r="H9" s="4" t="n">
        <v>-46775305829</v>
      </c>
      <c r="I9" s="4" t="n">
        <v>-119082599327</v>
      </c>
    </row>
    <row r="10">
      <c r="A10" s="3" t="inlineStr">
        <is>
          <t>Chi phí bán hàng</t>
        </is>
      </c>
      <c r="B10" s="4" t="n">
        <v>-1170069069426</v>
      </c>
      <c r="C10" s="4" t="n">
        <v>-1361807553507</v>
      </c>
      <c r="D10" s="4" t="n">
        <v>-1420855653447</v>
      </c>
      <c r="E10" s="4" t="n">
        <v>-1687654952494</v>
      </c>
      <c r="F10" s="4" t="n">
        <v>-2828208644376</v>
      </c>
      <c r="G10" s="4" t="n">
        <v>-2835769469802</v>
      </c>
      <c r="H10" s="4" t="n">
        <v>-3207574691174</v>
      </c>
      <c r="I10" s="4" t="n">
        <v>-3322701974507</v>
      </c>
    </row>
    <row r="11">
      <c r="A11" s="3" t="inlineStr">
        <is>
          <t>Chi phí quản lý doanh nghiệp</t>
        </is>
      </c>
      <c r="B11" s="4" t="n">
        <v>-345868153940</v>
      </c>
      <c r="C11" s="4" t="n">
        <v>-475831697930</v>
      </c>
      <c r="D11" s="4" t="n">
        <v>-505572794605</v>
      </c>
      <c r="E11" s="4" t="n">
        <v>-501819303928</v>
      </c>
      <c r="F11" s="4" t="n">
        <v>-673996996684</v>
      </c>
      <c r="G11" s="4" t="n">
        <v>-693934934718</v>
      </c>
      <c r="H11" s="4" t="n">
        <v>-795749355922</v>
      </c>
      <c r="I11" s="4" t="n">
        <v>-824395851865</v>
      </c>
    </row>
    <row r="12">
      <c r="A12" s="3" t="inlineStr">
        <is>
          <t>Lãi/(lỗ) từ hoạt động kinh doanh</t>
        </is>
      </c>
      <c r="B12" s="4" t="n">
        <v>1203646500973</v>
      </c>
      <c r="C12" s="4" t="n">
        <v>1506216143061</v>
      </c>
      <c r="D12" s="4" t="n">
        <v>1349132303659</v>
      </c>
      <c r="E12" s="4" t="n">
        <v>1306897354354</v>
      </c>
      <c r="F12" s="4" t="n">
        <v>2337466664419</v>
      </c>
      <c r="G12" s="4" t="n">
        <v>2484131409572</v>
      </c>
      <c r="H12" s="4" t="n">
        <v>2652129250669</v>
      </c>
      <c r="I12" s="4" t="n">
        <v>3519884937211</v>
      </c>
    </row>
    <row r="13">
      <c r="A13" s="3" t="inlineStr">
        <is>
          <t>Thu nhập khác</t>
        </is>
      </c>
      <c r="B13" s="4" t="n">
        <v>4637809502</v>
      </c>
      <c r="C13" s="4" t="n">
        <v>4760923089</v>
      </c>
      <c r="D13" s="4" t="n">
        <v>5485848150</v>
      </c>
      <c r="E13" s="4" t="n">
        <v>8861354013</v>
      </c>
      <c r="F13" s="4" t="n">
        <v>8582642521</v>
      </c>
      <c r="G13" s="4" t="n">
        <v>11846230257</v>
      </c>
      <c r="H13" s="4" t="n">
        <v>10013781125</v>
      </c>
      <c r="I13" s="4" t="n">
        <v>41188910080</v>
      </c>
    </row>
    <row r="14">
      <c r="A14" s="3" t="inlineStr">
        <is>
          <t>Chi phí khác</t>
        </is>
      </c>
      <c r="B14" s="4" t="n">
        <v>-2734037354</v>
      </c>
      <c r="C14" s="4" t="n">
        <v>-4264680599</v>
      </c>
      <c r="D14" s="4" t="n">
        <v>-8637683094</v>
      </c>
      <c r="E14" s="4" t="n">
        <v>-36528186336</v>
      </c>
      <c r="F14" s="4" t="n">
        <v>-33721752227</v>
      </c>
      <c r="G14" s="4" t="n">
        <v>-7217637455</v>
      </c>
      <c r="H14" s="4" t="n">
        <v>-11130582486</v>
      </c>
      <c r="I14" s="4" t="n">
        <v>-13234356500</v>
      </c>
    </row>
    <row r="15">
      <c r="A15" s="3" t="inlineStr">
        <is>
          <t>Thu nhập khác, ròng</t>
        </is>
      </c>
      <c r="B15" s="4" t="n">
        <v>1903772148</v>
      </c>
      <c r="C15" s="4" t="n">
        <v>496242490</v>
      </c>
      <c r="D15" s="4" t="n">
        <v>-3151834944</v>
      </c>
      <c r="E15" s="4" t="n">
        <v>-27666832323</v>
      </c>
      <c r="F15" s="4" t="n">
        <v>-25139109706</v>
      </c>
      <c r="G15" s="4" t="n">
        <v>4628592802</v>
      </c>
      <c r="H15" s="4" t="n">
        <v>-1116801361</v>
      </c>
      <c r="I15" s="4" t="n">
        <v>27954553580</v>
      </c>
    </row>
    <row r="16">
      <c r="A16" s="3" t="inlineStr">
        <is>
          <t>Lãi/(lỗ) từ công ty liên doanh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</row>
    <row r="17">
      <c r="A17" s="3" t="inlineStr">
        <is>
          <t>Lãi/(lỗ) trước thuế</t>
        </is>
      </c>
      <c r="B17" s="4" t="n">
        <v>1205550273121</v>
      </c>
      <c r="C17" s="4" t="n">
        <v>1506712385551</v>
      </c>
      <c r="D17" s="4" t="n">
        <v>1345980468715</v>
      </c>
      <c r="E17" s="4" t="n">
        <v>1279230522031</v>
      </c>
      <c r="F17" s="4" t="n">
        <v>2312327554713</v>
      </c>
      <c r="G17" s="4" t="n">
        <v>2488760002374</v>
      </c>
      <c r="H17" s="4" t="n">
        <v>2651012449308</v>
      </c>
      <c r="I17" s="4" t="n">
        <v>3547839490791</v>
      </c>
    </row>
    <row r="18">
      <c r="A18" s="3" t="inlineStr">
        <is>
          <t>Thuế thu nhập doanh nghiệp - hiện thời</t>
        </is>
      </c>
      <c r="B18" s="4" t="n">
        <v>-249485408708</v>
      </c>
      <c r="C18" s="4" t="n">
        <v>-315667183537</v>
      </c>
      <c r="D18" s="4" t="n">
        <v>-279422477414</v>
      </c>
      <c r="E18" s="4" t="n">
        <v>-259673455974</v>
      </c>
      <c r="F18" s="4" t="n">
        <v>-521061271124</v>
      </c>
      <c r="G18" s="4" t="n">
        <v>-517592806160</v>
      </c>
      <c r="H18" s="4" t="n">
        <v>-615476890636</v>
      </c>
      <c r="I18" s="4" t="n">
        <v>-849656975908</v>
      </c>
    </row>
    <row r="19">
      <c r="A19" s="3" t="inlineStr">
        <is>
          <t>Thuế thu nhập doanh nghiệp - hoãn lại</t>
        </is>
      </c>
      <c r="B19" s="4" t="n">
        <v>3858482734</v>
      </c>
      <c r="C19" s="4" t="n">
        <v>2879755229</v>
      </c>
      <c r="D19" s="4" t="n">
        <v>2752113960</v>
      </c>
      <c r="E19" s="4" t="n">
        <v>9485099588</v>
      </c>
      <c r="F19" s="4" t="n">
        <v>19425559808</v>
      </c>
      <c r="G19" s="4" t="n">
        <v>-68019079</v>
      </c>
      <c r="H19" s="4" t="n">
        <v>77380724274</v>
      </c>
      <c r="I19" s="4" t="n">
        <v>130314948007</v>
      </c>
    </row>
    <row r="20">
      <c r="A20" s="3" t="inlineStr">
        <is>
          <t>Chi phí thuế thu nhập doanh nghiệp</t>
        </is>
      </c>
      <c r="B20" s="4" t="n">
        <v>-245626925974</v>
      </c>
      <c r="C20" s="4" t="n">
        <v>-312787428308</v>
      </c>
      <c r="D20" s="4" t="n">
        <v>-276670363454</v>
      </c>
      <c r="E20" s="4" t="n">
        <v>-250188356386</v>
      </c>
      <c r="F20" s="4" t="n">
        <v>-501635711316</v>
      </c>
      <c r="G20" s="4" t="n">
        <v>-517660825239</v>
      </c>
      <c r="H20" s="4" t="n">
        <v>-538096166362</v>
      </c>
      <c r="I20" s="4" t="n">
        <v>-719342027901</v>
      </c>
    </row>
    <row r="21">
      <c r="A21" s="3" t="inlineStr">
        <is>
          <t>Lãi/(lỗ) thuần sau thuế</t>
        </is>
      </c>
      <c r="B21" s="4" t="n">
        <v>959923347147</v>
      </c>
      <c r="C21" s="4" t="n">
        <v>1193924957243</v>
      </c>
      <c r="D21" s="4" t="n">
        <v>1069310105261</v>
      </c>
      <c r="E21" s="4" t="n">
        <v>1029042165645</v>
      </c>
      <c r="F21" s="4" t="n">
        <v>1810691843397</v>
      </c>
      <c r="G21" s="4" t="n">
        <v>1971099177135</v>
      </c>
      <c r="H21" s="4" t="n">
        <v>2112916282946</v>
      </c>
      <c r="I21" s="4" t="n">
        <v>2828497462890</v>
      </c>
    </row>
    <row r="22">
      <c r="A22" s="3" t="inlineStr">
        <is>
          <t>Lợi ích của cổ đông thiểu số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</row>
    <row r="23">
      <c r="A23" s="3" t="inlineStr">
        <is>
          <t>Lợi nhuận của Cổ đông của Công ty mẹ</t>
        </is>
      </c>
      <c r="B23" s="4" t="n">
        <v>959923347147</v>
      </c>
      <c r="C23" s="4" t="n">
        <v>1193924957243</v>
      </c>
      <c r="D23" s="4" t="n">
        <v>1069310105261</v>
      </c>
      <c r="E23" s="4" t="n">
        <v>1029042165645</v>
      </c>
      <c r="F23" s="4" t="n">
        <v>1810691843397</v>
      </c>
      <c r="G23" s="4" t="n">
        <v>1971099177135</v>
      </c>
      <c r="H23" s="4" t="n">
        <v>2112916282946</v>
      </c>
      <c r="I23" s="4" t="n">
        <v>2828497462890</v>
      </c>
    </row>
    <row r="24">
      <c r="A24" s="3" t="inlineStr">
        <is>
          <t>Lãi cơ bản trên cổ phiếu (VND)</t>
        </is>
      </c>
      <c r="B24" s="4" t="n">
        <v>6481</v>
      </c>
      <c r="C24" s="4" t="n">
        <v>4896</v>
      </c>
      <c r="D24" s="4" t="n">
        <v>4308</v>
      </c>
      <c r="E24" s="4" t="n">
        <v>4197</v>
      </c>
      <c r="F24" s="4" t="n">
        <v>5350</v>
      </c>
      <c r="G24" s="4" t="n">
        <v>5436</v>
      </c>
      <c r="H24" s="4" t="n">
        <v>5713</v>
      </c>
      <c r="I24" s="4" t="n">
        <v>7652</v>
      </c>
    </row>
    <row r="25">
      <c r="A25" s="3" t="inlineStr">
        <is>
          <t>Lãi trên cổ phiếu pha loãng (VND)</t>
        </is>
      </c>
      <c r="B25" s="4" t="n">
        <v>0</v>
      </c>
      <c r="C25" s="4" t="n">
        <v>4896</v>
      </c>
      <c r="D25" s="4" t="n">
        <v>4308</v>
      </c>
      <c r="E25" s="4" t="n">
        <v>4197</v>
      </c>
      <c r="F25" s="4" t="n">
        <v>0</v>
      </c>
      <c r="G25" s="4" t="n">
        <v>5436</v>
      </c>
      <c r="H25" s="4" t="n">
        <v>5713</v>
      </c>
      <c r="I25" s="4" t="n">
        <v>7652</v>
      </c>
    </row>
    <row r="26">
      <c r="A26" s="3" t="inlineStr">
        <is>
          <t>Lãi/(lỗ) từ công ty liên doanh (từ năm 2015)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Lợi nhuận/(lỗ) trước thuế</t>
        </is>
      </c>
      <c r="B2" s="4" t="n">
        <v>1205550273121</v>
      </c>
      <c r="C2" s="4" t="n">
        <v>1506712385551</v>
      </c>
      <c r="D2" s="4" t="n">
        <v>1345980468715</v>
      </c>
      <c r="E2" s="4" t="n">
        <v>1279230522031</v>
      </c>
      <c r="F2" s="4" t="n">
        <v>2312327554713</v>
      </c>
      <c r="G2" s="4" t="n">
        <v>2488760002374</v>
      </c>
      <c r="H2" s="4" t="n">
        <v>2651012449308</v>
      </c>
      <c r="I2" s="4" t="n">
        <v>3547839490791</v>
      </c>
    </row>
    <row r="3">
      <c r="A3" s="3" t="inlineStr">
        <is>
          <t>Khấu hao TSCĐ và BĐSĐT</t>
        </is>
      </c>
      <c r="B3" s="4" t="n">
        <v>42101648087</v>
      </c>
      <c r="C3" s="4" t="n">
        <v>61066130585</v>
      </c>
      <c r="D3" s="4" t="n">
        <v>72154867041</v>
      </c>
      <c r="E3" s="4" t="n">
        <v>75118429219</v>
      </c>
      <c r="F3" s="4" t="n">
        <v>79516376971</v>
      </c>
      <c r="G3" s="4" t="n">
        <v>81257091304</v>
      </c>
      <c r="H3" s="4" t="n">
        <v>80821846271</v>
      </c>
      <c r="I3" s="4" t="n">
        <v>85291458403</v>
      </c>
    </row>
    <row r="4">
      <c r="A4" s="3" t="inlineStr">
        <is>
          <t>Chi phí dự phòng</t>
        </is>
      </c>
      <c r="B4" s="4" t="n">
        <v>0</v>
      </c>
      <c r="C4" s="4" t="n">
        <v>-3414537000</v>
      </c>
      <c r="D4" s="4" t="n">
        <v>6391807846</v>
      </c>
      <c r="E4" s="4" t="n">
        <v>64942006080</v>
      </c>
      <c r="F4" s="4" t="n">
        <v>2868205863</v>
      </c>
      <c r="G4" s="4" t="n">
        <v>2374779451</v>
      </c>
      <c r="H4" s="4" t="n">
        <v>77722354056</v>
      </c>
      <c r="I4" s="4" t="n">
        <v>-7695240894</v>
      </c>
    </row>
    <row r="5">
      <c r="A5" s="3" t="inlineStr">
        <is>
          <t>Lãi/lỗ chênh lệch tỷ giá hối đoái do đánh giá lại các khoản mục tiền tệ có gốc ngoại tệ</t>
        </is>
      </c>
      <c r="B5" s="4" t="n">
        <v>-169041343</v>
      </c>
      <c r="C5" s="4" t="n">
        <v>-1242529054</v>
      </c>
      <c r="D5" s="4" t="n">
        <v>177425063</v>
      </c>
      <c r="E5" s="4" t="n">
        <v>2504365377</v>
      </c>
      <c r="F5" s="4" t="n">
        <v>-8239903282</v>
      </c>
      <c r="G5" s="4" t="n">
        <v>-1611805757</v>
      </c>
      <c r="H5" s="4" t="n">
        <v>140360327</v>
      </c>
      <c r="I5" s="4" t="n">
        <v>-2434348570</v>
      </c>
    </row>
    <row r="6">
      <c r="A6" s="3" t="inlineStr">
        <is>
          <t>Lãi/(lỗ) từ thanh lý tài sản cố định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</row>
    <row r="7">
      <c r="A7" s="3" t="inlineStr">
        <is>
          <t>(Lãi)/lỗ từ hoạt động đầu tư</t>
        </is>
      </c>
      <c r="B7" s="4" t="n">
        <v>-7406944577</v>
      </c>
      <c r="C7" s="4" t="n">
        <v>-1456968019</v>
      </c>
      <c r="D7" s="4" t="n">
        <v>1237319162</v>
      </c>
      <c r="E7" s="4" t="n">
        <v>-3225478644</v>
      </c>
      <c r="F7" s="4" t="n">
        <v>-21327686776</v>
      </c>
      <c r="G7" s="4" t="n">
        <v>-79561268312</v>
      </c>
      <c r="H7" s="4" t="n">
        <v>-47046699012</v>
      </c>
      <c r="I7" s="4" t="n">
        <v>-110244947701</v>
      </c>
    </row>
    <row r="8">
      <c r="A8" s="3" t="inlineStr">
        <is>
          <t>Chi phí lãi vay</t>
        </is>
      </c>
      <c r="B8" s="4" t="n">
        <v>61109042390</v>
      </c>
      <c r="C8" s="4" t="n">
        <v>115367610418</v>
      </c>
      <c r="D8" s="4" t="n">
        <v>154416694276</v>
      </c>
      <c r="E8" s="4" t="n">
        <v>104380274160</v>
      </c>
      <c r="F8" s="4" t="n">
        <v>94421152974</v>
      </c>
      <c r="G8" s="4" t="n">
        <v>118568804103</v>
      </c>
      <c r="H8" s="4" t="n">
        <v>46775305829</v>
      </c>
      <c r="I8" s="4" t="n">
        <v>119082599327</v>
      </c>
    </row>
    <row r="9">
      <c r="A9" s="3" t="inlineStr">
        <is>
          <t>Thu lãi và cổ tức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</row>
    <row r="10">
      <c r="A10" s="3" t="inlineStr">
        <is>
          <t>Lợi nhuận/(lỗ) từ hoạt động kinh doanh trước những thay đổi vốn lưu động</t>
        </is>
      </c>
      <c r="B10" s="4" t="n">
        <v>1301184977678</v>
      </c>
      <c r="C10" s="4" t="n">
        <v>1677032092481</v>
      </c>
      <c r="D10" s="4" t="n">
        <v>1580358582103</v>
      </c>
      <c r="E10" s="4" t="n">
        <v>1522950118223</v>
      </c>
      <c r="F10" s="4" t="n">
        <v>2459565700463</v>
      </c>
      <c r="G10" s="4" t="n">
        <v>2609787603163</v>
      </c>
      <c r="H10" s="4" t="n">
        <v>2809425616779</v>
      </c>
      <c r="I10" s="4" t="n">
        <v>3631839011356</v>
      </c>
    </row>
    <row r="11">
      <c r="A11" s="3" t="inlineStr">
        <is>
          <t>(Tăng)/giảm các khoản phải thu</t>
        </is>
      </c>
      <c r="B11" s="4" t="n">
        <v>-86037746014</v>
      </c>
      <c r="C11" s="4" t="n">
        <v>12888586942</v>
      </c>
      <c r="D11" s="4" t="n">
        <v>17322807863</v>
      </c>
      <c r="E11" s="4" t="n">
        <v>-23111709097</v>
      </c>
      <c r="F11" s="4" t="n">
        <v>-52151674870</v>
      </c>
      <c r="G11" s="4" t="n">
        <v>39100711762</v>
      </c>
      <c r="H11" s="4" t="n">
        <v>-261742771385</v>
      </c>
      <c r="I11" s="4" t="n">
        <v>235691148778</v>
      </c>
    </row>
    <row r="12">
      <c r="A12" s="3" t="inlineStr">
        <is>
          <t>(Tăng)/giảm hàng tồn kho</t>
        </is>
      </c>
      <c r="B12" s="4" t="n">
        <v>-1566186716366</v>
      </c>
      <c r="C12" s="4" t="n">
        <v>-2062274428226</v>
      </c>
      <c r="D12" s="4" t="n">
        <v>484514384160</v>
      </c>
      <c r="E12" s="4" t="n">
        <v>-2208835725303</v>
      </c>
      <c r="F12" s="4" t="n">
        <v>-1753323314557</v>
      </c>
      <c r="G12" s="4" t="n">
        <v>-436683979881</v>
      </c>
      <c r="H12" s="4" t="n">
        <v>-2129837921117</v>
      </c>
      <c r="I12" s="4" t="n">
        <v>-2806722790389</v>
      </c>
    </row>
    <row r="13">
      <c r="A13" s="3" t="inlineStr">
        <is>
          <t>Tăng/(giảm) các khoản phải trả</t>
        </is>
      </c>
      <c r="B13" s="4" t="n">
        <v>412203203546</v>
      </c>
      <c r="C13" s="4" t="n">
        <v>199226464534</v>
      </c>
      <c r="D13" s="4" t="n">
        <v>-99651505808</v>
      </c>
      <c r="E13" s="4" t="n">
        <v>354804359041</v>
      </c>
      <c r="F13" s="4" t="n">
        <v>76506711125</v>
      </c>
      <c r="G13" s="4" t="n">
        <v>92449328770</v>
      </c>
      <c r="H13" s="4" t="n">
        <v>273559805376</v>
      </c>
      <c r="I13" s="4" t="n">
        <v>-369026498161</v>
      </c>
    </row>
    <row r="14">
      <c r="A14" s="3" t="inlineStr">
        <is>
          <t>(Tăng)/giảm chi phí trả trước</t>
        </is>
      </c>
      <c r="B14" s="4" t="n">
        <v>-44784289702</v>
      </c>
      <c r="C14" s="4" t="n">
        <v>-62082212310</v>
      </c>
      <c r="D14" s="4" t="n">
        <v>-42462273125</v>
      </c>
      <c r="E14" s="4" t="n">
        <v>14254564032</v>
      </c>
      <c r="F14" s="4" t="n">
        <v>-59503878567</v>
      </c>
      <c r="G14" s="4" t="n">
        <v>-103556391934</v>
      </c>
      <c r="H14" s="4" t="n">
        <v>13981231920</v>
      </c>
      <c r="I14" s="4" t="n">
        <v>169889358691</v>
      </c>
    </row>
    <row r="15">
      <c r="A15" s="3" t="inlineStr">
        <is>
          <t>Tiền lãi vay đã trả</t>
        </is>
      </c>
      <c r="B15" s="4" t="n">
        <v>-60443657529</v>
      </c>
      <c r="C15" s="4" t="n">
        <v>-114016876155</v>
      </c>
      <c r="D15" s="4" t="n">
        <v>-155543069575</v>
      </c>
      <c r="E15" s="4" t="n">
        <v>-105200568547</v>
      </c>
      <c r="F15" s="4" t="n">
        <v>-90657750651</v>
      </c>
      <c r="G15" s="4" t="n">
        <v>-122841644646</v>
      </c>
      <c r="H15" s="4" t="n">
        <v>-46067825009</v>
      </c>
      <c r="I15" s="4" t="n">
        <v>-117889071318</v>
      </c>
    </row>
    <row r="16">
      <c r="A16" s="3" t="inlineStr">
        <is>
          <t>Thuế thu nhập doanh nghiệp đã nộp</t>
        </is>
      </c>
      <c r="B16" s="4" t="n">
        <v>-231958086112</v>
      </c>
      <c r="C16" s="4" t="n">
        <v>-291572199831</v>
      </c>
      <c r="D16" s="4" t="n">
        <v>-253134374354</v>
      </c>
      <c r="E16" s="4" t="n">
        <v>-234058441077</v>
      </c>
      <c r="F16" s="4" t="n">
        <v>-464338080937</v>
      </c>
      <c r="G16" s="4" t="n">
        <v>-466349274224</v>
      </c>
      <c r="H16" s="4" t="n">
        <v>-555484436785</v>
      </c>
      <c r="I16" s="4" t="n">
        <v>-607285010641</v>
      </c>
    </row>
    <row r="17">
      <c r="A17" s="3" t="inlineStr">
        <is>
          <t>Tiền thu khác từ hoạt động kinh doanh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</row>
    <row r="18">
      <c r="A18" s="3" t="inlineStr">
        <is>
          <t>Tiền chi khác cho hoạt động kinh doanh</t>
        </is>
      </c>
      <c r="B18" s="4" t="n">
        <v>-26117591079</v>
      </c>
      <c r="C18" s="4" t="n">
        <v>-20293123341</v>
      </c>
      <c r="D18" s="4" t="n">
        <v>-34492822139</v>
      </c>
      <c r="E18" s="4" t="n">
        <v>-43169828785</v>
      </c>
      <c r="F18" s="4" t="n">
        <v>-15516505310</v>
      </c>
      <c r="G18" s="4" t="n">
        <v>-104164881917</v>
      </c>
      <c r="H18" s="4" t="n">
        <v>-20648525024</v>
      </c>
      <c r="I18" s="4" t="n">
        <v>-19687607067</v>
      </c>
    </row>
    <row r="19">
      <c r="A19" s="3" t="inlineStr">
        <is>
          <t>Lưu chuyển tiền tệ ròng từ các hoạt động sản xuất kinh doanh</t>
        </is>
      </c>
      <c r="B19" s="4" t="n">
        <v>-302139905578</v>
      </c>
      <c r="C19" s="4" t="n">
        <v>-661091695906</v>
      </c>
      <c r="D19" s="4" t="n">
        <v>1496911729125</v>
      </c>
      <c r="E19" s="4" t="n">
        <v>-722367231513</v>
      </c>
      <c r="F19" s="4" t="n">
        <v>100581206696</v>
      </c>
      <c r="G19" s="4" t="n">
        <v>1507741471093</v>
      </c>
      <c r="H19" s="4" t="n">
        <v>83185174755</v>
      </c>
      <c r="I19" s="4" t="n">
        <v>18890403841</v>
      </c>
    </row>
    <row r="20">
      <c r="A20" s="3" t="inlineStr">
        <is>
          <t>Tiền chi để mua sắm, xây dựng TSCĐ và các tài sản dài hạn khác</t>
        </is>
      </c>
      <c r="B20" s="4" t="n">
        <v>-336378415370</v>
      </c>
      <c r="C20" s="4" t="n">
        <v>-223765922597</v>
      </c>
      <c r="D20" s="4" t="n">
        <v>-85433646180</v>
      </c>
      <c r="E20" s="4" t="n">
        <v>-61304197645</v>
      </c>
      <c r="F20" s="4" t="n">
        <v>-52384601566</v>
      </c>
      <c r="G20" s="4" t="n">
        <v>-83115434103</v>
      </c>
      <c r="H20" s="4" t="n">
        <v>-90406299690</v>
      </c>
      <c r="I20" s="4" t="n">
        <v>-115542827250</v>
      </c>
    </row>
    <row r="21">
      <c r="A21" s="3" t="inlineStr">
        <is>
          <t>Tiền thu từ thanh lý, nhượng bán TSCĐ và các tài sản dài hạn khác</t>
        </is>
      </c>
      <c r="B21" s="4" t="n">
        <v>1075665048</v>
      </c>
      <c r="C21" s="4" t="n">
        <v>1774979478</v>
      </c>
      <c r="D21" s="4" t="n">
        <v>792669960</v>
      </c>
      <c r="E21" s="4" t="n">
        <v>12869426085</v>
      </c>
      <c r="F21" s="4" t="n">
        <v>1498185785</v>
      </c>
      <c r="G21" s="4" t="n">
        <v>2289295529</v>
      </c>
      <c r="H21" s="4" t="n">
        <v>3181818</v>
      </c>
      <c r="I21" s="4" t="n">
        <v>3636364</v>
      </c>
    </row>
    <row r="22">
      <c r="A22" s="3" t="inlineStr">
        <is>
          <t>Tiền chi cho vay, mua các công cụ nợ của đơn vị khác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-540000000000</v>
      </c>
      <c r="G22" s="4" t="n">
        <v>-2240100000000</v>
      </c>
      <c r="H22" s="4" t="n">
        <v>-1120070000000</v>
      </c>
      <c r="I22" s="4" t="n">
        <v>-4067400000000</v>
      </c>
    </row>
    <row r="23">
      <c r="A23" s="3" t="inlineStr">
        <is>
          <t>Tiền thu hồi cho vay, bán lại các công cụ nợ của đơn vị khác</t>
        </is>
      </c>
      <c r="B23" s="4" t="n">
        <v>160065000000</v>
      </c>
      <c r="C23" s="4" t="n">
        <v>0</v>
      </c>
      <c r="D23" s="4" t="n">
        <v>0</v>
      </c>
      <c r="E23" s="4" t="n">
        <v>0</v>
      </c>
      <c r="F23" s="4" t="n">
        <v>200000000000</v>
      </c>
      <c r="G23" s="4" t="n">
        <v>1680000000000</v>
      </c>
      <c r="H23" s="4" t="n">
        <v>960000000000</v>
      </c>
      <c r="I23" s="4" t="n">
        <v>3210000000000</v>
      </c>
    </row>
    <row r="24">
      <c r="A24" s="3" t="inlineStr">
        <is>
          <t>Tiền chi đầu tư góp vốn vào đơn vị khác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-3980000000</v>
      </c>
      <c r="H24" s="4" t="n">
        <v>0</v>
      </c>
      <c r="I24" s="4" t="n">
        <v>-1950000000</v>
      </c>
    </row>
    <row r="25">
      <c r="A25" s="3" t="inlineStr">
        <is>
          <t>Tiền thu hồi đầu tư góp vốn vào đơn vị khác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</row>
    <row r="26">
      <c r="A26" s="3" t="inlineStr">
        <is>
          <t>Tiền thu lãi cho vay, cổ tức và lợi nhuận được chia</t>
        </is>
      </c>
      <c r="B26" s="4" t="n">
        <v>6331279529</v>
      </c>
      <c r="C26" s="4" t="n">
        <v>163983543</v>
      </c>
      <c r="D26" s="4" t="n">
        <v>251771651</v>
      </c>
      <c r="E26" s="4" t="n">
        <v>267480935</v>
      </c>
      <c r="F26" s="4" t="n">
        <v>20219137155</v>
      </c>
      <c r="G26" s="4" t="n">
        <v>66432820820</v>
      </c>
      <c r="H26" s="4" t="n">
        <v>39436141188</v>
      </c>
      <c r="I26" s="4" t="n">
        <v>81101160826</v>
      </c>
    </row>
    <row r="27">
      <c r="A27" s="3" t="inlineStr">
        <is>
          <t>Lưu chuyển tiền thuần từ hoạt động đầu tư</t>
        </is>
      </c>
      <c r="B27" s="4" t="n">
        <v>-168906470793</v>
      </c>
      <c r="C27" s="4" t="n">
        <v>-221826959576</v>
      </c>
      <c r="D27" s="4" t="n">
        <v>-84389204569</v>
      </c>
      <c r="E27" s="4" t="n">
        <v>-48167290625</v>
      </c>
      <c r="F27" s="4" t="n">
        <v>-370667278626</v>
      </c>
      <c r="G27" s="4" t="n">
        <v>-578473317754</v>
      </c>
      <c r="H27" s="4" t="n">
        <v>-211036976684</v>
      </c>
      <c r="I27" s="4" t="n">
        <v>-893788030060</v>
      </c>
    </row>
    <row r="28">
      <c r="A28" s="3" t="inlineStr">
        <is>
          <t>Tiền thu từ phát hành cổ phiếu, nhận vốn góp của chủ sở hữu</t>
        </is>
      </c>
      <c r="B28" s="4" t="n">
        <v>97273160000</v>
      </c>
      <c r="C28" s="4" t="n">
        <v>68932500000</v>
      </c>
      <c r="D28" s="4" t="n">
        <v>46375540000</v>
      </c>
      <c r="E28" s="4" t="n">
        <v>0</v>
      </c>
      <c r="F28" s="4" t="n">
        <v>1447231530000</v>
      </c>
      <c r="G28" s="4" t="n">
        <v>0</v>
      </c>
      <c r="H28" s="4" t="n">
        <v>67243920000</v>
      </c>
      <c r="I28" s="4" t="n">
        <v>64823800000</v>
      </c>
    </row>
    <row r="29">
      <c r="A29" s="3" t="inlineStr">
        <is>
          <t>Tiền chi trả vốn góp cho các chủ sở hữu, mua lại cổ phiếu của doanh nghiệp đã phát hành</t>
        </is>
      </c>
      <c r="B29" s="4" t="n">
        <v>0</v>
      </c>
      <c r="C29" s="4" t="n">
        <v>-2094000000</v>
      </c>
      <c r="D29" s="4" t="n">
        <v>-1283000000</v>
      </c>
      <c r="E29" s="4" t="n">
        <v>-1524800000</v>
      </c>
      <c r="F29" s="4" t="n">
        <v>0</v>
      </c>
      <c r="G29" s="4" t="n">
        <v>0</v>
      </c>
      <c r="H29" s="4" t="n">
        <v>0</v>
      </c>
      <c r="I29" s="4" t="n">
        <v>0</v>
      </c>
    </row>
    <row r="30">
      <c r="A30" s="3" t="inlineStr">
        <is>
          <t>Tiền thu được các khoản đi vay</t>
        </is>
      </c>
      <c r="B30" s="4" t="n">
        <v>4320772043080</v>
      </c>
      <c r="C30" s="4" t="n">
        <v>5435682129077</v>
      </c>
      <c r="D30" s="4" t="n">
        <v>7432783338336</v>
      </c>
      <c r="E30" s="4" t="n">
        <v>7758858344889</v>
      </c>
      <c r="F30" s="4" t="n">
        <v>6261254967206</v>
      </c>
      <c r="G30" s="4" t="n">
        <v>8159472964689</v>
      </c>
      <c r="H30" s="4" t="n">
        <v>6788859495016</v>
      </c>
      <c r="I30" s="4" t="n">
        <v>9817871495359</v>
      </c>
    </row>
    <row r="31">
      <c r="A31" s="3" t="inlineStr">
        <is>
          <t>Tiền trả nợ gốc vay</t>
        </is>
      </c>
      <c r="B31" s="4" t="n">
        <v>-3647003259254</v>
      </c>
      <c r="C31" s="4" t="n">
        <v>-4387362004881</v>
      </c>
      <c r="D31" s="4" t="n">
        <v>-8208110896493</v>
      </c>
      <c r="E31" s="4" t="n">
        <v>-6876202707810</v>
      </c>
      <c r="F31" s="4" t="n">
        <v>-6300139792578</v>
      </c>
      <c r="G31" s="4" t="n">
        <v>-8458230585768</v>
      </c>
      <c r="H31" s="4" t="n">
        <v>-5831605732949</v>
      </c>
      <c r="I31" s="4" t="n">
        <v>-8936027876466</v>
      </c>
    </row>
    <row r="32">
      <c r="A32" s="3" t="inlineStr">
        <is>
          <t>Tiền trả nợ gốc thuê tài chính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</row>
    <row r="33">
      <c r="A33" s="3" t="inlineStr">
        <is>
          <t>Cổ tức, lợi nhuận đã trả cho chủ sở hữu</t>
        </is>
      </c>
      <c r="B33" s="4" t="n">
        <v>-268371812300</v>
      </c>
      <c r="C33" s="4" t="n">
        <v>-343875424770</v>
      </c>
      <c r="D33" s="4" t="n">
        <v>-355099739283</v>
      </c>
      <c r="E33" s="4" t="n">
        <v>-177376257045</v>
      </c>
      <c r="F33" s="4" t="n">
        <v>-616671158340</v>
      </c>
      <c r="G33" s="4" t="n">
        <v>-615443389700</v>
      </c>
      <c r="H33" s="4" t="n">
        <v>-671681829760</v>
      </c>
      <c r="I33" s="4" t="n">
        <v>-673692457830</v>
      </c>
    </row>
    <row r="34">
      <c r="A34" s="3" t="inlineStr">
        <is>
          <t>Tiền lãi đã nhận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</row>
    <row r="35">
      <c r="A35" s="3" t="inlineStr">
        <is>
          <t>Lưu chuyển tiền thuần từ hoạt động tài chính</t>
        </is>
      </c>
      <c r="B35" s="4" t="n">
        <v>502670131526</v>
      </c>
      <c r="C35" s="4" t="n">
        <v>771283199426</v>
      </c>
      <c r="D35" s="4" t="n">
        <v>-1085334757440</v>
      </c>
      <c r="E35" s="4" t="n">
        <v>703754580034</v>
      </c>
      <c r="F35" s="4" t="n">
        <v>791675546288</v>
      </c>
      <c r="G35" s="4" t="n">
        <v>-914201010779</v>
      </c>
      <c r="H35" s="4" t="n">
        <v>352815852307</v>
      </c>
      <c r="I35" s="4" t="n">
        <v>272974961063</v>
      </c>
    </row>
    <row r="36">
      <c r="A36" s="3" t="inlineStr">
        <is>
          <t>Lưu chuyển tiền thuần trong kỳ</t>
        </is>
      </c>
      <c r="B36" s="4" t="n">
        <v>31623755155</v>
      </c>
      <c r="C36" s="4" t="n">
        <v>-111635456056</v>
      </c>
      <c r="D36" s="4" t="n">
        <v>327187767116</v>
      </c>
      <c r="E36" s="4" t="n">
        <v>-66779942104</v>
      </c>
      <c r="F36" s="4" t="n">
        <v>521589474358</v>
      </c>
      <c r="G36" s="4" t="n">
        <v>15067142560</v>
      </c>
      <c r="H36" s="4" t="n">
        <v>224964050378</v>
      </c>
      <c r="I36" s="4" t="n">
        <v>-601922665156</v>
      </c>
    </row>
    <row r="37">
      <c r="A37" s="3" t="inlineStr">
        <is>
          <t>Tiền và tương đương tiền đầu kỳ</t>
        </is>
      </c>
      <c r="B37" s="4" t="n">
        <v>175208552187</v>
      </c>
      <c r="C37" s="4" t="n">
        <v>206721179629</v>
      </c>
      <c r="D37" s="4" t="n">
        <v>95224439008</v>
      </c>
      <c r="E37" s="4" t="n">
        <v>422234781061</v>
      </c>
      <c r="F37" s="4" t="n">
        <v>355454838957</v>
      </c>
      <c r="G37" s="4" t="n">
        <v>879548130711</v>
      </c>
      <c r="H37" s="4" t="n">
        <v>896147917336</v>
      </c>
      <c r="I37" s="4" t="n">
        <v>1122712392130</v>
      </c>
    </row>
    <row r="38">
      <c r="A38" s="3" t="inlineStr">
        <is>
          <t>Ảnh hưởng của thay đổi tỷ giá hối đoái quy đổi ngoại tệ</t>
        </is>
      </c>
      <c r="B38" s="4" t="n">
        <v>-111127713</v>
      </c>
      <c r="C38" s="4" t="n">
        <v>138715435</v>
      </c>
      <c r="D38" s="4" t="n">
        <v>-177425063</v>
      </c>
      <c r="E38" s="4" t="n">
        <v>0</v>
      </c>
      <c r="F38" s="4" t="n">
        <v>2503817396</v>
      </c>
      <c r="G38" s="4" t="n">
        <v>1532644065</v>
      </c>
      <c r="H38" s="4" t="n">
        <v>1600424416</v>
      </c>
      <c r="I38" s="4" t="n">
        <v>1235530057</v>
      </c>
    </row>
    <row r="39">
      <c r="A39" s="3" t="inlineStr">
        <is>
          <t>Tiền và tương đương tiền cuối kỳ</t>
        </is>
      </c>
      <c r="B39" s="4" t="n">
        <v>206721179629</v>
      </c>
      <c r="C39" s="4" t="n">
        <v>95224439008</v>
      </c>
      <c r="D39" s="4" t="n">
        <v>422234781061</v>
      </c>
      <c r="E39" s="4" t="n">
        <v>355454838957</v>
      </c>
      <c r="F39" s="4" t="n">
        <v>879548130711</v>
      </c>
      <c r="G39" s="4" t="n">
        <v>896147917336</v>
      </c>
      <c r="H39" s="4" t="n">
        <v>1122712392130</v>
      </c>
      <c r="I39" s="4" t="n">
        <v>522025257031</v>
      </c>
    </row>
    <row r="40">
      <c r="A40" s="3" t="inlineStr">
        <is>
          <t>Phân bổ lợi thế thương mại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</row>
    <row r="41">
      <c r="A41" s="3" t="inlineStr">
        <is>
          <t>Các khoản điều chỉnh khác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</row>
    <row r="42">
      <c r="A42" s="3" t="inlineStr">
        <is>
          <t>(Tăng)/giảm chứng khoán kinh doanh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-97918137408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3" customWidth="1" min="10" max="10"/>
  </cols>
  <sheetData>
    <row r="1" ht="22" customHeight="1">
      <c r="A1" s="5" t="inlineStr">
        <is>
          <t>CHỈ SỐ TÀI CHÍNH — PNJ</t>
        </is>
      </c>
    </row>
    <row r="2">
      <c r="A2" s="6" t="inlineStr">
        <is>
          <t>I. CHỈ SỐ TÀI CHÍNH</t>
        </is>
      </c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8" t="inlineStr">
        <is>
          <t>Chỉ tiêu</t>
        </is>
      </c>
      <c r="B3" s="9">
        <f>'balance_sheet'!B1</f>
        <v/>
      </c>
      <c r="C3" s="9">
        <f>'balance_sheet'!C1</f>
        <v/>
      </c>
      <c r="D3" s="9">
        <f>'balance_sheet'!D1</f>
        <v/>
      </c>
      <c r="E3" s="9">
        <f>'balance_sheet'!E1</f>
        <v/>
      </c>
      <c r="F3" s="9">
        <f>'balance_sheet'!F1</f>
        <v/>
      </c>
      <c r="G3" s="9">
        <f>'balance_sheet'!G1</f>
        <v/>
      </c>
      <c r="H3" s="9">
        <f>'balance_sheet'!H1</f>
        <v/>
      </c>
      <c r="I3" s="9">
        <f>'balance_sheet'!I1</f>
        <v/>
      </c>
    </row>
    <row r="4">
      <c r="A4" s="10" t="inlineStr">
        <is>
          <t>1. Khả năng sinh lời</t>
        </is>
      </c>
    </row>
    <row r="5">
      <c r="A5" s="11" t="inlineStr">
        <is>
          <t>ROE (LNST CĐ Cty mẹ / VCSH bình quân)</t>
        </is>
      </c>
      <c r="B5" s="12" t="inlineStr">
        <is>
          <t>n/a</t>
        </is>
      </c>
      <c r="C5" s="13">
        <f>IFERROR(C$47/((C$32+B$32)/2),"n/a")</f>
        <v/>
      </c>
      <c r="D5" s="13">
        <f>IFERROR(D$47/((D$32+C$32)/2),"n/a")</f>
        <v/>
      </c>
      <c r="E5" s="13">
        <f>IFERROR(E$47/((E$32+D$32)/2),"n/a")</f>
        <v/>
      </c>
      <c r="F5" s="13">
        <f>IFERROR(F$47/((F$32+E$32)/2),"n/a")</f>
        <v/>
      </c>
      <c r="G5" s="13">
        <f>IFERROR(G$47/((G$32+F$32)/2),"n/a")</f>
        <v/>
      </c>
      <c r="H5" s="13">
        <f>IFERROR(H$47/((H$32+G$32)/2),"n/a")</f>
        <v/>
      </c>
      <c r="I5" s="13">
        <f>IFERROR(I$47/((I$32+H$32)/2),"n/a")</f>
        <v/>
      </c>
    </row>
    <row r="6">
      <c r="A6" s="11" t="inlineStr">
        <is>
          <t>ROA (LNST / Tổng tài sản bình quân)</t>
        </is>
      </c>
      <c r="B6" s="12" t="inlineStr">
        <is>
          <t>n/a</t>
        </is>
      </c>
      <c r="C6" s="13">
        <f>IFERROR(C$46/((C$33+B$33)/2),"n/a")</f>
        <v/>
      </c>
      <c r="D6" s="13">
        <f>IFERROR(D$46/((D$33+C$33)/2),"n/a")</f>
        <v/>
      </c>
      <c r="E6" s="13">
        <f>IFERROR(E$46/((E$33+D$33)/2),"n/a")</f>
        <v/>
      </c>
      <c r="F6" s="13">
        <f>IFERROR(F$46/((F$33+E$33)/2),"n/a")</f>
        <v/>
      </c>
      <c r="G6" s="13">
        <f>IFERROR(G$46/((G$33+F$33)/2),"n/a")</f>
        <v/>
      </c>
      <c r="H6" s="13">
        <f>IFERROR(H$46/((H$33+G$33)/2),"n/a")</f>
        <v/>
      </c>
      <c r="I6" s="13">
        <f>IFERROR(I$46/((I$33+H$33)/2),"n/a")</f>
        <v/>
      </c>
    </row>
    <row r="7">
      <c r="A7" s="11" t="inlineStr">
        <is>
          <t>Tăng trưởng LN Cổ đông Cty mẹ</t>
        </is>
      </c>
      <c r="B7" s="12" t="inlineStr">
        <is>
          <t>n/a</t>
        </is>
      </c>
      <c r="C7" s="13">
        <f>IFERROR((C$47-B$47)/ABS(B$47),"n/a")</f>
        <v/>
      </c>
      <c r="D7" s="13">
        <f>IFERROR((D$47-C$47)/ABS(C$47),"n/a")</f>
        <v/>
      </c>
      <c r="E7" s="13">
        <f>IFERROR((E$47-D$47)/ABS(D$47),"n/a")</f>
        <v/>
      </c>
      <c r="F7" s="13">
        <f>IFERROR((F$47-E$47)/ABS(E$47),"n/a")</f>
        <v/>
      </c>
      <c r="G7" s="13">
        <f>IFERROR((G$47-F$47)/ABS(F$47),"n/a")</f>
        <v/>
      </c>
      <c r="H7" s="13">
        <f>IFERROR((H$47-G$47)/ABS(G$47),"n/a")</f>
        <v/>
      </c>
      <c r="I7" s="13">
        <f>IFERROR((I$47-H$47)/ABS(H$47),"n/a")</f>
        <v/>
      </c>
    </row>
    <row r="8">
      <c r="A8" s="11" t="inlineStr">
        <is>
          <t>Tăng trưởng Doanh thu thuần</t>
        </is>
      </c>
      <c r="B8" s="12" t="inlineStr">
        <is>
          <t>n/a</t>
        </is>
      </c>
      <c r="C8" s="13">
        <f>IFERROR((C$39-B$39)/ABS(B$39),"n/a")</f>
        <v/>
      </c>
      <c r="D8" s="13">
        <f>IFERROR((D$39-C$39)/ABS(C$39),"n/a")</f>
        <v/>
      </c>
      <c r="E8" s="13">
        <f>IFERROR((E$39-D$39)/ABS(D$39),"n/a")</f>
        <v/>
      </c>
      <c r="F8" s="13">
        <f>IFERROR((F$39-E$39)/ABS(E$39),"n/a")</f>
        <v/>
      </c>
      <c r="G8" s="13">
        <f>IFERROR((G$39-F$39)/ABS(F$39),"n/a")</f>
        <v/>
      </c>
      <c r="H8" s="13">
        <f>IFERROR((H$39-G$39)/ABS(G$39),"n/a")</f>
        <v/>
      </c>
      <c r="I8" s="13">
        <f>IFERROR((I$39-H$39)/ABS(H$39),"n/a")</f>
        <v/>
      </c>
    </row>
    <row r="9">
      <c r="A9" s="10" t="inlineStr">
        <is>
          <t>2. Biên lợi nhuận</t>
        </is>
      </c>
    </row>
    <row r="10">
      <c r="A10" s="11" t="inlineStr">
        <is>
          <t>Biên lợi nhuận gộp</t>
        </is>
      </c>
      <c r="B10" s="13">
        <f>IFERROR(B$41/B$39,"n/a")</f>
        <v/>
      </c>
      <c r="C10" s="13">
        <f>IFERROR(C$41/C$39,"n/a")</f>
        <v/>
      </c>
      <c r="D10" s="13">
        <f>IFERROR(D$41/D$39,"n/a")</f>
        <v/>
      </c>
      <c r="E10" s="13">
        <f>IFERROR(E$41/E$39,"n/a")</f>
        <v/>
      </c>
      <c r="F10" s="13">
        <f>IFERROR(F$41/F$39,"n/a")</f>
        <v/>
      </c>
      <c r="G10" s="13">
        <f>IFERROR(G$41/G$39,"n/a")</f>
        <v/>
      </c>
      <c r="H10" s="13">
        <f>IFERROR(H$41/H$39,"n/a")</f>
        <v/>
      </c>
      <c r="I10" s="13">
        <f>IFERROR(I$41/I$39,"n/a")</f>
        <v/>
      </c>
    </row>
    <row r="11">
      <c r="A11" s="11" t="inlineStr">
        <is>
          <t>Biên lợi nhuận ròng</t>
        </is>
      </c>
      <c r="B11" s="13">
        <f>IFERROR(B$46/B$39,"n/a")</f>
        <v/>
      </c>
      <c r="C11" s="13">
        <f>IFERROR(C$46/C$39,"n/a")</f>
        <v/>
      </c>
      <c r="D11" s="13">
        <f>IFERROR(D$46/D$39,"n/a")</f>
        <v/>
      </c>
      <c r="E11" s="13">
        <f>IFERROR(E$46/E$39,"n/a")</f>
        <v/>
      </c>
      <c r="F11" s="13">
        <f>IFERROR(F$46/F$39,"n/a")</f>
        <v/>
      </c>
      <c r="G11" s="13">
        <f>IFERROR(G$46/G$39,"n/a")</f>
        <v/>
      </c>
      <c r="H11" s="13">
        <f>IFERROR(H$46/H$39,"n/a")</f>
        <v/>
      </c>
      <c r="I11" s="13">
        <f>IFERROR(I$46/I$39,"n/a")</f>
        <v/>
      </c>
    </row>
    <row r="12">
      <c r="A12" s="10" t="inlineStr">
        <is>
          <t>3. Đòn bẩy tài chính</t>
        </is>
      </c>
    </row>
    <row r="13">
      <c r="A13" s="11" t="inlineStr">
        <is>
          <t>D/E (Nợ vay / Vốn chủ sở hữu)</t>
        </is>
      </c>
      <c r="B13" s="14">
        <f>IFERROR((B$37+B$38)/B$32,"n/a")</f>
        <v/>
      </c>
      <c r="C13" s="14">
        <f>IFERROR((C$37+C$38)/C$32,"n/a")</f>
        <v/>
      </c>
      <c r="D13" s="14">
        <f>IFERROR((D$37+D$38)/D$32,"n/a")</f>
        <v/>
      </c>
      <c r="E13" s="14">
        <f>IFERROR((E$37+E$38)/E$32,"n/a")</f>
        <v/>
      </c>
      <c r="F13" s="14">
        <f>IFERROR((F$37+F$38)/F$32,"n/a")</f>
        <v/>
      </c>
      <c r="G13" s="14">
        <f>IFERROR((G$37+G$38)/G$32,"n/a")</f>
        <v/>
      </c>
      <c r="H13" s="14">
        <f>IFERROR((H$37+H$38)/H$32,"n/a")</f>
        <v/>
      </c>
      <c r="I13" s="14">
        <f>IFERROR((I$37+I$38)/I$32,"n/a")</f>
        <v/>
      </c>
    </row>
    <row r="14">
      <c r="A14" s="3" t="inlineStr">
        <is>
          <t xml:space="preserve">     - Nợ vay dài hạn/Vốn chủ sở hữu</t>
        </is>
      </c>
      <c r="B14" s="14">
        <f>IFERROR(B$38/B$32,"n/a")</f>
        <v/>
      </c>
      <c r="C14" s="14">
        <f>IFERROR(C$38/C$32,"n/a")</f>
        <v/>
      </c>
      <c r="D14" s="14">
        <f>IFERROR(D$38/D$32,"n/a")</f>
        <v/>
      </c>
      <c r="E14" s="14">
        <f>IFERROR(E$38/E$32,"n/a")</f>
        <v/>
      </c>
      <c r="F14" s="14">
        <f>IFERROR(F$38/F$32,"n/a")</f>
        <v/>
      </c>
      <c r="G14" s="14">
        <f>IFERROR(G$38/G$32,"n/a")</f>
        <v/>
      </c>
      <c r="H14" s="14">
        <f>IFERROR(H$38/H$32,"n/a")</f>
        <v/>
      </c>
      <c r="I14" s="14">
        <f>IFERROR(I$38/I$32,"n/a")</f>
        <v/>
      </c>
    </row>
    <row r="15">
      <c r="A15" s="3" t="inlineStr">
        <is>
          <t xml:space="preserve">     - Nợ vay ngắn hạn/Vốn chủ sở hữu</t>
        </is>
      </c>
      <c r="B15" s="14">
        <f>IFERROR(B$37/B$32,"n/a")</f>
        <v/>
      </c>
      <c r="C15" s="14">
        <f>IFERROR(C$37/C$32,"n/a")</f>
        <v/>
      </c>
      <c r="D15" s="14">
        <f>IFERROR(D$37/D$32,"n/a")</f>
        <v/>
      </c>
      <c r="E15" s="14">
        <f>IFERROR(E$37/E$32,"n/a")</f>
        <v/>
      </c>
      <c r="F15" s="14">
        <f>IFERROR(F$37/F$32,"n/a")</f>
        <v/>
      </c>
      <c r="G15" s="14">
        <f>IFERROR(G$37/G$32,"n/a")</f>
        <v/>
      </c>
      <c r="H15" s="14">
        <f>IFERROR(H$37/H$32,"n/a")</f>
        <v/>
      </c>
      <c r="I15" s="14">
        <f>IFERROR(I$37/I$32,"n/a")</f>
        <v/>
      </c>
    </row>
    <row r="16">
      <c r="A16" s="11" t="inlineStr">
        <is>
          <t>Nợ phải trả/Vốn chủ sở hữu</t>
        </is>
      </c>
      <c r="B16" s="14">
        <f>IFERROR(B$34/B$32,"n/a")</f>
        <v/>
      </c>
      <c r="C16" s="14">
        <f>IFERROR(C$34/C$32,"n/a")</f>
        <v/>
      </c>
      <c r="D16" s="14">
        <f>IFERROR(D$34/D$32,"n/a")</f>
        <v/>
      </c>
      <c r="E16" s="14">
        <f>IFERROR(E$34/E$32,"n/a")</f>
        <v/>
      </c>
      <c r="F16" s="14">
        <f>IFERROR(F$34/F$32,"n/a")</f>
        <v/>
      </c>
      <c r="G16" s="14">
        <f>IFERROR(G$34/G$32,"n/a")</f>
        <v/>
      </c>
      <c r="H16" s="14">
        <f>IFERROR(H$34/H$32,"n/a")</f>
        <v/>
      </c>
      <c r="I16" s="14">
        <f>IFERROR(I$34/I$32,"n/a")</f>
        <v/>
      </c>
    </row>
    <row r="17">
      <c r="A17" s="3" t="inlineStr">
        <is>
          <t xml:space="preserve">     - Nợ dài hạn/Vốn chủ sở hữu</t>
        </is>
      </c>
      <c r="B17" s="14">
        <f>IFERROR(B$36/B$32,"n/a")</f>
        <v/>
      </c>
      <c r="C17" s="14">
        <f>IFERROR(C$36/C$32,"n/a")</f>
        <v/>
      </c>
      <c r="D17" s="14">
        <f>IFERROR(D$36/D$32,"n/a")</f>
        <v/>
      </c>
      <c r="E17" s="14">
        <f>IFERROR(E$36/E$32,"n/a")</f>
        <v/>
      </c>
      <c r="F17" s="14">
        <f>IFERROR(F$36/F$32,"n/a")</f>
        <v/>
      </c>
      <c r="G17" s="14">
        <f>IFERROR(G$36/G$32,"n/a")</f>
        <v/>
      </c>
      <c r="H17" s="14">
        <f>IFERROR(H$36/H$32,"n/a")</f>
        <v/>
      </c>
      <c r="I17" s="14">
        <f>IFERROR(I$36/I$32,"n/a")</f>
        <v/>
      </c>
    </row>
    <row r="18">
      <c r="A18" s="3" t="inlineStr">
        <is>
          <t xml:space="preserve">     - Nợ ngắn hạn/Vốn chủ sở hữu</t>
        </is>
      </c>
      <c r="B18" s="14">
        <f>IFERROR(B$35/B$32,"n/a")</f>
        <v/>
      </c>
      <c r="C18" s="14">
        <f>IFERROR(C$35/C$32,"n/a")</f>
        <v/>
      </c>
      <c r="D18" s="14">
        <f>IFERROR(D$35/D$32,"n/a")</f>
        <v/>
      </c>
      <c r="E18" s="14">
        <f>IFERROR(E$35/E$32,"n/a")</f>
        <v/>
      </c>
      <c r="F18" s="14">
        <f>IFERROR(F$35/F$32,"n/a")</f>
        <v/>
      </c>
      <c r="G18" s="14">
        <f>IFERROR(G$35/G$32,"n/a")</f>
        <v/>
      </c>
      <c r="H18" s="14">
        <f>IFERROR(H$35/H$32,"n/a")</f>
        <v/>
      </c>
      <c r="I18" s="14">
        <f>IFERROR(I$35/I$32,"n/a")</f>
        <v/>
      </c>
    </row>
    <row r="19">
      <c r="A19" s="10" t="inlineStr">
        <is>
          <t>4. Chi phí &amp; khả năng trả lãi</t>
        </is>
      </c>
    </row>
    <row r="20">
      <c r="A20" s="11" t="inlineStr">
        <is>
          <t>Chi phí bán hàng, quản lý/LN gộp</t>
        </is>
      </c>
      <c r="B20" s="13">
        <f>IFERROR((ABS(B$42)+ABS(B$43))/B$41,"n/a")</f>
        <v/>
      </c>
      <c r="C20" s="13">
        <f>IFERROR((ABS(C$42)+ABS(C$43))/C$41,"n/a")</f>
        <v/>
      </c>
      <c r="D20" s="13">
        <f>IFERROR((ABS(D$42)+ABS(D$43))/D$41,"n/a")</f>
        <v/>
      </c>
      <c r="E20" s="13">
        <f>IFERROR((ABS(E$42)+ABS(E$43))/E$41,"n/a")</f>
        <v/>
      </c>
      <c r="F20" s="13">
        <f>IFERROR((ABS(F$42)+ABS(F$43))/F$41,"n/a")</f>
        <v/>
      </c>
      <c r="G20" s="13">
        <f>IFERROR((ABS(G$42)+ABS(G$43))/G$41,"n/a")</f>
        <v/>
      </c>
      <c r="H20" s="13">
        <f>IFERROR((ABS(H$42)+ABS(H$43))/H$41,"n/a")</f>
        <v/>
      </c>
      <c r="I20" s="13">
        <f>IFERROR((ABS(I$42)+ABS(I$43))/I$41,"n/a")</f>
        <v/>
      </c>
    </row>
    <row r="21">
      <c r="A21" s="11" t="inlineStr">
        <is>
          <t>Chi phí lãi vay/LN từ hoạt động kinh doanh</t>
        </is>
      </c>
      <c r="B21" s="13">
        <f>IFERROR(ABS(B$45)/B$44,"n/a")</f>
        <v/>
      </c>
      <c r="C21" s="13">
        <f>IFERROR(ABS(C$45)/C$44,"n/a")</f>
        <v/>
      </c>
      <c r="D21" s="13">
        <f>IFERROR(ABS(D$45)/D$44,"n/a")</f>
        <v/>
      </c>
      <c r="E21" s="13">
        <f>IFERROR(ABS(E$45)/E$44,"n/a")</f>
        <v/>
      </c>
      <c r="F21" s="13">
        <f>IFERROR(ABS(F$45)/F$44,"n/a")</f>
        <v/>
      </c>
      <c r="G21" s="13">
        <f>IFERROR(ABS(G$45)/G$44,"n/a")</f>
        <v/>
      </c>
      <c r="H21" s="13">
        <f>IFERROR(ABS(H$45)/H$44,"n/a")</f>
        <v/>
      </c>
      <c r="I21" s="13">
        <f>IFERROR(ABS(I$45)/I$44,"n/a")</f>
        <v/>
      </c>
    </row>
    <row r="22">
      <c r="A22" s="10" t="inlineStr">
        <is>
          <t>5. Chu kỳ hoạt động vốn lưu động</t>
        </is>
      </c>
    </row>
    <row r="23">
      <c r="A23" s="11" t="inlineStr">
        <is>
          <t>Số ngày phải trả (DPO)</t>
        </is>
      </c>
      <c r="B23" s="12" t="inlineStr">
        <is>
          <t>n/a</t>
        </is>
      </c>
      <c r="C23" s="15">
        <f>IFERROR(((C$49+B$49)/2)/ABS(C$40)*365,"n/a")</f>
        <v/>
      </c>
      <c r="D23" s="15">
        <f>IFERROR(((D$49+C$49)/2)/ABS(D$40)*365,"n/a")</f>
        <v/>
      </c>
      <c r="E23" s="15">
        <f>IFERROR(((E$49+D$49)/2)/ABS(E$40)*365,"n/a")</f>
        <v/>
      </c>
      <c r="F23" s="15">
        <f>IFERROR(((F$49+E$49)/2)/ABS(F$40)*365,"n/a")</f>
        <v/>
      </c>
      <c r="G23" s="15">
        <f>IFERROR(((G$49+F$49)/2)/ABS(G$40)*365,"n/a")</f>
        <v/>
      </c>
      <c r="H23" s="15">
        <f>IFERROR(((H$49+G$49)/2)/ABS(H$40)*365,"n/a")</f>
        <v/>
      </c>
      <c r="I23" s="15">
        <f>IFERROR(((I$49+H$49)/2)/ABS(I$40)*365,"n/a")</f>
        <v/>
      </c>
    </row>
    <row r="24">
      <c r="A24" s="11" t="inlineStr">
        <is>
          <t>Số ngày phải thu (DSO)</t>
        </is>
      </c>
      <c r="B24" s="12" t="inlineStr">
        <is>
          <t>n/a</t>
        </is>
      </c>
      <c r="C24" s="15">
        <f>IFERROR(((C$48+B$48)/2)/C$39*365,"n/a")</f>
        <v/>
      </c>
      <c r="D24" s="15">
        <f>IFERROR(((D$48+C$48)/2)/D$39*365,"n/a")</f>
        <v/>
      </c>
      <c r="E24" s="15">
        <f>IFERROR(((E$48+D$48)/2)/E$39*365,"n/a")</f>
        <v/>
      </c>
      <c r="F24" s="15">
        <f>IFERROR(((F$48+E$48)/2)/F$39*365,"n/a")</f>
        <v/>
      </c>
      <c r="G24" s="15">
        <f>IFERROR(((G$48+F$48)/2)/G$39*365,"n/a")</f>
        <v/>
      </c>
      <c r="H24" s="15">
        <f>IFERROR(((H$48+G$48)/2)/H$39*365,"n/a")</f>
        <v/>
      </c>
      <c r="I24" s="15">
        <f>IFERROR(((I$48+H$48)/2)/I$39*365,"n/a")</f>
        <v/>
      </c>
    </row>
    <row r="25">
      <c r="A25" s="11" t="inlineStr">
        <is>
          <t>Số ngày tồn kho (DIO)</t>
        </is>
      </c>
      <c r="B25" s="12" t="inlineStr">
        <is>
          <t>n/a</t>
        </is>
      </c>
      <c r="C25" s="15">
        <f>IFERROR(((C$50+B$50)/2)/ABS(C$40)*365,"n/a")</f>
        <v/>
      </c>
      <c r="D25" s="15">
        <f>IFERROR(((D$50+C$50)/2)/ABS(D$40)*365,"n/a")</f>
        <v/>
      </c>
      <c r="E25" s="15">
        <f>IFERROR(((E$50+D$50)/2)/ABS(E$40)*365,"n/a")</f>
        <v/>
      </c>
      <c r="F25" s="15">
        <f>IFERROR(((F$50+E$50)/2)/ABS(F$40)*365,"n/a")</f>
        <v/>
      </c>
      <c r="G25" s="15">
        <f>IFERROR(((G$50+F$50)/2)/ABS(G$40)*365,"n/a")</f>
        <v/>
      </c>
      <c r="H25" s="15">
        <f>IFERROR(((H$50+G$50)/2)/ABS(H$40)*365,"n/a")</f>
        <v/>
      </c>
      <c r="I25" s="15">
        <f>IFERROR(((I$50+H$50)/2)/ABS(I$40)*365,"n/a")</f>
        <v/>
      </c>
    </row>
    <row r="26">
      <c r="A26" s="10" t="inlineStr">
        <is>
          <t>6. Cơ cấu tài sản</t>
        </is>
      </c>
    </row>
    <row r="27">
      <c r="A27" s="11" t="inlineStr">
        <is>
          <t>Tiền và tương đương tiền/Tài sản</t>
        </is>
      </c>
      <c r="B27" s="13">
        <f>IFERROR(B$51/B$33,"n/a")</f>
        <v/>
      </c>
      <c r="C27" s="13">
        <f>IFERROR(C$51/C$33,"n/a")</f>
        <v/>
      </c>
      <c r="D27" s="13">
        <f>IFERROR(D$51/D$33,"n/a")</f>
        <v/>
      </c>
      <c r="E27" s="13">
        <f>IFERROR(E$51/E$33,"n/a")</f>
        <v/>
      </c>
      <c r="F27" s="13">
        <f>IFERROR(F$51/F$33,"n/a")</f>
        <v/>
      </c>
      <c r="G27" s="13">
        <f>IFERROR(G$51/G$33,"n/a")</f>
        <v/>
      </c>
      <c r="H27" s="13">
        <f>IFERROR(H$51/H$33,"n/a")</f>
        <v/>
      </c>
      <c r="I27" s="13">
        <f>IFERROR(I$51/I$33,"n/a")</f>
        <v/>
      </c>
    </row>
    <row r="28">
      <c r="A28" s="11" t="inlineStr">
        <is>
          <t>Hàng tồn kho/Tài sản</t>
        </is>
      </c>
      <c r="B28" s="13">
        <f>IFERROR(B$50/B$33,"n/a")</f>
        <v/>
      </c>
      <c r="C28" s="13">
        <f>IFERROR(C$50/C$33,"n/a")</f>
        <v/>
      </c>
      <c r="D28" s="13">
        <f>IFERROR(D$50/D$33,"n/a")</f>
        <v/>
      </c>
      <c r="E28" s="13">
        <f>IFERROR(E$50/E$33,"n/a")</f>
        <v/>
      </c>
      <c r="F28" s="13">
        <f>IFERROR(F$50/F$33,"n/a")</f>
        <v/>
      </c>
      <c r="G28" s="13">
        <f>IFERROR(G$50/G$33,"n/a")</f>
        <v/>
      </c>
      <c r="H28" s="13">
        <f>IFERROR(H$50/H$33,"n/a")</f>
        <v/>
      </c>
      <c r="I28" s="13">
        <f>IFERROR(I$50/I$33,"n/a")</f>
        <v/>
      </c>
    </row>
    <row r="29"/>
    <row r="30">
      <c r="A30" s="6" t="inlineStr">
        <is>
          <t>II. DỮ LIỆU TRÍCH XUẤT (tự động dò theo tên khoản mục)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8" t="inlineStr">
        <is>
          <t>Khoản mục</t>
        </is>
      </c>
      <c r="B31" s="9">
        <f>'balance_sheet'!B1</f>
        <v/>
      </c>
      <c r="C31" s="9">
        <f>'balance_sheet'!C1</f>
        <v/>
      </c>
      <c r="D31" s="9">
        <f>'balance_sheet'!D1</f>
        <v/>
      </c>
      <c r="E31" s="9">
        <f>'balance_sheet'!E1</f>
        <v/>
      </c>
      <c r="F31" s="9">
        <f>'balance_sheet'!F1</f>
        <v/>
      </c>
      <c r="G31" s="9">
        <f>'balance_sheet'!G1</f>
        <v/>
      </c>
      <c r="H31" s="9">
        <f>'balance_sheet'!H1</f>
        <v/>
      </c>
      <c r="I31" s="9">
        <f>'balance_sheet'!I1</f>
        <v/>
      </c>
    </row>
    <row r="32">
      <c r="A32" s="3" t="inlineStr">
        <is>
          <t>Vốn chủ sở hữu</t>
        </is>
      </c>
      <c r="B32" s="16">
        <f>IFERROR(INDEX(balance_sheet!$B:$I,MATCH("Vốn chủ sở hữu",balance_sheet!$A:$A,0),MATCH(B$31,balance_sheet!$B$1:$I$1,0)),"")</f>
        <v/>
      </c>
      <c r="C32" s="16">
        <f>IFERROR(INDEX(balance_sheet!$B:$I,MATCH("Vốn chủ sở hữu",balance_sheet!$A:$A,0),MATCH(C$31,balance_sheet!$B$1:$I$1,0)),"")</f>
        <v/>
      </c>
      <c r="D32" s="16">
        <f>IFERROR(INDEX(balance_sheet!$B:$I,MATCH("Vốn chủ sở hữu",balance_sheet!$A:$A,0),MATCH(D$31,balance_sheet!$B$1:$I$1,0)),"")</f>
        <v/>
      </c>
      <c r="E32" s="16">
        <f>IFERROR(INDEX(balance_sheet!$B:$I,MATCH("Vốn chủ sở hữu",balance_sheet!$A:$A,0),MATCH(E$31,balance_sheet!$B$1:$I$1,0)),"")</f>
        <v/>
      </c>
      <c r="F32" s="16">
        <f>IFERROR(INDEX(balance_sheet!$B:$I,MATCH("Vốn chủ sở hữu",balance_sheet!$A:$A,0),MATCH(F$31,balance_sheet!$B$1:$I$1,0)),"")</f>
        <v/>
      </c>
      <c r="G32" s="16">
        <f>IFERROR(INDEX(balance_sheet!$B:$I,MATCH("Vốn chủ sở hữu",balance_sheet!$A:$A,0),MATCH(G$31,balance_sheet!$B$1:$I$1,0)),"")</f>
        <v/>
      </c>
      <c r="H32" s="16">
        <f>IFERROR(INDEX(balance_sheet!$B:$I,MATCH("Vốn chủ sở hữu",balance_sheet!$A:$A,0),MATCH(H$31,balance_sheet!$B$1:$I$1,0)),"")</f>
        <v/>
      </c>
      <c r="I32" s="16">
        <f>IFERROR(INDEX(balance_sheet!$B:$I,MATCH("Vốn chủ sở hữu",balance_sheet!$A:$A,0),MATCH(I$31,balance_sheet!$B$1:$I$1,0)),"")</f>
        <v/>
      </c>
    </row>
    <row r="33">
      <c r="A33" s="3" t="inlineStr">
        <is>
          <t>TỔNG CỘNG TÀI SẢN</t>
        </is>
      </c>
      <c r="B33" s="16">
        <f>IFERROR(INDEX(balance_sheet!$B:$I,MATCH("TỔNG CỘNG TÀI SẢN",balance_sheet!$A:$A,0),MATCH(B$31,balance_sheet!$B$1:$I$1,0)),"")</f>
        <v/>
      </c>
      <c r="C33" s="16">
        <f>IFERROR(INDEX(balance_sheet!$B:$I,MATCH("TỔNG CỘNG TÀI SẢN",balance_sheet!$A:$A,0),MATCH(C$31,balance_sheet!$B$1:$I$1,0)),"")</f>
        <v/>
      </c>
      <c r="D33" s="16">
        <f>IFERROR(INDEX(balance_sheet!$B:$I,MATCH("TỔNG CỘNG TÀI SẢN",balance_sheet!$A:$A,0),MATCH(D$31,balance_sheet!$B$1:$I$1,0)),"")</f>
        <v/>
      </c>
      <c r="E33" s="16">
        <f>IFERROR(INDEX(balance_sheet!$B:$I,MATCH("TỔNG CỘNG TÀI SẢN",balance_sheet!$A:$A,0),MATCH(E$31,balance_sheet!$B$1:$I$1,0)),"")</f>
        <v/>
      </c>
      <c r="F33" s="16">
        <f>IFERROR(INDEX(balance_sheet!$B:$I,MATCH("TỔNG CỘNG TÀI SẢN",balance_sheet!$A:$A,0),MATCH(F$31,balance_sheet!$B$1:$I$1,0)),"")</f>
        <v/>
      </c>
      <c r="G33" s="16">
        <f>IFERROR(INDEX(balance_sheet!$B:$I,MATCH("TỔNG CỘNG TÀI SẢN",balance_sheet!$A:$A,0),MATCH(G$31,balance_sheet!$B$1:$I$1,0)),"")</f>
        <v/>
      </c>
      <c r="H33" s="16">
        <f>IFERROR(INDEX(balance_sheet!$B:$I,MATCH("TỔNG CỘNG TÀI SẢN",balance_sheet!$A:$A,0),MATCH(H$31,balance_sheet!$B$1:$I$1,0)),"")</f>
        <v/>
      </c>
      <c r="I33" s="16">
        <f>IFERROR(INDEX(balance_sheet!$B:$I,MATCH("TỔNG CỘNG TÀI SẢN",balance_sheet!$A:$A,0),MATCH(I$31,balance_sheet!$B$1:$I$1,0)),"")</f>
        <v/>
      </c>
    </row>
    <row r="34">
      <c r="A34" s="3" t="inlineStr">
        <is>
          <t>NỢ PHẢI TRẢ</t>
        </is>
      </c>
      <c r="B34" s="16">
        <f>IFERROR(INDEX(balance_sheet!$B:$I,MATCH("NỢ PHẢI TRẢ",balance_sheet!$A:$A,0),MATCH(B$31,balance_sheet!$B$1:$I$1,0)),"")</f>
        <v/>
      </c>
      <c r="C34" s="16">
        <f>IFERROR(INDEX(balance_sheet!$B:$I,MATCH("NỢ PHẢI TRẢ",balance_sheet!$A:$A,0),MATCH(C$31,balance_sheet!$B$1:$I$1,0)),"")</f>
        <v/>
      </c>
      <c r="D34" s="16">
        <f>IFERROR(INDEX(balance_sheet!$B:$I,MATCH("NỢ PHẢI TRẢ",balance_sheet!$A:$A,0),MATCH(D$31,balance_sheet!$B$1:$I$1,0)),"")</f>
        <v/>
      </c>
      <c r="E34" s="16">
        <f>IFERROR(INDEX(balance_sheet!$B:$I,MATCH("NỢ PHẢI TRẢ",balance_sheet!$A:$A,0),MATCH(E$31,balance_sheet!$B$1:$I$1,0)),"")</f>
        <v/>
      </c>
      <c r="F34" s="16">
        <f>IFERROR(INDEX(balance_sheet!$B:$I,MATCH("NỢ PHẢI TRẢ",balance_sheet!$A:$A,0),MATCH(F$31,balance_sheet!$B$1:$I$1,0)),"")</f>
        <v/>
      </c>
      <c r="G34" s="16">
        <f>IFERROR(INDEX(balance_sheet!$B:$I,MATCH("NỢ PHẢI TRẢ",balance_sheet!$A:$A,0),MATCH(G$31,balance_sheet!$B$1:$I$1,0)),"")</f>
        <v/>
      </c>
      <c r="H34" s="16">
        <f>IFERROR(INDEX(balance_sheet!$B:$I,MATCH("NỢ PHẢI TRẢ",balance_sheet!$A:$A,0),MATCH(H$31,balance_sheet!$B$1:$I$1,0)),"")</f>
        <v/>
      </c>
      <c r="I34" s="16">
        <f>IFERROR(INDEX(balance_sheet!$B:$I,MATCH("NỢ PHẢI TRẢ",balance_sheet!$A:$A,0),MATCH(I$31,balance_sheet!$B$1:$I$1,0)),"")</f>
        <v/>
      </c>
    </row>
    <row r="35">
      <c r="A35" s="3" t="inlineStr">
        <is>
          <t>Nợ ngắn hạn</t>
        </is>
      </c>
      <c r="B35" s="16">
        <f>IFERROR(INDEX(balance_sheet!$B:$I,MATCH("Nợ ngắn hạn",balance_sheet!$A:$A,0),MATCH(B$31,balance_sheet!$B$1:$I$1,0)),"")</f>
        <v/>
      </c>
      <c r="C35" s="16">
        <f>IFERROR(INDEX(balance_sheet!$B:$I,MATCH("Nợ ngắn hạn",balance_sheet!$A:$A,0),MATCH(C$31,balance_sheet!$B$1:$I$1,0)),"")</f>
        <v/>
      </c>
      <c r="D35" s="16">
        <f>IFERROR(INDEX(balance_sheet!$B:$I,MATCH("Nợ ngắn hạn",balance_sheet!$A:$A,0),MATCH(D$31,balance_sheet!$B$1:$I$1,0)),"")</f>
        <v/>
      </c>
      <c r="E35" s="16">
        <f>IFERROR(INDEX(balance_sheet!$B:$I,MATCH("Nợ ngắn hạn",balance_sheet!$A:$A,0),MATCH(E$31,balance_sheet!$B$1:$I$1,0)),"")</f>
        <v/>
      </c>
      <c r="F35" s="16">
        <f>IFERROR(INDEX(balance_sheet!$B:$I,MATCH("Nợ ngắn hạn",balance_sheet!$A:$A,0),MATCH(F$31,balance_sheet!$B$1:$I$1,0)),"")</f>
        <v/>
      </c>
      <c r="G35" s="16">
        <f>IFERROR(INDEX(balance_sheet!$B:$I,MATCH("Nợ ngắn hạn",balance_sheet!$A:$A,0),MATCH(G$31,balance_sheet!$B$1:$I$1,0)),"")</f>
        <v/>
      </c>
      <c r="H35" s="16">
        <f>IFERROR(INDEX(balance_sheet!$B:$I,MATCH("Nợ ngắn hạn",balance_sheet!$A:$A,0),MATCH(H$31,balance_sheet!$B$1:$I$1,0)),"")</f>
        <v/>
      </c>
      <c r="I35" s="16">
        <f>IFERROR(INDEX(balance_sheet!$B:$I,MATCH("Nợ ngắn hạn",balance_sheet!$A:$A,0),MATCH(I$31,balance_sheet!$B$1:$I$1,0)),"")</f>
        <v/>
      </c>
    </row>
    <row r="36">
      <c r="A36" s="3" t="inlineStr">
        <is>
          <t>Nợ dài hạn</t>
        </is>
      </c>
      <c r="B36" s="16">
        <f>IFERROR(INDEX(balance_sheet!$B:$I,MATCH("Nợ dài hạn",balance_sheet!$A:$A,0),MATCH(B$31,balance_sheet!$B$1:$I$1,0)),"")</f>
        <v/>
      </c>
      <c r="C36" s="16">
        <f>IFERROR(INDEX(balance_sheet!$B:$I,MATCH("Nợ dài hạn",balance_sheet!$A:$A,0),MATCH(C$31,balance_sheet!$B$1:$I$1,0)),"")</f>
        <v/>
      </c>
      <c r="D36" s="16">
        <f>IFERROR(INDEX(balance_sheet!$B:$I,MATCH("Nợ dài hạn",balance_sheet!$A:$A,0),MATCH(D$31,balance_sheet!$B$1:$I$1,0)),"")</f>
        <v/>
      </c>
      <c r="E36" s="16">
        <f>IFERROR(INDEX(balance_sheet!$B:$I,MATCH("Nợ dài hạn",balance_sheet!$A:$A,0),MATCH(E$31,balance_sheet!$B$1:$I$1,0)),"")</f>
        <v/>
      </c>
      <c r="F36" s="16">
        <f>IFERROR(INDEX(balance_sheet!$B:$I,MATCH("Nợ dài hạn",balance_sheet!$A:$A,0),MATCH(F$31,balance_sheet!$B$1:$I$1,0)),"")</f>
        <v/>
      </c>
      <c r="G36" s="16">
        <f>IFERROR(INDEX(balance_sheet!$B:$I,MATCH("Nợ dài hạn",balance_sheet!$A:$A,0),MATCH(G$31,balance_sheet!$B$1:$I$1,0)),"")</f>
        <v/>
      </c>
      <c r="H36" s="16">
        <f>IFERROR(INDEX(balance_sheet!$B:$I,MATCH("Nợ dài hạn",balance_sheet!$A:$A,0),MATCH(H$31,balance_sheet!$B$1:$I$1,0)),"")</f>
        <v/>
      </c>
      <c r="I36" s="16">
        <f>IFERROR(INDEX(balance_sheet!$B:$I,MATCH("Nợ dài hạn",balance_sheet!$A:$A,0),MATCH(I$31,balance_sheet!$B$1:$I$1,0)),"")</f>
        <v/>
      </c>
    </row>
    <row r="37">
      <c r="A37" s="3" t="inlineStr">
        <is>
          <t>Vay ngắn hạn</t>
        </is>
      </c>
      <c r="B37" s="16">
        <f>IFERROR(INDEX(balance_sheet!$B:$I,MATCH("Vay ngắn hạn",balance_sheet!$A:$A,0),MATCH(B$31,balance_sheet!$B$1:$I$1,0)),"")</f>
        <v/>
      </c>
      <c r="C37" s="16">
        <f>IFERROR(INDEX(balance_sheet!$B:$I,MATCH("Vay ngắn hạn",balance_sheet!$A:$A,0),MATCH(C$31,balance_sheet!$B$1:$I$1,0)),"")</f>
        <v/>
      </c>
      <c r="D37" s="16">
        <f>IFERROR(INDEX(balance_sheet!$B:$I,MATCH("Vay ngắn hạn",balance_sheet!$A:$A,0),MATCH(D$31,balance_sheet!$B$1:$I$1,0)),"")</f>
        <v/>
      </c>
      <c r="E37" s="16">
        <f>IFERROR(INDEX(balance_sheet!$B:$I,MATCH("Vay ngắn hạn",balance_sheet!$A:$A,0),MATCH(E$31,balance_sheet!$B$1:$I$1,0)),"")</f>
        <v/>
      </c>
      <c r="F37" s="16">
        <f>IFERROR(INDEX(balance_sheet!$B:$I,MATCH("Vay ngắn hạn",balance_sheet!$A:$A,0),MATCH(F$31,balance_sheet!$B$1:$I$1,0)),"")</f>
        <v/>
      </c>
      <c r="G37" s="16">
        <f>IFERROR(INDEX(balance_sheet!$B:$I,MATCH("Vay ngắn hạn",balance_sheet!$A:$A,0),MATCH(G$31,balance_sheet!$B$1:$I$1,0)),"")</f>
        <v/>
      </c>
      <c r="H37" s="16">
        <f>IFERROR(INDEX(balance_sheet!$B:$I,MATCH("Vay ngắn hạn",balance_sheet!$A:$A,0),MATCH(H$31,balance_sheet!$B$1:$I$1,0)),"")</f>
        <v/>
      </c>
      <c r="I37" s="16">
        <f>IFERROR(INDEX(balance_sheet!$B:$I,MATCH("Vay ngắn hạn",balance_sheet!$A:$A,0),MATCH(I$31,balance_sheet!$B$1:$I$1,0)),"")</f>
        <v/>
      </c>
    </row>
    <row r="38">
      <c r="A38" s="3" t="inlineStr">
        <is>
          <t>Vay dài hạn</t>
        </is>
      </c>
      <c r="B38" s="16">
        <f>IFERROR(INDEX(balance_sheet!$B:$I,MATCH("Vay dài hạn",balance_sheet!$A:$A,0),MATCH(B$31,balance_sheet!$B$1:$I$1,0)),"")</f>
        <v/>
      </c>
      <c r="C38" s="16">
        <f>IFERROR(INDEX(balance_sheet!$B:$I,MATCH("Vay dài hạn",balance_sheet!$A:$A,0),MATCH(C$31,balance_sheet!$B$1:$I$1,0)),"")</f>
        <v/>
      </c>
      <c r="D38" s="16">
        <f>IFERROR(INDEX(balance_sheet!$B:$I,MATCH("Vay dài hạn",balance_sheet!$A:$A,0),MATCH(D$31,balance_sheet!$B$1:$I$1,0)),"")</f>
        <v/>
      </c>
      <c r="E38" s="16">
        <f>IFERROR(INDEX(balance_sheet!$B:$I,MATCH("Vay dài hạn",balance_sheet!$A:$A,0),MATCH(E$31,balance_sheet!$B$1:$I$1,0)),"")</f>
        <v/>
      </c>
      <c r="F38" s="16">
        <f>IFERROR(INDEX(balance_sheet!$B:$I,MATCH("Vay dài hạn",balance_sheet!$A:$A,0),MATCH(F$31,balance_sheet!$B$1:$I$1,0)),"")</f>
        <v/>
      </c>
      <c r="G38" s="16">
        <f>IFERROR(INDEX(balance_sheet!$B:$I,MATCH("Vay dài hạn",balance_sheet!$A:$A,0),MATCH(G$31,balance_sheet!$B$1:$I$1,0)),"")</f>
        <v/>
      </c>
      <c r="H38" s="16">
        <f>IFERROR(INDEX(balance_sheet!$B:$I,MATCH("Vay dài hạn",balance_sheet!$A:$A,0),MATCH(H$31,balance_sheet!$B$1:$I$1,0)),"")</f>
        <v/>
      </c>
      <c r="I38" s="16">
        <f>IFERROR(INDEX(balance_sheet!$B:$I,MATCH("Vay dài hạn",balance_sheet!$A:$A,0),MATCH(I$31,balance_sheet!$B$1:$I$1,0)),"")</f>
        <v/>
      </c>
    </row>
    <row r="39">
      <c r="A39" s="3" t="inlineStr">
        <is>
          <t>Doanh thu thuần</t>
        </is>
      </c>
      <c r="B39" s="16">
        <f>IFERROR(INDEX(income_statement!$B:$I,MATCH("Doanh thu thuần",income_statement!$A:$A,0),MATCH(B$31,income_statement!$B$1:$I$1,0)),"")</f>
        <v/>
      </c>
      <c r="C39" s="16">
        <f>IFERROR(INDEX(income_statement!$B:$I,MATCH("Doanh thu thuần",income_statement!$A:$A,0),MATCH(C$31,income_statement!$B$1:$I$1,0)),"")</f>
        <v/>
      </c>
      <c r="D39" s="16">
        <f>IFERROR(INDEX(income_statement!$B:$I,MATCH("Doanh thu thuần",income_statement!$A:$A,0),MATCH(D$31,income_statement!$B$1:$I$1,0)),"")</f>
        <v/>
      </c>
      <c r="E39" s="16">
        <f>IFERROR(INDEX(income_statement!$B:$I,MATCH("Doanh thu thuần",income_statement!$A:$A,0),MATCH(E$31,income_statement!$B$1:$I$1,0)),"")</f>
        <v/>
      </c>
      <c r="F39" s="16">
        <f>IFERROR(INDEX(income_statement!$B:$I,MATCH("Doanh thu thuần",income_statement!$A:$A,0),MATCH(F$31,income_statement!$B$1:$I$1,0)),"")</f>
        <v/>
      </c>
      <c r="G39" s="16">
        <f>IFERROR(INDEX(income_statement!$B:$I,MATCH("Doanh thu thuần",income_statement!$A:$A,0),MATCH(G$31,income_statement!$B$1:$I$1,0)),"")</f>
        <v/>
      </c>
      <c r="H39" s="16">
        <f>IFERROR(INDEX(income_statement!$B:$I,MATCH("Doanh thu thuần",income_statement!$A:$A,0),MATCH(H$31,income_statement!$B$1:$I$1,0)),"")</f>
        <v/>
      </c>
      <c r="I39" s="16">
        <f>IFERROR(INDEX(income_statement!$B:$I,MATCH("Doanh thu thuần",income_statement!$A:$A,0),MATCH(I$31,income_statement!$B$1:$I$1,0)),"")</f>
        <v/>
      </c>
    </row>
    <row r="40">
      <c r="A40" s="3" t="inlineStr">
        <is>
          <t>Giá vốn hàng bán</t>
        </is>
      </c>
      <c r="B40" s="16">
        <f>IFERROR(INDEX(income_statement!$B:$I,MATCH("Giá vốn hàng bán",income_statement!$A:$A,0),MATCH(B$31,income_statement!$B$1:$I$1,0)),"")</f>
        <v/>
      </c>
      <c r="C40" s="16">
        <f>IFERROR(INDEX(income_statement!$B:$I,MATCH("Giá vốn hàng bán",income_statement!$A:$A,0),MATCH(C$31,income_statement!$B$1:$I$1,0)),"")</f>
        <v/>
      </c>
      <c r="D40" s="16">
        <f>IFERROR(INDEX(income_statement!$B:$I,MATCH("Giá vốn hàng bán",income_statement!$A:$A,0),MATCH(D$31,income_statement!$B$1:$I$1,0)),"")</f>
        <v/>
      </c>
      <c r="E40" s="16">
        <f>IFERROR(INDEX(income_statement!$B:$I,MATCH("Giá vốn hàng bán",income_statement!$A:$A,0),MATCH(E$31,income_statement!$B$1:$I$1,0)),"")</f>
        <v/>
      </c>
      <c r="F40" s="16">
        <f>IFERROR(INDEX(income_statement!$B:$I,MATCH("Giá vốn hàng bán",income_statement!$A:$A,0),MATCH(F$31,income_statement!$B$1:$I$1,0)),"")</f>
        <v/>
      </c>
      <c r="G40" s="16">
        <f>IFERROR(INDEX(income_statement!$B:$I,MATCH("Giá vốn hàng bán",income_statement!$A:$A,0),MATCH(G$31,income_statement!$B$1:$I$1,0)),"")</f>
        <v/>
      </c>
      <c r="H40" s="16">
        <f>IFERROR(INDEX(income_statement!$B:$I,MATCH("Giá vốn hàng bán",income_statement!$A:$A,0),MATCH(H$31,income_statement!$B$1:$I$1,0)),"")</f>
        <v/>
      </c>
      <c r="I40" s="16">
        <f>IFERROR(INDEX(income_statement!$B:$I,MATCH("Giá vốn hàng bán",income_statement!$A:$A,0),MATCH(I$31,income_statement!$B$1:$I$1,0)),"")</f>
        <v/>
      </c>
    </row>
    <row r="41">
      <c r="A41" s="3" t="inlineStr">
        <is>
          <t>Lợi nhuận gộp</t>
        </is>
      </c>
      <c r="B41" s="16">
        <f>IFERROR(INDEX(income_statement!$B:$I,MATCH("Lợi nhuận gộp",income_statement!$A:$A,0),MATCH(B$31,income_statement!$B$1:$I$1,0)),"")</f>
        <v/>
      </c>
      <c r="C41" s="16">
        <f>IFERROR(INDEX(income_statement!$B:$I,MATCH("Lợi nhuận gộp",income_statement!$A:$A,0),MATCH(C$31,income_statement!$B$1:$I$1,0)),"")</f>
        <v/>
      </c>
      <c r="D41" s="16">
        <f>IFERROR(INDEX(income_statement!$B:$I,MATCH("Lợi nhuận gộp",income_statement!$A:$A,0),MATCH(D$31,income_statement!$B$1:$I$1,0)),"")</f>
        <v/>
      </c>
      <c r="E41" s="16">
        <f>IFERROR(INDEX(income_statement!$B:$I,MATCH("Lợi nhuận gộp",income_statement!$A:$A,0),MATCH(E$31,income_statement!$B$1:$I$1,0)),"")</f>
        <v/>
      </c>
      <c r="F41" s="16">
        <f>IFERROR(INDEX(income_statement!$B:$I,MATCH("Lợi nhuận gộp",income_statement!$A:$A,0),MATCH(F$31,income_statement!$B$1:$I$1,0)),"")</f>
        <v/>
      </c>
      <c r="G41" s="16">
        <f>IFERROR(INDEX(income_statement!$B:$I,MATCH("Lợi nhuận gộp",income_statement!$A:$A,0),MATCH(G$31,income_statement!$B$1:$I$1,0)),"")</f>
        <v/>
      </c>
      <c r="H41" s="16">
        <f>IFERROR(INDEX(income_statement!$B:$I,MATCH("Lợi nhuận gộp",income_statement!$A:$A,0),MATCH(H$31,income_statement!$B$1:$I$1,0)),"")</f>
        <v/>
      </c>
      <c r="I41" s="16">
        <f>IFERROR(INDEX(income_statement!$B:$I,MATCH("Lợi nhuận gộp",income_statement!$A:$A,0),MATCH(I$31,income_statement!$B$1:$I$1,0)),"")</f>
        <v/>
      </c>
    </row>
    <row r="42">
      <c r="A42" s="3" t="inlineStr">
        <is>
          <t>Chi phí bán hàng</t>
        </is>
      </c>
      <c r="B42" s="16">
        <f>IFERROR(INDEX(income_statement!$B:$I,MATCH("Chi phí bán hàng",income_statement!$A:$A,0),MATCH(B$31,income_statement!$B$1:$I$1,0)),"")</f>
        <v/>
      </c>
      <c r="C42" s="16">
        <f>IFERROR(INDEX(income_statement!$B:$I,MATCH("Chi phí bán hàng",income_statement!$A:$A,0),MATCH(C$31,income_statement!$B$1:$I$1,0)),"")</f>
        <v/>
      </c>
      <c r="D42" s="16">
        <f>IFERROR(INDEX(income_statement!$B:$I,MATCH("Chi phí bán hàng",income_statement!$A:$A,0),MATCH(D$31,income_statement!$B$1:$I$1,0)),"")</f>
        <v/>
      </c>
      <c r="E42" s="16">
        <f>IFERROR(INDEX(income_statement!$B:$I,MATCH("Chi phí bán hàng",income_statement!$A:$A,0),MATCH(E$31,income_statement!$B$1:$I$1,0)),"")</f>
        <v/>
      </c>
      <c r="F42" s="16">
        <f>IFERROR(INDEX(income_statement!$B:$I,MATCH("Chi phí bán hàng",income_statement!$A:$A,0),MATCH(F$31,income_statement!$B$1:$I$1,0)),"")</f>
        <v/>
      </c>
      <c r="G42" s="16">
        <f>IFERROR(INDEX(income_statement!$B:$I,MATCH("Chi phí bán hàng",income_statement!$A:$A,0),MATCH(G$31,income_statement!$B$1:$I$1,0)),"")</f>
        <v/>
      </c>
      <c r="H42" s="16">
        <f>IFERROR(INDEX(income_statement!$B:$I,MATCH("Chi phí bán hàng",income_statement!$A:$A,0),MATCH(H$31,income_statement!$B$1:$I$1,0)),"")</f>
        <v/>
      </c>
      <c r="I42" s="16">
        <f>IFERROR(INDEX(income_statement!$B:$I,MATCH("Chi phí bán hàng",income_statement!$A:$A,0),MATCH(I$31,income_statement!$B$1:$I$1,0)),"")</f>
        <v/>
      </c>
    </row>
    <row r="43">
      <c r="A43" s="3" t="inlineStr">
        <is>
          <t>Chi phí quản lý doanh nghiệp</t>
        </is>
      </c>
      <c r="B43" s="16">
        <f>IFERROR(INDEX(income_statement!$B:$I,MATCH("Chi phí quản lý doanh nghiệp",income_statement!$A:$A,0),MATCH(B$31,income_statement!$B$1:$I$1,0)),"")</f>
        <v/>
      </c>
      <c r="C43" s="16">
        <f>IFERROR(INDEX(income_statement!$B:$I,MATCH("Chi phí quản lý doanh nghiệp",income_statement!$A:$A,0),MATCH(C$31,income_statement!$B$1:$I$1,0)),"")</f>
        <v/>
      </c>
      <c r="D43" s="16">
        <f>IFERROR(INDEX(income_statement!$B:$I,MATCH("Chi phí quản lý doanh nghiệp",income_statement!$A:$A,0),MATCH(D$31,income_statement!$B$1:$I$1,0)),"")</f>
        <v/>
      </c>
      <c r="E43" s="16">
        <f>IFERROR(INDEX(income_statement!$B:$I,MATCH("Chi phí quản lý doanh nghiệp",income_statement!$A:$A,0),MATCH(E$31,income_statement!$B$1:$I$1,0)),"")</f>
        <v/>
      </c>
      <c r="F43" s="16">
        <f>IFERROR(INDEX(income_statement!$B:$I,MATCH("Chi phí quản lý doanh nghiệp",income_statement!$A:$A,0),MATCH(F$31,income_statement!$B$1:$I$1,0)),"")</f>
        <v/>
      </c>
      <c r="G43" s="16">
        <f>IFERROR(INDEX(income_statement!$B:$I,MATCH("Chi phí quản lý doanh nghiệp",income_statement!$A:$A,0),MATCH(G$31,income_statement!$B$1:$I$1,0)),"")</f>
        <v/>
      </c>
      <c r="H43" s="16">
        <f>IFERROR(INDEX(income_statement!$B:$I,MATCH("Chi phí quản lý doanh nghiệp",income_statement!$A:$A,0),MATCH(H$31,income_statement!$B$1:$I$1,0)),"")</f>
        <v/>
      </c>
      <c r="I43" s="16">
        <f>IFERROR(INDEX(income_statement!$B:$I,MATCH("Chi phí quản lý doanh nghiệp",income_statement!$A:$A,0),MATCH(I$31,income_statement!$B$1:$I$1,0)),"")</f>
        <v/>
      </c>
    </row>
    <row r="44">
      <c r="A44" s="3" t="inlineStr">
        <is>
          <t>Lãi/(lỗ) từ hoạt động kinh doanh</t>
        </is>
      </c>
      <c r="B44" s="16">
        <f>IFERROR(INDEX(income_statement!$B:$I,MATCH("Lãi/(lỗ) từ hoạt động kinh doanh",income_statement!$A:$A,0),MATCH(B$31,income_statement!$B$1:$I$1,0)),"")</f>
        <v/>
      </c>
      <c r="C44" s="16">
        <f>IFERROR(INDEX(income_statement!$B:$I,MATCH("Lãi/(lỗ) từ hoạt động kinh doanh",income_statement!$A:$A,0),MATCH(C$31,income_statement!$B$1:$I$1,0)),"")</f>
        <v/>
      </c>
      <c r="D44" s="16">
        <f>IFERROR(INDEX(income_statement!$B:$I,MATCH("Lãi/(lỗ) từ hoạt động kinh doanh",income_statement!$A:$A,0),MATCH(D$31,income_statement!$B$1:$I$1,0)),"")</f>
        <v/>
      </c>
      <c r="E44" s="16">
        <f>IFERROR(INDEX(income_statement!$B:$I,MATCH("Lãi/(lỗ) từ hoạt động kinh doanh",income_statement!$A:$A,0),MATCH(E$31,income_statement!$B$1:$I$1,0)),"")</f>
        <v/>
      </c>
      <c r="F44" s="16">
        <f>IFERROR(INDEX(income_statement!$B:$I,MATCH("Lãi/(lỗ) từ hoạt động kinh doanh",income_statement!$A:$A,0),MATCH(F$31,income_statement!$B$1:$I$1,0)),"")</f>
        <v/>
      </c>
      <c r="G44" s="16">
        <f>IFERROR(INDEX(income_statement!$B:$I,MATCH("Lãi/(lỗ) từ hoạt động kinh doanh",income_statement!$A:$A,0),MATCH(G$31,income_statement!$B$1:$I$1,0)),"")</f>
        <v/>
      </c>
      <c r="H44" s="16">
        <f>IFERROR(INDEX(income_statement!$B:$I,MATCH("Lãi/(lỗ) từ hoạt động kinh doanh",income_statement!$A:$A,0),MATCH(H$31,income_statement!$B$1:$I$1,0)),"")</f>
        <v/>
      </c>
      <c r="I44" s="16">
        <f>IFERROR(INDEX(income_statement!$B:$I,MATCH("Lãi/(lỗ) từ hoạt động kinh doanh",income_statement!$A:$A,0),MATCH(I$31,income_statement!$B$1:$I$1,0)),"")</f>
        <v/>
      </c>
    </row>
    <row r="45">
      <c r="A45" s="3" t="inlineStr">
        <is>
          <t>Chi phí lãi vay</t>
        </is>
      </c>
      <c r="B45" s="16">
        <f>IFERROR(INDEX(income_statement!$B:$I,MATCH("Chi phí lãi vay",income_statement!$A:$A,0),MATCH(B$31,income_statement!$B$1:$I$1,0)),"")</f>
        <v/>
      </c>
      <c r="C45" s="16">
        <f>IFERROR(INDEX(income_statement!$B:$I,MATCH("Chi phí lãi vay",income_statement!$A:$A,0),MATCH(C$31,income_statement!$B$1:$I$1,0)),"")</f>
        <v/>
      </c>
      <c r="D45" s="16">
        <f>IFERROR(INDEX(income_statement!$B:$I,MATCH("Chi phí lãi vay",income_statement!$A:$A,0),MATCH(D$31,income_statement!$B$1:$I$1,0)),"")</f>
        <v/>
      </c>
      <c r="E45" s="16">
        <f>IFERROR(INDEX(income_statement!$B:$I,MATCH("Chi phí lãi vay",income_statement!$A:$A,0),MATCH(E$31,income_statement!$B$1:$I$1,0)),"")</f>
        <v/>
      </c>
      <c r="F45" s="16">
        <f>IFERROR(INDEX(income_statement!$B:$I,MATCH("Chi phí lãi vay",income_statement!$A:$A,0),MATCH(F$31,income_statement!$B$1:$I$1,0)),"")</f>
        <v/>
      </c>
      <c r="G45" s="16">
        <f>IFERROR(INDEX(income_statement!$B:$I,MATCH("Chi phí lãi vay",income_statement!$A:$A,0),MATCH(G$31,income_statement!$B$1:$I$1,0)),"")</f>
        <v/>
      </c>
      <c r="H45" s="16">
        <f>IFERROR(INDEX(income_statement!$B:$I,MATCH("Chi phí lãi vay",income_statement!$A:$A,0),MATCH(H$31,income_statement!$B$1:$I$1,0)),"")</f>
        <v/>
      </c>
      <c r="I45" s="16">
        <f>IFERROR(INDEX(income_statement!$B:$I,MATCH("Chi phí lãi vay",income_statement!$A:$A,0),MATCH(I$31,income_statement!$B$1:$I$1,0)),"")</f>
        <v/>
      </c>
    </row>
    <row r="46">
      <c r="A46" s="3" t="inlineStr">
        <is>
          <t>Lãi/(lỗ) thuần sau thuế</t>
        </is>
      </c>
      <c r="B46" s="16">
        <f>IFERROR(INDEX(income_statement!$B:$I,MATCH("Lãi/(lỗ) thuần sau thuế",income_statement!$A:$A,0),MATCH(B$31,income_statement!$B$1:$I$1,0)),"")</f>
        <v/>
      </c>
      <c r="C46" s="16">
        <f>IFERROR(INDEX(income_statement!$B:$I,MATCH("Lãi/(lỗ) thuần sau thuế",income_statement!$A:$A,0),MATCH(C$31,income_statement!$B$1:$I$1,0)),"")</f>
        <v/>
      </c>
      <c r="D46" s="16">
        <f>IFERROR(INDEX(income_statement!$B:$I,MATCH("Lãi/(lỗ) thuần sau thuế",income_statement!$A:$A,0),MATCH(D$31,income_statement!$B$1:$I$1,0)),"")</f>
        <v/>
      </c>
      <c r="E46" s="16">
        <f>IFERROR(INDEX(income_statement!$B:$I,MATCH("Lãi/(lỗ) thuần sau thuế",income_statement!$A:$A,0),MATCH(E$31,income_statement!$B$1:$I$1,0)),"")</f>
        <v/>
      </c>
      <c r="F46" s="16">
        <f>IFERROR(INDEX(income_statement!$B:$I,MATCH("Lãi/(lỗ) thuần sau thuế",income_statement!$A:$A,0),MATCH(F$31,income_statement!$B$1:$I$1,0)),"")</f>
        <v/>
      </c>
      <c r="G46" s="16">
        <f>IFERROR(INDEX(income_statement!$B:$I,MATCH("Lãi/(lỗ) thuần sau thuế",income_statement!$A:$A,0),MATCH(G$31,income_statement!$B$1:$I$1,0)),"")</f>
        <v/>
      </c>
      <c r="H46" s="16">
        <f>IFERROR(INDEX(income_statement!$B:$I,MATCH("Lãi/(lỗ) thuần sau thuế",income_statement!$A:$A,0),MATCH(H$31,income_statement!$B$1:$I$1,0)),"")</f>
        <v/>
      </c>
      <c r="I46" s="16">
        <f>IFERROR(INDEX(income_statement!$B:$I,MATCH("Lãi/(lỗ) thuần sau thuế",income_statement!$A:$A,0),MATCH(I$31,income_statement!$B$1:$I$1,0)),"")</f>
        <v/>
      </c>
    </row>
    <row r="47">
      <c r="A47" s="3" t="inlineStr">
        <is>
          <t>Lợi nhuận của Cổ đông của Công ty mẹ</t>
        </is>
      </c>
      <c r="B47" s="16">
        <f>IFERROR(INDEX(income_statement!$B:$I,MATCH("Lợi nhuận của Cổ đông của Công ty mẹ",income_statement!$A:$A,0),MATCH(B$31,income_statement!$B$1:$I$1,0)),"")</f>
        <v/>
      </c>
      <c r="C47" s="16">
        <f>IFERROR(INDEX(income_statement!$B:$I,MATCH("Lợi nhuận của Cổ đông của Công ty mẹ",income_statement!$A:$A,0),MATCH(C$31,income_statement!$B$1:$I$1,0)),"")</f>
        <v/>
      </c>
      <c r="D47" s="16">
        <f>IFERROR(INDEX(income_statement!$B:$I,MATCH("Lợi nhuận của Cổ đông của Công ty mẹ",income_statement!$A:$A,0),MATCH(D$31,income_statement!$B$1:$I$1,0)),"")</f>
        <v/>
      </c>
      <c r="E47" s="16">
        <f>IFERROR(INDEX(income_statement!$B:$I,MATCH("Lợi nhuận của Cổ đông của Công ty mẹ",income_statement!$A:$A,0),MATCH(E$31,income_statement!$B$1:$I$1,0)),"")</f>
        <v/>
      </c>
      <c r="F47" s="16">
        <f>IFERROR(INDEX(income_statement!$B:$I,MATCH("Lợi nhuận của Cổ đông của Công ty mẹ",income_statement!$A:$A,0),MATCH(F$31,income_statement!$B$1:$I$1,0)),"")</f>
        <v/>
      </c>
      <c r="G47" s="16">
        <f>IFERROR(INDEX(income_statement!$B:$I,MATCH("Lợi nhuận của Cổ đông của Công ty mẹ",income_statement!$A:$A,0),MATCH(G$31,income_statement!$B$1:$I$1,0)),"")</f>
        <v/>
      </c>
      <c r="H47" s="16">
        <f>IFERROR(INDEX(income_statement!$B:$I,MATCH("Lợi nhuận của Cổ đông của Công ty mẹ",income_statement!$A:$A,0),MATCH(H$31,income_statement!$B$1:$I$1,0)),"")</f>
        <v/>
      </c>
      <c r="I47" s="16">
        <f>IFERROR(INDEX(income_statement!$B:$I,MATCH("Lợi nhuận của Cổ đông của Công ty mẹ",income_statement!$A:$A,0),MATCH(I$31,income_statement!$B$1:$I$1,0)),"")</f>
        <v/>
      </c>
    </row>
    <row r="48">
      <c r="A48" s="3" t="inlineStr">
        <is>
          <t>Phải thu khách hàng</t>
        </is>
      </c>
      <c r="B48" s="16">
        <f>IFERROR(INDEX(balance_sheet!$B:$I,MATCH("Phải thu khách hàng",balance_sheet!$A:$A,0),MATCH(B$31,balance_sheet!$B$1:$I$1,0)),"")</f>
        <v/>
      </c>
      <c r="C48" s="16">
        <f>IFERROR(INDEX(balance_sheet!$B:$I,MATCH("Phải thu khách hàng",balance_sheet!$A:$A,0),MATCH(C$31,balance_sheet!$B$1:$I$1,0)),"")</f>
        <v/>
      </c>
      <c r="D48" s="16">
        <f>IFERROR(INDEX(balance_sheet!$B:$I,MATCH("Phải thu khách hàng",balance_sheet!$A:$A,0),MATCH(D$31,balance_sheet!$B$1:$I$1,0)),"")</f>
        <v/>
      </c>
      <c r="E48" s="16">
        <f>IFERROR(INDEX(balance_sheet!$B:$I,MATCH("Phải thu khách hàng",balance_sheet!$A:$A,0),MATCH(E$31,balance_sheet!$B$1:$I$1,0)),"")</f>
        <v/>
      </c>
      <c r="F48" s="16">
        <f>IFERROR(INDEX(balance_sheet!$B:$I,MATCH("Phải thu khách hàng",balance_sheet!$A:$A,0),MATCH(F$31,balance_sheet!$B$1:$I$1,0)),"")</f>
        <v/>
      </c>
      <c r="G48" s="16">
        <f>IFERROR(INDEX(balance_sheet!$B:$I,MATCH("Phải thu khách hàng",balance_sheet!$A:$A,0),MATCH(G$31,balance_sheet!$B$1:$I$1,0)),"")</f>
        <v/>
      </c>
      <c r="H48" s="16">
        <f>IFERROR(INDEX(balance_sheet!$B:$I,MATCH("Phải thu khách hàng",balance_sheet!$A:$A,0),MATCH(H$31,balance_sheet!$B$1:$I$1,0)),"")</f>
        <v/>
      </c>
      <c r="I48" s="16">
        <f>IFERROR(INDEX(balance_sheet!$B:$I,MATCH("Phải thu khách hàng",balance_sheet!$A:$A,0),MATCH(I$31,balance_sheet!$B$1:$I$1,0)),"")</f>
        <v/>
      </c>
    </row>
    <row r="49">
      <c r="A49" s="3" t="inlineStr">
        <is>
          <t>Phải trả người bán</t>
        </is>
      </c>
      <c r="B49" s="16">
        <f>IFERROR(INDEX(balance_sheet!$B:$I,MATCH("Phải trả người bán",balance_sheet!$A:$A,0),MATCH(B$31,balance_sheet!$B$1:$I$1,0)),"")</f>
        <v/>
      </c>
      <c r="C49" s="16">
        <f>IFERROR(INDEX(balance_sheet!$B:$I,MATCH("Phải trả người bán",balance_sheet!$A:$A,0),MATCH(C$31,balance_sheet!$B$1:$I$1,0)),"")</f>
        <v/>
      </c>
      <c r="D49" s="16">
        <f>IFERROR(INDEX(balance_sheet!$B:$I,MATCH("Phải trả người bán",balance_sheet!$A:$A,0),MATCH(D$31,balance_sheet!$B$1:$I$1,0)),"")</f>
        <v/>
      </c>
      <c r="E49" s="16">
        <f>IFERROR(INDEX(balance_sheet!$B:$I,MATCH("Phải trả người bán",balance_sheet!$A:$A,0),MATCH(E$31,balance_sheet!$B$1:$I$1,0)),"")</f>
        <v/>
      </c>
      <c r="F49" s="16">
        <f>IFERROR(INDEX(balance_sheet!$B:$I,MATCH("Phải trả người bán",balance_sheet!$A:$A,0),MATCH(F$31,balance_sheet!$B$1:$I$1,0)),"")</f>
        <v/>
      </c>
      <c r="G49" s="16">
        <f>IFERROR(INDEX(balance_sheet!$B:$I,MATCH("Phải trả người bán",balance_sheet!$A:$A,0),MATCH(G$31,balance_sheet!$B$1:$I$1,0)),"")</f>
        <v/>
      </c>
      <c r="H49" s="16">
        <f>IFERROR(INDEX(balance_sheet!$B:$I,MATCH("Phải trả người bán",balance_sheet!$A:$A,0),MATCH(H$31,balance_sheet!$B$1:$I$1,0)),"")</f>
        <v/>
      </c>
      <c r="I49" s="16">
        <f>IFERROR(INDEX(balance_sheet!$B:$I,MATCH("Phải trả người bán",balance_sheet!$A:$A,0),MATCH(I$31,balance_sheet!$B$1:$I$1,0)),"")</f>
        <v/>
      </c>
    </row>
    <row r="50">
      <c r="A50" s="3" t="inlineStr">
        <is>
          <t>Hàng tồn kho, ròng</t>
        </is>
      </c>
      <c r="B50" s="16">
        <f>IFERROR(INDEX(balance_sheet!$B:$I,MATCH("Hàng tồn kho, ròng",balance_sheet!$A:$A,0),MATCH(B$31,balance_sheet!$B$1:$I$1,0)),"")</f>
        <v/>
      </c>
      <c r="C50" s="16">
        <f>IFERROR(INDEX(balance_sheet!$B:$I,MATCH("Hàng tồn kho, ròng",balance_sheet!$A:$A,0),MATCH(C$31,balance_sheet!$B$1:$I$1,0)),"")</f>
        <v/>
      </c>
      <c r="D50" s="16">
        <f>IFERROR(INDEX(balance_sheet!$B:$I,MATCH("Hàng tồn kho, ròng",balance_sheet!$A:$A,0),MATCH(D$31,balance_sheet!$B$1:$I$1,0)),"")</f>
        <v/>
      </c>
      <c r="E50" s="16">
        <f>IFERROR(INDEX(balance_sheet!$B:$I,MATCH("Hàng tồn kho, ròng",balance_sheet!$A:$A,0),MATCH(E$31,balance_sheet!$B$1:$I$1,0)),"")</f>
        <v/>
      </c>
      <c r="F50" s="16">
        <f>IFERROR(INDEX(balance_sheet!$B:$I,MATCH("Hàng tồn kho, ròng",balance_sheet!$A:$A,0),MATCH(F$31,balance_sheet!$B$1:$I$1,0)),"")</f>
        <v/>
      </c>
      <c r="G50" s="16">
        <f>IFERROR(INDEX(balance_sheet!$B:$I,MATCH("Hàng tồn kho, ròng",balance_sheet!$A:$A,0),MATCH(G$31,balance_sheet!$B$1:$I$1,0)),"")</f>
        <v/>
      </c>
      <c r="H50" s="16">
        <f>IFERROR(INDEX(balance_sheet!$B:$I,MATCH("Hàng tồn kho, ròng",balance_sheet!$A:$A,0),MATCH(H$31,balance_sheet!$B$1:$I$1,0)),"")</f>
        <v/>
      </c>
      <c r="I50" s="16">
        <f>IFERROR(INDEX(balance_sheet!$B:$I,MATCH("Hàng tồn kho, ròng",balance_sheet!$A:$A,0),MATCH(I$31,balance_sheet!$B$1:$I$1,0)),"")</f>
        <v/>
      </c>
    </row>
    <row r="51">
      <c r="A51" s="3" t="inlineStr">
        <is>
          <t>Tiền và tương đương tiền</t>
        </is>
      </c>
      <c r="B51" s="16">
        <f>IFERROR(INDEX(balance_sheet!$B:$I,MATCH("Tiền và tương đương tiền",balance_sheet!$A:$A,0),MATCH(B$31,balance_sheet!$B$1:$I$1,0)),"")</f>
        <v/>
      </c>
      <c r="C51" s="16">
        <f>IFERROR(INDEX(balance_sheet!$B:$I,MATCH("Tiền và tương đương tiền",balance_sheet!$A:$A,0),MATCH(C$31,balance_sheet!$B$1:$I$1,0)),"")</f>
        <v/>
      </c>
      <c r="D51" s="16">
        <f>IFERROR(INDEX(balance_sheet!$B:$I,MATCH("Tiền và tương đương tiền",balance_sheet!$A:$A,0),MATCH(D$31,balance_sheet!$B$1:$I$1,0)),"")</f>
        <v/>
      </c>
      <c r="E51" s="16">
        <f>IFERROR(INDEX(balance_sheet!$B:$I,MATCH("Tiền và tương đương tiền",balance_sheet!$A:$A,0),MATCH(E$31,balance_sheet!$B$1:$I$1,0)),"")</f>
        <v/>
      </c>
      <c r="F51" s="16">
        <f>IFERROR(INDEX(balance_sheet!$B:$I,MATCH("Tiền và tương đương tiền",balance_sheet!$A:$A,0),MATCH(F$31,balance_sheet!$B$1:$I$1,0)),"")</f>
        <v/>
      </c>
      <c r="G51" s="16">
        <f>IFERROR(INDEX(balance_sheet!$B:$I,MATCH("Tiền và tương đương tiền",balance_sheet!$A:$A,0),MATCH(G$31,balance_sheet!$B$1:$I$1,0)),"")</f>
        <v/>
      </c>
      <c r="H51" s="16">
        <f>IFERROR(INDEX(balance_sheet!$B:$I,MATCH("Tiền và tương đương tiền",balance_sheet!$A:$A,0),MATCH(H$31,balance_sheet!$B$1:$I$1,0)),"")</f>
        <v/>
      </c>
      <c r="I51" s="16">
        <f>IFERROR(INDEX(balance_sheet!$B:$I,MATCH("Tiền và tương đương tiền",balance_sheet!$A:$A,0),MATCH(I$31,balance_sheet!$B$1:$I$1,0)),"")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2026-08-20T08:39:13Z</dcterms:created>
  <dcterms:modified xsi:type="dcterms:W3CDTF">2026-08-20T08:39:13Z</dcterms:modified>
</cp:coreProperties>
</file>
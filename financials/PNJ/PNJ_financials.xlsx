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7" fillId="3" borderId="0" pivotButton="0" quotePrefix="0" xfId="0"/>
    <xf numFmtId="0" fontId="8" fillId="0" borderId="2" pivotButton="0" quotePrefix="0" xfId="0"/>
    <xf numFmtId="1" fontId="8" fillId="0" borderId="2" applyAlignment="1" pivotButton="0" quotePrefix="0" xfId="0">
      <alignment horizontal="center"/>
    </xf>
    <xf numFmtId="0" fontId="9" fillId="0" borderId="0" pivotButton="0" quotePrefix="0" xfId="0"/>
    <xf numFmtId="0" fontId="10" fillId="0" borderId="2" pivotButton="0" quotePrefix="0" xfId="0"/>
    <xf numFmtId="0" fontId="11" fillId="0" borderId="2" pivotButton="0" quotePrefix="0" xfId="0"/>
    <xf numFmtId="165" fontId="12" fillId="0" borderId="2" pivotButton="0" quotePrefix="0" xfId="0"/>
    <xf numFmtId="166" fontId="12" fillId="0" borderId="2" pivotButton="0" quotePrefix="0" xfId="0"/>
    <xf numFmtId="167" fontId="12" fillId="0" borderId="2" pivotButton="0" quotePrefix="0" xfId="0"/>
    <xf numFmtId="164" fontId="13" fillId="0" borderId="2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0B4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PNJ</t>
        </is>
      </c>
    </row>
    <row r="2">
      <c r="A2" s="7" t="inlineStr">
        <is>
          <t>I. CHỈ SỐ TÀI CHÍNH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</row>
    <row r="3">
      <c r="A3" s="9" t="inlineStr">
        <is>
          <t>Chỉ tiêu</t>
        </is>
      </c>
      <c r="B3" s="10">
        <f>'balance_sheet'!B1</f>
        <v/>
      </c>
      <c r="C3" s="10">
        <f>'balance_sheet'!C1</f>
        <v/>
      </c>
      <c r="D3" s="10">
        <f>'balance_sheet'!D1</f>
        <v/>
      </c>
      <c r="E3" s="10">
        <f>'balance_sheet'!E1</f>
        <v/>
      </c>
      <c r="F3" s="10">
        <f>'balance_sheet'!F1</f>
        <v/>
      </c>
      <c r="G3" s="10">
        <f>'balance_sheet'!G1</f>
        <v/>
      </c>
      <c r="H3" s="10">
        <f>'balance_sheet'!H1</f>
        <v/>
      </c>
      <c r="I3" s="10">
        <f>'balance_sheet'!I1</f>
        <v/>
      </c>
    </row>
    <row r="4">
      <c r="A4" s="11" t="inlineStr">
        <is>
          <t>1. Khả năng sinh lời</t>
        </is>
      </c>
    </row>
    <row r="5">
      <c r="A5" s="12" t="inlineStr">
        <is>
          <t>ROE (LNST CĐ Cty mẹ / VCSH bình quân)</t>
        </is>
      </c>
      <c r="B5" s="13" t="inlineStr">
        <is>
          <t>n/a</t>
        </is>
      </c>
      <c r="C5" s="14">
        <f>IFERROR(C$47/((C$32+B$32)/2),"n/a")</f>
        <v/>
      </c>
      <c r="D5" s="14">
        <f>IFERROR(D$47/((D$32+C$32)/2),"n/a")</f>
        <v/>
      </c>
      <c r="E5" s="14">
        <f>IFERROR(E$47/((E$32+D$32)/2),"n/a")</f>
        <v/>
      </c>
      <c r="F5" s="14">
        <f>IFERROR(F$47/((F$32+E$32)/2),"n/a")</f>
        <v/>
      </c>
      <c r="G5" s="14">
        <f>IFERROR(G$47/((G$32+F$32)/2),"n/a")</f>
        <v/>
      </c>
      <c r="H5" s="14">
        <f>IFERROR(H$47/((H$32+G$32)/2),"n/a")</f>
        <v/>
      </c>
      <c r="I5" s="14">
        <f>IFERROR(I$47/((I$32+H$32)/2),"n/a")</f>
        <v/>
      </c>
    </row>
    <row r="6">
      <c r="A6" s="12" t="inlineStr">
        <is>
          <t>ROA (LNST / Tổng tài sản bình quân)</t>
        </is>
      </c>
      <c r="B6" s="13" t="inlineStr">
        <is>
          <t>n/a</t>
        </is>
      </c>
      <c r="C6" s="14">
        <f>IFERROR(C$46/((C$33+B$33)/2),"n/a")</f>
        <v/>
      </c>
      <c r="D6" s="14">
        <f>IFERROR(D$46/((D$33+C$33)/2),"n/a")</f>
        <v/>
      </c>
      <c r="E6" s="14">
        <f>IFERROR(E$46/((E$33+D$33)/2),"n/a")</f>
        <v/>
      </c>
      <c r="F6" s="14">
        <f>IFERROR(F$46/((F$33+E$33)/2),"n/a")</f>
        <v/>
      </c>
      <c r="G6" s="14">
        <f>IFERROR(G$46/((G$33+F$33)/2),"n/a")</f>
        <v/>
      </c>
      <c r="H6" s="14">
        <f>IFERROR(H$46/((H$33+G$33)/2),"n/a")</f>
        <v/>
      </c>
      <c r="I6" s="14">
        <f>IFERROR(I$46/((I$33+H$33)/2),"n/a")</f>
        <v/>
      </c>
    </row>
    <row r="7">
      <c r="A7" s="12" t="inlineStr">
        <is>
          <t>Tăng trưởng LN Cổ đông Cty mẹ</t>
        </is>
      </c>
      <c r="B7" s="13" t="inlineStr">
        <is>
          <t>n/a</t>
        </is>
      </c>
      <c r="C7" s="14">
        <f>IFERROR((C$47-B$47)/ABS(B$47),"n/a")</f>
        <v/>
      </c>
      <c r="D7" s="14">
        <f>IFERROR((D$47-C$47)/ABS(C$47),"n/a")</f>
        <v/>
      </c>
      <c r="E7" s="14">
        <f>IFERROR((E$47-D$47)/ABS(D$47),"n/a")</f>
        <v/>
      </c>
      <c r="F7" s="14">
        <f>IFERROR((F$47-E$47)/ABS(E$47),"n/a")</f>
        <v/>
      </c>
      <c r="G7" s="14">
        <f>IFERROR((G$47-F$47)/ABS(F$47),"n/a")</f>
        <v/>
      </c>
      <c r="H7" s="14">
        <f>IFERROR((H$47-G$47)/ABS(G$47),"n/a")</f>
        <v/>
      </c>
      <c r="I7" s="14">
        <f>IFERROR((I$47-H$47)/ABS(H$47),"n/a")</f>
        <v/>
      </c>
    </row>
    <row r="8">
      <c r="A8" s="12" t="inlineStr">
        <is>
          <t>Tăng trưởng Doanh thu thuần</t>
        </is>
      </c>
      <c r="B8" s="13" t="inlineStr">
        <is>
          <t>n/a</t>
        </is>
      </c>
      <c r="C8" s="14">
        <f>IFERROR((C$39-B$39)/ABS(B$39),"n/a")</f>
        <v/>
      </c>
      <c r="D8" s="14">
        <f>IFERROR((D$39-C$39)/ABS(C$39),"n/a")</f>
        <v/>
      </c>
      <c r="E8" s="14">
        <f>IFERROR((E$39-D$39)/ABS(D$39),"n/a")</f>
        <v/>
      </c>
      <c r="F8" s="14">
        <f>IFERROR((F$39-E$39)/ABS(E$39),"n/a")</f>
        <v/>
      </c>
      <c r="G8" s="14">
        <f>IFERROR((G$39-F$39)/ABS(F$39),"n/a")</f>
        <v/>
      </c>
      <c r="H8" s="14">
        <f>IFERROR((H$39-G$39)/ABS(G$39),"n/a")</f>
        <v/>
      </c>
      <c r="I8" s="14">
        <f>IFERROR((I$39-H$39)/ABS(H$39),"n/a")</f>
        <v/>
      </c>
    </row>
    <row r="9">
      <c r="A9" s="11" t="inlineStr">
        <is>
          <t>2. Biên lợi nhuận</t>
        </is>
      </c>
    </row>
    <row r="10">
      <c r="A10" s="12" t="inlineStr">
        <is>
          <t>Biên lợi nhuận gộp</t>
        </is>
      </c>
      <c r="B10" s="14">
        <f>IFERROR(B$41/B$39,"n/a")</f>
        <v/>
      </c>
      <c r="C10" s="14">
        <f>IFERROR(C$41/C$39,"n/a")</f>
        <v/>
      </c>
      <c r="D10" s="14">
        <f>IFERROR(D$41/D$39,"n/a")</f>
        <v/>
      </c>
      <c r="E10" s="14">
        <f>IFERROR(E$41/E$39,"n/a")</f>
        <v/>
      </c>
      <c r="F10" s="14">
        <f>IFERROR(F$41/F$39,"n/a")</f>
        <v/>
      </c>
      <c r="G10" s="14">
        <f>IFERROR(G$41/G$39,"n/a")</f>
        <v/>
      </c>
      <c r="H10" s="14">
        <f>IFERROR(H$41/H$39,"n/a")</f>
        <v/>
      </c>
      <c r="I10" s="14">
        <f>IFERROR(I$41/I$39,"n/a")</f>
        <v/>
      </c>
    </row>
    <row r="11">
      <c r="A11" s="12" t="inlineStr">
        <is>
          <t>Biên lợi nhuận ròng</t>
        </is>
      </c>
      <c r="B11" s="14">
        <f>IFERROR(B$46/B$39,"n/a")</f>
        <v/>
      </c>
      <c r="C11" s="14">
        <f>IFERROR(C$46/C$39,"n/a")</f>
        <v/>
      </c>
      <c r="D11" s="14">
        <f>IFERROR(D$46/D$39,"n/a")</f>
        <v/>
      </c>
      <c r="E11" s="14">
        <f>IFERROR(E$46/E$39,"n/a")</f>
        <v/>
      </c>
      <c r="F11" s="14">
        <f>IFERROR(F$46/F$39,"n/a")</f>
        <v/>
      </c>
      <c r="G11" s="14">
        <f>IFERROR(G$46/G$39,"n/a")</f>
        <v/>
      </c>
      <c r="H11" s="14">
        <f>IFERROR(H$46/H$39,"n/a")</f>
        <v/>
      </c>
      <c r="I11" s="14">
        <f>IFERROR(I$46/I$39,"n/a")</f>
        <v/>
      </c>
    </row>
    <row r="12">
      <c r="A12" s="11" t="inlineStr">
        <is>
          <t>3. Đòn bẩy tài chính</t>
        </is>
      </c>
    </row>
    <row r="13">
      <c r="A13" s="12" t="inlineStr">
        <is>
          <t>D/E (Nợ vay / Vốn chủ sở hữu)</t>
        </is>
      </c>
      <c r="B13" s="15">
        <f>IFERROR((B$37+B$38)/B$32,"n/a")</f>
        <v/>
      </c>
      <c r="C13" s="15">
        <f>IFERROR((C$37+C$38)/C$32,"n/a")</f>
        <v/>
      </c>
      <c r="D13" s="15">
        <f>IFERROR((D$37+D$38)/D$32,"n/a")</f>
        <v/>
      </c>
      <c r="E13" s="15">
        <f>IFERROR((E$37+E$38)/E$32,"n/a")</f>
        <v/>
      </c>
      <c r="F13" s="15">
        <f>IFERROR((F$37+F$38)/F$32,"n/a")</f>
        <v/>
      </c>
      <c r="G13" s="15">
        <f>IFERROR((G$37+G$38)/G$32,"n/a")</f>
        <v/>
      </c>
      <c r="H13" s="15">
        <f>IFERROR((H$37+H$38)/H$32,"n/a")</f>
        <v/>
      </c>
      <c r="I13" s="15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5">
        <f>IFERROR(B$38/B$32,"n/a")</f>
        <v/>
      </c>
      <c r="C14" s="15">
        <f>IFERROR(C$38/C$32,"n/a")</f>
        <v/>
      </c>
      <c r="D14" s="15">
        <f>IFERROR(D$38/D$32,"n/a")</f>
        <v/>
      </c>
      <c r="E14" s="15">
        <f>IFERROR(E$38/E$32,"n/a")</f>
        <v/>
      </c>
      <c r="F14" s="15">
        <f>IFERROR(F$38/F$32,"n/a")</f>
        <v/>
      </c>
      <c r="G14" s="15">
        <f>IFERROR(G$38/G$32,"n/a")</f>
        <v/>
      </c>
      <c r="H14" s="15">
        <f>IFERROR(H$38/H$32,"n/a")</f>
        <v/>
      </c>
      <c r="I14" s="15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5">
        <f>IFERROR(B$37/B$32,"n/a")</f>
        <v/>
      </c>
      <c r="C15" s="15">
        <f>IFERROR(C$37/C$32,"n/a")</f>
        <v/>
      </c>
      <c r="D15" s="15">
        <f>IFERROR(D$37/D$32,"n/a")</f>
        <v/>
      </c>
      <c r="E15" s="15">
        <f>IFERROR(E$37/E$32,"n/a")</f>
        <v/>
      </c>
      <c r="F15" s="15">
        <f>IFERROR(F$37/F$32,"n/a")</f>
        <v/>
      </c>
      <c r="G15" s="15">
        <f>IFERROR(G$37/G$32,"n/a")</f>
        <v/>
      </c>
      <c r="H15" s="15">
        <f>IFERROR(H$37/H$32,"n/a")</f>
        <v/>
      </c>
      <c r="I15" s="15">
        <f>IFERROR(I$37/I$32,"n/a")</f>
        <v/>
      </c>
    </row>
    <row r="16">
      <c r="A16" s="12" t="inlineStr">
        <is>
          <t>Nợ phải trả/Vốn chủ sở hữu</t>
        </is>
      </c>
      <c r="B16" s="15">
        <f>IFERROR(B$34/B$32,"n/a")</f>
        <v/>
      </c>
      <c r="C16" s="15">
        <f>IFERROR(C$34/C$32,"n/a")</f>
        <v/>
      </c>
      <c r="D16" s="15">
        <f>IFERROR(D$34/D$32,"n/a")</f>
        <v/>
      </c>
      <c r="E16" s="15">
        <f>IFERROR(E$34/E$32,"n/a")</f>
        <v/>
      </c>
      <c r="F16" s="15">
        <f>IFERROR(F$34/F$32,"n/a")</f>
        <v/>
      </c>
      <c r="G16" s="15">
        <f>IFERROR(G$34/G$32,"n/a")</f>
        <v/>
      </c>
      <c r="H16" s="15">
        <f>IFERROR(H$34/H$32,"n/a")</f>
        <v/>
      </c>
      <c r="I16" s="15">
        <f>IFERROR(I$34/I$32,"n/a")</f>
        <v/>
      </c>
    </row>
    <row r="17">
      <c r="A17" s="3" t="inlineStr">
        <is>
          <t xml:space="preserve">     - Nợ dài hạn/Vốn chủ sở hữu</t>
        </is>
      </c>
      <c r="B17" s="15">
        <f>IFERROR(B$36/B$32,"n/a")</f>
        <v/>
      </c>
      <c r="C17" s="15">
        <f>IFERROR(C$36/C$32,"n/a")</f>
        <v/>
      </c>
      <c r="D17" s="15">
        <f>IFERROR(D$36/D$32,"n/a")</f>
        <v/>
      </c>
      <c r="E17" s="15">
        <f>IFERROR(E$36/E$32,"n/a")</f>
        <v/>
      </c>
      <c r="F17" s="15">
        <f>IFERROR(F$36/F$32,"n/a")</f>
        <v/>
      </c>
      <c r="G17" s="15">
        <f>IFERROR(G$36/G$32,"n/a")</f>
        <v/>
      </c>
      <c r="H17" s="15">
        <f>IFERROR(H$36/H$32,"n/a")</f>
        <v/>
      </c>
      <c r="I17" s="15">
        <f>IFERROR(I$36/I$32,"n/a")</f>
        <v/>
      </c>
    </row>
    <row r="18">
      <c r="A18" s="3" t="inlineStr">
        <is>
          <t xml:space="preserve">     - Nợ ngắn hạn/Vốn chủ sở hữu</t>
        </is>
      </c>
      <c r="B18" s="15">
        <f>IFERROR(B$35/B$32,"n/a")</f>
        <v/>
      </c>
      <c r="C18" s="15">
        <f>IFERROR(C$35/C$32,"n/a")</f>
        <v/>
      </c>
      <c r="D18" s="15">
        <f>IFERROR(D$35/D$32,"n/a")</f>
        <v/>
      </c>
      <c r="E18" s="15">
        <f>IFERROR(E$35/E$32,"n/a")</f>
        <v/>
      </c>
      <c r="F18" s="15">
        <f>IFERROR(F$35/F$32,"n/a")</f>
        <v/>
      </c>
      <c r="G18" s="15">
        <f>IFERROR(G$35/G$32,"n/a")</f>
        <v/>
      </c>
      <c r="H18" s="15">
        <f>IFERROR(H$35/H$32,"n/a")</f>
        <v/>
      </c>
      <c r="I18" s="15">
        <f>IFERROR(I$35/I$32,"n/a")</f>
        <v/>
      </c>
    </row>
    <row r="19">
      <c r="A19" s="11" t="inlineStr">
        <is>
          <t>4. Chi phí &amp; khả năng trả lãi</t>
        </is>
      </c>
    </row>
    <row r="20">
      <c r="A20" s="12" t="inlineStr">
        <is>
          <t>Chi phí bán hàng, quản lý/LN gộp</t>
        </is>
      </c>
      <c r="B20" s="14">
        <f>IFERROR((ABS(B$42)+ABS(B$43))/B$41,"n/a")</f>
        <v/>
      </c>
      <c r="C20" s="14">
        <f>IFERROR((ABS(C$42)+ABS(C$43))/C$41,"n/a")</f>
        <v/>
      </c>
      <c r="D20" s="14">
        <f>IFERROR((ABS(D$42)+ABS(D$43))/D$41,"n/a")</f>
        <v/>
      </c>
      <c r="E20" s="14">
        <f>IFERROR((ABS(E$42)+ABS(E$43))/E$41,"n/a")</f>
        <v/>
      </c>
      <c r="F20" s="14">
        <f>IFERROR((ABS(F$42)+ABS(F$43))/F$41,"n/a")</f>
        <v/>
      </c>
      <c r="G20" s="14">
        <f>IFERROR((ABS(G$42)+ABS(G$43))/G$41,"n/a")</f>
        <v/>
      </c>
      <c r="H20" s="14">
        <f>IFERROR((ABS(H$42)+ABS(H$43))/H$41,"n/a")</f>
        <v/>
      </c>
      <c r="I20" s="14">
        <f>IFERROR((ABS(I$42)+ABS(I$43))/I$41,"n/a")</f>
        <v/>
      </c>
    </row>
    <row r="21">
      <c r="A21" s="12" t="inlineStr">
        <is>
          <t>Chi phí lãi vay/LN từ hoạt động kinh doanh</t>
        </is>
      </c>
      <c r="B21" s="14">
        <f>IFERROR(ABS(B$45)/B$44,"n/a")</f>
        <v/>
      </c>
      <c r="C21" s="14">
        <f>IFERROR(ABS(C$45)/C$44,"n/a")</f>
        <v/>
      </c>
      <c r="D21" s="14">
        <f>IFERROR(ABS(D$45)/D$44,"n/a")</f>
        <v/>
      </c>
      <c r="E21" s="14">
        <f>IFERROR(ABS(E$45)/E$44,"n/a")</f>
        <v/>
      </c>
      <c r="F21" s="14">
        <f>IFERROR(ABS(F$45)/F$44,"n/a")</f>
        <v/>
      </c>
      <c r="G21" s="14">
        <f>IFERROR(ABS(G$45)/G$44,"n/a")</f>
        <v/>
      </c>
      <c r="H21" s="14">
        <f>IFERROR(ABS(H$45)/H$44,"n/a")</f>
        <v/>
      </c>
      <c r="I21" s="14">
        <f>IFERROR(ABS(I$45)/I$44,"n/a")</f>
        <v/>
      </c>
    </row>
    <row r="22">
      <c r="A22" s="11" t="inlineStr">
        <is>
          <t>5. Chu kỳ hoạt động vốn lưu động</t>
        </is>
      </c>
    </row>
    <row r="23">
      <c r="A23" s="12" t="inlineStr">
        <is>
          <t>Số ngày phải trả (DPO)</t>
        </is>
      </c>
      <c r="B23" s="13" t="inlineStr">
        <is>
          <t>n/a</t>
        </is>
      </c>
      <c r="C23" s="16">
        <f>IFERROR(((C$49+B$49)/2)/ABS(C$40)*365,"n/a")</f>
        <v/>
      </c>
      <c r="D23" s="16">
        <f>IFERROR(((D$49+C$49)/2)/ABS(D$40)*365,"n/a")</f>
        <v/>
      </c>
      <c r="E23" s="16">
        <f>IFERROR(((E$49+D$49)/2)/ABS(E$40)*365,"n/a")</f>
        <v/>
      </c>
      <c r="F23" s="16">
        <f>IFERROR(((F$49+E$49)/2)/ABS(F$40)*365,"n/a")</f>
        <v/>
      </c>
      <c r="G23" s="16">
        <f>IFERROR(((G$49+F$49)/2)/ABS(G$40)*365,"n/a")</f>
        <v/>
      </c>
      <c r="H23" s="16">
        <f>IFERROR(((H$49+G$49)/2)/ABS(H$40)*365,"n/a")</f>
        <v/>
      </c>
      <c r="I23" s="16">
        <f>IFERROR(((I$49+H$49)/2)/ABS(I$40)*365,"n/a")</f>
        <v/>
      </c>
    </row>
    <row r="24">
      <c r="A24" s="12" t="inlineStr">
        <is>
          <t>Số ngày phải thu (DSO)</t>
        </is>
      </c>
      <c r="B24" s="13" t="inlineStr">
        <is>
          <t>n/a</t>
        </is>
      </c>
      <c r="C24" s="16">
        <f>IFERROR(((C$48+B$48)/2)/C$39*365,"n/a")</f>
        <v/>
      </c>
      <c r="D24" s="16">
        <f>IFERROR(((D$48+C$48)/2)/D$39*365,"n/a")</f>
        <v/>
      </c>
      <c r="E24" s="16">
        <f>IFERROR(((E$48+D$48)/2)/E$39*365,"n/a")</f>
        <v/>
      </c>
      <c r="F24" s="16">
        <f>IFERROR(((F$48+E$48)/2)/F$39*365,"n/a")</f>
        <v/>
      </c>
      <c r="G24" s="16">
        <f>IFERROR(((G$48+F$48)/2)/G$39*365,"n/a")</f>
        <v/>
      </c>
      <c r="H24" s="16">
        <f>IFERROR(((H$48+G$48)/2)/H$39*365,"n/a")</f>
        <v/>
      </c>
      <c r="I24" s="16">
        <f>IFERROR(((I$48+H$48)/2)/I$39*365,"n/a")</f>
        <v/>
      </c>
    </row>
    <row r="25">
      <c r="A25" s="12" t="inlineStr">
        <is>
          <t>Số ngày tồn kho (DIO)</t>
        </is>
      </c>
      <c r="B25" s="13" t="inlineStr">
        <is>
          <t>n/a</t>
        </is>
      </c>
      <c r="C25" s="16">
        <f>IFERROR(((C$50+B$50)/2)/ABS(C$40)*365,"n/a")</f>
        <v/>
      </c>
      <c r="D25" s="16">
        <f>IFERROR(((D$50+C$50)/2)/ABS(D$40)*365,"n/a")</f>
        <v/>
      </c>
      <c r="E25" s="16">
        <f>IFERROR(((E$50+D$50)/2)/ABS(E$40)*365,"n/a")</f>
        <v/>
      </c>
      <c r="F25" s="16">
        <f>IFERROR(((F$50+E$50)/2)/ABS(F$40)*365,"n/a")</f>
        <v/>
      </c>
      <c r="G25" s="16">
        <f>IFERROR(((G$50+F$50)/2)/ABS(G$40)*365,"n/a")</f>
        <v/>
      </c>
      <c r="H25" s="16">
        <f>IFERROR(((H$50+G$50)/2)/ABS(H$40)*365,"n/a")</f>
        <v/>
      </c>
      <c r="I25" s="16">
        <f>IFERROR(((I$50+H$50)/2)/ABS(I$40)*365,"n/a")</f>
        <v/>
      </c>
    </row>
    <row r="26">
      <c r="A26" s="11" t="inlineStr">
        <is>
          <t>6. Cơ cấu tài sản</t>
        </is>
      </c>
    </row>
    <row r="27">
      <c r="A27" s="12" t="inlineStr">
        <is>
          <t>Tiền và tương đương tiền/Tài sản</t>
        </is>
      </c>
      <c r="B27" s="14">
        <f>IFERROR(B$51/B$33,"n/a")</f>
        <v/>
      </c>
      <c r="C27" s="14">
        <f>IFERROR(C$51/C$33,"n/a")</f>
        <v/>
      </c>
      <c r="D27" s="14">
        <f>IFERROR(D$51/D$33,"n/a")</f>
        <v/>
      </c>
      <c r="E27" s="14">
        <f>IFERROR(E$51/E$33,"n/a")</f>
        <v/>
      </c>
      <c r="F27" s="14">
        <f>IFERROR(F$51/F$33,"n/a")</f>
        <v/>
      </c>
      <c r="G27" s="14">
        <f>IFERROR(G$51/G$33,"n/a")</f>
        <v/>
      </c>
      <c r="H27" s="14">
        <f>IFERROR(H$51/H$33,"n/a")</f>
        <v/>
      </c>
      <c r="I27" s="14">
        <f>IFERROR(I$51/I$33,"n/a")</f>
        <v/>
      </c>
    </row>
    <row r="28">
      <c r="A28" s="12" t="inlineStr">
        <is>
          <t>Hàng tồn kho/Tài sản</t>
        </is>
      </c>
      <c r="B28" s="14">
        <f>IFERROR(B$50/B$33,"n/a")</f>
        <v/>
      </c>
      <c r="C28" s="14">
        <f>IFERROR(C$50/C$33,"n/a")</f>
        <v/>
      </c>
      <c r="D28" s="14">
        <f>IFERROR(D$50/D$33,"n/a")</f>
        <v/>
      </c>
      <c r="E28" s="14">
        <f>IFERROR(E$50/E$33,"n/a")</f>
        <v/>
      </c>
      <c r="F28" s="14">
        <f>IFERROR(F$50/F$33,"n/a")</f>
        <v/>
      </c>
      <c r="G28" s="14">
        <f>IFERROR(G$50/G$33,"n/a")</f>
        <v/>
      </c>
      <c r="H28" s="14">
        <f>IFERROR(H$50/H$33,"n/a")</f>
        <v/>
      </c>
      <c r="I28" s="14">
        <f>IFERROR(I$50/I$33,"n/a")</f>
        <v/>
      </c>
    </row>
    <row r="29"/>
    <row r="30">
      <c r="A30" s="7" t="inlineStr">
        <is>
          <t>II. DỮ LIỆU TRÍCH XUẤT (tự động dò theo tên khoản mục)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</row>
    <row r="31">
      <c r="A31" s="9" t="inlineStr">
        <is>
          <t>Khoản mục</t>
        </is>
      </c>
      <c r="B31" s="10">
        <f>'balance_sheet'!B1</f>
        <v/>
      </c>
      <c r="C31" s="10">
        <f>'balance_sheet'!C1</f>
        <v/>
      </c>
      <c r="D31" s="10">
        <f>'balance_sheet'!D1</f>
        <v/>
      </c>
      <c r="E31" s="10">
        <f>'balance_sheet'!E1</f>
        <v/>
      </c>
      <c r="F31" s="10">
        <f>'balance_sheet'!F1</f>
        <v/>
      </c>
      <c r="G31" s="10">
        <f>'balance_sheet'!G1</f>
        <v/>
      </c>
      <c r="H31" s="10">
        <f>'balance_sheet'!H1</f>
        <v/>
      </c>
      <c r="I31" s="10">
        <f>'balance_sheet'!I1</f>
        <v/>
      </c>
    </row>
    <row r="32">
      <c r="A32" s="3" t="inlineStr">
        <is>
          <t>Vốn chủ sở hữu</t>
        </is>
      </c>
      <c r="B32" s="17">
        <f>IFERROR(INDEX(balance_sheet!$B:$I,MATCH("Vốn chủ sở hữu",balance_sheet!$A:$A,0),MATCH(B$31,balance_sheet!$B$1:$I$1,0)),"")</f>
        <v/>
      </c>
      <c r="C32" s="17">
        <f>IFERROR(INDEX(balance_sheet!$B:$I,MATCH("Vốn chủ sở hữu",balance_sheet!$A:$A,0),MATCH(C$31,balance_sheet!$B$1:$I$1,0)),"")</f>
        <v/>
      </c>
      <c r="D32" s="17">
        <f>IFERROR(INDEX(balance_sheet!$B:$I,MATCH("Vốn chủ sở hữu",balance_sheet!$A:$A,0),MATCH(D$31,balance_sheet!$B$1:$I$1,0)),"")</f>
        <v/>
      </c>
      <c r="E32" s="17">
        <f>IFERROR(INDEX(balance_sheet!$B:$I,MATCH("Vốn chủ sở hữu",balance_sheet!$A:$A,0),MATCH(E$31,balance_sheet!$B$1:$I$1,0)),"")</f>
        <v/>
      </c>
      <c r="F32" s="17">
        <f>IFERROR(INDEX(balance_sheet!$B:$I,MATCH("Vốn chủ sở hữu",balance_sheet!$A:$A,0),MATCH(F$31,balance_sheet!$B$1:$I$1,0)),"")</f>
        <v/>
      </c>
      <c r="G32" s="17">
        <f>IFERROR(INDEX(balance_sheet!$B:$I,MATCH("Vốn chủ sở hữu",balance_sheet!$A:$A,0),MATCH(G$31,balance_sheet!$B$1:$I$1,0)),"")</f>
        <v/>
      </c>
      <c r="H32" s="17">
        <f>IFERROR(INDEX(balance_sheet!$B:$I,MATCH("Vốn chủ sở hữu",balance_sheet!$A:$A,0),MATCH(H$31,balance_sheet!$B$1:$I$1,0)),"")</f>
        <v/>
      </c>
      <c r="I32" s="17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7">
        <f>IFERROR(INDEX(balance_sheet!$B:$I,MATCH("TỔNG CỘNG TÀI SẢN",balance_sheet!$A:$A,0),MATCH(B$31,balance_sheet!$B$1:$I$1,0)),"")</f>
        <v/>
      </c>
      <c r="C33" s="17">
        <f>IFERROR(INDEX(balance_sheet!$B:$I,MATCH("TỔNG CỘNG TÀI SẢN",balance_sheet!$A:$A,0),MATCH(C$31,balance_sheet!$B$1:$I$1,0)),"")</f>
        <v/>
      </c>
      <c r="D33" s="17">
        <f>IFERROR(INDEX(balance_sheet!$B:$I,MATCH("TỔNG CỘNG TÀI SẢN",balance_sheet!$A:$A,0),MATCH(D$31,balance_sheet!$B$1:$I$1,0)),"")</f>
        <v/>
      </c>
      <c r="E33" s="17">
        <f>IFERROR(INDEX(balance_sheet!$B:$I,MATCH("TỔNG CỘNG TÀI SẢN",balance_sheet!$A:$A,0),MATCH(E$31,balance_sheet!$B$1:$I$1,0)),"")</f>
        <v/>
      </c>
      <c r="F33" s="17">
        <f>IFERROR(INDEX(balance_sheet!$B:$I,MATCH("TỔNG CỘNG TÀI SẢN",balance_sheet!$A:$A,0),MATCH(F$31,balance_sheet!$B$1:$I$1,0)),"")</f>
        <v/>
      </c>
      <c r="G33" s="17">
        <f>IFERROR(INDEX(balance_sheet!$B:$I,MATCH("TỔNG CỘNG TÀI SẢN",balance_sheet!$A:$A,0),MATCH(G$31,balance_sheet!$B$1:$I$1,0)),"")</f>
        <v/>
      </c>
      <c r="H33" s="17">
        <f>IFERROR(INDEX(balance_sheet!$B:$I,MATCH("TỔNG CỘNG TÀI SẢN",balance_sheet!$A:$A,0),MATCH(H$31,balance_sheet!$B$1:$I$1,0)),"")</f>
        <v/>
      </c>
      <c r="I33" s="17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7">
        <f>IFERROR(INDEX(balance_sheet!$B:$I,MATCH("NỢ PHẢI TRẢ",balance_sheet!$A:$A,0),MATCH(B$31,balance_sheet!$B$1:$I$1,0)),"")</f>
        <v/>
      </c>
      <c r="C34" s="17">
        <f>IFERROR(INDEX(balance_sheet!$B:$I,MATCH("NỢ PHẢI TRẢ",balance_sheet!$A:$A,0),MATCH(C$31,balance_sheet!$B$1:$I$1,0)),"")</f>
        <v/>
      </c>
      <c r="D34" s="17">
        <f>IFERROR(INDEX(balance_sheet!$B:$I,MATCH("NỢ PHẢI TRẢ",balance_sheet!$A:$A,0),MATCH(D$31,balance_sheet!$B$1:$I$1,0)),"")</f>
        <v/>
      </c>
      <c r="E34" s="17">
        <f>IFERROR(INDEX(balance_sheet!$B:$I,MATCH("NỢ PHẢI TRẢ",balance_sheet!$A:$A,0),MATCH(E$31,balance_sheet!$B$1:$I$1,0)),"")</f>
        <v/>
      </c>
      <c r="F34" s="17">
        <f>IFERROR(INDEX(balance_sheet!$B:$I,MATCH("NỢ PHẢI TRẢ",balance_sheet!$A:$A,0),MATCH(F$31,balance_sheet!$B$1:$I$1,0)),"")</f>
        <v/>
      </c>
      <c r="G34" s="17">
        <f>IFERROR(INDEX(balance_sheet!$B:$I,MATCH("NỢ PHẢI TRẢ",balance_sheet!$A:$A,0),MATCH(G$31,balance_sheet!$B$1:$I$1,0)),"")</f>
        <v/>
      </c>
      <c r="H34" s="17">
        <f>IFERROR(INDEX(balance_sheet!$B:$I,MATCH("NỢ PHẢI TRẢ",balance_sheet!$A:$A,0),MATCH(H$31,balance_sheet!$B$1:$I$1,0)),"")</f>
        <v/>
      </c>
      <c r="I34" s="17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7">
        <f>IFERROR(INDEX(balance_sheet!$B:$I,MATCH("Nợ ngắn hạn",balance_sheet!$A:$A,0),MATCH(B$31,balance_sheet!$B$1:$I$1,0)),"")</f>
        <v/>
      </c>
      <c r="C35" s="17">
        <f>IFERROR(INDEX(balance_sheet!$B:$I,MATCH("Nợ ngắn hạn",balance_sheet!$A:$A,0),MATCH(C$31,balance_sheet!$B$1:$I$1,0)),"")</f>
        <v/>
      </c>
      <c r="D35" s="17">
        <f>IFERROR(INDEX(balance_sheet!$B:$I,MATCH("Nợ ngắn hạn",balance_sheet!$A:$A,0),MATCH(D$31,balance_sheet!$B$1:$I$1,0)),"")</f>
        <v/>
      </c>
      <c r="E35" s="17">
        <f>IFERROR(INDEX(balance_sheet!$B:$I,MATCH("Nợ ngắn hạn",balance_sheet!$A:$A,0),MATCH(E$31,balance_sheet!$B$1:$I$1,0)),"")</f>
        <v/>
      </c>
      <c r="F35" s="17">
        <f>IFERROR(INDEX(balance_sheet!$B:$I,MATCH("Nợ ngắn hạn",balance_sheet!$A:$A,0),MATCH(F$31,balance_sheet!$B$1:$I$1,0)),"")</f>
        <v/>
      </c>
      <c r="G35" s="17">
        <f>IFERROR(INDEX(balance_sheet!$B:$I,MATCH("Nợ ngắn hạn",balance_sheet!$A:$A,0),MATCH(G$31,balance_sheet!$B$1:$I$1,0)),"")</f>
        <v/>
      </c>
      <c r="H35" s="17">
        <f>IFERROR(INDEX(balance_sheet!$B:$I,MATCH("Nợ ngắn hạn",balance_sheet!$A:$A,0),MATCH(H$31,balance_sheet!$B$1:$I$1,0)),"")</f>
        <v/>
      </c>
      <c r="I35" s="17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7">
        <f>IFERROR(INDEX(balance_sheet!$B:$I,MATCH("Nợ dài hạn",balance_sheet!$A:$A,0),MATCH(B$31,balance_sheet!$B$1:$I$1,0)),"")</f>
        <v/>
      </c>
      <c r="C36" s="17">
        <f>IFERROR(INDEX(balance_sheet!$B:$I,MATCH("Nợ dài hạn",balance_sheet!$A:$A,0),MATCH(C$31,balance_sheet!$B$1:$I$1,0)),"")</f>
        <v/>
      </c>
      <c r="D36" s="17">
        <f>IFERROR(INDEX(balance_sheet!$B:$I,MATCH("Nợ dài hạn",balance_sheet!$A:$A,0),MATCH(D$31,balance_sheet!$B$1:$I$1,0)),"")</f>
        <v/>
      </c>
      <c r="E36" s="17">
        <f>IFERROR(INDEX(balance_sheet!$B:$I,MATCH("Nợ dài hạn",balance_sheet!$A:$A,0),MATCH(E$31,balance_sheet!$B$1:$I$1,0)),"")</f>
        <v/>
      </c>
      <c r="F36" s="17">
        <f>IFERROR(INDEX(balance_sheet!$B:$I,MATCH("Nợ dài hạn",balance_sheet!$A:$A,0),MATCH(F$31,balance_sheet!$B$1:$I$1,0)),"")</f>
        <v/>
      </c>
      <c r="G36" s="17">
        <f>IFERROR(INDEX(balance_sheet!$B:$I,MATCH("Nợ dài hạn",balance_sheet!$A:$A,0),MATCH(G$31,balance_sheet!$B$1:$I$1,0)),"")</f>
        <v/>
      </c>
      <c r="H36" s="17">
        <f>IFERROR(INDEX(balance_sheet!$B:$I,MATCH("Nợ dài hạn",balance_sheet!$A:$A,0),MATCH(H$31,balance_sheet!$B$1:$I$1,0)),"")</f>
        <v/>
      </c>
      <c r="I36" s="17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7">
        <f>IFERROR(INDEX(balance_sheet!$B:$I,MATCH("Vay ngắn hạn",balance_sheet!$A:$A,0),MATCH(B$31,balance_sheet!$B$1:$I$1,0)),"")</f>
        <v/>
      </c>
      <c r="C37" s="17">
        <f>IFERROR(INDEX(balance_sheet!$B:$I,MATCH("Vay ngắn hạn",balance_sheet!$A:$A,0),MATCH(C$31,balance_sheet!$B$1:$I$1,0)),"")</f>
        <v/>
      </c>
      <c r="D37" s="17">
        <f>IFERROR(INDEX(balance_sheet!$B:$I,MATCH("Vay ngắn hạn",balance_sheet!$A:$A,0),MATCH(D$31,balance_sheet!$B$1:$I$1,0)),"")</f>
        <v/>
      </c>
      <c r="E37" s="17">
        <f>IFERROR(INDEX(balance_sheet!$B:$I,MATCH("Vay ngắn hạn",balance_sheet!$A:$A,0),MATCH(E$31,balance_sheet!$B$1:$I$1,0)),"")</f>
        <v/>
      </c>
      <c r="F37" s="17">
        <f>IFERROR(INDEX(balance_sheet!$B:$I,MATCH("Vay ngắn hạn",balance_sheet!$A:$A,0),MATCH(F$31,balance_sheet!$B$1:$I$1,0)),"")</f>
        <v/>
      </c>
      <c r="G37" s="17">
        <f>IFERROR(INDEX(balance_sheet!$B:$I,MATCH("Vay ngắn hạn",balance_sheet!$A:$A,0),MATCH(G$31,balance_sheet!$B$1:$I$1,0)),"")</f>
        <v/>
      </c>
      <c r="H37" s="17">
        <f>IFERROR(INDEX(balance_sheet!$B:$I,MATCH("Vay ngắn hạn",balance_sheet!$A:$A,0),MATCH(H$31,balance_sheet!$B$1:$I$1,0)),"")</f>
        <v/>
      </c>
      <c r="I37" s="17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7">
        <f>IFERROR(INDEX(balance_sheet!$B:$I,MATCH("Vay dài hạn",balance_sheet!$A:$A,0),MATCH(B$31,balance_sheet!$B$1:$I$1,0)),"")</f>
        <v/>
      </c>
      <c r="C38" s="17">
        <f>IFERROR(INDEX(balance_sheet!$B:$I,MATCH("Vay dài hạn",balance_sheet!$A:$A,0),MATCH(C$31,balance_sheet!$B$1:$I$1,0)),"")</f>
        <v/>
      </c>
      <c r="D38" s="17">
        <f>IFERROR(INDEX(balance_sheet!$B:$I,MATCH("Vay dài hạn",balance_sheet!$A:$A,0),MATCH(D$31,balance_sheet!$B$1:$I$1,0)),"")</f>
        <v/>
      </c>
      <c r="E38" s="17">
        <f>IFERROR(INDEX(balance_sheet!$B:$I,MATCH("Vay dài hạn",balance_sheet!$A:$A,0),MATCH(E$31,balance_sheet!$B$1:$I$1,0)),"")</f>
        <v/>
      </c>
      <c r="F38" s="17">
        <f>IFERROR(INDEX(balance_sheet!$B:$I,MATCH("Vay dài hạn",balance_sheet!$A:$A,0),MATCH(F$31,balance_sheet!$B$1:$I$1,0)),"")</f>
        <v/>
      </c>
      <c r="G38" s="17">
        <f>IFERROR(INDEX(balance_sheet!$B:$I,MATCH("Vay dài hạn",balance_sheet!$A:$A,0),MATCH(G$31,balance_sheet!$B$1:$I$1,0)),"")</f>
        <v/>
      </c>
      <c r="H38" s="17">
        <f>IFERROR(INDEX(balance_sheet!$B:$I,MATCH("Vay dài hạn",balance_sheet!$A:$A,0),MATCH(H$31,balance_sheet!$B$1:$I$1,0)),"")</f>
        <v/>
      </c>
      <c r="I38" s="17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7">
        <f>IFERROR(INDEX(income_statement!$B:$I,MATCH("Doanh thu thuần",income_statement!$A:$A,0),MATCH(B$31,income_statement!$B$1:$I$1,0)),"")</f>
        <v/>
      </c>
      <c r="C39" s="17">
        <f>IFERROR(INDEX(income_statement!$B:$I,MATCH("Doanh thu thuần",income_statement!$A:$A,0),MATCH(C$31,income_statement!$B$1:$I$1,0)),"")</f>
        <v/>
      </c>
      <c r="D39" s="17">
        <f>IFERROR(INDEX(income_statement!$B:$I,MATCH("Doanh thu thuần",income_statement!$A:$A,0),MATCH(D$31,income_statement!$B$1:$I$1,0)),"")</f>
        <v/>
      </c>
      <c r="E39" s="17">
        <f>IFERROR(INDEX(income_statement!$B:$I,MATCH("Doanh thu thuần",income_statement!$A:$A,0),MATCH(E$31,income_statement!$B$1:$I$1,0)),"")</f>
        <v/>
      </c>
      <c r="F39" s="17">
        <f>IFERROR(INDEX(income_statement!$B:$I,MATCH("Doanh thu thuần",income_statement!$A:$A,0),MATCH(F$31,income_statement!$B$1:$I$1,0)),"")</f>
        <v/>
      </c>
      <c r="G39" s="17">
        <f>IFERROR(INDEX(income_statement!$B:$I,MATCH("Doanh thu thuần",income_statement!$A:$A,0),MATCH(G$31,income_statement!$B$1:$I$1,0)),"")</f>
        <v/>
      </c>
      <c r="H39" s="17">
        <f>IFERROR(INDEX(income_statement!$B:$I,MATCH("Doanh thu thuần",income_statement!$A:$A,0),MATCH(H$31,income_statement!$B$1:$I$1,0)),"")</f>
        <v/>
      </c>
      <c r="I39" s="17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7">
        <f>IFERROR(INDEX(income_statement!$B:$I,MATCH("Giá vốn hàng bán",income_statement!$A:$A,0),MATCH(B$31,income_statement!$B$1:$I$1,0)),"")</f>
        <v/>
      </c>
      <c r="C40" s="17">
        <f>IFERROR(INDEX(income_statement!$B:$I,MATCH("Giá vốn hàng bán",income_statement!$A:$A,0),MATCH(C$31,income_statement!$B$1:$I$1,0)),"")</f>
        <v/>
      </c>
      <c r="D40" s="17">
        <f>IFERROR(INDEX(income_statement!$B:$I,MATCH("Giá vốn hàng bán",income_statement!$A:$A,0),MATCH(D$31,income_statement!$B$1:$I$1,0)),"")</f>
        <v/>
      </c>
      <c r="E40" s="17">
        <f>IFERROR(INDEX(income_statement!$B:$I,MATCH("Giá vốn hàng bán",income_statement!$A:$A,0),MATCH(E$31,income_statement!$B$1:$I$1,0)),"")</f>
        <v/>
      </c>
      <c r="F40" s="17">
        <f>IFERROR(INDEX(income_statement!$B:$I,MATCH("Giá vốn hàng bán",income_statement!$A:$A,0),MATCH(F$31,income_statement!$B$1:$I$1,0)),"")</f>
        <v/>
      </c>
      <c r="G40" s="17">
        <f>IFERROR(INDEX(income_statement!$B:$I,MATCH("Giá vốn hàng bán",income_statement!$A:$A,0),MATCH(G$31,income_statement!$B$1:$I$1,0)),"")</f>
        <v/>
      </c>
      <c r="H40" s="17">
        <f>IFERROR(INDEX(income_statement!$B:$I,MATCH("Giá vốn hàng bán",income_statement!$A:$A,0),MATCH(H$31,income_statement!$B$1:$I$1,0)),"")</f>
        <v/>
      </c>
      <c r="I40" s="17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7">
        <f>IFERROR(INDEX(income_statement!$B:$I,MATCH("Lợi nhuận gộp",income_statement!$A:$A,0),MATCH(B$31,income_statement!$B$1:$I$1,0)),"")</f>
        <v/>
      </c>
      <c r="C41" s="17">
        <f>IFERROR(INDEX(income_statement!$B:$I,MATCH("Lợi nhuận gộp",income_statement!$A:$A,0),MATCH(C$31,income_statement!$B$1:$I$1,0)),"")</f>
        <v/>
      </c>
      <c r="D41" s="17">
        <f>IFERROR(INDEX(income_statement!$B:$I,MATCH("Lợi nhuận gộp",income_statement!$A:$A,0),MATCH(D$31,income_statement!$B$1:$I$1,0)),"")</f>
        <v/>
      </c>
      <c r="E41" s="17">
        <f>IFERROR(INDEX(income_statement!$B:$I,MATCH("Lợi nhuận gộp",income_statement!$A:$A,0),MATCH(E$31,income_statement!$B$1:$I$1,0)),"")</f>
        <v/>
      </c>
      <c r="F41" s="17">
        <f>IFERROR(INDEX(income_statement!$B:$I,MATCH("Lợi nhuận gộp",income_statement!$A:$A,0),MATCH(F$31,income_statement!$B$1:$I$1,0)),"")</f>
        <v/>
      </c>
      <c r="G41" s="17">
        <f>IFERROR(INDEX(income_statement!$B:$I,MATCH("Lợi nhuận gộp",income_statement!$A:$A,0),MATCH(G$31,income_statement!$B$1:$I$1,0)),"")</f>
        <v/>
      </c>
      <c r="H41" s="17">
        <f>IFERROR(INDEX(income_statement!$B:$I,MATCH("Lợi nhuận gộp",income_statement!$A:$A,0),MATCH(H$31,income_statement!$B$1:$I$1,0)),"")</f>
        <v/>
      </c>
      <c r="I41" s="17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7">
        <f>IFERROR(INDEX(income_statement!$B:$I,MATCH("Chi phí bán hàng",income_statement!$A:$A,0),MATCH(B$31,income_statement!$B$1:$I$1,0)),"")</f>
        <v/>
      </c>
      <c r="C42" s="17">
        <f>IFERROR(INDEX(income_statement!$B:$I,MATCH("Chi phí bán hàng",income_statement!$A:$A,0),MATCH(C$31,income_statement!$B$1:$I$1,0)),"")</f>
        <v/>
      </c>
      <c r="D42" s="17">
        <f>IFERROR(INDEX(income_statement!$B:$I,MATCH("Chi phí bán hàng",income_statement!$A:$A,0),MATCH(D$31,income_statement!$B$1:$I$1,0)),"")</f>
        <v/>
      </c>
      <c r="E42" s="17">
        <f>IFERROR(INDEX(income_statement!$B:$I,MATCH("Chi phí bán hàng",income_statement!$A:$A,0),MATCH(E$31,income_statement!$B$1:$I$1,0)),"")</f>
        <v/>
      </c>
      <c r="F42" s="17">
        <f>IFERROR(INDEX(income_statement!$B:$I,MATCH("Chi phí bán hàng",income_statement!$A:$A,0),MATCH(F$31,income_statement!$B$1:$I$1,0)),"")</f>
        <v/>
      </c>
      <c r="G42" s="17">
        <f>IFERROR(INDEX(income_statement!$B:$I,MATCH("Chi phí bán hàng",income_statement!$A:$A,0),MATCH(G$31,income_statement!$B$1:$I$1,0)),"")</f>
        <v/>
      </c>
      <c r="H42" s="17">
        <f>IFERROR(INDEX(income_statement!$B:$I,MATCH("Chi phí bán hàng",income_statement!$A:$A,0),MATCH(H$31,income_statement!$B$1:$I$1,0)),"")</f>
        <v/>
      </c>
      <c r="I42" s="17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7">
        <f>IFERROR(INDEX(income_statement!$B:$I,MATCH("Chi phí quản lý doanh nghiệp",income_statement!$A:$A,0),MATCH(B$31,income_statement!$B$1:$I$1,0)),"")</f>
        <v/>
      </c>
      <c r="C43" s="17">
        <f>IFERROR(INDEX(income_statement!$B:$I,MATCH("Chi phí quản lý doanh nghiệp",income_statement!$A:$A,0),MATCH(C$31,income_statement!$B$1:$I$1,0)),"")</f>
        <v/>
      </c>
      <c r="D43" s="17">
        <f>IFERROR(INDEX(income_statement!$B:$I,MATCH("Chi phí quản lý doanh nghiệp",income_statement!$A:$A,0),MATCH(D$31,income_statement!$B$1:$I$1,0)),"")</f>
        <v/>
      </c>
      <c r="E43" s="17">
        <f>IFERROR(INDEX(income_statement!$B:$I,MATCH("Chi phí quản lý doanh nghiệp",income_statement!$A:$A,0),MATCH(E$31,income_statement!$B$1:$I$1,0)),"")</f>
        <v/>
      </c>
      <c r="F43" s="17">
        <f>IFERROR(INDEX(income_statement!$B:$I,MATCH("Chi phí quản lý doanh nghiệp",income_statement!$A:$A,0),MATCH(F$31,income_statement!$B$1:$I$1,0)),"")</f>
        <v/>
      </c>
      <c r="G43" s="17">
        <f>IFERROR(INDEX(income_statement!$B:$I,MATCH("Chi phí quản lý doanh nghiệp",income_statement!$A:$A,0),MATCH(G$31,income_statement!$B$1:$I$1,0)),"")</f>
        <v/>
      </c>
      <c r="H43" s="17">
        <f>IFERROR(INDEX(income_statement!$B:$I,MATCH("Chi phí quản lý doanh nghiệp",income_statement!$A:$A,0),MATCH(H$31,income_statement!$B$1:$I$1,0)),"")</f>
        <v/>
      </c>
      <c r="I43" s="17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7">
        <f>IFERROR(INDEX(income_statement!$B:$I,MATCH("Lãi/(lỗ) từ hoạt động kinh doanh",income_statement!$A:$A,0),MATCH(B$31,income_statement!$B$1:$I$1,0)),"")</f>
        <v/>
      </c>
      <c r="C44" s="17">
        <f>IFERROR(INDEX(income_statement!$B:$I,MATCH("Lãi/(lỗ) từ hoạt động kinh doanh",income_statement!$A:$A,0),MATCH(C$31,income_statement!$B$1:$I$1,0)),"")</f>
        <v/>
      </c>
      <c r="D44" s="17">
        <f>IFERROR(INDEX(income_statement!$B:$I,MATCH("Lãi/(lỗ) từ hoạt động kinh doanh",income_statement!$A:$A,0),MATCH(D$31,income_statement!$B$1:$I$1,0)),"")</f>
        <v/>
      </c>
      <c r="E44" s="17">
        <f>IFERROR(INDEX(income_statement!$B:$I,MATCH("Lãi/(lỗ) từ hoạt động kinh doanh",income_statement!$A:$A,0),MATCH(E$31,income_statement!$B$1:$I$1,0)),"")</f>
        <v/>
      </c>
      <c r="F44" s="17">
        <f>IFERROR(INDEX(income_statement!$B:$I,MATCH("Lãi/(lỗ) từ hoạt động kinh doanh",income_statement!$A:$A,0),MATCH(F$31,income_statement!$B$1:$I$1,0)),"")</f>
        <v/>
      </c>
      <c r="G44" s="17">
        <f>IFERROR(INDEX(income_statement!$B:$I,MATCH("Lãi/(lỗ) từ hoạt động kinh doanh",income_statement!$A:$A,0),MATCH(G$31,income_statement!$B$1:$I$1,0)),"")</f>
        <v/>
      </c>
      <c r="H44" s="17">
        <f>IFERROR(INDEX(income_statement!$B:$I,MATCH("Lãi/(lỗ) từ hoạt động kinh doanh",income_statement!$A:$A,0),MATCH(H$31,income_statement!$B$1:$I$1,0)),"")</f>
        <v/>
      </c>
      <c r="I44" s="17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7">
        <f>IFERROR(INDEX(income_statement!$B:$I,MATCH("Chi phí lãi vay",income_statement!$A:$A,0),MATCH(B$31,income_statement!$B$1:$I$1,0)),"")</f>
        <v/>
      </c>
      <c r="C45" s="17">
        <f>IFERROR(INDEX(income_statement!$B:$I,MATCH("Chi phí lãi vay",income_statement!$A:$A,0),MATCH(C$31,income_statement!$B$1:$I$1,0)),"")</f>
        <v/>
      </c>
      <c r="D45" s="17">
        <f>IFERROR(INDEX(income_statement!$B:$I,MATCH("Chi phí lãi vay",income_statement!$A:$A,0),MATCH(D$31,income_statement!$B$1:$I$1,0)),"")</f>
        <v/>
      </c>
      <c r="E45" s="17">
        <f>IFERROR(INDEX(income_statement!$B:$I,MATCH("Chi phí lãi vay",income_statement!$A:$A,0),MATCH(E$31,income_statement!$B$1:$I$1,0)),"")</f>
        <v/>
      </c>
      <c r="F45" s="17">
        <f>IFERROR(INDEX(income_statement!$B:$I,MATCH("Chi phí lãi vay",income_statement!$A:$A,0),MATCH(F$31,income_statement!$B$1:$I$1,0)),"")</f>
        <v/>
      </c>
      <c r="G45" s="17">
        <f>IFERROR(INDEX(income_statement!$B:$I,MATCH("Chi phí lãi vay",income_statement!$A:$A,0),MATCH(G$31,income_statement!$B$1:$I$1,0)),"")</f>
        <v/>
      </c>
      <c r="H45" s="17">
        <f>IFERROR(INDEX(income_statement!$B:$I,MATCH("Chi phí lãi vay",income_statement!$A:$A,0),MATCH(H$31,income_statement!$B$1:$I$1,0)),"")</f>
        <v/>
      </c>
      <c r="I45" s="17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7">
        <f>IFERROR(INDEX(income_statement!$B:$I,MATCH("Lãi/(lỗ) thuần sau thuế",income_statement!$A:$A,0),MATCH(B$31,income_statement!$B$1:$I$1,0)),"")</f>
        <v/>
      </c>
      <c r="C46" s="17">
        <f>IFERROR(INDEX(income_statement!$B:$I,MATCH("Lãi/(lỗ) thuần sau thuế",income_statement!$A:$A,0),MATCH(C$31,income_statement!$B$1:$I$1,0)),"")</f>
        <v/>
      </c>
      <c r="D46" s="17">
        <f>IFERROR(INDEX(income_statement!$B:$I,MATCH("Lãi/(lỗ) thuần sau thuế",income_statement!$A:$A,0),MATCH(D$31,income_statement!$B$1:$I$1,0)),"")</f>
        <v/>
      </c>
      <c r="E46" s="17">
        <f>IFERROR(INDEX(income_statement!$B:$I,MATCH("Lãi/(lỗ) thuần sau thuế",income_statement!$A:$A,0),MATCH(E$31,income_statement!$B$1:$I$1,0)),"")</f>
        <v/>
      </c>
      <c r="F46" s="17">
        <f>IFERROR(INDEX(income_statement!$B:$I,MATCH("Lãi/(lỗ) thuần sau thuế",income_statement!$A:$A,0),MATCH(F$31,income_statement!$B$1:$I$1,0)),"")</f>
        <v/>
      </c>
      <c r="G46" s="17">
        <f>IFERROR(INDEX(income_statement!$B:$I,MATCH("Lãi/(lỗ) thuần sau thuế",income_statement!$A:$A,0),MATCH(G$31,income_statement!$B$1:$I$1,0)),"")</f>
        <v/>
      </c>
      <c r="H46" s="17">
        <f>IFERROR(INDEX(income_statement!$B:$I,MATCH("Lãi/(lỗ) thuần sau thuế",income_statement!$A:$A,0),MATCH(H$31,income_statement!$B$1:$I$1,0)),"")</f>
        <v/>
      </c>
      <c r="I46" s="17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7">
        <f>IFERROR(INDEX(income_statement!$B:$I,MATCH("Lợi nhuận của Cổ đông của Công ty mẹ",income_statement!$A:$A,0),MATCH(B$31,income_statement!$B$1:$I$1,0)),"")</f>
        <v/>
      </c>
      <c r="C47" s="17">
        <f>IFERROR(INDEX(income_statement!$B:$I,MATCH("Lợi nhuận của Cổ đông của Công ty mẹ",income_statement!$A:$A,0),MATCH(C$31,income_statement!$B$1:$I$1,0)),"")</f>
        <v/>
      </c>
      <c r="D47" s="17">
        <f>IFERROR(INDEX(income_statement!$B:$I,MATCH("Lợi nhuận của Cổ đông của Công ty mẹ",income_statement!$A:$A,0),MATCH(D$31,income_statement!$B$1:$I$1,0)),"")</f>
        <v/>
      </c>
      <c r="E47" s="17">
        <f>IFERROR(INDEX(income_statement!$B:$I,MATCH("Lợi nhuận của Cổ đông của Công ty mẹ",income_statement!$A:$A,0),MATCH(E$31,income_statement!$B$1:$I$1,0)),"")</f>
        <v/>
      </c>
      <c r="F47" s="17">
        <f>IFERROR(INDEX(income_statement!$B:$I,MATCH("Lợi nhuận của Cổ đông của Công ty mẹ",income_statement!$A:$A,0),MATCH(F$31,income_statement!$B$1:$I$1,0)),"")</f>
        <v/>
      </c>
      <c r="G47" s="17">
        <f>IFERROR(INDEX(income_statement!$B:$I,MATCH("Lợi nhuận của Cổ đông của Công ty mẹ",income_statement!$A:$A,0),MATCH(G$31,income_statement!$B$1:$I$1,0)),"")</f>
        <v/>
      </c>
      <c r="H47" s="17">
        <f>IFERROR(INDEX(income_statement!$B:$I,MATCH("Lợi nhuận của Cổ đông của Công ty mẹ",income_statement!$A:$A,0),MATCH(H$31,income_statement!$B$1:$I$1,0)),"")</f>
        <v/>
      </c>
      <c r="I47" s="17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7">
        <f>IFERROR(INDEX(balance_sheet!$B:$I,MATCH("Phải thu khách hàng",balance_sheet!$A:$A,0),MATCH(B$31,balance_sheet!$B$1:$I$1,0)),"")</f>
        <v/>
      </c>
      <c r="C48" s="17">
        <f>IFERROR(INDEX(balance_sheet!$B:$I,MATCH("Phải thu khách hàng",balance_sheet!$A:$A,0),MATCH(C$31,balance_sheet!$B$1:$I$1,0)),"")</f>
        <v/>
      </c>
      <c r="D48" s="17">
        <f>IFERROR(INDEX(balance_sheet!$B:$I,MATCH("Phải thu khách hàng",balance_sheet!$A:$A,0),MATCH(D$31,balance_sheet!$B$1:$I$1,0)),"")</f>
        <v/>
      </c>
      <c r="E48" s="17">
        <f>IFERROR(INDEX(balance_sheet!$B:$I,MATCH("Phải thu khách hàng",balance_sheet!$A:$A,0),MATCH(E$31,balance_sheet!$B$1:$I$1,0)),"")</f>
        <v/>
      </c>
      <c r="F48" s="17">
        <f>IFERROR(INDEX(balance_sheet!$B:$I,MATCH("Phải thu khách hàng",balance_sheet!$A:$A,0),MATCH(F$31,balance_sheet!$B$1:$I$1,0)),"")</f>
        <v/>
      </c>
      <c r="G48" s="17">
        <f>IFERROR(INDEX(balance_sheet!$B:$I,MATCH("Phải thu khách hàng",balance_sheet!$A:$A,0),MATCH(G$31,balance_sheet!$B$1:$I$1,0)),"")</f>
        <v/>
      </c>
      <c r="H48" s="17">
        <f>IFERROR(INDEX(balance_sheet!$B:$I,MATCH("Phải thu khách hàng",balance_sheet!$A:$A,0),MATCH(H$31,balance_sheet!$B$1:$I$1,0)),"")</f>
        <v/>
      </c>
      <c r="I48" s="17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7">
        <f>IFERROR(INDEX(balance_sheet!$B:$I,MATCH("Phải trả người bán",balance_sheet!$A:$A,0),MATCH(B$31,balance_sheet!$B$1:$I$1,0)),"")</f>
        <v/>
      </c>
      <c r="C49" s="17">
        <f>IFERROR(INDEX(balance_sheet!$B:$I,MATCH("Phải trả người bán",balance_sheet!$A:$A,0),MATCH(C$31,balance_sheet!$B$1:$I$1,0)),"")</f>
        <v/>
      </c>
      <c r="D49" s="17">
        <f>IFERROR(INDEX(balance_sheet!$B:$I,MATCH("Phải trả người bán",balance_sheet!$A:$A,0),MATCH(D$31,balance_sheet!$B$1:$I$1,0)),"")</f>
        <v/>
      </c>
      <c r="E49" s="17">
        <f>IFERROR(INDEX(balance_sheet!$B:$I,MATCH("Phải trả người bán",balance_sheet!$A:$A,0),MATCH(E$31,balance_sheet!$B$1:$I$1,0)),"")</f>
        <v/>
      </c>
      <c r="F49" s="17">
        <f>IFERROR(INDEX(balance_sheet!$B:$I,MATCH("Phải trả người bán",balance_sheet!$A:$A,0),MATCH(F$31,balance_sheet!$B$1:$I$1,0)),"")</f>
        <v/>
      </c>
      <c r="G49" s="17">
        <f>IFERROR(INDEX(balance_sheet!$B:$I,MATCH("Phải trả người bán",balance_sheet!$A:$A,0),MATCH(G$31,balance_sheet!$B$1:$I$1,0)),"")</f>
        <v/>
      </c>
      <c r="H49" s="17">
        <f>IFERROR(INDEX(balance_sheet!$B:$I,MATCH("Phải trả người bán",balance_sheet!$A:$A,0),MATCH(H$31,balance_sheet!$B$1:$I$1,0)),"")</f>
        <v/>
      </c>
      <c r="I49" s="17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7">
        <f>IFERROR(INDEX(balance_sheet!$B:$I,MATCH("Hàng tồn kho, ròng",balance_sheet!$A:$A,0),MATCH(B$31,balance_sheet!$B$1:$I$1,0)),"")</f>
        <v/>
      </c>
      <c r="C50" s="17">
        <f>IFERROR(INDEX(balance_sheet!$B:$I,MATCH("Hàng tồn kho, ròng",balance_sheet!$A:$A,0),MATCH(C$31,balance_sheet!$B$1:$I$1,0)),"")</f>
        <v/>
      </c>
      <c r="D50" s="17">
        <f>IFERROR(INDEX(balance_sheet!$B:$I,MATCH("Hàng tồn kho, ròng",balance_sheet!$A:$A,0),MATCH(D$31,balance_sheet!$B$1:$I$1,0)),"")</f>
        <v/>
      </c>
      <c r="E50" s="17">
        <f>IFERROR(INDEX(balance_sheet!$B:$I,MATCH("Hàng tồn kho, ròng",balance_sheet!$A:$A,0),MATCH(E$31,balance_sheet!$B$1:$I$1,0)),"")</f>
        <v/>
      </c>
      <c r="F50" s="17">
        <f>IFERROR(INDEX(balance_sheet!$B:$I,MATCH("Hàng tồn kho, ròng",balance_sheet!$A:$A,0),MATCH(F$31,balance_sheet!$B$1:$I$1,0)),"")</f>
        <v/>
      </c>
      <c r="G50" s="17">
        <f>IFERROR(INDEX(balance_sheet!$B:$I,MATCH("Hàng tồn kho, ròng",balance_sheet!$A:$A,0),MATCH(G$31,balance_sheet!$B$1:$I$1,0)),"")</f>
        <v/>
      </c>
      <c r="H50" s="17">
        <f>IFERROR(INDEX(balance_sheet!$B:$I,MATCH("Hàng tồn kho, ròng",balance_sheet!$A:$A,0),MATCH(H$31,balance_sheet!$B$1:$I$1,0)),"")</f>
        <v/>
      </c>
      <c r="I50" s="17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7">
        <f>IFERROR(INDEX(balance_sheet!$B:$I,MATCH("Tiền và tương đương tiền",balance_sheet!$A:$A,0),MATCH(B$31,balance_sheet!$B$1:$I$1,0)),"")</f>
        <v/>
      </c>
      <c r="C51" s="17">
        <f>IFERROR(INDEX(balance_sheet!$B:$I,MATCH("Tiền và tương đương tiền",balance_sheet!$A:$A,0),MATCH(C$31,balance_sheet!$B$1:$I$1,0)),"")</f>
        <v/>
      </c>
      <c r="D51" s="17">
        <f>IFERROR(INDEX(balance_sheet!$B:$I,MATCH("Tiền và tương đương tiền",balance_sheet!$A:$A,0),MATCH(D$31,balance_sheet!$B$1:$I$1,0)),"")</f>
        <v/>
      </c>
      <c r="E51" s="17">
        <f>IFERROR(INDEX(balance_sheet!$B:$I,MATCH("Tiền và tương đương tiền",balance_sheet!$A:$A,0),MATCH(E$31,balance_sheet!$B$1:$I$1,0)),"")</f>
        <v/>
      </c>
      <c r="F51" s="17">
        <f>IFERROR(INDEX(balance_sheet!$B:$I,MATCH("Tiền và tương đương tiền",balance_sheet!$A:$A,0),MATCH(F$31,balance_sheet!$B$1:$I$1,0)),"")</f>
        <v/>
      </c>
      <c r="G51" s="17">
        <f>IFERROR(INDEX(balance_sheet!$B:$I,MATCH("Tiền và tương đương tiền",balance_sheet!$A:$A,0),MATCH(G$31,balance_sheet!$B$1:$I$1,0)),"")</f>
        <v/>
      </c>
      <c r="H51" s="17">
        <f>IFERROR(INDEX(balance_sheet!$B:$I,MATCH("Tiền và tương đương tiền",balance_sheet!$A:$A,0),MATCH(H$31,balance_sheet!$B$1:$I$1,0)),"")</f>
        <v/>
      </c>
      <c r="I51" s="17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conditionalFormatting sqref="B5:I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6:I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I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8:I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0:I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1:I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3:I13">
    <cfRule type="cellIs" priority="13" operator="greaterThan" dxfId="1">
      <formula>1</formula>
    </cfRule>
    <cfRule type="cellIs" priority="14" operator="lessThan" dxfId="0">
      <formula>0.3</formula>
    </cfRule>
  </conditionalFormatting>
  <conditionalFormatting sqref="B16:I16">
    <cfRule type="cellIs" priority="15" operator="greaterThan" dxfId="1">
      <formula>1</formula>
    </cfRule>
    <cfRule type="cellIs" priority="16" operator="lessThan" dxfId="0">
      <formula>0.3</formula>
    </cfRule>
  </conditionalFormatting>
  <conditionalFormatting sqref="B21:I21">
    <cfRule type="cellIs" priority="17" operator="greaterThan" dxfId="1">
      <formula>0.5</formula>
    </cfRule>
    <cfRule type="cellIs" priority="18" operator="lessThan" dxfId="0">
      <formula>0.15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2026-08-20T08:16:29Z</dcterms:created>
  <dcterms:modified xmlns:dcterms="http://purl.org/dc/terms/" xmlns:xsi="http://www.w3.org/2001/XMLSchema-instance" xsi:type="dcterms:W3CDTF">2026-08-20T08:29:27Z</dcterms:modified>
</cp:coreProperties>
</file>
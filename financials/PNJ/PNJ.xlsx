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0.00\x"/>
  </numFmts>
  <fonts count="11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5" fillId="0" borderId="3" pivotButton="0" quotePrefix="0" xfId="0"/>
    <xf numFmtId="165" fontId="6" fillId="0" borderId="3" pivotButton="0" quotePrefix="0" xfId="0"/>
    <xf numFmtId="9" fontId="6" fillId="0" borderId="3" pivotButton="0" quotePrefix="0" xfId="0"/>
    <xf numFmtId="0" fontId="7" fillId="0" borderId="3" pivotButton="0" quotePrefix="0" xfId="0"/>
    <xf numFmtId="1" fontId="5" fillId="0" borderId="3" pivotButton="0" quotePrefix="0" xfId="0"/>
    <xf numFmtId="1" fontId="6" fillId="0" borderId="3" pivotButton="0" quotePrefix="0" xfId="0"/>
    <xf numFmtId="0" fontId="4" fillId="3" borderId="0" pivotButton="0" quotePrefix="0" xfId="0"/>
    <xf numFmtId="0" fontId="8" fillId="3" borderId="0" pivotButton="0" quotePrefix="0" xfId="0"/>
    <xf numFmtId="0" fontId="4" fillId="0" borderId="4" pivotButton="0" quotePrefix="0" xfId="0"/>
    <xf numFmtId="1" fontId="4" fillId="0" borderId="4" applyAlignment="1" pivotButton="0" quotePrefix="0" xfId="0">
      <alignment horizontal="center"/>
    </xf>
    <xf numFmtId="0" fontId="7" fillId="0" borderId="4" pivotButton="0" quotePrefix="0" xfId="0"/>
    <xf numFmtId="166" fontId="9" fillId="0" borderId="4" pivotButton="0" quotePrefix="0" xfId="0"/>
    <xf numFmtId="0" fontId="10" fillId="0" borderId="3" pivotButton="0" quotePrefix="0" xfId="0"/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</cellXfs>
  <cellStyles count="1">
    <cellStyle name="Normal" xfId="0" builtinId="0" hidden="0"/>
  </cellStyles>
  <dxfs count="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selection activeCell="A1" sqref="A1"/>
    </sheetView>
  </sheetViews>
  <sheetFormatPr baseColWidth="8" defaultRowHeight="15"/>
  <cols>
    <col width="38.33203125" customWidth="1" min="1" max="1"/>
    <col width="19" customWidth="1" min="2" max="2"/>
    <col width="19" customWidth="1" min="3" max="3"/>
    <col width="3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IFERROR(C$39/((C$24+B$24)/2),"n/a")</f>
        <v/>
      </c>
      <c r="D2" s="8">
        <f>IFERROR(D$39/((D$24+C$24)/2),"n/a")</f>
        <v/>
      </c>
      <c r="E2" s="8">
        <f>IFERROR(E$39/((E$24+D$24)/2),"n/a")</f>
        <v/>
      </c>
      <c r="F2" s="8">
        <f>IFERROR(F$39/((F$24+E$24)/2),"n/a")</f>
        <v/>
      </c>
      <c r="G2" s="8">
        <f>IFERROR(G$39/((G$24+F$24)/2),"n/a")</f>
        <v/>
      </c>
      <c r="H2" s="8">
        <f>IFERROR(H$39/((H$24+G$24)/2),"n/a")</f>
        <v/>
      </c>
      <c r="I2" s="8">
        <f>IFERROR(I$39/((I$24+H$24)/2),"n/a")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IFERROR(C$38/((C$25+B$25)/2),"n/a")</f>
        <v/>
      </c>
      <c r="D3" s="8">
        <f>IFERROR(D$38/((D$25+C$25)/2),"n/a")</f>
        <v/>
      </c>
      <c r="E3" s="8">
        <f>IFERROR(E$38/((E$25+D$25)/2),"n/a")</f>
        <v/>
      </c>
      <c r="F3" s="8">
        <f>IFERROR(F$38/((F$25+E$25)/2),"n/a")</f>
        <v/>
      </c>
      <c r="G3" s="8">
        <f>IFERROR(G$38/((G$25+F$25)/2),"n/a")</f>
        <v/>
      </c>
      <c r="H3" s="8">
        <f>IFERROR(H$38/((H$25+G$25)/2),"n/a")</f>
        <v/>
      </c>
      <c r="I3" s="8">
        <f>IFERROR(I$38/((I$25+H$25)/2),"n/a")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IFERROR((C$39-B$39)/ABS(B$39),"n/a")</f>
        <v/>
      </c>
      <c r="D4" s="8">
        <f>IFERROR((D$39-C$39)/ABS(C$39),"n/a")</f>
        <v/>
      </c>
      <c r="E4" s="8">
        <f>IFERROR((E$39-D$39)/ABS(D$39),"n/a")</f>
        <v/>
      </c>
      <c r="F4" s="8">
        <f>IFERROR((F$39-E$39)/ABS(E$39),"n/a")</f>
        <v/>
      </c>
      <c r="G4" s="8">
        <f>IFERROR((G$39-F$39)/ABS(F$39),"n/a")</f>
        <v/>
      </c>
      <c r="H4" s="8">
        <f>IFERROR((H$39-G$39)/ABS(G$39),"n/a")</f>
        <v/>
      </c>
      <c r="I4" s="8">
        <f>IFERROR((I$39-H$39)/ABS(H$39),"n/a")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IFERROR((C$31-B$31)/ABS(B$31),"n/a")</f>
        <v/>
      </c>
      <c r="D5" s="8">
        <f>IFERROR((D$31-C$31)/ABS(C$31),"n/a")</f>
        <v/>
      </c>
      <c r="E5" s="8">
        <f>IFERROR((E$31-D$31)/ABS(D$31),"n/a")</f>
        <v/>
      </c>
      <c r="F5" s="8">
        <f>IFERROR((F$31-E$31)/ABS(E$31),"n/a")</f>
        <v/>
      </c>
      <c r="G5" s="8">
        <f>IFERROR((G$31-F$31)/ABS(F$31),"n/a")</f>
        <v/>
      </c>
      <c r="H5" s="8">
        <f>IFERROR((H$31-G$31)/ABS(G$31),"n/a")</f>
        <v/>
      </c>
      <c r="I5" s="8">
        <f>IFERROR((I$31-H$31)/ABS(H$31),"n/a")</f>
        <v/>
      </c>
    </row>
    <row r="6">
      <c r="A6" s="5" t="inlineStr">
        <is>
          <t>Biên lợi nhuận gộp</t>
        </is>
      </c>
      <c r="B6" s="8">
        <f>IFERROR(B$33/B$31,"n/a")</f>
        <v/>
      </c>
      <c r="C6" s="8">
        <f>IFERROR(C$33/C$31,"n/a")</f>
        <v/>
      </c>
      <c r="D6" s="8">
        <f>IFERROR(D$33/D$31,"n/a")</f>
        <v/>
      </c>
      <c r="E6" s="8">
        <f>IFERROR(E$33/E$31,"n/a")</f>
        <v/>
      </c>
      <c r="F6" s="8">
        <f>IFERROR(F$33/F$31,"n/a")</f>
        <v/>
      </c>
      <c r="G6" s="8">
        <f>IFERROR(G$33/G$31,"n/a")</f>
        <v/>
      </c>
      <c r="H6" s="8">
        <f>IFERROR(H$33/H$31,"n/a")</f>
        <v/>
      </c>
      <c r="I6" s="8">
        <f>IFERROR(I$33/I$31,"n/a")</f>
        <v/>
      </c>
    </row>
    <row r="7">
      <c r="A7" s="5" t="inlineStr">
        <is>
          <t>Biên lợi nhuận ròng</t>
        </is>
      </c>
      <c r="B7" s="8">
        <f>IFERROR(B$38/B$31,"n/a")</f>
        <v/>
      </c>
      <c r="C7" s="8">
        <f>IFERROR(C$38/C$31,"n/a")</f>
        <v/>
      </c>
      <c r="D7" s="8">
        <f>IFERROR(D$38/D$31,"n/a")</f>
        <v/>
      </c>
      <c r="E7" s="8">
        <f>IFERROR(E$38/E$31,"n/a")</f>
        <v/>
      </c>
      <c r="F7" s="8">
        <f>IFERROR(F$38/F$31,"n/a")</f>
        <v/>
      </c>
      <c r="G7" s="8">
        <f>IFERROR(G$38/G$31,"n/a")</f>
        <v/>
      </c>
      <c r="H7" s="8">
        <f>IFERROR(H$38/H$31,"n/a")</f>
        <v/>
      </c>
      <c r="I7" s="8">
        <f>IFERROR(I$38/I$31,"n/a")</f>
        <v/>
      </c>
    </row>
    <row r="8">
      <c r="A8" s="5" t="inlineStr">
        <is>
          <t>D/E (Nợ vay / Vốn chủ sở hữu)</t>
        </is>
      </c>
      <c r="B8" s="9">
        <f>IFERROR((B$29+B$30)/B$24,"n/a")</f>
        <v/>
      </c>
      <c r="C8" s="9">
        <f>IFERROR((C$29+C$30)/C$24,"n/a")</f>
        <v/>
      </c>
      <c r="D8" s="9">
        <f>IFERROR((D$29+D$30)/D$24,"n/a")</f>
        <v/>
      </c>
      <c r="E8" s="9">
        <f>IFERROR((E$29+E$30)/E$24,"n/a")</f>
        <v/>
      </c>
      <c r="F8" s="9">
        <f>IFERROR((F$29+F$30)/F$24,"n/a")</f>
        <v/>
      </c>
      <c r="G8" s="9">
        <f>IFERROR((G$29+G$30)/G$24,"n/a")</f>
        <v/>
      </c>
      <c r="H8" s="9">
        <f>IFERROR((H$29+H$30)/H$24,"n/a")</f>
        <v/>
      </c>
      <c r="I8" s="9">
        <f>IFERROR((I$29+I$30)/I$24,"n/a")</f>
        <v/>
      </c>
    </row>
    <row r="9">
      <c r="A9" s="10" t="inlineStr">
        <is>
          <t xml:space="preserve">     - Nợ vay dài hạn/Vốn chủ sở hữu</t>
        </is>
      </c>
      <c r="B9" s="9">
        <f>IFERROR(B$30/B$24,"n/a")</f>
        <v/>
      </c>
      <c r="C9" s="9">
        <f>IFERROR(C$30/C$24,"n/a")</f>
        <v/>
      </c>
      <c r="D9" s="9">
        <f>IFERROR(D$30/D$24,"n/a")</f>
        <v/>
      </c>
      <c r="E9" s="9">
        <f>IFERROR(E$30/E$24,"n/a")</f>
        <v/>
      </c>
      <c r="F9" s="9">
        <f>IFERROR(F$30/F$24,"n/a")</f>
        <v/>
      </c>
      <c r="G9" s="9">
        <f>IFERROR(G$30/G$24,"n/a")</f>
        <v/>
      </c>
      <c r="H9" s="9">
        <f>IFERROR(H$30/H$24,"n/a")</f>
        <v/>
      </c>
      <c r="I9" s="9">
        <f>IFERROR(I$30/I$24,"n/a")</f>
        <v/>
      </c>
    </row>
    <row r="10">
      <c r="A10" s="10" t="inlineStr">
        <is>
          <t xml:space="preserve">     - Nợ vay ngắn hạn/Vốn chủ sở hữu</t>
        </is>
      </c>
      <c r="B10" s="9">
        <f>IFERROR(B$29/B$24,"n/a")</f>
        <v/>
      </c>
      <c r="C10" s="9">
        <f>IFERROR(C$29/C$24,"n/a")</f>
        <v/>
      </c>
      <c r="D10" s="9">
        <f>IFERROR(D$29/D$24,"n/a")</f>
        <v/>
      </c>
      <c r="E10" s="9">
        <f>IFERROR(E$29/E$24,"n/a")</f>
        <v/>
      </c>
      <c r="F10" s="9">
        <f>IFERROR(F$29/F$24,"n/a")</f>
        <v/>
      </c>
      <c r="G10" s="9">
        <f>IFERROR(G$29/G$24,"n/a")</f>
        <v/>
      </c>
      <c r="H10" s="9">
        <f>IFERROR(H$29/H$24,"n/a")</f>
        <v/>
      </c>
      <c r="I10" s="9">
        <f>IFERROR(I$29/I$24,"n/a")</f>
        <v/>
      </c>
    </row>
    <row r="11">
      <c r="A11" s="5" t="inlineStr">
        <is>
          <t>Nợ phải trả/Vốn chủ sở hữu</t>
        </is>
      </c>
      <c r="B11" s="9">
        <f>IFERROR(B$26/B$24,"n/a")</f>
        <v/>
      </c>
      <c r="C11" s="9">
        <f>IFERROR(C$26/C$24,"n/a")</f>
        <v/>
      </c>
      <c r="D11" s="9">
        <f>IFERROR(D$26/D$24,"n/a")</f>
        <v/>
      </c>
      <c r="E11" s="9">
        <f>IFERROR(E$26/E$24,"n/a")</f>
        <v/>
      </c>
      <c r="F11" s="9">
        <f>IFERROR(F$26/F$24,"n/a")</f>
        <v/>
      </c>
      <c r="G11" s="9">
        <f>IFERROR(G$26/G$24,"n/a")</f>
        <v/>
      </c>
      <c r="H11" s="9">
        <f>IFERROR(H$26/H$24,"n/a")</f>
        <v/>
      </c>
      <c r="I11" s="9">
        <f>IFERROR(I$26/I$24,"n/a")</f>
        <v/>
      </c>
    </row>
    <row r="12">
      <c r="A12" s="10" t="inlineStr">
        <is>
          <t xml:space="preserve">     - Nợ dài hạn/Vốn chủ sở hữu</t>
        </is>
      </c>
      <c r="B12" s="9">
        <f>IFERROR(B$28/B$24,"n/a")</f>
        <v/>
      </c>
      <c r="C12" s="9">
        <f>IFERROR(C$28/C$24,"n/a")</f>
        <v/>
      </c>
      <c r="D12" s="9">
        <f>IFERROR(D$28/D$24,"n/a")</f>
        <v/>
      </c>
      <c r="E12" s="9">
        <f>IFERROR(E$28/E$24,"n/a")</f>
        <v/>
      </c>
      <c r="F12" s="9">
        <f>IFERROR(F$28/F$24,"n/a")</f>
        <v/>
      </c>
      <c r="G12" s="9">
        <f>IFERROR(G$28/G$24,"n/a")</f>
        <v/>
      </c>
      <c r="H12" s="9">
        <f>IFERROR(H$28/H$24,"n/a")</f>
        <v/>
      </c>
      <c r="I12" s="9">
        <f>IFERROR(I$28/I$24,"n/a")</f>
        <v/>
      </c>
    </row>
    <row r="13">
      <c r="A13" s="10" t="inlineStr">
        <is>
          <t xml:space="preserve">     - Nợ ngắn hạn/Vốn chủ sở hữu</t>
        </is>
      </c>
      <c r="B13" s="9">
        <f>IFERROR(B$27/B$24,"n/a")</f>
        <v/>
      </c>
      <c r="C13" s="9">
        <f>IFERROR(C$27/C$24,"n/a")</f>
        <v/>
      </c>
      <c r="D13" s="9">
        <f>IFERROR(D$27/D$24,"n/a")</f>
        <v/>
      </c>
      <c r="E13" s="9">
        <f>IFERROR(E$27/E$24,"n/a")</f>
        <v/>
      </c>
      <c r="F13" s="9">
        <f>IFERROR(F$27/F$24,"n/a")</f>
        <v/>
      </c>
      <c r="G13" s="9">
        <f>IFERROR(G$27/G$24,"n/a")</f>
        <v/>
      </c>
      <c r="H13" s="9">
        <f>IFERROR(H$27/H$24,"n/a")</f>
        <v/>
      </c>
      <c r="I13" s="9">
        <f>IFERROR(I$27/I$24,"n/a")</f>
        <v/>
      </c>
    </row>
    <row r="14">
      <c r="A14" s="5" t="inlineStr">
        <is>
          <t>Chi phí bán hàng, quản lý/LN gộp</t>
        </is>
      </c>
      <c r="B14" s="8">
        <f>IFERROR((ABS(B$34)+ABS(B$35))/B$33,"n/a")</f>
        <v/>
      </c>
      <c r="C14" s="8">
        <f>IFERROR((ABS(C$34)+ABS(C$35))/C$33,"n/a")</f>
        <v/>
      </c>
      <c r="D14" s="8">
        <f>IFERROR((ABS(D$34)+ABS(D$35))/D$33,"n/a")</f>
        <v/>
      </c>
      <c r="E14" s="8">
        <f>IFERROR((ABS(E$34)+ABS(E$35))/E$33,"n/a")</f>
        <v/>
      </c>
      <c r="F14" s="8">
        <f>IFERROR((ABS(F$34)+ABS(F$35))/F$33,"n/a")</f>
        <v/>
      </c>
      <c r="G14" s="8">
        <f>IFERROR((ABS(G$34)+ABS(G$35))/G$33,"n/a")</f>
        <v/>
      </c>
      <c r="H14" s="8">
        <f>IFERROR((ABS(H$34)+ABS(H$35))/H$33,"n/a")</f>
        <v/>
      </c>
      <c r="I14" s="8">
        <f>IFERROR((ABS(I$34)+ABS(I$35))/I$33,"n/a")</f>
        <v/>
      </c>
    </row>
    <row r="15">
      <c r="A15" s="5" t="inlineStr">
        <is>
          <t>Chi phí lãi vay/LN từ hoạt động kinh doanh</t>
        </is>
      </c>
      <c r="B15" s="8">
        <f>IFERROR(ABS(B$37)/B$36,"n/a")</f>
        <v/>
      </c>
      <c r="C15" s="8">
        <f>IFERROR(ABS(C$37)/C$36,"n/a")</f>
        <v/>
      </c>
      <c r="D15" s="8">
        <f>IFERROR(ABS(D$37)/D$36,"n/a")</f>
        <v/>
      </c>
      <c r="E15" s="8">
        <f>IFERROR(ABS(E$37)/E$36,"n/a")</f>
        <v/>
      </c>
      <c r="F15" s="8">
        <f>IFERROR(ABS(F$37)/F$36,"n/a")</f>
        <v/>
      </c>
      <c r="G15" s="8">
        <f>IFERROR(ABS(G$37)/G$36,"n/a")</f>
        <v/>
      </c>
      <c r="H15" s="8">
        <f>IFERROR(ABS(H$37)/H$36,"n/a")</f>
        <v/>
      </c>
      <c r="I15" s="8">
        <f>IFERROR(ABS(I$37)/I$36,"n/a")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IFERROR(((C$41+B$41)/2)/ABS(C$32)*365,"n/a")</f>
        <v/>
      </c>
      <c r="D16" s="12">
        <f>IFERROR(((D$41+C$41)/2)/ABS(D$32)*365,"n/a")</f>
        <v/>
      </c>
      <c r="E16" s="12">
        <f>IFERROR(((E$41+D$41)/2)/ABS(E$32)*365,"n/a")</f>
        <v/>
      </c>
      <c r="F16" s="12">
        <f>IFERROR(((F$41+E$41)/2)/ABS(F$32)*365,"n/a")</f>
        <v/>
      </c>
      <c r="G16" s="12">
        <f>IFERROR(((G$41+F$41)/2)/ABS(G$32)*365,"n/a")</f>
        <v/>
      </c>
      <c r="H16" s="12">
        <f>IFERROR(((H$41+G$41)/2)/ABS(H$32)*365,"n/a")</f>
        <v/>
      </c>
      <c r="I16" s="12">
        <f>IFERROR(((I$41+H$41)/2)/ABS(I$32)*365,"n/a")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IFERROR(((C$40+B$40)/2)/C$31*365,"n/a")</f>
        <v/>
      </c>
      <c r="D17" s="12">
        <f>IFERROR(((D$40+C$40)/2)/D$31*365,"n/a")</f>
        <v/>
      </c>
      <c r="E17" s="12">
        <f>IFERROR(((E$40+D$40)/2)/E$31*365,"n/a")</f>
        <v/>
      </c>
      <c r="F17" s="12">
        <f>IFERROR(((F$40+E$40)/2)/F$31*365,"n/a")</f>
        <v/>
      </c>
      <c r="G17" s="12">
        <f>IFERROR(((G$40+F$40)/2)/G$31*365,"n/a")</f>
        <v/>
      </c>
      <c r="H17" s="12">
        <f>IFERROR(((H$40+G$40)/2)/H$31*365,"n/a")</f>
        <v/>
      </c>
      <c r="I17" s="12">
        <f>IFERROR(((I$40+H$40)/2)/I$31*365,"n/a")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IFERROR(((C$42+B$42)/2)/ABS(C$32)*365,"n/a")</f>
        <v/>
      </c>
      <c r="D18" s="12">
        <f>IFERROR(((D$42+C$42)/2)/ABS(D$32)*365,"n/a")</f>
        <v/>
      </c>
      <c r="E18" s="12">
        <f>IFERROR(((E$42+D$42)/2)/ABS(E$32)*365,"n/a")</f>
        <v/>
      </c>
      <c r="F18" s="12">
        <f>IFERROR(((F$42+E$42)/2)/ABS(F$32)*365,"n/a")</f>
        <v/>
      </c>
      <c r="G18" s="12">
        <f>IFERROR(((G$42+F$42)/2)/ABS(G$32)*365,"n/a")</f>
        <v/>
      </c>
      <c r="H18" s="12">
        <f>IFERROR(((H$42+G$42)/2)/ABS(H$32)*365,"n/a")</f>
        <v/>
      </c>
      <c r="I18" s="12">
        <f>IFERROR(((I$42+H$42)/2)/ABS(I$32)*365,"n/a")</f>
        <v/>
      </c>
    </row>
    <row r="19">
      <c r="A19" s="5" t="inlineStr">
        <is>
          <t>Tiền và tương đương tiền/Tài sản</t>
        </is>
      </c>
      <c r="B19" s="8">
        <f>IFERROR(B$43/B$25,"n/a")</f>
        <v/>
      </c>
      <c r="C19" s="8">
        <f>IFERROR(C$43/C$25,"n/a")</f>
        <v/>
      </c>
      <c r="D19" s="8">
        <f>IFERROR(D$43/D$25,"n/a")</f>
        <v/>
      </c>
      <c r="E19" s="8">
        <f>IFERROR(E$43/E$25,"n/a")</f>
        <v/>
      </c>
      <c r="F19" s="8">
        <f>IFERROR(F$43/F$25,"n/a")</f>
        <v/>
      </c>
      <c r="G19" s="8">
        <f>IFERROR(G$43/G$25,"n/a")</f>
        <v/>
      </c>
      <c r="H19" s="8">
        <f>IFERROR(H$43/H$25,"n/a")</f>
        <v/>
      </c>
      <c r="I19" s="8">
        <f>IFERROR(I$43/I$25,"n/a")</f>
        <v/>
      </c>
    </row>
    <row r="20">
      <c r="A20" s="5" t="inlineStr">
        <is>
          <t>Hàng tồn kho/Tài sản</t>
        </is>
      </c>
      <c r="B20" s="8">
        <f>IFERROR(B$42/B$25,"n/a")</f>
        <v/>
      </c>
      <c r="C20" s="8">
        <f>IFERROR(C$42/C$25,"n/a")</f>
        <v/>
      </c>
      <c r="D20" s="8">
        <f>IFERROR(D$42/D$25,"n/a")</f>
        <v/>
      </c>
      <c r="E20" s="8">
        <f>IFERROR(E$42/E$25,"n/a")</f>
        <v/>
      </c>
      <c r="F20" s="8">
        <f>IFERROR(F$42/F$25,"n/a")</f>
        <v/>
      </c>
      <c r="G20" s="8">
        <f>IFERROR(G$42/G$25,"n/a")</f>
        <v/>
      </c>
      <c r="H20" s="8">
        <f>IFERROR(H$42/H$25,"n/a")</f>
        <v/>
      </c>
      <c r="I20" s="8">
        <f>IFERROR(I$42/I$25,"n/a")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Vốn chủ sở hữu</t>
        </is>
      </c>
      <c r="B24" s="18">
        <f>IFERROR(INDEX(balance_sheet!$B:$I,MATCH("Vốn chủ sở hữu",balance_sheet!$A:$A,0),MATCH(B$23,balance_sheet!$B$1:$I$1,0)),"")</f>
        <v/>
      </c>
      <c r="C24" s="18">
        <f>IFERROR(INDEX(balance_sheet!$B:$I,MATCH("Vốn chủ sở hữu",balance_sheet!$A:$A,0),MATCH(C$23,balance_sheet!$B$1:$I$1,0)),"")</f>
        <v/>
      </c>
      <c r="D24" s="18">
        <f>IFERROR(INDEX(balance_sheet!$B:$I,MATCH("Vốn chủ sở hữu",balance_sheet!$A:$A,0),MATCH(D$23,balance_sheet!$B$1:$I$1,0)),"")</f>
        <v/>
      </c>
      <c r="E24" s="18">
        <f>IFERROR(INDEX(balance_sheet!$B:$I,MATCH("Vốn chủ sở hữu",balance_sheet!$A:$A,0),MATCH(E$23,balance_sheet!$B$1:$I$1,0)),"")</f>
        <v/>
      </c>
      <c r="F24" s="18">
        <f>IFERROR(INDEX(balance_sheet!$B:$I,MATCH("Vốn chủ sở hữu",balance_sheet!$A:$A,0),MATCH(F$23,balance_sheet!$B$1:$I$1,0)),"")</f>
        <v/>
      </c>
      <c r="G24" s="18">
        <f>IFERROR(INDEX(balance_sheet!$B:$I,MATCH("Vốn chủ sở hữu",balance_sheet!$A:$A,0),MATCH(G$23,balance_sheet!$B$1:$I$1,0)),"")</f>
        <v/>
      </c>
      <c r="H24" s="18">
        <f>IFERROR(INDEX(balance_sheet!$B:$I,MATCH("Vốn chủ sở hữu",balance_sheet!$A:$A,0),MATCH(H$23,balance_sheet!$B$1:$I$1,0)),"")</f>
        <v/>
      </c>
      <c r="I24" s="18">
        <f>IFERROR(INDEX(balance_sheet!$B:$I,MATCH("Vốn chủ sở hữu",balance_sheet!$A:$A,0),MATCH(I$23,balance_sheet!$B$1:$I$1,0)),"")</f>
        <v/>
      </c>
    </row>
    <row r="25">
      <c r="A25" s="17" t="inlineStr">
        <is>
          <t>TỔNG CỘNG TÀI SẢN</t>
        </is>
      </c>
      <c r="B25" s="18">
        <f>IFERROR(INDEX(balance_sheet!$B:$I,MATCH("TỔNG CỘNG TÀI SẢN",balance_sheet!$A:$A,0),MATCH(B$23,balance_sheet!$B$1:$I$1,0)),"")</f>
        <v/>
      </c>
      <c r="C25" s="18">
        <f>IFERROR(INDEX(balance_sheet!$B:$I,MATCH("TỔNG CỘNG TÀI SẢN",balance_sheet!$A:$A,0),MATCH(C$23,balance_sheet!$B$1:$I$1,0)),"")</f>
        <v/>
      </c>
      <c r="D25" s="18">
        <f>IFERROR(INDEX(balance_sheet!$B:$I,MATCH("TỔNG CỘNG TÀI SẢN",balance_sheet!$A:$A,0),MATCH(D$23,balance_sheet!$B$1:$I$1,0)),"")</f>
        <v/>
      </c>
      <c r="E25" s="18">
        <f>IFERROR(INDEX(balance_sheet!$B:$I,MATCH("TỔNG CỘNG TÀI SẢN",balance_sheet!$A:$A,0),MATCH(E$23,balance_sheet!$B$1:$I$1,0)),"")</f>
        <v/>
      </c>
      <c r="F25" s="18">
        <f>IFERROR(INDEX(balance_sheet!$B:$I,MATCH("TỔNG CỘNG TÀI SẢN",balance_sheet!$A:$A,0),MATCH(F$23,balance_sheet!$B$1:$I$1,0)),"")</f>
        <v/>
      </c>
      <c r="G25" s="18">
        <f>IFERROR(INDEX(balance_sheet!$B:$I,MATCH("TỔNG CỘNG TÀI SẢN",balance_sheet!$A:$A,0),MATCH(G$23,balance_sheet!$B$1:$I$1,0)),"")</f>
        <v/>
      </c>
      <c r="H25" s="18">
        <f>IFERROR(INDEX(balance_sheet!$B:$I,MATCH("TỔNG CỘNG TÀI SẢN",balance_sheet!$A:$A,0),MATCH(H$23,balance_sheet!$B$1:$I$1,0)),"")</f>
        <v/>
      </c>
      <c r="I25" s="18">
        <f>IFERROR(INDEX(balance_sheet!$B:$I,MATCH("TỔNG CỘNG TÀI SẢN",balance_sheet!$A:$A,0),MATCH(I$23,balance_sheet!$B$1:$I$1,0)),"")</f>
        <v/>
      </c>
    </row>
    <row r="26">
      <c r="A26" s="17" t="inlineStr">
        <is>
          <t>NỢ PHẢI TRẢ</t>
        </is>
      </c>
      <c r="B26" s="18">
        <f>IFERROR(INDEX(balance_sheet!$B:$I,MATCH("NỢ PHẢI TRẢ",balance_sheet!$A:$A,0),MATCH(B$23,balance_sheet!$B$1:$I$1,0)),"")</f>
        <v/>
      </c>
      <c r="C26" s="18">
        <f>IFERROR(INDEX(balance_sheet!$B:$I,MATCH("NỢ PHẢI TRẢ",balance_sheet!$A:$A,0),MATCH(C$23,balance_sheet!$B$1:$I$1,0)),"")</f>
        <v/>
      </c>
      <c r="D26" s="18">
        <f>IFERROR(INDEX(balance_sheet!$B:$I,MATCH("NỢ PHẢI TRẢ",balance_sheet!$A:$A,0),MATCH(D$23,balance_sheet!$B$1:$I$1,0)),"")</f>
        <v/>
      </c>
      <c r="E26" s="18">
        <f>IFERROR(INDEX(balance_sheet!$B:$I,MATCH("NỢ PHẢI TRẢ",balance_sheet!$A:$A,0),MATCH(E$23,balance_sheet!$B$1:$I$1,0)),"")</f>
        <v/>
      </c>
      <c r="F26" s="18">
        <f>IFERROR(INDEX(balance_sheet!$B:$I,MATCH("NỢ PHẢI TRẢ",balance_sheet!$A:$A,0),MATCH(F$23,balance_sheet!$B$1:$I$1,0)),"")</f>
        <v/>
      </c>
      <c r="G26" s="18">
        <f>IFERROR(INDEX(balance_sheet!$B:$I,MATCH("NỢ PHẢI TRẢ",balance_sheet!$A:$A,0),MATCH(G$23,balance_sheet!$B$1:$I$1,0)),"")</f>
        <v/>
      </c>
      <c r="H26" s="18">
        <f>IFERROR(INDEX(balance_sheet!$B:$I,MATCH("NỢ PHẢI TRẢ",balance_sheet!$A:$A,0),MATCH(H$23,balance_sheet!$B$1:$I$1,0)),"")</f>
        <v/>
      </c>
      <c r="I26" s="18">
        <f>IFERROR(INDEX(balance_sheet!$B:$I,MATCH("NỢ PHẢI TRẢ",balance_sheet!$A:$A,0),MATCH(I$23,balance_sheet!$B$1:$I$1,0)),"")</f>
        <v/>
      </c>
    </row>
    <row r="27">
      <c r="A27" s="17" t="inlineStr">
        <is>
          <t>Nợ ngắn hạn</t>
        </is>
      </c>
      <c r="B27" s="18">
        <f>IFERROR(INDEX(balance_sheet!$B:$I,MATCH("Nợ ngắn hạn",balance_sheet!$A:$A,0),MATCH(B$23,balance_sheet!$B$1:$I$1,0)),"")</f>
        <v/>
      </c>
      <c r="C27" s="18">
        <f>IFERROR(INDEX(balance_sheet!$B:$I,MATCH("Nợ ngắn hạn",balance_sheet!$A:$A,0),MATCH(C$23,balance_sheet!$B$1:$I$1,0)),"")</f>
        <v/>
      </c>
      <c r="D27" s="18">
        <f>IFERROR(INDEX(balance_sheet!$B:$I,MATCH("Nợ ngắn hạn",balance_sheet!$A:$A,0),MATCH(D$23,balance_sheet!$B$1:$I$1,0)),"")</f>
        <v/>
      </c>
      <c r="E27" s="18">
        <f>IFERROR(INDEX(balance_sheet!$B:$I,MATCH("Nợ ngắn hạn",balance_sheet!$A:$A,0),MATCH(E$23,balance_sheet!$B$1:$I$1,0)),"")</f>
        <v/>
      </c>
      <c r="F27" s="18">
        <f>IFERROR(INDEX(balance_sheet!$B:$I,MATCH("Nợ ngắn hạn",balance_sheet!$A:$A,0),MATCH(F$23,balance_sheet!$B$1:$I$1,0)),"")</f>
        <v/>
      </c>
      <c r="G27" s="18">
        <f>IFERROR(INDEX(balance_sheet!$B:$I,MATCH("Nợ ngắn hạn",balance_sheet!$A:$A,0),MATCH(G$23,balance_sheet!$B$1:$I$1,0)),"")</f>
        <v/>
      </c>
      <c r="H27" s="18">
        <f>IFERROR(INDEX(balance_sheet!$B:$I,MATCH("Nợ ngắn hạn",balance_sheet!$A:$A,0),MATCH(H$23,balance_sheet!$B$1:$I$1,0)),"")</f>
        <v/>
      </c>
      <c r="I27" s="18">
        <f>IFERROR(INDEX(balance_sheet!$B:$I,MATCH("Nợ ngắn hạn",balance_sheet!$A:$A,0),MATCH(I$23,balance_sheet!$B$1:$I$1,0)),"")</f>
        <v/>
      </c>
    </row>
    <row r="28">
      <c r="A28" s="17" t="inlineStr">
        <is>
          <t>Nợ dài hạn</t>
        </is>
      </c>
      <c r="B28" s="18">
        <f>IFERROR(INDEX(balance_sheet!$B:$I,MATCH("Nợ dài hạn",balance_sheet!$A:$A,0),MATCH(B$23,balance_sheet!$B$1:$I$1,0)),"")</f>
        <v/>
      </c>
      <c r="C28" s="18">
        <f>IFERROR(INDEX(balance_sheet!$B:$I,MATCH("Nợ dài hạn",balance_sheet!$A:$A,0),MATCH(C$23,balance_sheet!$B$1:$I$1,0)),"")</f>
        <v/>
      </c>
      <c r="D28" s="18">
        <f>IFERROR(INDEX(balance_sheet!$B:$I,MATCH("Nợ dài hạn",balance_sheet!$A:$A,0),MATCH(D$23,balance_sheet!$B$1:$I$1,0)),"")</f>
        <v/>
      </c>
      <c r="E28" s="18">
        <f>IFERROR(INDEX(balance_sheet!$B:$I,MATCH("Nợ dài hạn",balance_sheet!$A:$A,0),MATCH(E$23,balance_sheet!$B$1:$I$1,0)),"")</f>
        <v/>
      </c>
      <c r="F28" s="18">
        <f>IFERROR(INDEX(balance_sheet!$B:$I,MATCH("Nợ dài hạn",balance_sheet!$A:$A,0),MATCH(F$23,balance_sheet!$B$1:$I$1,0)),"")</f>
        <v/>
      </c>
      <c r="G28" s="18">
        <f>IFERROR(INDEX(balance_sheet!$B:$I,MATCH("Nợ dài hạn",balance_sheet!$A:$A,0),MATCH(G$23,balance_sheet!$B$1:$I$1,0)),"")</f>
        <v/>
      </c>
      <c r="H28" s="18">
        <f>IFERROR(INDEX(balance_sheet!$B:$I,MATCH("Nợ dài hạn",balance_sheet!$A:$A,0),MATCH(H$23,balance_sheet!$B$1:$I$1,0)),"")</f>
        <v/>
      </c>
      <c r="I28" s="18">
        <f>IFERROR(INDEX(balance_sheet!$B:$I,MATCH("Nợ dài hạn",balance_sheet!$A:$A,0),MATCH(I$23,balance_sheet!$B$1:$I$1,0)),"")</f>
        <v/>
      </c>
    </row>
    <row r="29">
      <c r="A29" s="17" t="inlineStr">
        <is>
          <t>Vay ngắn hạn</t>
        </is>
      </c>
      <c r="B29" s="18">
        <f>IFERROR(INDEX(balance_sheet!$B:$I,MATCH("Vay ngắn hạn",balance_sheet!$A:$A,0),MATCH(B$23,balance_sheet!$B$1:$I$1,0)),"")</f>
        <v/>
      </c>
      <c r="C29" s="18">
        <f>IFERROR(INDEX(balance_sheet!$B:$I,MATCH("Vay ngắn hạn",balance_sheet!$A:$A,0),MATCH(C$23,balance_sheet!$B$1:$I$1,0)),"")</f>
        <v/>
      </c>
      <c r="D29" s="18">
        <f>IFERROR(INDEX(balance_sheet!$B:$I,MATCH("Vay ngắn hạn",balance_sheet!$A:$A,0),MATCH(D$23,balance_sheet!$B$1:$I$1,0)),"")</f>
        <v/>
      </c>
      <c r="E29" s="18">
        <f>IFERROR(INDEX(balance_sheet!$B:$I,MATCH("Vay ngắn hạn",balance_sheet!$A:$A,0),MATCH(E$23,balance_sheet!$B$1:$I$1,0)),"")</f>
        <v/>
      </c>
      <c r="F29" s="18">
        <f>IFERROR(INDEX(balance_sheet!$B:$I,MATCH("Vay ngắn hạn",balance_sheet!$A:$A,0),MATCH(F$23,balance_sheet!$B$1:$I$1,0)),"")</f>
        <v/>
      </c>
      <c r="G29" s="18">
        <f>IFERROR(INDEX(balance_sheet!$B:$I,MATCH("Vay ngắn hạn",balance_sheet!$A:$A,0),MATCH(G$23,balance_sheet!$B$1:$I$1,0)),"")</f>
        <v/>
      </c>
      <c r="H29" s="18">
        <f>IFERROR(INDEX(balance_sheet!$B:$I,MATCH("Vay ngắn hạn",balance_sheet!$A:$A,0),MATCH(H$23,balance_sheet!$B$1:$I$1,0)),"")</f>
        <v/>
      </c>
      <c r="I29" s="18">
        <f>IFERROR(INDEX(balance_sheet!$B:$I,MATCH("Vay ngắn hạn",balance_sheet!$A:$A,0),MATCH(I$23,balance_sheet!$B$1:$I$1,0)),"")</f>
        <v/>
      </c>
    </row>
    <row r="30">
      <c r="A30" s="17" t="inlineStr">
        <is>
          <t>Vay dài hạn</t>
        </is>
      </c>
      <c r="B30" s="18">
        <f>IFERROR(INDEX(balance_sheet!$B:$I,MATCH("Vay dài hạn",balance_sheet!$A:$A,0),MATCH(B$23,balance_sheet!$B$1:$I$1,0)),"")</f>
        <v/>
      </c>
      <c r="C30" s="18">
        <f>IFERROR(INDEX(balance_sheet!$B:$I,MATCH("Vay dài hạn",balance_sheet!$A:$A,0),MATCH(C$23,balance_sheet!$B$1:$I$1,0)),"")</f>
        <v/>
      </c>
      <c r="D30" s="18">
        <f>IFERROR(INDEX(balance_sheet!$B:$I,MATCH("Vay dài hạn",balance_sheet!$A:$A,0),MATCH(D$23,balance_sheet!$B$1:$I$1,0)),"")</f>
        <v/>
      </c>
      <c r="E30" s="18">
        <f>IFERROR(INDEX(balance_sheet!$B:$I,MATCH("Vay dài hạn",balance_sheet!$A:$A,0),MATCH(E$23,balance_sheet!$B$1:$I$1,0)),"")</f>
        <v/>
      </c>
      <c r="F30" s="18">
        <f>IFERROR(INDEX(balance_sheet!$B:$I,MATCH("Vay dài hạn",balance_sheet!$A:$A,0),MATCH(F$23,balance_sheet!$B$1:$I$1,0)),"")</f>
        <v/>
      </c>
      <c r="G30" s="18">
        <f>IFERROR(INDEX(balance_sheet!$B:$I,MATCH("Vay dài hạn",balance_sheet!$A:$A,0),MATCH(G$23,balance_sheet!$B$1:$I$1,0)),"")</f>
        <v/>
      </c>
      <c r="H30" s="18">
        <f>IFERROR(INDEX(balance_sheet!$B:$I,MATCH("Vay dài hạn",balance_sheet!$A:$A,0),MATCH(H$23,balance_sheet!$B$1:$I$1,0)),"")</f>
        <v/>
      </c>
      <c r="I30" s="18">
        <f>IFERROR(INDEX(balance_sheet!$B:$I,MATCH("Vay dài hạn",balance_sheet!$A:$A,0),MATCH(I$23,balance_sheet!$B$1:$I$1,0)),"")</f>
        <v/>
      </c>
    </row>
    <row r="31">
      <c r="A31" s="17" t="inlineStr">
        <is>
          <t>Doanh thu thuần</t>
        </is>
      </c>
      <c r="B31" s="18">
        <f>IFERROR(INDEX(income_statement!$B:$I,MATCH("Doanh thu thuần",income_statement!$A:$A,0),MATCH(B$23,income_statement!$B$1:$I$1,0)),"")</f>
        <v/>
      </c>
      <c r="C31" s="18">
        <f>IFERROR(INDEX(income_statement!$B:$I,MATCH("Doanh thu thuần",income_statement!$A:$A,0),MATCH(C$23,income_statement!$B$1:$I$1,0)),"")</f>
        <v/>
      </c>
      <c r="D31" s="18">
        <f>IFERROR(INDEX(income_statement!$B:$I,MATCH("Doanh thu thuần",income_statement!$A:$A,0),MATCH(D$23,income_statement!$B$1:$I$1,0)),"")</f>
        <v/>
      </c>
      <c r="E31" s="18">
        <f>IFERROR(INDEX(income_statement!$B:$I,MATCH("Doanh thu thuần",income_statement!$A:$A,0),MATCH(E$23,income_statement!$B$1:$I$1,0)),"")</f>
        <v/>
      </c>
      <c r="F31" s="18">
        <f>IFERROR(INDEX(income_statement!$B:$I,MATCH("Doanh thu thuần",income_statement!$A:$A,0),MATCH(F$23,income_statement!$B$1:$I$1,0)),"")</f>
        <v/>
      </c>
      <c r="G31" s="18">
        <f>IFERROR(INDEX(income_statement!$B:$I,MATCH("Doanh thu thuần",income_statement!$A:$A,0),MATCH(G$23,income_statement!$B$1:$I$1,0)),"")</f>
        <v/>
      </c>
      <c r="H31" s="18">
        <f>IFERROR(INDEX(income_statement!$B:$I,MATCH("Doanh thu thuần",income_statement!$A:$A,0),MATCH(H$23,income_statement!$B$1:$I$1,0)),"")</f>
        <v/>
      </c>
      <c r="I31" s="18">
        <f>IFERROR(INDEX(income_statement!$B:$I,MATCH("Doanh thu thuần",income_statement!$A:$A,0),MATCH(I$23,income_statement!$B$1:$I$1,0)),"")</f>
        <v/>
      </c>
    </row>
    <row r="32">
      <c r="A32" s="17" t="inlineStr">
        <is>
          <t>Giá vốn hàng bán</t>
        </is>
      </c>
      <c r="B32" s="18">
        <f>IFERROR(INDEX(income_statement!$B:$I,MATCH("Giá vốn hàng bán",income_statement!$A:$A,0),MATCH(B$23,income_statement!$B$1:$I$1,0)),"")</f>
        <v/>
      </c>
      <c r="C32" s="18">
        <f>IFERROR(INDEX(income_statement!$B:$I,MATCH("Giá vốn hàng bán",income_statement!$A:$A,0),MATCH(C$23,income_statement!$B$1:$I$1,0)),"")</f>
        <v/>
      </c>
      <c r="D32" s="18">
        <f>IFERROR(INDEX(income_statement!$B:$I,MATCH("Giá vốn hàng bán",income_statement!$A:$A,0),MATCH(D$23,income_statement!$B$1:$I$1,0)),"")</f>
        <v/>
      </c>
      <c r="E32" s="18">
        <f>IFERROR(INDEX(income_statement!$B:$I,MATCH("Giá vốn hàng bán",income_statement!$A:$A,0),MATCH(E$23,income_statement!$B$1:$I$1,0)),"")</f>
        <v/>
      </c>
      <c r="F32" s="18">
        <f>IFERROR(INDEX(income_statement!$B:$I,MATCH("Giá vốn hàng bán",income_statement!$A:$A,0),MATCH(F$23,income_statement!$B$1:$I$1,0)),"")</f>
        <v/>
      </c>
      <c r="G32" s="18">
        <f>IFERROR(INDEX(income_statement!$B:$I,MATCH("Giá vốn hàng bán",income_statement!$A:$A,0),MATCH(G$23,income_statement!$B$1:$I$1,0)),"")</f>
        <v/>
      </c>
      <c r="H32" s="18">
        <f>IFERROR(INDEX(income_statement!$B:$I,MATCH("Giá vốn hàng bán",income_statement!$A:$A,0),MATCH(H$23,income_statement!$B$1:$I$1,0)),"")</f>
        <v/>
      </c>
      <c r="I32" s="18">
        <f>IFERROR(INDEX(income_statement!$B:$I,MATCH("Giá vốn hàng bán",income_statement!$A:$A,0),MATCH(I$23,income_statement!$B$1:$I$1,0)),"")</f>
        <v/>
      </c>
    </row>
    <row r="33">
      <c r="A33" s="17" t="inlineStr">
        <is>
          <t>Lợi nhuận gộp</t>
        </is>
      </c>
      <c r="B33" s="18">
        <f>IFERROR(INDEX(income_statement!$B:$I,MATCH("Lợi nhuận gộp",income_statement!$A:$A,0),MATCH(B$23,income_statement!$B$1:$I$1,0)),"")</f>
        <v/>
      </c>
      <c r="C33" s="18">
        <f>IFERROR(INDEX(income_statement!$B:$I,MATCH("Lợi nhuận gộp",income_statement!$A:$A,0),MATCH(C$23,income_statement!$B$1:$I$1,0)),"")</f>
        <v/>
      </c>
      <c r="D33" s="18">
        <f>IFERROR(INDEX(income_statement!$B:$I,MATCH("Lợi nhuận gộp",income_statement!$A:$A,0),MATCH(D$23,income_statement!$B$1:$I$1,0)),"")</f>
        <v/>
      </c>
      <c r="E33" s="18">
        <f>IFERROR(INDEX(income_statement!$B:$I,MATCH("Lợi nhuận gộp",income_statement!$A:$A,0),MATCH(E$23,income_statement!$B$1:$I$1,0)),"")</f>
        <v/>
      </c>
      <c r="F33" s="18">
        <f>IFERROR(INDEX(income_statement!$B:$I,MATCH("Lợi nhuận gộp",income_statement!$A:$A,0),MATCH(F$23,income_statement!$B$1:$I$1,0)),"")</f>
        <v/>
      </c>
      <c r="G33" s="18">
        <f>IFERROR(INDEX(income_statement!$B:$I,MATCH("Lợi nhuận gộp",income_statement!$A:$A,0),MATCH(G$23,income_statement!$B$1:$I$1,0)),"")</f>
        <v/>
      </c>
      <c r="H33" s="18">
        <f>IFERROR(INDEX(income_statement!$B:$I,MATCH("Lợi nhuận gộp",income_statement!$A:$A,0),MATCH(H$23,income_statement!$B$1:$I$1,0)),"")</f>
        <v/>
      </c>
      <c r="I33" s="18">
        <f>IFERROR(INDEX(income_statement!$B:$I,MATCH("Lợi nhuận gộp",income_statement!$A:$A,0),MATCH(I$23,income_statement!$B$1:$I$1,0)),"")</f>
        <v/>
      </c>
    </row>
    <row r="34">
      <c r="A34" s="17" t="inlineStr">
        <is>
          <t>Chi phí bán hàng</t>
        </is>
      </c>
      <c r="B34" s="18">
        <f>IFERROR(INDEX(income_statement!$B:$I,MATCH("Chi phí bán hàng",income_statement!$A:$A,0),MATCH(B$23,income_statement!$B$1:$I$1,0)),"")</f>
        <v/>
      </c>
      <c r="C34" s="18">
        <f>IFERROR(INDEX(income_statement!$B:$I,MATCH("Chi phí bán hàng",income_statement!$A:$A,0),MATCH(C$23,income_statement!$B$1:$I$1,0)),"")</f>
        <v/>
      </c>
      <c r="D34" s="18">
        <f>IFERROR(INDEX(income_statement!$B:$I,MATCH("Chi phí bán hàng",income_statement!$A:$A,0),MATCH(D$23,income_statement!$B$1:$I$1,0)),"")</f>
        <v/>
      </c>
      <c r="E34" s="18">
        <f>IFERROR(INDEX(income_statement!$B:$I,MATCH("Chi phí bán hàng",income_statement!$A:$A,0),MATCH(E$23,income_statement!$B$1:$I$1,0)),"")</f>
        <v/>
      </c>
      <c r="F34" s="18">
        <f>IFERROR(INDEX(income_statement!$B:$I,MATCH("Chi phí bán hàng",income_statement!$A:$A,0),MATCH(F$23,income_statement!$B$1:$I$1,0)),"")</f>
        <v/>
      </c>
      <c r="G34" s="18">
        <f>IFERROR(INDEX(income_statement!$B:$I,MATCH("Chi phí bán hàng",income_statement!$A:$A,0),MATCH(G$23,income_statement!$B$1:$I$1,0)),"")</f>
        <v/>
      </c>
      <c r="H34" s="18">
        <f>IFERROR(INDEX(income_statement!$B:$I,MATCH("Chi phí bán hàng",income_statement!$A:$A,0),MATCH(H$23,income_statement!$B$1:$I$1,0)),"")</f>
        <v/>
      </c>
      <c r="I34" s="18">
        <f>IFERROR(INDEX(income_statement!$B:$I,MATCH("Chi phí bán hàng",income_statement!$A:$A,0),MATCH(I$23,income_statement!$B$1:$I$1,0)),"")</f>
        <v/>
      </c>
    </row>
    <row r="35">
      <c r="A35" s="17" t="inlineStr">
        <is>
          <t>Chi phí quản lý doanh nghiệp</t>
        </is>
      </c>
      <c r="B35" s="18">
        <f>IFERROR(INDEX(income_statement!$B:$I,MATCH("Chi phí quản lý doanh nghiệp",income_statement!$A:$A,0),MATCH(B$23,income_statement!$B$1:$I$1,0)),"")</f>
        <v/>
      </c>
      <c r="C35" s="18">
        <f>IFERROR(INDEX(income_statement!$B:$I,MATCH("Chi phí quản lý doanh nghiệp",income_statement!$A:$A,0),MATCH(C$23,income_statement!$B$1:$I$1,0)),"")</f>
        <v/>
      </c>
      <c r="D35" s="18">
        <f>IFERROR(INDEX(income_statement!$B:$I,MATCH("Chi phí quản lý doanh nghiệp",income_statement!$A:$A,0),MATCH(D$23,income_statement!$B$1:$I$1,0)),"")</f>
        <v/>
      </c>
      <c r="E35" s="18">
        <f>IFERROR(INDEX(income_statement!$B:$I,MATCH("Chi phí quản lý doanh nghiệp",income_statement!$A:$A,0),MATCH(E$23,income_statement!$B$1:$I$1,0)),"")</f>
        <v/>
      </c>
      <c r="F35" s="18">
        <f>IFERROR(INDEX(income_statement!$B:$I,MATCH("Chi phí quản lý doanh nghiệp",income_statement!$A:$A,0),MATCH(F$23,income_statement!$B$1:$I$1,0)),"")</f>
        <v/>
      </c>
      <c r="G35" s="18">
        <f>IFERROR(INDEX(income_statement!$B:$I,MATCH("Chi phí quản lý doanh nghiệp",income_statement!$A:$A,0),MATCH(G$23,income_statement!$B$1:$I$1,0)),"")</f>
        <v/>
      </c>
      <c r="H35" s="18">
        <f>IFERROR(INDEX(income_statement!$B:$I,MATCH("Chi phí quản lý doanh nghiệp",income_statement!$A:$A,0),MATCH(H$23,income_statement!$B$1:$I$1,0)),"")</f>
        <v/>
      </c>
      <c r="I35" s="18">
        <f>IFERROR(INDEX(income_statement!$B:$I,MATCH("Chi phí quản lý doanh nghiệp",income_statement!$A:$A,0),MATCH(I$23,income_statement!$B$1:$I$1,0)),"")</f>
        <v/>
      </c>
    </row>
    <row r="36">
      <c r="A36" s="17" t="inlineStr">
        <is>
          <t>Lãi/(lỗ) từ hoạt động kinh doanh</t>
        </is>
      </c>
      <c r="B36" s="18">
        <f>IFERROR(INDEX(income_statement!$B:$I,MATCH("Lãi/(lỗ) từ hoạt động kinh doanh",income_statement!$A:$A,0),MATCH(B$23,income_statement!$B$1:$I$1,0)),"")</f>
        <v/>
      </c>
      <c r="C36" s="18">
        <f>IFERROR(INDEX(income_statement!$B:$I,MATCH("Lãi/(lỗ) từ hoạt động kinh doanh",income_statement!$A:$A,0),MATCH(C$23,income_statement!$B$1:$I$1,0)),"")</f>
        <v/>
      </c>
      <c r="D36" s="18">
        <f>IFERROR(INDEX(income_statement!$B:$I,MATCH("Lãi/(lỗ) từ hoạt động kinh doanh",income_statement!$A:$A,0),MATCH(D$23,income_statement!$B$1:$I$1,0)),"")</f>
        <v/>
      </c>
      <c r="E36" s="18">
        <f>IFERROR(INDEX(income_statement!$B:$I,MATCH("Lãi/(lỗ) từ hoạt động kinh doanh",income_statement!$A:$A,0),MATCH(E$23,income_statement!$B$1:$I$1,0)),"")</f>
        <v/>
      </c>
      <c r="F36" s="18">
        <f>IFERROR(INDEX(income_statement!$B:$I,MATCH("Lãi/(lỗ) từ hoạt động kinh doanh",income_statement!$A:$A,0),MATCH(F$23,income_statement!$B$1:$I$1,0)),"")</f>
        <v/>
      </c>
      <c r="G36" s="18">
        <f>IFERROR(INDEX(income_statement!$B:$I,MATCH("Lãi/(lỗ) từ hoạt động kinh doanh",income_statement!$A:$A,0),MATCH(G$23,income_statement!$B$1:$I$1,0)),"")</f>
        <v/>
      </c>
      <c r="H36" s="18">
        <f>IFERROR(INDEX(income_statement!$B:$I,MATCH("Lãi/(lỗ) từ hoạt động kinh doanh",income_statement!$A:$A,0),MATCH(H$23,income_statement!$B$1:$I$1,0)),"")</f>
        <v/>
      </c>
      <c r="I36" s="18">
        <f>IFERROR(INDEX(income_statement!$B:$I,MATCH("Lãi/(lỗ) từ hoạt động kinh doanh",income_statement!$A:$A,0),MATCH(I$23,income_statement!$B$1:$I$1,0)),"")</f>
        <v/>
      </c>
    </row>
    <row r="37">
      <c r="A37" s="17" t="inlineStr">
        <is>
          <t>Chi phí lãi vay</t>
        </is>
      </c>
      <c r="B37" s="18">
        <f>IFERROR(INDEX(income_statement!$B:$I,MATCH("Chi phí lãi vay",income_statement!$A:$A,0),MATCH(B$23,income_statement!$B$1:$I$1,0)),"")</f>
        <v/>
      </c>
      <c r="C37" s="18">
        <f>IFERROR(INDEX(income_statement!$B:$I,MATCH("Chi phí lãi vay",income_statement!$A:$A,0),MATCH(C$23,income_statement!$B$1:$I$1,0)),"")</f>
        <v/>
      </c>
      <c r="D37" s="18">
        <f>IFERROR(INDEX(income_statement!$B:$I,MATCH("Chi phí lãi vay",income_statement!$A:$A,0),MATCH(D$23,income_statement!$B$1:$I$1,0)),"")</f>
        <v/>
      </c>
      <c r="E37" s="18">
        <f>IFERROR(INDEX(income_statement!$B:$I,MATCH("Chi phí lãi vay",income_statement!$A:$A,0),MATCH(E$23,income_statement!$B$1:$I$1,0)),"")</f>
        <v/>
      </c>
      <c r="F37" s="18">
        <f>IFERROR(INDEX(income_statement!$B:$I,MATCH("Chi phí lãi vay",income_statement!$A:$A,0),MATCH(F$23,income_statement!$B$1:$I$1,0)),"")</f>
        <v/>
      </c>
      <c r="G37" s="18">
        <f>IFERROR(INDEX(income_statement!$B:$I,MATCH("Chi phí lãi vay",income_statement!$A:$A,0),MATCH(G$23,income_statement!$B$1:$I$1,0)),"")</f>
        <v/>
      </c>
      <c r="H37" s="18">
        <f>IFERROR(INDEX(income_statement!$B:$I,MATCH("Chi phí lãi vay",income_statement!$A:$A,0),MATCH(H$23,income_statement!$B$1:$I$1,0)),"")</f>
        <v/>
      </c>
      <c r="I37" s="18">
        <f>IFERROR(INDEX(income_statement!$B:$I,MATCH("Chi phí lãi vay",income_statement!$A:$A,0),MATCH(I$23,income_statement!$B$1:$I$1,0)),"")</f>
        <v/>
      </c>
    </row>
    <row r="38">
      <c r="A38" s="17" t="inlineStr">
        <is>
          <t>Lãi/(lỗ) thuần sau thuế</t>
        </is>
      </c>
      <c r="B38" s="18">
        <f>IFERROR(INDEX(income_statement!$B:$I,MATCH("Lãi/(lỗ) thuần sau thuế",income_statement!$A:$A,0),MATCH(B$23,income_statement!$B$1:$I$1,0)),"")</f>
        <v/>
      </c>
      <c r="C38" s="18">
        <f>IFERROR(INDEX(income_statement!$B:$I,MATCH("Lãi/(lỗ) thuần sau thuế",income_statement!$A:$A,0),MATCH(C$23,income_statement!$B$1:$I$1,0)),"")</f>
        <v/>
      </c>
      <c r="D38" s="18">
        <f>IFERROR(INDEX(income_statement!$B:$I,MATCH("Lãi/(lỗ) thuần sau thuế",income_statement!$A:$A,0),MATCH(D$23,income_statement!$B$1:$I$1,0)),"")</f>
        <v/>
      </c>
      <c r="E38" s="18">
        <f>IFERROR(INDEX(income_statement!$B:$I,MATCH("Lãi/(lỗ) thuần sau thuế",income_statement!$A:$A,0),MATCH(E$23,income_statement!$B$1:$I$1,0)),"")</f>
        <v/>
      </c>
      <c r="F38" s="18">
        <f>IFERROR(INDEX(income_statement!$B:$I,MATCH("Lãi/(lỗ) thuần sau thuế",income_statement!$A:$A,0),MATCH(F$23,income_statement!$B$1:$I$1,0)),"")</f>
        <v/>
      </c>
      <c r="G38" s="18">
        <f>IFERROR(INDEX(income_statement!$B:$I,MATCH("Lãi/(lỗ) thuần sau thuế",income_statement!$A:$A,0),MATCH(G$23,income_statement!$B$1:$I$1,0)),"")</f>
        <v/>
      </c>
      <c r="H38" s="18">
        <f>IFERROR(INDEX(income_statement!$B:$I,MATCH("Lãi/(lỗ) thuần sau thuế",income_statement!$A:$A,0),MATCH(H$23,income_statement!$B$1:$I$1,0)),"")</f>
        <v/>
      </c>
      <c r="I38" s="18">
        <f>IFERROR(INDEX(income_statement!$B:$I,MATCH("Lãi/(lỗ) thuần sau thuế",income_statement!$A:$A,0),MATCH(I$23,income_statement!$B$1:$I$1,0)),"")</f>
        <v/>
      </c>
    </row>
    <row r="39">
      <c r="A39" s="17" t="inlineStr">
        <is>
          <t>Lợi nhuận của Cổ đông của Công ty mẹ</t>
        </is>
      </c>
      <c r="B39" s="18">
        <f>IFERROR(INDEX(income_statement!$B:$I,MATCH("Lợi nhuận của Cổ đông của Công ty mẹ",income_statement!$A:$A,0),MATCH(B$23,income_statement!$B$1:$I$1,0)),"")</f>
        <v/>
      </c>
      <c r="C39" s="18">
        <f>IFERROR(INDEX(income_statement!$B:$I,MATCH("Lợi nhuận của Cổ đông của Công ty mẹ",income_statement!$A:$A,0),MATCH(C$23,income_statement!$B$1:$I$1,0)),"")</f>
        <v/>
      </c>
      <c r="D39" s="18">
        <f>IFERROR(INDEX(income_statement!$B:$I,MATCH("Lợi nhuận của Cổ đông của Công ty mẹ",income_statement!$A:$A,0),MATCH(D$23,income_statement!$B$1:$I$1,0)),"")</f>
        <v/>
      </c>
      <c r="E39" s="18">
        <f>IFERROR(INDEX(income_statement!$B:$I,MATCH("Lợi nhuận của Cổ đông của Công ty mẹ",income_statement!$A:$A,0),MATCH(E$23,income_statement!$B$1:$I$1,0)),"")</f>
        <v/>
      </c>
      <c r="F39" s="18">
        <f>IFERROR(INDEX(income_statement!$B:$I,MATCH("Lợi nhuận của Cổ đông của Công ty mẹ",income_statement!$A:$A,0),MATCH(F$23,income_statement!$B$1:$I$1,0)),"")</f>
        <v/>
      </c>
      <c r="G39" s="18">
        <f>IFERROR(INDEX(income_statement!$B:$I,MATCH("Lợi nhuận của Cổ đông của Công ty mẹ",income_statement!$A:$A,0),MATCH(G$23,income_statement!$B$1:$I$1,0)),"")</f>
        <v/>
      </c>
      <c r="H39" s="18">
        <f>IFERROR(INDEX(income_statement!$B:$I,MATCH("Lợi nhuận của Cổ đông của Công ty mẹ",income_statement!$A:$A,0),MATCH(H$23,income_statement!$B$1:$I$1,0)),"")</f>
        <v/>
      </c>
      <c r="I39" s="18">
        <f>IFERROR(INDEX(income_statement!$B:$I,MATCH("Lợi nhuận của Cổ đông của Công ty mẹ",income_statement!$A:$A,0),MATCH(I$23,income_statement!$B$1:$I$1,0)),"")</f>
        <v/>
      </c>
    </row>
    <row r="40">
      <c r="A40" s="17" t="inlineStr">
        <is>
          <t>Phải thu khách hàng</t>
        </is>
      </c>
      <c r="B40" s="18">
        <f>IFERROR(INDEX(balance_sheet!$B:$I,MATCH("Phải thu khách hàng",balance_sheet!$A:$A,0),MATCH(B$23,balance_sheet!$B$1:$I$1,0)),"")</f>
        <v/>
      </c>
      <c r="C40" s="18">
        <f>IFERROR(INDEX(balance_sheet!$B:$I,MATCH("Phải thu khách hàng",balance_sheet!$A:$A,0),MATCH(C$23,balance_sheet!$B$1:$I$1,0)),"")</f>
        <v/>
      </c>
      <c r="D40" s="18">
        <f>IFERROR(INDEX(balance_sheet!$B:$I,MATCH("Phải thu khách hàng",balance_sheet!$A:$A,0),MATCH(D$23,balance_sheet!$B$1:$I$1,0)),"")</f>
        <v/>
      </c>
      <c r="E40" s="18">
        <f>IFERROR(INDEX(balance_sheet!$B:$I,MATCH("Phải thu khách hàng",balance_sheet!$A:$A,0),MATCH(E$23,balance_sheet!$B$1:$I$1,0)),"")</f>
        <v/>
      </c>
      <c r="F40" s="18">
        <f>IFERROR(INDEX(balance_sheet!$B:$I,MATCH("Phải thu khách hàng",balance_sheet!$A:$A,0),MATCH(F$23,balance_sheet!$B$1:$I$1,0)),"")</f>
        <v/>
      </c>
      <c r="G40" s="18">
        <f>IFERROR(INDEX(balance_sheet!$B:$I,MATCH("Phải thu khách hàng",balance_sheet!$A:$A,0),MATCH(G$23,balance_sheet!$B$1:$I$1,0)),"")</f>
        <v/>
      </c>
      <c r="H40" s="18">
        <f>IFERROR(INDEX(balance_sheet!$B:$I,MATCH("Phải thu khách hàng",balance_sheet!$A:$A,0),MATCH(H$23,balance_sheet!$B$1:$I$1,0)),"")</f>
        <v/>
      </c>
      <c r="I40" s="18">
        <f>IFERROR(INDEX(balance_sheet!$B:$I,MATCH("Phải thu khách hàng",balance_sheet!$A:$A,0),MATCH(I$23,balance_sheet!$B$1:$I$1,0)),"")</f>
        <v/>
      </c>
    </row>
    <row r="41">
      <c r="A41" s="17" t="inlineStr">
        <is>
          <t>Phải trả người bán</t>
        </is>
      </c>
      <c r="B41" s="18">
        <f>IFERROR(INDEX(balance_sheet!$B:$I,MATCH("Phải trả người bán",balance_sheet!$A:$A,0),MATCH(B$23,balance_sheet!$B$1:$I$1,0)),"")</f>
        <v/>
      </c>
      <c r="C41" s="18">
        <f>IFERROR(INDEX(balance_sheet!$B:$I,MATCH("Phải trả người bán",balance_sheet!$A:$A,0),MATCH(C$23,balance_sheet!$B$1:$I$1,0)),"")</f>
        <v/>
      </c>
      <c r="D41" s="18">
        <f>IFERROR(INDEX(balance_sheet!$B:$I,MATCH("Phải trả người bán",balance_sheet!$A:$A,0),MATCH(D$23,balance_sheet!$B$1:$I$1,0)),"")</f>
        <v/>
      </c>
      <c r="E41" s="18">
        <f>IFERROR(INDEX(balance_sheet!$B:$I,MATCH("Phải trả người bán",balance_sheet!$A:$A,0),MATCH(E$23,balance_sheet!$B$1:$I$1,0)),"")</f>
        <v/>
      </c>
      <c r="F41" s="18">
        <f>IFERROR(INDEX(balance_sheet!$B:$I,MATCH("Phải trả người bán",balance_sheet!$A:$A,0),MATCH(F$23,balance_sheet!$B$1:$I$1,0)),"")</f>
        <v/>
      </c>
      <c r="G41" s="18">
        <f>IFERROR(INDEX(balance_sheet!$B:$I,MATCH("Phải trả người bán",balance_sheet!$A:$A,0),MATCH(G$23,balance_sheet!$B$1:$I$1,0)),"")</f>
        <v/>
      </c>
      <c r="H41" s="18">
        <f>IFERROR(INDEX(balance_sheet!$B:$I,MATCH("Phải trả người bán",balance_sheet!$A:$A,0),MATCH(H$23,balance_sheet!$B$1:$I$1,0)),"")</f>
        <v/>
      </c>
      <c r="I41" s="18">
        <f>IFERROR(INDEX(balance_sheet!$B:$I,MATCH("Phải trả người bán",balance_sheet!$A:$A,0),MATCH(I$23,balance_sheet!$B$1:$I$1,0)),"")</f>
        <v/>
      </c>
    </row>
    <row r="42">
      <c r="A42" s="17" t="inlineStr">
        <is>
          <t>Hàng tồn kho, ròng</t>
        </is>
      </c>
      <c r="B42" s="18">
        <f>IFERROR(INDEX(balance_sheet!$B:$I,MATCH("Hàng tồn kho, ròng",balance_sheet!$A:$A,0),MATCH(B$23,balance_sheet!$B$1:$I$1,0)),"")</f>
        <v/>
      </c>
      <c r="C42" s="18">
        <f>IFERROR(INDEX(balance_sheet!$B:$I,MATCH("Hàng tồn kho, ròng",balance_sheet!$A:$A,0),MATCH(C$23,balance_sheet!$B$1:$I$1,0)),"")</f>
        <v/>
      </c>
      <c r="D42" s="18">
        <f>IFERROR(INDEX(balance_sheet!$B:$I,MATCH("Hàng tồn kho, ròng",balance_sheet!$A:$A,0),MATCH(D$23,balance_sheet!$B$1:$I$1,0)),"")</f>
        <v/>
      </c>
      <c r="E42" s="18">
        <f>IFERROR(INDEX(balance_sheet!$B:$I,MATCH("Hàng tồn kho, ròng",balance_sheet!$A:$A,0),MATCH(E$23,balance_sheet!$B$1:$I$1,0)),"")</f>
        <v/>
      </c>
      <c r="F42" s="18">
        <f>IFERROR(INDEX(balance_sheet!$B:$I,MATCH("Hàng tồn kho, ròng",balance_sheet!$A:$A,0),MATCH(F$23,balance_sheet!$B$1:$I$1,0)),"")</f>
        <v/>
      </c>
      <c r="G42" s="18">
        <f>IFERROR(INDEX(balance_sheet!$B:$I,MATCH("Hàng tồn kho, ròng",balance_sheet!$A:$A,0),MATCH(G$23,balance_sheet!$B$1:$I$1,0)),"")</f>
        <v/>
      </c>
      <c r="H42" s="18">
        <f>IFERROR(INDEX(balance_sheet!$B:$I,MATCH("Hàng tồn kho, ròng",balance_sheet!$A:$A,0),MATCH(H$23,balance_sheet!$B$1:$I$1,0)),"")</f>
        <v/>
      </c>
      <c r="I42" s="18">
        <f>IFERROR(INDEX(balance_sheet!$B:$I,MATCH("Hàng tồn kho, ròng",balance_sheet!$A:$A,0),MATCH(I$23,balance_sheet!$B$1:$I$1,0)),"")</f>
        <v/>
      </c>
    </row>
    <row r="43">
      <c r="A43" s="17" t="inlineStr">
        <is>
          <t>Tiền và tương đương tiền</t>
        </is>
      </c>
      <c r="B43" s="18">
        <f>IFERROR(INDEX(balance_sheet!$B:$I,MATCH("Tiền và tương đương tiền",balance_sheet!$A:$A,0),MATCH(B$23,balance_sheet!$B$1:$I$1,0)),"")</f>
        <v/>
      </c>
      <c r="C43" s="18">
        <f>IFERROR(INDEX(balance_sheet!$B:$I,MATCH("Tiền và tương đương tiền",balance_sheet!$A:$A,0),MATCH(C$23,balance_sheet!$B$1:$I$1,0)),"")</f>
        <v/>
      </c>
      <c r="D43" s="18">
        <f>IFERROR(INDEX(balance_sheet!$B:$I,MATCH("Tiền và tương đương tiền",balance_sheet!$A:$A,0),MATCH(D$23,balance_sheet!$B$1:$I$1,0)),"")</f>
        <v/>
      </c>
      <c r="E43" s="18">
        <f>IFERROR(INDEX(balance_sheet!$B:$I,MATCH("Tiền và tương đương tiền",balance_sheet!$A:$A,0),MATCH(E$23,balance_sheet!$B$1:$I$1,0)),"")</f>
        <v/>
      </c>
      <c r="F43" s="18">
        <f>IFERROR(INDEX(balance_sheet!$B:$I,MATCH("Tiền và tương đương tiền",balance_sheet!$A:$A,0),MATCH(F$23,balance_sheet!$B$1:$I$1,0)),"")</f>
        <v/>
      </c>
      <c r="G43" s="18">
        <f>IFERROR(INDEX(balance_sheet!$B:$I,MATCH("Tiền và tương đương tiền",balance_sheet!$A:$A,0),MATCH(G$23,balance_sheet!$B$1:$I$1,0)),"")</f>
        <v/>
      </c>
      <c r="H43" s="18">
        <f>IFERROR(INDEX(balance_sheet!$B:$I,MATCH("Tiền và tương đương tiền",balance_sheet!$A:$A,0),MATCH(H$23,balance_sheet!$B$1:$I$1,0)),"")</f>
        <v/>
      </c>
      <c r="I43" s="18">
        <f>IFERROR(INDEX(balance_sheet!$B:$I,MATCH("Tiền và tương đương tiền",balance_sheet!$A:$A,0),MATCH(I$23,balance_sheet!$B$1:$I$1,0)),"")</f>
        <v/>
      </c>
    </row>
    <row r="44">
      <c r="A44" s="17" t="inlineStr">
        <is>
          <t>TÀI SẢN NGẮN HẠN</t>
        </is>
      </c>
      <c r="B44" s="18">
        <f>IFERROR(INDEX(balance_sheet!$B:$I,MATCH("TÀI SẢN NGẮN HẠN",balance_sheet!$A:$A,0),MATCH(B$23,balance_sheet!$B$1:$I$1,0)),"")</f>
        <v/>
      </c>
      <c r="C44" s="18">
        <f>IFERROR(INDEX(balance_sheet!$B:$I,MATCH("TÀI SẢN NGẮN HẠN",balance_sheet!$A:$A,0),MATCH(C$23,balance_sheet!$B$1:$I$1,0)),"")</f>
        <v/>
      </c>
      <c r="D44" s="18">
        <f>IFERROR(INDEX(balance_sheet!$B:$I,MATCH("TÀI SẢN NGẮN HẠN",balance_sheet!$A:$A,0),MATCH(D$23,balance_sheet!$B$1:$I$1,0)),"")</f>
        <v/>
      </c>
      <c r="E44" s="18">
        <f>IFERROR(INDEX(balance_sheet!$B:$I,MATCH("TÀI SẢN NGẮN HẠN",balance_sheet!$A:$A,0),MATCH(E$23,balance_sheet!$B$1:$I$1,0)),"")</f>
        <v/>
      </c>
      <c r="F44" s="18">
        <f>IFERROR(INDEX(balance_sheet!$B:$I,MATCH("TÀI SẢN NGẮN HẠN",balance_sheet!$A:$A,0),MATCH(F$23,balance_sheet!$B$1:$I$1,0)),"")</f>
        <v/>
      </c>
      <c r="G44" s="18">
        <f>IFERROR(INDEX(balance_sheet!$B:$I,MATCH("TÀI SẢN NGẮN HẠN",balance_sheet!$A:$A,0),MATCH(G$23,balance_sheet!$B$1:$I$1,0)),"")</f>
        <v/>
      </c>
      <c r="H44" s="18">
        <f>IFERROR(INDEX(balance_sheet!$B:$I,MATCH("TÀI SẢN NGẮN HẠN",balance_sheet!$A:$A,0),MATCH(H$23,balance_sheet!$B$1:$I$1,0)),"")</f>
        <v/>
      </c>
      <c r="I44" s="18">
        <f>IFERROR(INDEX(balance_sheet!$B:$I,MATCH("TÀI SẢN NGẮN HẠN",balance_sheet!$A:$A,0),MATCH(I$23,balance_sheet!$B$1:$I$1,0)),"")</f>
        <v/>
      </c>
    </row>
    <row r="45">
      <c r="A45" s="17" t="inlineStr">
        <is>
          <t>GTCL tài sản cố định vô hình</t>
        </is>
      </c>
      <c r="B45" s="18">
        <f>IFERROR(INDEX(balance_sheet!$B:$I,MATCH("GTCL tài sản cố định vô hình",balance_sheet!$A:$A,0),MATCH(B$23,balance_sheet!$B$1:$I$1,0)),"")</f>
        <v/>
      </c>
      <c r="C45" s="18">
        <f>IFERROR(INDEX(balance_sheet!$B:$I,MATCH("GTCL tài sản cố định vô hình",balance_sheet!$A:$A,0),MATCH(C$23,balance_sheet!$B$1:$I$1,0)),"")</f>
        <v/>
      </c>
      <c r="D45" s="18">
        <f>IFERROR(INDEX(balance_sheet!$B:$I,MATCH("GTCL tài sản cố định vô hình",balance_sheet!$A:$A,0),MATCH(D$23,balance_sheet!$B$1:$I$1,0)),"")</f>
        <v/>
      </c>
      <c r="E45" s="18">
        <f>IFERROR(INDEX(balance_sheet!$B:$I,MATCH("GTCL tài sản cố định vô hình",balance_sheet!$A:$A,0),MATCH(E$23,balance_sheet!$B$1:$I$1,0)),"")</f>
        <v/>
      </c>
      <c r="F45" s="18">
        <f>IFERROR(INDEX(balance_sheet!$B:$I,MATCH("GTCL tài sản cố định vô hình",balance_sheet!$A:$A,0),MATCH(F$23,balance_sheet!$B$1:$I$1,0)),"")</f>
        <v/>
      </c>
      <c r="G45" s="18">
        <f>IFERROR(INDEX(balance_sheet!$B:$I,MATCH("GTCL tài sản cố định vô hình",balance_sheet!$A:$A,0),MATCH(G$23,balance_sheet!$B$1:$I$1,0)),"")</f>
        <v/>
      </c>
      <c r="H45" s="18">
        <f>IFERROR(INDEX(balance_sheet!$B:$I,MATCH("GTCL tài sản cố định vô hình",balance_sheet!$A:$A,0),MATCH(H$23,balance_sheet!$B$1:$I$1,0)),"")</f>
        <v/>
      </c>
      <c r="I45" s="18">
        <f>IFERROR(INDEX(balance_sheet!$B:$I,MATCH("GTCL tài sản cố định vô hình",balance_sheet!$A:$A,0),MATCH(I$23,balance_sheet!$B$1:$I$1,0)),"")</f>
        <v/>
      </c>
    </row>
    <row r="46">
      <c r="A46" s="17" t="inlineStr">
        <is>
          <t>Khấu hao TSCĐ và BĐSĐT</t>
        </is>
      </c>
      <c r="B46" s="18">
        <f>IFERROR(INDEX(cash_flow!$B:$I,MATCH("Khấu hao TSCĐ và BĐSĐT",cash_flow!$A:$A,0),MATCH(B$23,cash_flow!$B$1:$I$1,0)),"")</f>
        <v/>
      </c>
      <c r="C46" s="18">
        <f>IFERROR(INDEX(cash_flow!$B:$I,MATCH("Khấu hao TSCĐ và BĐSĐT",cash_flow!$A:$A,0),MATCH(C$23,cash_flow!$B$1:$I$1,0)),"")</f>
        <v/>
      </c>
      <c r="D46" s="18">
        <f>IFERROR(INDEX(cash_flow!$B:$I,MATCH("Khấu hao TSCĐ và BĐSĐT",cash_flow!$A:$A,0),MATCH(D$23,cash_flow!$B$1:$I$1,0)),"")</f>
        <v/>
      </c>
      <c r="E46" s="18">
        <f>IFERROR(INDEX(cash_flow!$B:$I,MATCH("Khấu hao TSCĐ và BĐSĐT",cash_flow!$A:$A,0),MATCH(E$23,cash_flow!$B$1:$I$1,0)),"")</f>
        <v/>
      </c>
      <c r="F46" s="18">
        <f>IFERROR(INDEX(cash_flow!$B:$I,MATCH("Khấu hao TSCĐ và BĐSĐT",cash_flow!$A:$A,0),MATCH(F$23,cash_flow!$B$1:$I$1,0)),"")</f>
        <v/>
      </c>
      <c r="G46" s="18">
        <f>IFERROR(INDEX(cash_flow!$B:$I,MATCH("Khấu hao TSCĐ và BĐSĐT",cash_flow!$A:$A,0),MATCH(G$23,cash_flow!$B$1:$I$1,0)),"")</f>
        <v/>
      </c>
      <c r="H46" s="18">
        <f>IFERROR(INDEX(cash_flow!$B:$I,MATCH("Khấu hao TSCĐ và BĐSĐT",cash_flow!$A:$A,0),MATCH(H$23,cash_flow!$B$1:$I$1,0)),"")</f>
        <v/>
      </c>
      <c r="I46" s="18">
        <f>IFERROR(INDEX(cash_flow!$B:$I,MATCH("Khấu hao TSCĐ và BĐSĐT",cash_flow!$A:$A,0),MATCH(I$23,cash_flow!$B$1:$I$1,0)),"")</f>
        <v/>
      </c>
    </row>
    <row r="47">
      <c r="A47" s="17" t="inlineStr">
        <is>
          <t>Tiền chi để mua sắm, xây dựng TSCĐ và các tài sản dài hạn khác</t>
        </is>
      </c>
      <c r="B47" s="18">
        <f>IFERROR(INDEX(cash_flow!$B:$I,MATCH("Tiền chi để mua sắm, xây dựng TSCĐ và các tài sản dài hạn khác",cash_flow!$A:$A,0),MATCH(B$23,cash_flow!$B$1:$I$1,0)),"")</f>
        <v/>
      </c>
      <c r="C47" s="18">
        <f>IFERROR(INDEX(cash_flow!$B:$I,MATCH("Tiền chi để mua sắm, xây dựng TSCĐ và các tài sản dài hạn khác",cash_flow!$A:$A,0),MATCH(C$23,cash_flow!$B$1:$I$1,0)),"")</f>
        <v/>
      </c>
      <c r="D47" s="18">
        <f>IFERROR(INDEX(cash_flow!$B:$I,MATCH("Tiền chi để mua sắm, xây dựng TSCĐ và các tài sản dài hạn khác",cash_flow!$A:$A,0),MATCH(D$23,cash_flow!$B$1:$I$1,0)),"")</f>
        <v/>
      </c>
      <c r="E47" s="18">
        <f>IFERROR(INDEX(cash_flow!$B:$I,MATCH("Tiền chi để mua sắm, xây dựng TSCĐ và các tài sản dài hạn khác",cash_flow!$A:$A,0),MATCH(E$23,cash_flow!$B$1:$I$1,0)),"")</f>
        <v/>
      </c>
      <c r="F47" s="18">
        <f>IFERROR(INDEX(cash_flow!$B:$I,MATCH("Tiền chi để mua sắm, xây dựng TSCĐ và các tài sản dài hạn khác",cash_flow!$A:$A,0),MATCH(F$23,cash_flow!$B$1:$I$1,0)),"")</f>
        <v/>
      </c>
      <c r="G47" s="18">
        <f>IFERROR(INDEX(cash_flow!$B:$I,MATCH("Tiền chi để mua sắm, xây dựng TSCĐ và các tài sản dài hạn khác",cash_flow!$A:$A,0),MATCH(G$23,cash_flow!$B$1:$I$1,0)),"")</f>
        <v/>
      </c>
      <c r="H47" s="18">
        <f>IFERROR(INDEX(cash_flow!$B:$I,MATCH("Tiền chi để mua sắm, xây dựng TSCĐ và các tài sản dài hạn khác",cash_flow!$A:$A,0),MATCH(H$23,cash_flow!$B$1:$I$1,0)),"")</f>
        <v/>
      </c>
      <c r="I47" s="18">
        <f>IFERROR(INDEX(cash_flow!$B:$I,MATCH("Tiền chi để mua sắm, xây dựng TSCĐ và các tài sản dài hạn khác",cash_flow!$A:$A,0),MATCH(I$23,cash_flow!$B$1:$I$1,0)),"")</f>
        <v/>
      </c>
    </row>
    <row r="48">
      <c r="A48" s="17" t="inlineStr">
        <is>
          <t>Lưu chuyển tiền tệ ròng từ các hoạt động sản xuất kinh doanh</t>
        </is>
      </c>
      <c r="B48" s="18">
        <f>IFERROR(INDEX(cash_flow!$B:$I,MATCH("Lưu chuyển tiền tệ ròng từ các hoạt động sản xuất kinh doanh",cash_flow!$A:$A,0),MATCH(B$23,cash_flow!$B$1:$I$1,0)),"")</f>
        <v/>
      </c>
      <c r="C48" s="18">
        <f>IFERROR(INDEX(cash_flow!$B:$I,MATCH("Lưu chuyển tiền tệ ròng từ các hoạt động sản xuất kinh doanh",cash_flow!$A:$A,0),MATCH(C$23,cash_flow!$B$1:$I$1,0)),"")</f>
        <v/>
      </c>
      <c r="D48" s="18">
        <f>IFERROR(INDEX(cash_flow!$B:$I,MATCH("Lưu chuyển tiền tệ ròng từ các hoạt động sản xuất kinh doanh",cash_flow!$A:$A,0),MATCH(D$23,cash_flow!$B$1:$I$1,0)),"")</f>
        <v/>
      </c>
      <c r="E48" s="18">
        <f>IFERROR(INDEX(cash_flow!$B:$I,MATCH("Lưu chuyển tiền tệ ròng từ các hoạt động sản xuất kinh doanh",cash_flow!$A:$A,0),MATCH(E$23,cash_flow!$B$1:$I$1,0)),"")</f>
        <v/>
      </c>
      <c r="F48" s="18">
        <f>IFERROR(INDEX(cash_flow!$B:$I,MATCH("Lưu chuyển tiền tệ ròng từ các hoạt động sản xuất kinh doanh",cash_flow!$A:$A,0),MATCH(F$23,cash_flow!$B$1:$I$1,0)),"")</f>
        <v/>
      </c>
      <c r="G48" s="18">
        <f>IFERROR(INDEX(cash_flow!$B:$I,MATCH("Lưu chuyển tiền tệ ròng từ các hoạt động sản xuất kinh doanh",cash_flow!$A:$A,0),MATCH(G$23,cash_flow!$B$1:$I$1,0)),"")</f>
        <v/>
      </c>
      <c r="H48" s="18">
        <f>IFERROR(INDEX(cash_flow!$B:$I,MATCH("Lưu chuyển tiền tệ ròng từ các hoạt động sản xuất kinh doanh",cash_flow!$A:$A,0),MATCH(H$23,cash_flow!$B$1:$I$1,0)),"")</f>
        <v/>
      </c>
      <c r="I48" s="18">
        <f>IFERROR(INDEX(cash_flow!$B:$I,MATCH("Lưu chuyển tiền tệ ròng từ các hoạt động sản xuất kinh doanh",cash_flow!$A:$A,0),MATCH(I$23,cash_flow!$B$1:$I$1,0)),"")</f>
        <v/>
      </c>
    </row>
    <row r="49"/>
    <row r="50"/>
    <row r="51"/>
    <row r="52">
      <c r="A52" s="19" t="inlineStr">
        <is>
          <t>CHỈ SỐ THÊM</t>
        </is>
      </c>
      <c r="B52" s="6" t="n">
        <v>2018</v>
      </c>
      <c r="C52" s="6" t="n">
        <v>2019</v>
      </c>
      <c r="D52" s="6" t="n">
        <v>2020</v>
      </c>
      <c r="E52" s="6" t="n">
        <v>2021</v>
      </c>
      <c r="F52" s="6" t="n">
        <v>2022</v>
      </c>
      <c r="G52" s="6" t="n">
        <v>2023</v>
      </c>
      <c r="H52" s="6" t="n">
        <v>2024</v>
      </c>
      <c r="I52" s="6" t="n">
        <v>2025</v>
      </c>
    </row>
    <row r="53">
      <c r="A53" s="19" t="inlineStr">
        <is>
          <t>Khả năng sinh lời &amp; hiệu quả sử dụng vốn</t>
        </is>
      </c>
      <c r="B53" s="20" t="n"/>
      <c r="C53" s="20" t="n"/>
      <c r="D53" s="20" t="n"/>
      <c r="E53" s="20" t="n"/>
      <c r="F53" s="20" t="n"/>
      <c r="G53" s="20" t="n"/>
      <c r="H53" s="20" t="n"/>
      <c r="I53" s="20" t="n"/>
    </row>
    <row r="54">
      <c r="A54" s="20" t="inlineStr">
        <is>
          <t>ROCE</t>
        </is>
      </c>
      <c r="B54" s="21">
        <f>IFERROR(B$56/(B$25-B$27),"n/a")</f>
        <v/>
      </c>
      <c r="C54" s="21">
        <f>IFERROR(C$56/(C$25-C$27),"n/a")</f>
        <v/>
      </c>
      <c r="D54" s="21">
        <f>IFERROR(D$56/(D$25-D$27),"n/a")</f>
        <v/>
      </c>
      <c r="E54" s="21">
        <f>IFERROR(E$56/(E$25-E$27),"n/a")</f>
        <v/>
      </c>
      <c r="F54" s="21">
        <f>IFERROR(F$56/(F$25-F$27),"n/a")</f>
        <v/>
      </c>
      <c r="G54" s="21">
        <f>IFERROR(G$56/(G$25-G$27),"n/a")</f>
        <v/>
      </c>
      <c r="H54" s="21">
        <f>IFERROR(H$56/(H$25-H$27),"n/a")</f>
        <v/>
      </c>
      <c r="I54" s="21">
        <f>IFERROR(I$56/(I$25-I$27),"n/a")</f>
        <v/>
      </c>
    </row>
    <row r="55">
      <c r="A55" s="20" t="inlineStr">
        <is>
          <t>CROIC</t>
        </is>
      </c>
      <c r="B55" s="21">
        <f>IFERROR(B$60/(B$25-B$27),"n/a")</f>
        <v/>
      </c>
      <c r="C55" s="21">
        <f>IFERROR(C$60/(C$25-C$27),"n/a")</f>
        <v/>
      </c>
      <c r="D55" s="21">
        <f>IFERROR(D$60/(D$25-D$27),"n/a")</f>
        <v/>
      </c>
      <c r="E55" s="21">
        <f>IFERROR(E$60/(E$25-E$27),"n/a")</f>
        <v/>
      </c>
      <c r="F55" s="21">
        <f>IFERROR(F$60/(F$25-F$27),"n/a")</f>
        <v/>
      </c>
      <c r="G55" s="21">
        <f>IFERROR(G$60/(G$25-G$27),"n/a")</f>
        <v/>
      </c>
      <c r="H55" s="21">
        <f>IFERROR(H$60/(H$25-H$27),"n/a")</f>
        <v/>
      </c>
      <c r="I55" s="21">
        <f>IFERROR(I$60/(I$25-I$27),"n/a")</f>
        <v/>
      </c>
    </row>
    <row r="56">
      <c r="A56" s="20" t="inlineStr">
        <is>
          <t>EBIT</t>
        </is>
      </c>
      <c r="B56" s="22">
        <f>IFERROR(B$36+ABS(B$37),"n/a")</f>
        <v/>
      </c>
      <c r="C56" s="22">
        <f>IFERROR(C$36+ABS(C$37),"n/a")</f>
        <v/>
      </c>
      <c r="D56" s="22">
        <f>IFERROR(D$36+ABS(D$37),"n/a")</f>
        <v/>
      </c>
      <c r="E56" s="22">
        <f>IFERROR(E$36+ABS(E$37),"n/a")</f>
        <v/>
      </c>
      <c r="F56" s="22">
        <f>IFERROR(F$36+ABS(F$37),"n/a")</f>
        <v/>
      </c>
      <c r="G56" s="22">
        <f>IFERROR(G$36+ABS(G$37),"n/a")</f>
        <v/>
      </c>
      <c r="H56" s="22">
        <f>IFERROR(H$36+ABS(H$37),"n/a")</f>
        <v/>
      </c>
      <c r="I56" s="22">
        <f>IFERROR(I$36+ABS(I$37),"n/a")</f>
        <v/>
      </c>
    </row>
    <row r="57">
      <c r="A57" s="20" t="inlineStr">
        <is>
          <t>EBIT/DT</t>
        </is>
      </c>
      <c r="B57" s="21">
        <f>IFERROR(B$56/B$31,"n/a")</f>
        <v/>
      </c>
      <c r="C57" s="21">
        <f>IFERROR(C$56/C$31,"n/a")</f>
        <v/>
      </c>
      <c r="D57" s="21">
        <f>IFERROR(D$56/D$31,"n/a")</f>
        <v/>
      </c>
      <c r="E57" s="21">
        <f>IFERROR(E$56/E$31,"n/a")</f>
        <v/>
      </c>
      <c r="F57" s="21">
        <f>IFERROR(F$56/F$31,"n/a")</f>
        <v/>
      </c>
      <c r="G57" s="21">
        <f>IFERROR(G$56/G$31,"n/a")</f>
        <v/>
      </c>
      <c r="H57" s="21">
        <f>IFERROR(H$56/H$31,"n/a")</f>
        <v/>
      </c>
      <c r="I57" s="21">
        <f>IFERROR(I$56/I$31,"n/a")</f>
        <v/>
      </c>
    </row>
    <row r="58">
      <c r="A58" s="20" t="inlineStr">
        <is>
          <t>DT/TS</t>
        </is>
      </c>
      <c r="B58" s="21">
        <f>IFERROR(B$31/B$25,"n/a")</f>
        <v/>
      </c>
      <c r="C58" s="21">
        <f>IFERROR(C$31/C$25,"n/a")</f>
        <v/>
      </c>
      <c r="D58" s="21">
        <f>IFERROR(D$31/D$25,"n/a")</f>
        <v/>
      </c>
      <c r="E58" s="21">
        <f>IFERROR(E$31/E$25,"n/a")</f>
        <v/>
      </c>
      <c r="F58" s="21">
        <f>IFERROR(F$31/F$25,"n/a")</f>
        <v/>
      </c>
      <c r="G58" s="21">
        <f>IFERROR(G$31/G$25,"n/a")</f>
        <v/>
      </c>
      <c r="H58" s="21">
        <f>IFERROR(H$31/H$25,"n/a")</f>
        <v/>
      </c>
      <c r="I58" s="21">
        <f>IFERROR(I$31/I$25,"n/a")</f>
        <v/>
      </c>
    </row>
    <row r="59">
      <c r="A59" s="19" t="inlineStr">
        <is>
          <t>Dòng tiền &amp; tái đầu tư</t>
        </is>
      </c>
      <c r="B59" s="20" t="n"/>
      <c r="C59" s="20" t="n"/>
      <c r="D59" s="20" t="n"/>
      <c r="E59" s="20" t="n"/>
      <c r="F59" s="20" t="n"/>
      <c r="G59" s="20" t="n"/>
      <c r="H59" s="20" t="n"/>
      <c r="I59" s="20" t="n"/>
    </row>
    <row r="60">
      <c r="A60" s="20" t="inlineStr">
        <is>
          <t>FCF</t>
        </is>
      </c>
      <c r="B60" s="22">
        <f>IFERROR(B$48-ABS(B$47),"n/a")</f>
        <v/>
      </c>
      <c r="C60" s="22">
        <f>IFERROR(C$48-ABS(C$47),"n/a")</f>
        <v/>
      </c>
      <c r="D60" s="22">
        <f>IFERROR(D$48-ABS(D$47),"n/a")</f>
        <v/>
      </c>
      <c r="E60" s="22">
        <f>IFERROR(E$48-ABS(E$47),"n/a")</f>
        <v/>
      </c>
      <c r="F60" s="22">
        <f>IFERROR(F$48-ABS(F$47),"n/a")</f>
        <v/>
      </c>
      <c r="G60" s="22">
        <f>IFERROR(G$48-ABS(G$47),"n/a")</f>
        <v/>
      </c>
      <c r="H60" s="22">
        <f>IFERROR(H$48-ABS(H$47),"n/a")</f>
        <v/>
      </c>
      <c r="I60" s="22">
        <f>IFERROR(I$48-ABS(I$47),"n/a")</f>
        <v/>
      </c>
    </row>
    <row r="61">
      <c r="A61" s="20" t="inlineStr">
        <is>
          <t>FCF/DT</t>
        </is>
      </c>
      <c r="B61" s="21">
        <f>IFERROR(B$60/B$31,"n/a")</f>
        <v/>
      </c>
      <c r="C61" s="21">
        <f>IFERROR(C$60/C$31,"n/a")</f>
        <v/>
      </c>
      <c r="D61" s="21">
        <f>IFERROR(D$60/D$31,"n/a")</f>
        <v/>
      </c>
      <c r="E61" s="21">
        <f>IFERROR(E$60/E$31,"n/a")</f>
        <v/>
      </c>
      <c r="F61" s="21">
        <f>IFERROR(F$60/F$31,"n/a")</f>
        <v/>
      </c>
      <c r="G61" s="21">
        <f>IFERROR(G$60/G$31,"n/a")</f>
        <v/>
      </c>
      <c r="H61" s="21">
        <f>IFERROR(H$60/H$31,"n/a")</f>
        <v/>
      </c>
      <c r="I61" s="21">
        <f>IFERROR(I$60/I$31,"n/a")</f>
        <v/>
      </c>
    </row>
    <row r="62">
      <c r="A62" s="20" t="inlineStr">
        <is>
          <t>FCF/Nợ ngắn hạn</t>
        </is>
      </c>
      <c r="B62" s="21">
        <f>IFERROR(B$60/B$27,"n/a")</f>
        <v/>
      </c>
      <c r="C62" s="21">
        <f>IFERROR(C$60/C$27,"n/a")</f>
        <v/>
      </c>
      <c r="D62" s="21">
        <f>IFERROR(D$60/D$27,"n/a")</f>
        <v/>
      </c>
      <c r="E62" s="21">
        <f>IFERROR(E$60/E$27,"n/a")</f>
        <v/>
      </c>
      <c r="F62" s="21">
        <f>IFERROR(F$60/F$27,"n/a")</f>
        <v/>
      </c>
      <c r="G62" s="21">
        <f>IFERROR(G$60/G$27,"n/a")</f>
        <v/>
      </c>
      <c r="H62" s="21">
        <f>IFERROR(H$60/H$27,"n/a")</f>
        <v/>
      </c>
      <c r="I62" s="21">
        <f>IFERROR(I$60/I$27,"n/a")</f>
        <v/>
      </c>
    </row>
    <row r="63">
      <c r="A63" s="20" t="inlineStr">
        <is>
          <t>Capex</t>
        </is>
      </c>
      <c r="B63" s="22">
        <f>IFERROR(ABS(B$47),"n/a")</f>
        <v/>
      </c>
      <c r="C63" s="22">
        <f>IFERROR(ABS(C$47),"n/a")</f>
        <v/>
      </c>
      <c r="D63" s="22">
        <f>IFERROR(ABS(D$47),"n/a")</f>
        <v/>
      </c>
      <c r="E63" s="22">
        <f>IFERROR(ABS(E$47),"n/a")</f>
        <v/>
      </c>
      <c r="F63" s="22">
        <f>IFERROR(ABS(F$47),"n/a")</f>
        <v/>
      </c>
      <c r="G63" s="22">
        <f>IFERROR(ABS(G$47),"n/a")</f>
        <v/>
      </c>
      <c r="H63" s="22">
        <f>IFERROR(ABS(H$47),"n/a")</f>
        <v/>
      </c>
      <c r="I63" s="22">
        <f>IFERROR(ABS(I$47),"n/a")</f>
        <v/>
      </c>
    </row>
    <row r="64">
      <c r="A64" s="20" t="inlineStr">
        <is>
          <t>Capex/TS</t>
        </is>
      </c>
      <c r="B64" s="21">
        <f>IFERROR(B$63/B$25,"n/a")</f>
        <v/>
      </c>
      <c r="C64" s="21">
        <f>IFERROR(C$63/C$25,"n/a")</f>
        <v/>
      </c>
      <c r="D64" s="21">
        <f>IFERROR(D$63/D$25,"n/a")</f>
        <v/>
      </c>
      <c r="E64" s="21">
        <f>IFERROR(E$63/E$25,"n/a")</f>
        <v/>
      </c>
      <c r="F64" s="21">
        <f>IFERROR(F$63/F$25,"n/a")</f>
        <v/>
      </c>
      <c r="G64" s="21">
        <f>IFERROR(G$63/G$25,"n/a")</f>
        <v/>
      </c>
      <c r="H64" s="21">
        <f>IFERROR(H$63/H$25,"n/a")</f>
        <v/>
      </c>
      <c r="I64" s="21">
        <f>IFERROR(I$63/I$25,"n/a")</f>
        <v/>
      </c>
    </row>
    <row r="65">
      <c r="A65" s="20" t="inlineStr">
        <is>
          <t>Capex/LNST</t>
        </is>
      </c>
      <c r="B65" s="21">
        <f>IFERROR(B$63/ABS(B$38),"n/a")</f>
        <v/>
      </c>
      <c r="C65" s="21">
        <f>IFERROR(C$63/ABS(C$38),"n/a")</f>
        <v/>
      </c>
      <c r="D65" s="21">
        <f>IFERROR(D$63/ABS(D$38),"n/a")</f>
        <v/>
      </c>
      <c r="E65" s="21">
        <f>IFERROR(E$63/ABS(E$38),"n/a")</f>
        <v/>
      </c>
      <c r="F65" s="21">
        <f>IFERROR(F$63/ABS(F$38),"n/a")</f>
        <v/>
      </c>
      <c r="G65" s="21">
        <f>IFERROR(G$63/ABS(G$38),"n/a")</f>
        <v/>
      </c>
      <c r="H65" s="21">
        <f>IFERROR(H$63/ABS(H$38),"n/a")</f>
        <v/>
      </c>
      <c r="I65" s="21">
        <f>IFERROR(I$63/ABS(I$38),"n/a")</f>
        <v/>
      </c>
    </row>
    <row r="66">
      <c r="A66" s="20" t="inlineStr">
        <is>
          <t>Chi phí khấu hao/Lợi nhuận gộp</t>
        </is>
      </c>
      <c r="B66" s="21">
        <f>IFERROR(ABS(B$46)/B$33,"n/a")</f>
        <v/>
      </c>
      <c r="C66" s="21">
        <f>IFERROR(ABS(C$46)/C$33,"n/a")</f>
        <v/>
      </c>
      <c r="D66" s="21">
        <f>IFERROR(ABS(D$46)/D$33,"n/a")</f>
        <v/>
      </c>
      <c r="E66" s="21">
        <f>IFERROR(ABS(E$46)/E$33,"n/a")</f>
        <v/>
      </c>
      <c r="F66" s="21">
        <f>IFERROR(ABS(F$46)/F$33,"n/a")</f>
        <v/>
      </c>
      <c r="G66" s="21">
        <f>IFERROR(ABS(G$46)/G$33,"n/a")</f>
        <v/>
      </c>
      <c r="H66" s="21">
        <f>IFERROR(ABS(H$46)/H$33,"n/a")</f>
        <v/>
      </c>
      <c r="I66" s="21">
        <f>IFERROR(ABS(I$46)/I$33,"n/a")</f>
        <v/>
      </c>
    </row>
    <row r="67">
      <c r="A67" s="20" t="inlineStr">
        <is>
          <t>EBIT/Chi phí lãi vay</t>
        </is>
      </c>
      <c r="B67" s="23">
        <f>IFERROR(B$56/ABS(B$37),"n/a")</f>
        <v/>
      </c>
      <c r="C67" s="23">
        <f>IFERROR(C$56/ABS(C$37),"n/a")</f>
        <v/>
      </c>
      <c r="D67" s="23">
        <f>IFERROR(D$56/ABS(D$37),"n/a")</f>
        <v/>
      </c>
      <c r="E67" s="23">
        <f>IFERROR(E$56/ABS(E$37),"n/a")</f>
        <v/>
      </c>
      <c r="F67" s="23">
        <f>IFERROR(F$56/ABS(F$37),"n/a")</f>
        <v/>
      </c>
      <c r="G67" s="23">
        <f>IFERROR(G$56/ABS(G$37),"n/a")</f>
        <v/>
      </c>
      <c r="H67" s="23">
        <f>IFERROR(H$56/ABS(H$37),"n/a")</f>
        <v/>
      </c>
      <c r="I67" s="23">
        <f>IFERROR(I$56/ABS(I$37),"n/a")</f>
        <v/>
      </c>
    </row>
    <row r="68">
      <c r="A68" s="19" t="inlineStr">
        <is>
          <t>Vốn lưu động &amp; hiệu quả hoạt động</t>
        </is>
      </c>
      <c r="B68" s="20" t="n"/>
      <c r="C68" s="20" t="n"/>
      <c r="D68" s="20" t="n"/>
      <c r="E68" s="20" t="n"/>
      <c r="F68" s="20" t="n"/>
      <c r="G68" s="20" t="n"/>
      <c r="H68" s="20" t="n"/>
      <c r="I68" s="20" t="n"/>
    </row>
    <row r="69">
      <c r="A69" s="20" t="inlineStr">
        <is>
          <t>Vòng quay tiền mặt</t>
        </is>
      </c>
      <c r="B69" s="24">
        <f>IFERROR(B$17+B$18-B$16,"n/a")</f>
        <v/>
      </c>
      <c r="C69" s="24">
        <f>IFERROR(C$17+C$18-C$16,"n/a")</f>
        <v/>
      </c>
      <c r="D69" s="24">
        <f>IFERROR(D$17+D$18-D$16,"n/a")</f>
        <v/>
      </c>
      <c r="E69" s="24">
        <f>IFERROR(E$17+E$18-E$16,"n/a")</f>
        <v/>
      </c>
      <c r="F69" s="24">
        <f>IFERROR(F$17+F$18-F$16,"n/a")</f>
        <v/>
      </c>
      <c r="G69" s="24">
        <f>IFERROR(G$17+G$18-G$16,"n/a")</f>
        <v/>
      </c>
      <c r="H69" s="24">
        <f>IFERROR(H$17+H$18-H$16,"n/a")</f>
        <v/>
      </c>
      <c r="I69" s="24">
        <f>IFERROR(I$17+I$18-I$16,"n/a")</f>
        <v/>
      </c>
    </row>
    <row r="70">
      <c r="A70" s="20" t="inlineStr">
        <is>
          <t>HTK/DT</t>
        </is>
      </c>
      <c r="B70" s="21">
        <f>IFERROR(B$42/B$31,"n/a")</f>
        <v/>
      </c>
      <c r="C70" s="21">
        <f>IFERROR(C$42/C$31,"n/a")</f>
        <v/>
      </c>
      <c r="D70" s="21">
        <f>IFERROR(D$42/D$31,"n/a")</f>
        <v/>
      </c>
      <c r="E70" s="21">
        <f>IFERROR(E$42/E$31,"n/a")</f>
        <v/>
      </c>
      <c r="F70" s="21">
        <f>IFERROR(F$42/F$31,"n/a")</f>
        <v/>
      </c>
      <c r="G70" s="21">
        <f>IFERROR(G$42/G$31,"n/a")</f>
        <v/>
      </c>
      <c r="H70" s="21">
        <f>IFERROR(H$42/H$31,"n/a")</f>
        <v/>
      </c>
      <c r="I70" s="21">
        <f>IFERROR(I$42/I$31,"n/a")</f>
        <v/>
      </c>
    </row>
    <row r="71">
      <c r="A71" s="20" t="inlineStr">
        <is>
          <t>HTK/TS</t>
        </is>
      </c>
      <c r="B71" s="21">
        <f>IFERROR(B$42/B$25,"n/a")</f>
        <v/>
      </c>
      <c r="C71" s="21">
        <f>IFERROR(C$42/C$25,"n/a")</f>
        <v/>
      </c>
      <c r="D71" s="21">
        <f>IFERROR(D$42/D$25,"n/a")</f>
        <v/>
      </c>
      <c r="E71" s="21">
        <f>IFERROR(E$42/E$25,"n/a")</f>
        <v/>
      </c>
      <c r="F71" s="21">
        <f>IFERROR(F$42/F$25,"n/a")</f>
        <v/>
      </c>
      <c r="G71" s="21">
        <f>IFERROR(G$42/G$25,"n/a")</f>
        <v/>
      </c>
      <c r="H71" s="21">
        <f>IFERROR(H$42/H$25,"n/a")</f>
        <v/>
      </c>
      <c r="I71" s="21">
        <f>IFERROR(I$42/I$25,"n/a")</f>
        <v/>
      </c>
    </row>
    <row r="72">
      <c r="A72" s="20" t="inlineStr">
        <is>
          <t>DT/TS</t>
        </is>
      </c>
      <c r="B72" s="21">
        <f>IFERROR(B$31/B$25,"n/a")</f>
        <v/>
      </c>
      <c r="C72" s="21">
        <f>IFERROR(C$31/C$25,"n/a")</f>
        <v/>
      </c>
      <c r="D72" s="21">
        <f>IFERROR(D$31/D$25,"n/a")</f>
        <v/>
      </c>
      <c r="E72" s="21">
        <f>IFERROR(E$31/E$25,"n/a")</f>
        <v/>
      </c>
      <c r="F72" s="21">
        <f>IFERROR(F$31/F$25,"n/a")</f>
        <v/>
      </c>
      <c r="G72" s="21">
        <f>IFERROR(G$31/G$25,"n/a")</f>
        <v/>
      </c>
      <c r="H72" s="21">
        <f>IFERROR(H$31/H$25,"n/a")</f>
        <v/>
      </c>
      <c r="I72" s="21">
        <f>IFERROR(I$31/I$25,"n/a")</f>
        <v/>
      </c>
    </row>
    <row r="73">
      <c r="A73" s="19" t="inlineStr">
        <is>
          <t>Khả năng thanh toán</t>
        </is>
      </c>
      <c r="B73" s="20" t="n"/>
      <c r="C73" s="20" t="n"/>
      <c r="D73" s="20" t="n"/>
      <c r="E73" s="20" t="n"/>
      <c r="F73" s="20" t="n"/>
      <c r="G73" s="20" t="n"/>
      <c r="H73" s="20" t="n"/>
      <c r="I73" s="20" t="n"/>
    </row>
    <row r="74">
      <c r="A74" s="20" t="inlineStr">
        <is>
          <t>(TS ngắn hạn − HTK)/Nợ ngắn hạn</t>
        </is>
      </c>
      <c r="B74" s="23">
        <f>IFERROR((B$44-B$42)/B$27,"n/a")</f>
        <v/>
      </c>
      <c r="C74" s="23">
        <f>IFERROR((C$44-C$42)/C$27,"n/a")</f>
        <v/>
      </c>
      <c r="D74" s="23">
        <f>IFERROR((D$44-D$42)/D$27,"n/a")</f>
        <v/>
      </c>
      <c r="E74" s="23">
        <f>IFERROR((E$44-E$42)/E$27,"n/a")</f>
        <v/>
      </c>
      <c r="F74" s="23">
        <f>IFERROR((F$44-F$42)/F$27,"n/a")</f>
        <v/>
      </c>
      <c r="G74" s="23">
        <f>IFERROR((G$44-G$42)/G$27,"n/a")</f>
        <v/>
      </c>
      <c r="H74" s="23">
        <f>IFERROR((H$44-H$42)/H$27,"n/a")</f>
        <v/>
      </c>
      <c r="I74" s="23">
        <f>IFERROR((I$44-I$42)/I$27,"n/a")</f>
        <v/>
      </c>
    </row>
    <row r="75">
      <c r="A75" s="20" t="inlineStr">
        <is>
          <t>TS ngắn hạn/Nợ ngắn hạn</t>
        </is>
      </c>
      <c r="B75" s="23">
        <f>IFERROR(B$44/B$27,"n/a")</f>
        <v/>
      </c>
      <c r="C75" s="23">
        <f>IFERROR(C$44/C$27,"n/a")</f>
        <v/>
      </c>
      <c r="D75" s="23">
        <f>IFERROR(D$44/D$27,"n/a")</f>
        <v/>
      </c>
      <c r="E75" s="23">
        <f>IFERROR(E$44/E$27,"n/a")</f>
        <v/>
      </c>
      <c r="F75" s="23">
        <f>IFERROR(F$44/F$27,"n/a")</f>
        <v/>
      </c>
      <c r="G75" s="23">
        <f>IFERROR(G$44/G$27,"n/a")</f>
        <v/>
      </c>
      <c r="H75" s="23">
        <f>IFERROR(H$44/H$27,"n/a")</f>
        <v/>
      </c>
      <c r="I75" s="23">
        <f>IFERROR(I$44/I$27,"n/a")</f>
        <v/>
      </c>
    </row>
    <row r="76">
      <c r="A76" s="19" t="inlineStr">
        <is>
          <t>Tài sản &amp; cơ cấu tài sản</t>
        </is>
      </c>
      <c r="B76" s="20" t="n"/>
      <c r="C76" s="20" t="n"/>
      <c r="D76" s="20" t="n"/>
      <c r="E76" s="20" t="n"/>
      <c r="F76" s="20" t="n"/>
      <c r="G76" s="20" t="n"/>
      <c r="H76" s="20" t="n"/>
      <c r="I76" s="20" t="n"/>
    </row>
    <row r="77">
      <c r="A77" s="20" t="inlineStr">
        <is>
          <t>TSCĐ vô hình</t>
        </is>
      </c>
      <c r="B77" s="22">
        <f>IFERROR(B$45,"n/a")</f>
        <v/>
      </c>
      <c r="C77" s="22">
        <f>IFERROR(C$45,"n/a")</f>
        <v/>
      </c>
      <c r="D77" s="22">
        <f>IFERROR(D$45,"n/a")</f>
        <v/>
      </c>
      <c r="E77" s="22">
        <f>IFERROR(E$45,"n/a")</f>
        <v/>
      </c>
      <c r="F77" s="22">
        <f>IFERROR(F$45,"n/a")</f>
        <v/>
      </c>
      <c r="G77" s="22">
        <f>IFERROR(G$45,"n/a")</f>
        <v/>
      </c>
      <c r="H77" s="22">
        <f>IFERROR(H$45,"n/a")</f>
        <v/>
      </c>
      <c r="I77" s="22">
        <f>IFERROR(I$45,"n/a")</f>
        <v/>
      </c>
    </row>
    <row r="78">
      <c r="A78" s="20" t="inlineStr">
        <is>
          <t>Tài sản vô hình/Giá trị sổ sách</t>
        </is>
      </c>
      <c r="B78" s="21">
        <f>IFERROR(B$45/B$24,"n/a")</f>
        <v/>
      </c>
      <c r="C78" s="21">
        <f>IFERROR(C$45/C$24,"n/a")</f>
        <v/>
      </c>
      <c r="D78" s="21">
        <f>IFERROR(D$45/D$24,"n/a")</f>
        <v/>
      </c>
      <c r="E78" s="21">
        <f>IFERROR(E$45/E$24,"n/a")</f>
        <v/>
      </c>
      <c r="F78" s="21">
        <f>IFERROR(F$45/F$24,"n/a")</f>
        <v/>
      </c>
      <c r="G78" s="21">
        <f>IFERROR(G$45/G$24,"n/a")</f>
        <v/>
      </c>
      <c r="H78" s="21">
        <f>IFERROR(H$45/H$24,"n/a")</f>
        <v/>
      </c>
      <c r="I78" s="21">
        <f>IFERROR(I$45/I$24,"n/a")</f>
        <v/>
      </c>
    </row>
  </sheetData>
  <conditionalFormatting sqref="B2:I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I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7:I7">
    <cfRule type="cellIs" priority="7" operator="greaterThanOrEqual" dxfId="0">
      <formula>0.1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2026-08-21T13:08:28Z</dcterms:created>
  <dcterms:modified xsi:type="dcterms:W3CDTF">2026-08-21T13:08:29Z</dcterms:modified>
</cp:coreProperties>
</file>
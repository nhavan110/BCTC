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#,##0;\(#,##0\);\-"/>
    <numFmt numFmtId="167" formatCode="0.00\x"/>
    <numFmt numFmtId="168" formatCode="_(* #,##0.000_);_(* \(#,##0.000\);_(* &quot;-&quot;_);_(@_)"/>
    <numFmt numFmtId="169" formatCode="_(* #,##0.00_);_(* \(#,##0.00\);_(* &quot;-&quot;_);_(@_)"/>
  </numFmts>
  <fonts count="20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family val="2"/>
      <b val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charset val="163"/>
      <family val="2"/>
      <b val="1"/>
      <sz val="10"/>
    </font>
    <font>
      <name val="Tahoma"/>
      <charset val="163"/>
      <family val="2"/>
      <b val="1"/>
      <color rgb="FF008000"/>
      <sz val="10"/>
    </font>
    <font>
      <name val="Arial"/>
      <family val="2"/>
      <color theme="1"/>
      <sz val="11"/>
      <scheme val="minor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2" pivotButton="0" quotePrefix="0" xfId="0"/>
    <xf numFmtId="0" fontId="7" fillId="4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8" fillId="0" borderId="2" pivotButton="0" quotePrefix="0" xfId="0"/>
    <xf numFmtId="0" fontId="6" fillId="0" borderId="2" pivotButton="0" quotePrefix="0" xfId="0"/>
    <xf numFmtId="166" fontId="9" fillId="0" borderId="2" pivotButton="0" quotePrefix="0" xfId="0"/>
    <xf numFmtId="166" fontId="10" fillId="0" borderId="2" pivotButton="0" quotePrefix="0" xfId="0"/>
    <xf numFmtId="0" fontId="11" fillId="0" borderId="2" pivotButton="0" quotePrefix="0" xfId="0"/>
    <xf numFmtId="166" fontId="11" fillId="0" borderId="2" pivotButton="0" quotePrefix="0" xfId="0"/>
    <xf numFmtId="9" fontId="11" fillId="0" borderId="2" pivotButton="0" quotePrefix="0" xfId="0"/>
    <xf numFmtId="166" fontId="9" fillId="0" borderId="0" pivotButton="0" quotePrefix="0" xfId="0"/>
    <xf numFmtId="0" fontId="8" fillId="0" borderId="3" pivotButton="0" quotePrefix="0" xfId="0"/>
    <xf numFmtId="0" fontId="12" fillId="0" borderId="2" pivotButton="0" quotePrefix="0" xfId="0"/>
    <xf numFmtId="166" fontId="13" fillId="0" borderId="2" pivotButton="0" quotePrefix="0" xfId="0"/>
    <xf numFmtId="10" fontId="14" fillId="0" borderId="0" pivotButton="0" quotePrefix="0" xfId="0"/>
    <xf numFmtId="0" fontId="15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16" fillId="0" borderId="2" pivotButton="0" quotePrefix="0" xfId="0"/>
    <xf numFmtId="3" fontId="16" fillId="0" borderId="2" pivotButton="0" quotePrefix="0" xfId="0"/>
    <xf numFmtId="3" fontId="16" fillId="0" borderId="0" pivotButton="0" quotePrefix="0" xfId="0"/>
    <xf numFmtId="168" fontId="16" fillId="0" borderId="0" pivotButton="0" quotePrefix="0" xfId="0"/>
    <xf numFmtId="41" fontId="16" fillId="0" borderId="2" pivotButton="0" quotePrefix="0" xfId="0"/>
    <xf numFmtId="0" fontId="17" fillId="0" borderId="2" pivotButton="0" quotePrefix="0" xfId="0"/>
    <xf numFmtId="41" fontId="17" fillId="0" borderId="2" pivotButton="0" quotePrefix="0" xfId="0"/>
    <xf numFmtId="0" fontId="17" fillId="0" borderId="0" pivotButton="0" quotePrefix="0" xfId="0"/>
    <xf numFmtId="169" fontId="17" fillId="0" borderId="2" pivotButton="0" quotePrefix="0" xfId="0"/>
    <xf numFmtId="41" fontId="16" fillId="0" borderId="0" pivotButton="0" quotePrefix="0" xfId="0"/>
    <xf numFmtId="0" fontId="18" fillId="0" borderId="0" pivotButton="0" quotePrefix="0" xfId="0"/>
    <xf numFmtId="3" fontId="19" fillId="0" borderId="0" pivotButton="0" quotePrefix="0" xfId="0"/>
    <xf numFmtId="0" fontId="19" fillId="0" borderId="0" pivotButton="0" quotePrefix="0" xfId="0"/>
    <xf numFmtId="9" fontId="19" fillId="0" borderId="0" pivotButton="0" quotePrefix="0" xfId="0"/>
    <xf numFmtId="9" fontId="18" fillId="0" borderId="0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75193220197</v>
      </c>
      <c r="C19" s="4" t="n">
        <v>78031361551</v>
      </c>
      <c r="D19" s="4" t="n">
        <v>76790981951</v>
      </c>
      <c r="E19" s="4" t="n">
        <v>70025928617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85351824838</v>
      </c>
      <c r="C52" s="4" t="n">
        <v>88231580067</v>
      </c>
      <c r="D52" s="4" t="n">
        <v>90983694027</v>
      </c>
      <c r="E52" s="4" t="n">
        <v>100468793615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8.25" customWidth="1" min="2" max="2"/>
    <col width="20.5" customWidth="1" min="9" max="9"/>
    <col width="17.12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  <c r="K1" s="6" t="n">
        <v>2027</v>
      </c>
      <c r="L1" s="6" t="n">
        <v>2028</v>
      </c>
      <c r="M1" s="6" t="n">
        <v>2029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IFERROR(C$54/((C$39+B$39)/2),"n/a")</f>
        <v/>
      </c>
      <c r="D2" s="8">
        <f>IFERROR(D$54/((D$39+C$39)/2),"n/a")</f>
        <v/>
      </c>
      <c r="E2" s="8">
        <f>IFERROR(E$54/((E$39+D$39)/2),"n/a")</f>
        <v/>
      </c>
      <c r="F2" s="8">
        <f>IFERROR(F$54/((F$39+E$39)/2),"n/a")</f>
        <v/>
      </c>
      <c r="G2" s="8">
        <f>IFERROR(G$54/((G$39+F$39)/2),"n/a")</f>
        <v/>
      </c>
      <c r="H2" s="8">
        <f>IFERROR(H$54/((H$39+G$39)/2),"n/a")</f>
        <v/>
      </c>
      <c r="I2" s="8">
        <f>IFERROR(I$54/((I$39+H$39)/2),"n/a")</f>
        <v/>
      </c>
      <c r="J2" s="8">
        <f>IFERROR(J$54/((J$39+I$39)/2),"n/a")</f>
        <v/>
      </c>
      <c r="K2" s="8">
        <f>IFERROR(K$54/((K$39+J$39)/2),"n/a")</f>
        <v/>
      </c>
      <c r="L2" s="8">
        <f>IFERROR(L$54/((L$39+K$39)/2),"n/a")</f>
        <v/>
      </c>
      <c r="M2" s="8">
        <f>IFERROR(M$54/((M$39+L$39)/2),"n/a")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IFERROR(C$52/((C$31+B$31)/2),"n/a")</f>
        <v/>
      </c>
      <c r="D3" s="8">
        <f>IFERROR(D$52/((D$31+C$31)/2),"n/a")</f>
        <v/>
      </c>
      <c r="E3" s="8">
        <f>IFERROR(E$52/((E$31+D$31)/2),"n/a")</f>
        <v/>
      </c>
      <c r="F3" s="8">
        <f>IFERROR(F$52/((F$31+E$31)/2),"n/a")</f>
        <v/>
      </c>
      <c r="G3" s="8">
        <f>IFERROR(G$52/((G$31+F$31)/2),"n/a")</f>
        <v/>
      </c>
      <c r="H3" s="8">
        <f>IFERROR(H$52/((H$31+G$31)/2),"n/a")</f>
        <v/>
      </c>
      <c r="I3" s="8">
        <f>IFERROR(I$52/((I$31+H$31)/2),"n/a")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IFERROR((C$54-B$54)/ABS(B$54),"n/a")</f>
        <v/>
      </c>
      <c r="D4" s="8">
        <f>IFERROR((D$54-C$54)/ABS(C$54),"n/a")</f>
        <v/>
      </c>
      <c r="E4" s="8">
        <f>IFERROR((E$54-D$54)/ABS(D$54),"n/a")</f>
        <v/>
      </c>
      <c r="F4" s="8">
        <f>IFERROR((F$54-E$54)/ABS(E$54),"n/a")</f>
        <v/>
      </c>
      <c r="G4" s="8">
        <f>IFERROR((G$54-F$54)/ABS(F$54),"n/a")</f>
        <v/>
      </c>
      <c r="H4" s="8">
        <f>IFERROR((H$54-G$54)/ABS(G$54),"n/a")</f>
        <v/>
      </c>
      <c r="I4" s="8">
        <f>IFERROR((I$54-H$54)/ABS(H$54),"n/a")</f>
        <v/>
      </c>
      <c r="J4" s="8">
        <f>IFERROR((J$54-I$54)/ABS(I$54),"n/a")</f>
        <v/>
      </c>
      <c r="K4" s="8">
        <f>IFERROR((K$54-J$54)/ABS(J$54),"n/a")</f>
        <v/>
      </c>
      <c r="L4" s="8">
        <f>IFERROR((L$54-K$54)/ABS(K$54),"n/a")</f>
        <v/>
      </c>
      <c r="M4" s="8">
        <f>IFERROR((M$54-L$54)/ABS(L$54),"n/a")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IFERROR((C$44-B$44)/ABS(B$44),"n/a")</f>
        <v/>
      </c>
      <c r="D5" s="8">
        <f>IFERROR((D$44-C$44)/ABS(C$44),"n/a")</f>
        <v/>
      </c>
      <c r="E5" s="8">
        <f>IFERROR((E$44-D$44)/ABS(D$44),"n/a")</f>
        <v/>
      </c>
      <c r="F5" s="8">
        <f>IFERROR((F$44-E$44)/ABS(E$44),"n/a")</f>
        <v/>
      </c>
      <c r="G5" s="8">
        <f>IFERROR((G$44-F$44)/ABS(F$44),"n/a")</f>
        <v/>
      </c>
      <c r="H5" s="8">
        <f>IFERROR((H$44-G$44)/ABS(G$44),"n/a")</f>
        <v/>
      </c>
      <c r="I5" s="8">
        <f>IFERROR((I$44-H$44)/ABS(H$44),"n/a")</f>
        <v/>
      </c>
      <c r="J5" s="8">
        <f>IFERROR((J$44-I$44)/ABS(I$44),"n/a")</f>
        <v/>
      </c>
      <c r="K5" s="8">
        <f>IFERROR((K$44-J$44)/ABS(J$44),"n/a")</f>
        <v/>
      </c>
      <c r="L5" s="8">
        <f>IFERROR((L$44-K$44)/ABS(K$44),"n/a")</f>
        <v/>
      </c>
      <c r="M5" s="8">
        <f>IFERROR((M$44-L$44)/ABS(L$44),"n/a")</f>
        <v/>
      </c>
    </row>
    <row r="6">
      <c r="A6" s="5" t="inlineStr">
        <is>
          <t>Biên lợi nhuận gộp</t>
        </is>
      </c>
      <c r="B6" s="8">
        <f>IFERROR(B$46/B$44,"n/a")</f>
        <v/>
      </c>
      <c r="C6" s="8">
        <f>IFERROR(C$46/C$44,"n/a")</f>
        <v/>
      </c>
      <c r="D6" s="8">
        <f>IFERROR(D$46/D$44,"n/a")</f>
        <v/>
      </c>
      <c r="E6" s="8">
        <f>IFERROR(E$46/E$44,"n/a")</f>
        <v/>
      </c>
      <c r="F6" s="8">
        <f>IFERROR(F$46/F$44,"n/a")</f>
        <v/>
      </c>
      <c r="G6" s="8">
        <f>IFERROR(G$46/G$44,"n/a")</f>
        <v/>
      </c>
      <c r="H6" s="8">
        <f>IFERROR(H$46/H$44,"n/a")</f>
        <v/>
      </c>
      <c r="I6" s="8">
        <f>IFERROR(I$46/I$44,"n/a")</f>
        <v/>
      </c>
      <c r="J6" s="8">
        <f>IFERROR(J$46/J$44,"n/a")</f>
        <v/>
      </c>
      <c r="K6" s="8">
        <f>IFERROR(K$46/K$44,"n/a")</f>
        <v/>
      </c>
      <c r="L6" s="8">
        <f>IFERROR(L$46/L$44,"n/a")</f>
        <v/>
      </c>
      <c r="M6" s="8">
        <f>IFERROR(M$46/M$44,"n/a")</f>
        <v/>
      </c>
    </row>
    <row r="7">
      <c r="A7" s="5" t="inlineStr">
        <is>
          <t>Biên lợi nhuận ròng</t>
        </is>
      </c>
      <c r="B7" s="8">
        <f>IFERROR(B$54/B$44,"n/a")</f>
        <v/>
      </c>
      <c r="C7" s="8">
        <f>IFERROR(C$54/C$44,"n/a")</f>
        <v/>
      </c>
      <c r="D7" s="8">
        <f>IFERROR(D$54/D$44,"n/a")</f>
        <v/>
      </c>
      <c r="E7" s="8">
        <f>IFERROR(E$54/E$44,"n/a")</f>
        <v/>
      </c>
      <c r="F7" s="8">
        <f>IFERROR(F$54/F$44,"n/a")</f>
        <v/>
      </c>
      <c r="G7" s="8">
        <f>IFERROR(G$54/G$44,"n/a")</f>
        <v/>
      </c>
      <c r="H7" s="8">
        <f>IFERROR(H$54/H$44,"n/a")</f>
        <v/>
      </c>
      <c r="I7" s="8">
        <f>IFERROR(I$54/I$44,"n/a")</f>
        <v/>
      </c>
      <c r="J7" s="8">
        <f>IFERROR(J$54/J$44,"n/a")</f>
        <v/>
      </c>
      <c r="K7" s="8">
        <f>IFERROR(K$54/K$44,"n/a")</f>
        <v/>
      </c>
      <c r="L7" s="8">
        <f>IFERROR(L$54/L$44,"n/a")</f>
        <v/>
      </c>
      <c r="M7" s="8">
        <f>IFERROR(M$54/M$44,"n/a")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IFERROR((ABS(B$47)+ABS(B$48))/B$46,"n/a")</f>
        <v/>
      </c>
      <c r="C14" s="8">
        <f>IFERROR((ABS(C$47)+ABS(C$48))/C$46,"n/a")</f>
        <v/>
      </c>
      <c r="D14" s="8">
        <f>IFERROR((ABS(D$47)+ABS(D$48))/D$46,"n/a")</f>
        <v/>
      </c>
      <c r="E14" s="8">
        <f>IFERROR((ABS(E$47)+ABS(E$48))/E$46,"n/a")</f>
        <v/>
      </c>
      <c r="F14" s="8">
        <f>IFERROR((ABS(F$47)+ABS(F$48))/F$46,"n/a")</f>
        <v/>
      </c>
      <c r="G14" s="8">
        <f>IFERROR((ABS(G$47)+ABS(G$48))/G$46,"n/a")</f>
        <v/>
      </c>
      <c r="H14" s="8">
        <f>IFERROR((ABS(H$47)+ABS(H$48))/H$46,"n/a")</f>
        <v/>
      </c>
      <c r="I14" s="8">
        <f>IFERROR((ABS(I$47)+ABS(I$48))/I$46,"n/a")</f>
        <v/>
      </c>
    </row>
    <row r="15">
      <c r="A15" s="5" t="inlineStr">
        <is>
          <t>Chi phí lãi vay/LN từ hoạt động kinh doanh</t>
        </is>
      </c>
      <c r="B15" s="8">
        <f>IFERROR(ABS(B$50)/B$49,"n/a")</f>
        <v/>
      </c>
      <c r="C15" s="8">
        <f>IFERROR(ABS(C$50)/C$49,"n/a")</f>
        <v/>
      </c>
      <c r="D15" s="8">
        <f>IFERROR(ABS(D$50)/D$49,"n/a")</f>
        <v/>
      </c>
      <c r="E15" s="8">
        <f>IFERROR(ABS(E$50)/E$49,"n/a")</f>
        <v/>
      </c>
      <c r="F15" s="8">
        <f>IFERROR(ABS(F$50)/F$49,"n/a")</f>
        <v/>
      </c>
      <c r="G15" s="8">
        <f>IFERROR(ABS(G$50)/G$49,"n/a")</f>
        <v/>
      </c>
      <c r="H15" s="8">
        <f>IFERROR(ABS(H$50)/H$49,"n/a")</f>
        <v/>
      </c>
      <c r="I15" s="8">
        <f>IFERROR(ABS(I$50)/I$49,"n/a")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IFERROR(((C$33+B$33)/2)/ABS(C$45)*365,"n/a")</f>
        <v/>
      </c>
      <c r="D16" s="12">
        <f>IFERROR(((D$33+C$33)/2)/ABS(D$45)*365,"n/a")</f>
        <v/>
      </c>
      <c r="E16" s="12">
        <f>IFERROR(((E$33+D$33)/2)/ABS(E$45)*365,"n/a")</f>
        <v/>
      </c>
      <c r="F16" s="12">
        <f>IFERROR(((F$33+E$33)/2)/ABS(F$45)*365,"n/a")</f>
        <v/>
      </c>
      <c r="G16" s="12">
        <f>IFERROR(((G$33+F$33)/2)/ABS(G$45)*365,"n/a")</f>
        <v/>
      </c>
      <c r="H16" s="12">
        <f>IFERROR(((H$33+G$33)/2)/ABS(H$45)*365,"n/a")</f>
        <v/>
      </c>
      <c r="I16" s="12">
        <f>IFERROR(((I$33+H$33)/2)/ABS(I$45)*365,"n/a")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IFERROR(((C$27+B$27)/2)/C$44*365,"n/a")</f>
        <v/>
      </c>
      <c r="D17" s="12">
        <f>IFERROR(((D$27+C$27)/2)/D$44*365,"n/a")</f>
        <v/>
      </c>
      <c r="E17" s="12">
        <f>IFERROR(((E$27+D$27)/2)/E$44*365,"n/a")</f>
        <v/>
      </c>
      <c r="F17" s="12">
        <f>IFERROR(((F$27+E$27)/2)/F$44*365,"n/a")</f>
        <v/>
      </c>
      <c r="G17" s="12">
        <f>IFERROR(((G$27+F$27)/2)/G$44*365,"n/a")</f>
        <v/>
      </c>
      <c r="H17" s="12">
        <f>IFERROR(((H$27+G$27)/2)/H$44*365,"n/a")</f>
        <v/>
      </c>
      <c r="I17" s="12">
        <f>IFERROR(((I$27+H$27)/2)/I$44*365,"n/a")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IFERROR(((C$28+B$28)/2)/ABS(C$45)*365,"n/a")</f>
        <v/>
      </c>
      <c r="D18" s="12">
        <f>IFERROR(((D$28+C$28)/2)/ABS(D$45)*365,"n/a")</f>
        <v/>
      </c>
      <c r="E18" s="12">
        <f>IFERROR(((E$28+D$28)/2)/ABS(E$45)*365,"n/a")</f>
        <v/>
      </c>
      <c r="F18" s="12">
        <f>IFERROR(((F$28+E$28)/2)/ABS(F$45)*365,"n/a")</f>
        <v/>
      </c>
      <c r="G18" s="12">
        <f>IFERROR(((G$28+F$28)/2)/ABS(G$45)*365,"n/a")</f>
        <v/>
      </c>
      <c r="H18" s="12">
        <f>IFERROR(((H$28+G$28)/2)/ABS(H$45)*365,"n/a")</f>
        <v/>
      </c>
      <c r="I18" s="12">
        <f>IFERROR(((I$28+H$28)/2)/ABS(I$45)*365,"n/a")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7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>
        <f>I39+J54</f>
        <v/>
      </c>
      <c r="K39" s="20">
        <f>J39+0.65*K54</f>
        <v/>
      </c>
      <c r="L39" s="20">
        <f>K39+0.65*L54</f>
        <v/>
      </c>
      <c r="M39" s="20">
        <f>L39+0.65*M54</f>
        <v/>
      </c>
    </row>
    <row r="40">
      <c r="A40" s="21" t="inlineStr">
        <is>
          <t>Tăng VCSH/LN cổ đông cty mẹ</t>
        </is>
      </c>
      <c r="B40" s="22" t="n"/>
      <c r="C40" s="23">
        <f>(C39-B39)/C54</f>
        <v/>
      </c>
      <c r="D40" s="23">
        <f>(D39-C39)/D54</f>
        <v/>
      </c>
      <c r="E40" s="23">
        <f>(E39-D39)/E54</f>
        <v/>
      </c>
      <c r="F40" s="23">
        <f>(F39-E39)/F54</f>
        <v/>
      </c>
      <c r="G40" s="23">
        <f>(G39-F39)/G54</f>
        <v/>
      </c>
      <c r="H40" s="23">
        <f>(H39-G39)/H54</f>
        <v/>
      </c>
      <c r="I40" s="23">
        <f>(I39-H39)/I54</f>
        <v/>
      </c>
      <c r="J40" s="24" t="n"/>
      <c r="K40" s="24" t="n"/>
    </row>
    <row r="41">
      <c r="A41" s="18" t="inlineStr">
        <is>
          <t>Lợi ích của cổ đông thiểu số</t>
        </is>
      </c>
      <c r="B41" s="19">
        <f>IFERROR(INDEX(balance_sheet!$B:$I,MATCH("Lợi ích của cổ đông thiểu số",balance_sheet!$A:$A,0),MATCH(B$23,balance_sheet!$B$1:$I$1,0)),"")</f>
        <v/>
      </c>
      <c r="C41" s="19">
        <f>IFERROR(INDEX(balance_sheet!$B:$I,MATCH("Lợi ích của cổ đông thiểu số",balance_sheet!$A:$A,0),MATCH(C$23,balance_sheet!$B$1:$I$1,0)),"")</f>
        <v/>
      </c>
      <c r="D41" s="19">
        <f>IFERROR(INDEX(balance_sheet!$B:$I,MATCH("Lợi ích của cổ đông thiểu số",balance_sheet!$A:$A,0),MATCH(D$23,balance_sheet!$B$1:$I$1,0)),"")</f>
        <v/>
      </c>
      <c r="E41" s="19">
        <f>IFERROR(INDEX(balance_sheet!$B:$I,MATCH("Lợi ích của cổ đông thiểu số",balance_sheet!$A:$A,0),MATCH(E$23,balance_sheet!$B$1:$I$1,0)),"")</f>
        <v/>
      </c>
      <c r="F41" s="19">
        <f>IFERROR(INDEX(balance_sheet!$B:$I,MATCH("Lợi ích của cổ đông thiểu số",balance_sheet!$A:$A,0),MATCH(F$23,balance_sheet!$B$1:$I$1,0)),"")</f>
        <v/>
      </c>
      <c r="G41" s="19">
        <f>IFERROR(INDEX(balance_sheet!$B:$I,MATCH("Lợi ích của cổ đông thiểu số",balance_sheet!$A:$A,0),MATCH(G$23,balance_sheet!$B$1:$I$1,0)),"")</f>
        <v/>
      </c>
      <c r="H41" s="19">
        <f>IFERROR(INDEX(balance_sheet!$B:$I,MATCH("Lợi ích của cổ đông thiểu số",balance_sheet!$A:$A,0),MATCH(H$23,balance_sheet!$B$1:$I$1,0)),"")</f>
        <v/>
      </c>
      <c r="I41" s="19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25" t="inlineStr">
        <is>
          <t>Kết quả hoạt động kinh doanh</t>
        </is>
      </c>
    </row>
    <row r="43">
      <c r="A43" s="25" t="inlineStr">
        <is>
          <t>Doanh thu bán hàng và cung cấp dịch vụ</t>
        </is>
      </c>
      <c r="B43" s="20">
        <f>IFERROR(INDEX(income_statement!$B:$I,MATCH("Doanh thu bán hàng và cung cấp dịch vụ",income_statement!$A:$A,0),MATCH(B$23,income_statement!$B$1:$I$1,0)),"")</f>
        <v/>
      </c>
      <c r="C43" s="20">
        <f>IFERROR(INDEX(income_statement!$B:$I,MATCH("Doanh thu bán hàng và cung cấp dịch vụ",income_statement!$A:$A,0),MATCH(C$23,income_statement!$B$1:$I$1,0)),"")</f>
        <v/>
      </c>
      <c r="D43" s="20">
        <f>IFERROR(INDEX(income_statement!$B:$I,MATCH("Doanh thu bán hàng và cung cấp dịch vụ",income_statement!$A:$A,0),MATCH(D$23,income_statement!$B$1:$I$1,0)),"")</f>
        <v/>
      </c>
      <c r="E43" s="20">
        <f>IFERROR(INDEX(income_statement!$B:$I,MATCH("Doanh thu bán hàng và cung cấp dịch vụ",income_statement!$A:$A,0),MATCH(E$23,income_statement!$B$1:$I$1,0)),"")</f>
        <v/>
      </c>
      <c r="F43" s="20">
        <f>IFERROR(INDEX(income_statement!$B:$I,MATCH("Doanh thu bán hàng và cung cấp dịch vụ",income_statement!$A:$A,0),MATCH(F$23,income_statement!$B$1:$I$1,0)),"")</f>
        <v/>
      </c>
      <c r="G43" s="20">
        <f>IFERROR(INDEX(income_statement!$B:$I,MATCH("Doanh thu bán hàng và cung cấp dịch vụ",income_statement!$A:$A,0),MATCH(G$23,income_statement!$B$1:$I$1,0)),"")</f>
        <v/>
      </c>
      <c r="H43" s="20">
        <f>IFERROR(INDEX(income_statement!$B:$I,MATCH("Doanh thu bán hàng và cung cấp dịch vụ",income_statement!$A:$A,0),MATCH(H$23,income_statement!$B$1:$I$1,0)),"")</f>
        <v/>
      </c>
      <c r="I43" s="20">
        <f>IFERROR(INDEX(income_statement!$B:$I,MATCH("Doanh thu bán hàng và cung cấp dịch vụ",income_statement!$A:$A,0),MATCH(I$23,income_statement!$B$1:$I$1,0)),"")</f>
        <v/>
      </c>
      <c r="J43" s="20" t="n">
        <v>39100000000000</v>
      </c>
      <c r="K43" s="20" t="n">
        <v>43400000000000</v>
      </c>
      <c r="L43" s="20" t="n">
        <v>50600000000000</v>
      </c>
      <c r="M43" s="20" t="n">
        <v>57700000000000</v>
      </c>
    </row>
    <row r="44" ht="15" customHeight="1">
      <c r="A44" s="15" t="inlineStr">
        <is>
          <t>Doanh thu thuần</t>
        </is>
      </c>
      <c r="B44" s="20">
        <f>IFERROR(INDEX(income_statement!$B:$I,MATCH("Doanh thu thuần",income_statement!$A:$A,0),MATCH(B$23,income_statement!$B$1:$I$1,0)),"")</f>
        <v/>
      </c>
      <c r="C44" s="20">
        <f>IFERROR(INDEX(income_statement!$B:$I,MATCH("Doanh thu thuần",income_statement!$A:$A,0),MATCH(C$23,income_statement!$B$1:$I$1,0)),"")</f>
        <v/>
      </c>
      <c r="D44" s="20">
        <f>IFERROR(INDEX(income_statement!$B:$I,MATCH("Doanh thu thuần",income_statement!$A:$A,0),MATCH(D$23,income_statement!$B$1:$I$1,0)),"")</f>
        <v/>
      </c>
      <c r="E44" s="20">
        <f>IFERROR(INDEX(income_statement!$B:$I,MATCH("Doanh thu thuần",income_statement!$A:$A,0),MATCH(E$23,income_statement!$B$1:$I$1,0)),"")</f>
        <v/>
      </c>
      <c r="F44" s="20">
        <f>IFERROR(INDEX(income_statement!$B:$I,MATCH("Doanh thu thuần",income_statement!$A:$A,0),MATCH(F$23,income_statement!$B$1:$I$1,0)),"")</f>
        <v/>
      </c>
      <c r="G44" s="20">
        <f>IFERROR(INDEX(income_statement!$B:$I,MATCH("Doanh thu thuần",income_statement!$A:$A,0),MATCH(G$23,income_statement!$B$1:$I$1,0)),"")</f>
        <v/>
      </c>
      <c r="H44" s="20">
        <f>IFERROR(INDEX(income_statement!$B:$I,MATCH("Doanh thu thuần",income_statement!$A:$A,0),MATCH(H$23,income_statement!$B$1:$I$1,0)),"")</f>
        <v/>
      </c>
      <c r="I44" s="20">
        <f>IFERROR(INDEX(income_statement!$B:$I,MATCH("Doanh thu thuần",income_statement!$A:$A,0),MATCH(I$23,income_statement!$B$1:$I$1,0)),"")</f>
        <v/>
      </c>
      <c r="J44" s="20">
        <f>J43*0.99</f>
        <v/>
      </c>
      <c r="K44" s="20">
        <f>K43*0.99</f>
        <v/>
      </c>
      <c r="L44" s="20">
        <f>L43*0.99</f>
        <v/>
      </c>
      <c r="M44" s="20">
        <f>M43*0.99</f>
        <v/>
      </c>
    </row>
    <row r="45">
      <c r="A45" s="18" t="inlineStr">
        <is>
          <t>Giá vốn hàng bán</t>
        </is>
      </c>
      <c r="B45" s="19">
        <f>IFERROR(INDEX(income_statement!$B:$I,MATCH("Giá vốn hàng bán",income_statement!$A:$A,0),MATCH(B$23,income_statement!$B$1:$I$1,0)),"")</f>
        <v/>
      </c>
      <c r="C45" s="19">
        <f>IFERROR(INDEX(income_statement!$B:$I,MATCH("Giá vốn hàng bán",income_statement!$A:$A,0),MATCH(C$23,income_statement!$B$1:$I$1,0)),"")</f>
        <v/>
      </c>
      <c r="D45" s="19">
        <f>IFERROR(INDEX(income_statement!$B:$I,MATCH("Giá vốn hàng bán",income_statement!$A:$A,0),MATCH(D$23,income_statement!$B$1:$I$1,0)),"")</f>
        <v/>
      </c>
      <c r="E45" s="19">
        <f>IFERROR(INDEX(income_statement!$B:$I,MATCH("Giá vốn hàng bán",income_statement!$A:$A,0),MATCH(E$23,income_statement!$B$1:$I$1,0)),"")</f>
        <v/>
      </c>
      <c r="F45" s="19">
        <f>IFERROR(INDEX(income_statement!$B:$I,MATCH("Giá vốn hàng bán",income_statement!$A:$A,0),MATCH(F$23,income_statement!$B$1:$I$1,0)),"")</f>
        <v/>
      </c>
      <c r="G45" s="19">
        <f>IFERROR(INDEX(income_statement!$B:$I,MATCH("Giá vốn hàng bán",income_statement!$A:$A,0),MATCH(G$23,income_statement!$B$1:$I$1,0)),"")</f>
        <v/>
      </c>
      <c r="H45" s="19">
        <f>IFERROR(INDEX(income_statement!$B:$I,MATCH("Giá vốn hàng bán",income_statement!$A:$A,0),MATCH(H$23,income_statement!$B$1:$I$1,0)),"")</f>
        <v/>
      </c>
      <c r="I45" s="19">
        <f>IFERROR(INDEX(income_statement!$B:$I,MATCH("Giá vốn hàng bán",income_statement!$A:$A,0),MATCH(I$23,income_statement!$B$1:$I$1,0)),"")</f>
        <v/>
      </c>
    </row>
    <row r="46" ht="15" customHeight="1">
      <c r="A46" s="15" t="inlineStr">
        <is>
          <t>Lợi nhuận gộp</t>
        </is>
      </c>
      <c r="B46" s="20">
        <f>IFERROR(INDEX(income_statement!$B:$I,MATCH("Lợi nhuận gộp",income_statement!$A:$A,0),MATCH(B$23,income_statement!$B$1:$I$1,0)),"")</f>
        <v/>
      </c>
      <c r="C46" s="20">
        <f>IFERROR(INDEX(income_statement!$B:$I,MATCH("Lợi nhuận gộp",income_statement!$A:$A,0),MATCH(C$23,income_statement!$B$1:$I$1,0)),"")</f>
        <v/>
      </c>
      <c r="D46" s="20">
        <f>IFERROR(INDEX(income_statement!$B:$I,MATCH("Lợi nhuận gộp",income_statement!$A:$A,0),MATCH(D$23,income_statement!$B$1:$I$1,0)),"")</f>
        <v/>
      </c>
      <c r="E46" s="20">
        <f>IFERROR(INDEX(income_statement!$B:$I,MATCH("Lợi nhuận gộp",income_statement!$A:$A,0),MATCH(E$23,income_statement!$B$1:$I$1,0)),"")</f>
        <v/>
      </c>
      <c r="F46" s="20">
        <f>IFERROR(INDEX(income_statement!$B:$I,MATCH("Lợi nhuận gộp",income_statement!$A:$A,0),MATCH(F$23,income_statement!$B$1:$I$1,0)),"")</f>
        <v/>
      </c>
      <c r="G46" s="20">
        <f>IFERROR(INDEX(income_statement!$B:$I,MATCH("Lợi nhuận gộp",income_statement!$A:$A,0),MATCH(G$23,income_statement!$B$1:$I$1,0)),"")</f>
        <v/>
      </c>
      <c r="H46" s="20">
        <f>IFERROR(INDEX(income_statement!$B:$I,MATCH("Lợi nhuận gộp",income_statement!$A:$A,0),MATCH(H$23,income_statement!$B$1:$I$1,0)),"")</f>
        <v/>
      </c>
      <c r="I46" s="20">
        <f>IFERROR(INDEX(income_statement!$B:$I,MATCH("Lợi nhuận gộp",income_statement!$A:$A,0),MATCH(I$23,income_statement!$B$1:$I$1,0)),"")</f>
        <v/>
      </c>
      <c r="J46" s="20" t="n">
        <v>-2400000000000</v>
      </c>
      <c r="K46" s="20" t="n">
        <v>3800000000000</v>
      </c>
      <c r="L46" s="20" t="n">
        <v>5500000000000</v>
      </c>
      <c r="M46" s="20" t="n">
        <v>6300000000000</v>
      </c>
    </row>
    <row r="47">
      <c r="A47" s="18" t="inlineStr">
        <is>
          <t>Chi phí bán hàng</t>
        </is>
      </c>
      <c r="B47" s="19">
        <f>IFERROR(INDEX(income_statement!$B:$I,MATCH("Chi phí bán hàng",income_statement!$A:$A,0),MATCH(B$23,income_statement!$B$1:$I$1,0)),"")</f>
        <v/>
      </c>
      <c r="C47" s="19">
        <f>IFERROR(INDEX(income_statement!$B:$I,MATCH("Chi phí bán hàng",income_statement!$A:$A,0),MATCH(C$23,income_statement!$B$1:$I$1,0)),"")</f>
        <v/>
      </c>
      <c r="D47" s="19">
        <f>IFERROR(INDEX(income_statement!$B:$I,MATCH("Chi phí bán hàng",income_statement!$A:$A,0),MATCH(D$23,income_statement!$B$1:$I$1,0)),"")</f>
        <v/>
      </c>
      <c r="E47" s="19">
        <f>IFERROR(INDEX(income_statement!$B:$I,MATCH("Chi phí bán hàng",income_statement!$A:$A,0),MATCH(E$23,income_statement!$B$1:$I$1,0)),"")</f>
        <v/>
      </c>
      <c r="F47" s="19">
        <f>IFERROR(INDEX(income_statement!$B:$I,MATCH("Chi phí bán hàng",income_statement!$A:$A,0),MATCH(F$23,income_statement!$B$1:$I$1,0)),"")</f>
        <v/>
      </c>
      <c r="G47" s="19">
        <f>IFERROR(INDEX(income_statement!$B:$I,MATCH("Chi phí bán hàng",income_statement!$A:$A,0),MATCH(G$23,income_statement!$B$1:$I$1,0)),"")</f>
        <v/>
      </c>
      <c r="H47" s="19">
        <f>IFERROR(INDEX(income_statement!$B:$I,MATCH("Chi phí bán hàng",income_statement!$A:$A,0),MATCH(H$23,income_statement!$B$1:$I$1,0)),"")</f>
        <v/>
      </c>
      <c r="I47" s="19">
        <f>IFERROR(INDEX(income_statement!$B:$I,MATCH("Chi phí bán hàng",income_statement!$A:$A,0),MATCH(I$23,income_statement!$B$1:$I$1,0)),"")</f>
        <v/>
      </c>
    </row>
    <row r="48">
      <c r="A48" s="18" t="inlineStr">
        <is>
          <t>Chi phí quản lý doanh nghiệp</t>
        </is>
      </c>
      <c r="B48" s="19">
        <f>IFERROR(INDEX(income_statement!$B:$I,MATCH("Chi phí quản lý doanh nghiệp",income_statement!$A:$A,0),MATCH(B$23,income_statement!$B$1:$I$1,0)),"")</f>
        <v/>
      </c>
      <c r="C48" s="19">
        <f>IFERROR(INDEX(income_statement!$B:$I,MATCH("Chi phí quản lý doanh nghiệp",income_statement!$A:$A,0),MATCH(C$23,income_statement!$B$1:$I$1,0)),"")</f>
        <v/>
      </c>
      <c r="D48" s="19">
        <f>IFERROR(INDEX(income_statement!$B:$I,MATCH("Chi phí quản lý doanh nghiệp",income_statement!$A:$A,0),MATCH(D$23,income_statement!$B$1:$I$1,0)),"")</f>
        <v/>
      </c>
      <c r="E48" s="19">
        <f>IFERROR(INDEX(income_statement!$B:$I,MATCH("Chi phí quản lý doanh nghiệp",income_statement!$A:$A,0),MATCH(E$23,income_statement!$B$1:$I$1,0)),"")</f>
        <v/>
      </c>
      <c r="F48" s="19">
        <f>IFERROR(INDEX(income_statement!$B:$I,MATCH("Chi phí quản lý doanh nghiệp",income_statement!$A:$A,0),MATCH(F$23,income_statement!$B$1:$I$1,0)),"")</f>
        <v/>
      </c>
      <c r="G48" s="19">
        <f>IFERROR(INDEX(income_statement!$B:$I,MATCH("Chi phí quản lý doanh nghiệp",income_statement!$A:$A,0),MATCH(G$23,income_statement!$B$1:$I$1,0)),"")</f>
        <v/>
      </c>
      <c r="H48" s="19">
        <f>IFERROR(INDEX(income_statement!$B:$I,MATCH("Chi phí quản lý doanh nghiệp",income_statement!$A:$A,0),MATCH(H$23,income_statement!$B$1:$I$1,0)),"")</f>
        <v/>
      </c>
      <c r="I48" s="19">
        <f>IFERROR(INDEX(income_statement!$B:$I,MATCH("Chi phí quản lý doanh nghiệp",income_statement!$A:$A,0),MATCH(I$23,income_statement!$B$1:$I$1,0)),"")</f>
        <v/>
      </c>
    </row>
    <row r="49">
      <c r="A49" s="18" t="inlineStr">
        <is>
          <t>Lãi/(lỗ) từ hoạt động kinh doanh</t>
        </is>
      </c>
      <c r="B49" s="19">
        <f>IFERROR(INDEX(income_statement!$B:$I,MATCH("Lãi/(lỗ) từ hoạt động kinh doanh",income_statement!$A:$A,0),MATCH(B$23,income_statement!$B$1:$I$1,0)),"")</f>
        <v/>
      </c>
      <c r="C49" s="19">
        <f>IFERROR(INDEX(income_statement!$B:$I,MATCH("Lãi/(lỗ) từ hoạt động kinh doanh",income_statement!$A:$A,0),MATCH(C$23,income_statement!$B$1:$I$1,0)),"")</f>
        <v/>
      </c>
      <c r="D49" s="19">
        <f>IFERROR(INDEX(income_statement!$B:$I,MATCH("Lãi/(lỗ) từ hoạt động kinh doanh",income_statement!$A:$A,0),MATCH(D$23,income_statement!$B$1:$I$1,0)),"")</f>
        <v/>
      </c>
      <c r="E49" s="19">
        <f>IFERROR(INDEX(income_statement!$B:$I,MATCH("Lãi/(lỗ) từ hoạt động kinh doanh",income_statement!$A:$A,0),MATCH(E$23,income_statement!$B$1:$I$1,0)),"")</f>
        <v/>
      </c>
      <c r="F49" s="19">
        <f>IFERROR(INDEX(income_statement!$B:$I,MATCH("Lãi/(lỗ) từ hoạt động kinh doanh",income_statement!$A:$A,0),MATCH(F$23,income_statement!$B$1:$I$1,0)),"")</f>
        <v/>
      </c>
      <c r="G49" s="19">
        <f>IFERROR(INDEX(income_statement!$B:$I,MATCH("Lãi/(lỗ) từ hoạt động kinh doanh",income_statement!$A:$A,0),MATCH(G$23,income_statement!$B$1:$I$1,0)),"")</f>
        <v/>
      </c>
      <c r="H49" s="19">
        <f>IFERROR(INDEX(income_statement!$B:$I,MATCH("Lãi/(lỗ) từ hoạt động kinh doanh",income_statement!$A:$A,0),MATCH(H$23,income_statement!$B$1:$I$1,0)),"")</f>
        <v/>
      </c>
      <c r="I49" s="19">
        <f>IFERROR(INDEX(income_statement!$B:$I,MATCH("Lãi/(lỗ) từ hoạt động kinh doanh",income_statement!$A:$A,0),MATCH(I$23,income_statement!$B$1:$I$1,0)),"")</f>
        <v/>
      </c>
    </row>
    <row r="50">
      <c r="A50" s="18" t="inlineStr">
        <is>
          <t>Chi phí lãi vay</t>
        </is>
      </c>
      <c r="B50" s="19">
        <f>IFERROR(INDEX(income_statement!$B:$I,MATCH("Chi phí lãi vay",income_statement!$A:$A,0),MATCH(B$23,income_statement!$B$1:$I$1,0)),"")</f>
        <v/>
      </c>
      <c r="C50" s="19">
        <f>IFERROR(INDEX(income_statement!$B:$I,MATCH("Chi phí lãi vay",income_statement!$A:$A,0),MATCH(C$23,income_statement!$B$1:$I$1,0)),"")</f>
        <v/>
      </c>
      <c r="D50" s="19">
        <f>IFERROR(INDEX(income_statement!$B:$I,MATCH("Chi phí lãi vay",income_statement!$A:$A,0),MATCH(D$23,income_statement!$B$1:$I$1,0)),"")</f>
        <v/>
      </c>
      <c r="E50" s="19">
        <f>IFERROR(INDEX(income_statement!$B:$I,MATCH("Chi phí lãi vay",income_statement!$A:$A,0),MATCH(E$23,income_statement!$B$1:$I$1,0)),"")</f>
        <v/>
      </c>
      <c r="F50" s="19">
        <f>IFERROR(INDEX(income_statement!$B:$I,MATCH("Chi phí lãi vay",income_statement!$A:$A,0),MATCH(F$23,income_statement!$B$1:$I$1,0)),"")</f>
        <v/>
      </c>
      <c r="G50" s="19">
        <f>IFERROR(INDEX(income_statement!$B:$I,MATCH("Chi phí lãi vay",income_statement!$A:$A,0),MATCH(G$23,income_statement!$B$1:$I$1,0)),"")</f>
        <v/>
      </c>
      <c r="H50" s="19">
        <f>IFERROR(INDEX(income_statement!$B:$I,MATCH("Chi phí lãi vay",income_statement!$A:$A,0),MATCH(H$23,income_statement!$B$1:$I$1,0)),"")</f>
        <v/>
      </c>
      <c r="I50" s="19">
        <f>IFERROR(INDEX(income_statement!$B:$I,MATCH("Chi phí lãi vay",income_statement!$A:$A,0),MATCH(I$23,income_statement!$B$1:$I$1,0)),"")</f>
        <v/>
      </c>
    </row>
    <row r="51" ht="15" customHeight="1">
      <c r="A51" s="26" t="inlineStr">
        <is>
          <t>Lãi/(lỗ) trước thuế</t>
        </is>
      </c>
      <c r="B51" s="27">
        <f>IFERROR(INDEX(income_statement!$B:$I,MATCH("Lãi/(lỗ) trước thuế",income_statement!$A:$A,0),MATCH(B$23,income_statement!$B$1:$I$1,0)),"")</f>
        <v/>
      </c>
      <c r="C51" s="27">
        <f>IFERROR(INDEX(income_statement!$B:$I,MATCH("Lãi/(lỗ) trước thuế",income_statement!$A:$A,0),MATCH(C$23,income_statement!$B$1:$I$1,0)),"")</f>
        <v/>
      </c>
      <c r="D51" s="27">
        <f>IFERROR(INDEX(income_statement!$B:$I,MATCH("Lãi/(lỗ) trước thuế",income_statement!$A:$A,0),MATCH(D$23,income_statement!$B$1:$I$1,0)),"")</f>
        <v/>
      </c>
      <c r="E51" s="27">
        <f>IFERROR(INDEX(income_statement!$B:$I,MATCH("Lãi/(lỗ) trước thuế",income_statement!$A:$A,0),MATCH(E$23,income_statement!$B$1:$I$1,0)),"")</f>
        <v/>
      </c>
      <c r="F51" s="27">
        <f>IFERROR(INDEX(income_statement!$B:$I,MATCH("Lãi/(lỗ) trước thuế",income_statement!$A:$A,0),MATCH(F$23,income_statement!$B$1:$I$1,0)),"")</f>
        <v/>
      </c>
      <c r="G51" s="27">
        <f>IFERROR(INDEX(income_statement!$B:$I,MATCH("Lãi/(lỗ) trước thuế",income_statement!$A:$A,0),MATCH(G$23,income_statement!$B$1:$I$1,0)),"")</f>
        <v/>
      </c>
      <c r="H51" s="27">
        <f>IFERROR(INDEX(income_statement!$B:$I,MATCH("Lãi/(lỗ) trước thuế",income_statement!$A:$A,0),MATCH(H$23,income_statement!$B$1:$I$1,0)),"")</f>
        <v/>
      </c>
      <c r="I51" s="27">
        <f>IFERROR(INDEX(income_statement!$B:$I,MATCH("Lãi/(lỗ) trước thuế",income_statement!$A:$A,0),MATCH(I$23,income_statement!$B$1:$I$1,0)),"")</f>
        <v/>
      </c>
      <c r="J51" s="27" t="n">
        <v>-6100000000000</v>
      </c>
      <c r="K51" s="27" t="n">
        <v>200000000000</v>
      </c>
      <c r="L51" s="27" t="n">
        <v>1600000000000</v>
      </c>
      <c r="M51" s="27" t="n">
        <v>2000000000000</v>
      </c>
    </row>
    <row r="52" ht="15" customHeight="1">
      <c r="A52" s="15" t="inlineStr">
        <is>
          <t>Lãi/(lỗ) thuần sau thuế</t>
        </is>
      </c>
      <c r="B52" s="20">
        <f>IFERROR(INDEX(income_statement!$B:$I,MATCH("Lãi/(lỗ) thuần sau thuế",income_statement!$A:$A,0),MATCH(B$23,income_statement!$B$1:$I$1,0)),"")</f>
        <v/>
      </c>
      <c r="C52" s="20">
        <f>IFERROR(INDEX(income_statement!$B:$I,MATCH("Lãi/(lỗ) thuần sau thuế",income_statement!$A:$A,0),MATCH(C$23,income_statement!$B$1:$I$1,0)),"")</f>
        <v/>
      </c>
      <c r="D52" s="20">
        <f>IFERROR(INDEX(income_statement!$B:$I,MATCH("Lãi/(lỗ) thuần sau thuế",income_statement!$A:$A,0),MATCH(D$23,income_statement!$B$1:$I$1,0)),"")</f>
        <v/>
      </c>
      <c r="E52" s="20">
        <f>IFERROR(INDEX(income_statement!$B:$I,MATCH("Lãi/(lỗ) thuần sau thuế",income_statement!$A:$A,0),MATCH(E$23,income_statement!$B$1:$I$1,0)),"")</f>
        <v/>
      </c>
      <c r="F52" s="20">
        <f>IFERROR(INDEX(income_statement!$B:$I,MATCH("Lãi/(lỗ) thuần sau thuế",income_statement!$A:$A,0),MATCH(F$23,income_statement!$B$1:$I$1,0)),"")</f>
        <v/>
      </c>
      <c r="G52" s="20">
        <f>IFERROR(INDEX(income_statement!$B:$I,MATCH("Lãi/(lỗ) thuần sau thuế",income_statement!$A:$A,0),MATCH(G$23,income_statement!$B$1:$I$1,0)),"")</f>
        <v/>
      </c>
      <c r="H52" s="20">
        <f>IFERROR(INDEX(income_statement!$B:$I,MATCH("Lãi/(lỗ) thuần sau thuế",income_statement!$A:$A,0),MATCH(H$23,income_statement!$B$1:$I$1,0)),"")</f>
        <v/>
      </c>
      <c r="I52" s="20">
        <f>IFERROR(INDEX(income_statement!$B:$I,MATCH("Lãi/(lỗ) thuần sau thuế",income_statement!$A:$A,0),MATCH(I$23,income_statement!$B$1:$I$1,0)),"")</f>
        <v/>
      </c>
      <c r="J52" s="27" t="n">
        <v>-6600000000000</v>
      </c>
      <c r="K52" s="27">
        <f>K51*0.797</f>
        <v/>
      </c>
      <c r="L52" s="27">
        <f>L51*0.797</f>
        <v/>
      </c>
      <c r="M52" s="27">
        <f>M51*0.797</f>
        <v/>
      </c>
    </row>
    <row r="53" ht="15" customHeight="1">
      <c r="A53" s="15" t="inlineStr">
        <is>
          <t>LN sau thuế/LN trước thuế</t>
        </is>
      </c>
      <c r="B53" s="28">
        <f>B52/B51</f>
        <v/>
      </c>
      <c r="C53" s="28">
        <f>C52/C51</f>
        <v/>
      </c>
      <c r="D53" s="28">
        <f>D52/D51</f>
        <v/>
      </c>
      <c r="E53" s="28">
        <f>E52/E51</f>
        <v/>
      </c>
      <c r="F53" s="28">
        <f>F52/F51</f>
        <v/>
      </c>
      <c r="G53" s="28">
        <f>G52/G51</f>
        <v/>
      </c>
      <c r="H53" s="28">
        <f>H52/H51</f>
        <v/>
      </c>
      <c r="I53" s="28">
        <f>I52/I51</f>
        <v/>
      </c>
      <c r="J53" s="28" t="n"/>
    </row>
    <row r="54" ht="15" customHeight="1">
      <c r="A54" s="15" t="inlineStr">
        <is>
          <t>Lợi nhuận của Cổ đông của Công ty mẹ</t>
        </is>
      </c>
      <c r="B54" s="20">
        <f>IFERROR(INDEX(income_statement!$B:$I,MATCH("Lợi nhuận của Cổ đông của Công ty mẹ",income_statement!$A:$A,0),MATCH(B$23,income_statement!$B$1:$I$1,0)),"")</f>
        <v/>
      </c>
      <c r="C54" s="20">
        <f>IFERROR(INDEX(income_statement!$B:$I,MATCH("Lợi nhuận của Cổ đông của Công ty mẹ",income_statement!$A:$A,0),MATCH(C$23,income_statement!$B$1:$I$1,0)),"")</f>
        <v/>
      </c>
      <c r="D54" s="20">
        <f>IFERROR(INDEX(income_statement!$B:$I,MATCH("Lợi nhuận của Cổ đông của Công ty mẹ",income_statement!$A:$A,0),MATCH(D$23,income_statement!$B$1:$I$1,0)),"")</f>
        <v/>
      </c>
      <c r="E54" s="20">
        <f>IFERROR(INDEX(income_statement!$B:$I,MATCH("Lợi nhuận của Cổ đông của Công ty mẹ",income_statement!$A:$A,0),MATCH(E$23,income_statement!$B$1:$I$1,0)),"")</f>
        <v/>
      </c>
      <c r="F54" s="20">
        <f>IFERROR(INDEX(income_statement!$B:$I,MATCH("Lợi nhuận của Cổ đông của Công ty mẹ",income_statement!$A:$A,0),MATCH(F$23,income_statement!$B$1:$I$1,0)),"")</f>
        <v/>
      </c>
      <c r="G54" s="20">
        <f>IFERROR(INDEX(income_statement!$B:$I,MATCH("Lợi nhuận của Cổ đông của Công ty mẹ",income_statement!$A:$A,0),MATCH(G$23,income_statement!$B$1:$I$1,0)),"")</f>
        <v/>
      </c>
      <c r="H54" s="20">
        <f>IFERROR(INDEX(income_statement!$B:$I,MATCH("Lợi nhuận của Cổ đông của Công ty mẹ",income_statement!$A:$A,0),MATCH(H$23,income_statement!$B$1:$I$1,0)),"")</f>
        <v/>
      </c>
      <c r="I54" s="20">
        <f>IFERROR(INDEX(income_statement!$B:$I,MATCH("Lợi nhuận của Cổ đông của Công ty mẹ",income_statement!$A:$A,0),MATCH(I$23,income_statement!$B$1:$I$1,0)),"")</f>
        <v/>
      </c>
      <c r="J54" s="20" t="n">
        <v>-6600000000000</v>
      </c>
      <c r="K54" s="20" t="n">
        <v>159400000000</v>
      </c>
      <c r="L54" s="20" t="n">
        <v>1275200000000</v>
      </c>
      <c r="M54" s="20" t="n">
        <v>1594000000000</v>
      </c>
    </row>
    <row r="55">
      <c r="A55" s="25" t="inlineStr">
        <is>
          <t>Lưu chuyển tiền tệ</t>
        </is>
      </c>
    </row>
    <row r="56">
      <c r="A56" s="18" t="inlineStr">
        <is>
          <t>Khấu hao TSCĐ và BĐSĐT</t>
        </is>
      </c>
      <c r="B56" s="19">
        <f>IFERROR(INDEX(cash_flow!$B:$I,MATCH("Khấu hao TSCĐ và BĐSĐT",cash_flow!$A:$A,0),MATCH(B$23,cash_flow!$B$1:$I$1,0)),"")</f>
        <v/>
      </c>
      <c r="C56" s="19">
        <f>IFERROR(INDEX(cash_flow!$B:$I,MATCH("Khấu hao TSCĐ và BĐSĐT",cash_flow!$A:$A,0),MATCH(C$23,cash_flow!$B$1:$I$1,0)),"")</f>
        <v/>
      </c>
      <c r="D56" s="19">
        <f>IFERROR(INDEX(cash_flow!$B:$I,MATCH("Khấu hao TSCĐ và BĐSĐT",cash_flow!$A:$A,0),MATCH(D$23,cash_flow!$B$1:$I$1,0)),"")</f>
        <v/>
      </c>
      <c r="E56" s="19">
        <f>IFERROR(INDEX(cash_flow!$B:$I,MATCH("Khấu hao TSCĐ và BĐSĐT",cash_flow!$A:$A,0),MATCH(E$23,cash_flow!$B$1:$I$1,0)),"")</f>
        <v/>
      </c>
      <c r="F56" s="19">
        <f>IFERROR(INDEX(cash_flow!$B:$I,MATCH("Khấu hao TSCĐ và BĐSĐT",cash_flow!$A:$A,0),MATCH(F$23,cash_flow!$B$1:$I$1,0)),"")</f>
        <v/>
      </c>
      <c r="G56" s="19">
        <f>IFERROR(INDEX(cash_flow!$B:$I,MATCH("Khấu hao TSCĐ và BĐSĐT",cash_flow!$A:$A,0),MATCH(G$23,cash_flow!$B$1:$I$1,0)),"")</f>
        <v/>
      </c>
      <c r="H56" s="19">
        <f>IFERROR(INDEX(cash_flow!$B:$I,MATCH("Khấu hao TSCĐ và BĐSĐT",cash_flow!$A:$A,0),MATCH(H$23,cash_flow!$B$1:$I$1,0)),"")</f>
        <v/>
      </c>
      <c r="I56" s="19">
        <f>IFERROR(INDEX(cash_flow!$B:$I,MATCH("Khấu hao TSCĐ và BĐSĐT",cash_flow!$A:$A,0),MATCH(I$23,cash_flow!$B$1:$I$1,0)),"")</f>
        <v/>
      </c>
    </row>
    <row r="57">
      <c r="A57" s="18" t="inlineStr">
        <is>
          <t>Tiền chi để mua sắm, xây dựng TSCĐ và các tài sản dài hạn khác</t>
        </is>
      </c>
      <c r="B57" s="19">
        <f>IFERROR(INDEX(cash_flow!$B:$I,MATCH("Tiền chi để mua sắm, xây dựng TSCĐ và các tài sản dài hạn khác",cash_flow!$A:$A,0),MATCH(B$23,cash_flow!$B$1:$I$1,0)),"")</f>
        <v/>
      </c>
      <c r="C57" s="19">
        <f>IFERROR(INDEX(cash_flow!$B:$I,MATCH("Tiền chi để mua sắm, xây dựng TSCĐ và các tài sản dài hạn khác",cash_flow!$A:$A,0),MATCH(C$23,cash_flow!$B$1:$I$1,0)),"")</f>
        <v/>
      </c>
      <c r="D57" s="19">
        <f>IFERROR(INDEX(cash_flow!$B:$I,MATCH("Tiền chi để mua sắm, xây dựng TSCĐ và các tài sản dài hạn khác",cash_flow!$A:$A,0),MATCH(D$23,cash_flow!$B$1:$I$1,0)),"")</f>
        <v/>
      </c>
      <c r="E57" s="19">
        <f>IFERROR(INDEX(cash_flow!$B:$I,MATCH("Tiền chi để mua sắm, xây dựng TSCĐ và các tài sản dài hạn khác",cash_flow!$A:$A,0),MATCH(E$23,cash_flow!$B$1:$I$1,0)),"")</f>
        <v/>
      </c>
      <c r="F57" s="19">
        <f>IFERROR(INDEX(cash_flow!$B:$I,MATCH("Tiền chi để mua sắm, xây dựng TSCĐ và các tài sản dài hạn khác",cash_flow!$A:$A,0),MATCH(F$23,cash_flow!$B$1:$I$1,0)),"")</f>
        <v/>
      </c>
      <c r="G57" s="19">
        <f>IFERROR(INDEX(cash_flow!$B:$I,MATCH("Tiền chi để mua sắm, xây dựng TSCĐ và các tài sản dài hạn khác",cash_flow!$A:$A,0),MATCH(G$23,cash_flow!$B$1:$I$1,0)),"")</f>
        <v/>
      </c>
      <c r="H57" s="19">
        <f>IFERROR(INDEX(cash_flow!$B:$I,MATCH("Tiền chi để mua sắm, xây dựng TSCĐ và các tài sản dài hạn khác",cash_flow!$A:$A,0),MATCH(H$23,cash_flow!$B$1:$I$1,0)),"")</f>
        <v/>
      </c>
      <c r="I57" s="19">
        <f>IFERROR(INDEX(cash_flow!$B:$I,MATCH("Tiền chi để mua sắm, xây dựng TSCĐ và các tài sản dài hạn khác",cash_flow!$A:$A,0),MATCH(I$23,cash_flow!$B$1:$I$1,0)),"")</f>
        <v/>
      </c>
    </row>
    <row r="58">
      <c r="A58" s="18" t="inlineStr">
        <is>
          <t>Lưu chuyển tiền tệ ròng từ các hoạt động sản xuất kinh doanh</t>
        </is>
      </c>
      <c r="B58" s="19">
        <f>IFERROR(INDEX(cash_flow!$B:$I,MATCH("Lưu chuyển tiền tệ ròng từ các hoạt động sản xuất kinh doanh",cash_flow!$A:$A,0),MATCH(B$23,cash_flow!$B$1:$I$1,0)),"")</f>
        <v/>
      </c>
      <c r="C58" s="19">
        <f>IFERROR(INDEX(cash_flow!$B:$I,MATCH("Lưu chuyển tiền tệ ròng từ các hoạt động sản xuất kinh doanh",cash_flow!$A:$A,0),MATCH(C$23,cash_flow!$B$1:$I$1,0)),"")</f>
        <v/>
      </c>
      <c r="D58" s="19">
        <f>IFERROR(INDEX(cash_flow!$B:$I,MATCH("Lưu chuyển tiền tệ ròng từ các hoạt động sản xuất kinh doanh",cash_flow!$A:$A,0),MATCH(D$23,cash_flow!$B$1:$I$1,0)),"")</f>
        <v/>
      </c>
      <c r="E58" s="19">
        <f>IFERROR(INDEX(cash_flow!$B:$I,MATCH("Lưu chuyển tiền tệ ròng từ các hoạt động sản xuất kinh doanh",cash_flow!$A:$A,0),MATCH(E$23,cash_flow!$B$1:$I$1,0)),"")</f>
        <v/>
      </c>
      <c r="F58" s="19">
        <f>IFERROR(INDEX(cash_flow!$B:$I,MATCH("Lưu chuyển tiền tệ ròng từ các hoạt động sản xuất kinh doanh",cash_flow!$A:$A,0),MATCH(F$23,cash_flow!$B$1:$I$1,0)),"")</f>
        <v/>
      </c>
      <c r="G58" s="19">
        <f>IFERROR(INDEX(cash_flow!$B:$I,MATCH("Lưu chuyển tiền tệ ròng từ các hoạt động sản xuất kinh doanh",cash_flow!$A:$A,0),MATCH(G$23,cash_flow!$B$1:$I$1,0)),"")</f>
        <v/>
      </c>
      <c r="H58" s="19">
        <f>IFERROR(INDEX(cash_flow!$B:$I,MATCH("Lưu chuyển tiền tệ ròng từ các hoạt động sản xuất kinh doanh",cash_flow!$A:$A,0),MATCH(H$23,cash_flow!$B$1:$I$1,0)),"")</f>
        <v/>
      </c>
      <c r="I58" s="19">
        <f>IFERROR(INDEX(cash_flow!$B:$I,MATCH("Lưu chuyển tiền tệ ròng từ các hoạt động sản xuất kinh doanh",cash_flow!$A:$A,0),MATCH(I$23,cash_flow!$B$1:$I$1,0)),"")</f>
        <v/>
      </c>
    </row>
    <row r="59"/>
    <row r="60"/>
    <row r="61"/>
    <row r="62">
      <c r="A62" s="29" t="inlineStr">
        <is>
          <t>CHỈ SỐ THÊM</t>
        </is>
      </c>
      <c r="B62" s="16" t="n">
        <v>2018</v>
      </c>
      <c r="C62" s="16" t="n">
        <v>2019</v>
      </c>
      <c r="D62" s="16" t="n">
        <v>2020</v>
      </c>
      <c r="E62" s="16" t="n">
        <v>2021</v>
      </c>
      <c r="F62" s="16" t="n">
        <v>2022</v>
      </c>
      <c r="G62" s="16" t="n">
        <v>2023</v>
      </c>
      <c r="H62" s="16" t="n">
        <v>2024</v>
      </c>
      <c r="I62" s="16" t="n">
        <v>2025</v>
      </c>
    </row>
    <row r="63">
      <c r="A63" s="29" t="inlineStr">
        <is>
          <t>Khả năng sinh lời &amp; hiệu quả sử dụng vốn</t>
        </is>
      </c>
      <c r="B63" s="30" t="n"/>
      <c r="C63" s="30" t="n"/>
      <c r="D63" s="30" t="n"/>
      <c r="E63" s="30" t="n"/>
      <c r="F63" s="30" t="n"/>
      <c r="G63" s="30" t="n"/>
      <c r="H63" s="30" t="n"/>
      <c r="I63" s="30" t="n"/>
    </row>
    <row r="64">
      <c r="A64" s="30" t="inlineStr">
        <is>
          <t>ROCE</t>
        </is>
      </c>
      <c r="B64" s="31">
        <f>IFERROR(B$66/(B$31-B$35),"n/a")</f>
        <v/>
      </c>
      <c r="C64" s="31">
        <f>IFERROR(C$66/(C$31-C$35),"n/a")</f>
        <v/>
      </c>
      <c r="D64" s="31">
        <f>IFERROR(D$66/(D$31-D$35),"n/a")</f>
        <v/>
      </c>
      <c r="E64" s="31">
        <f>IFERROR(E$66/(E$31-E$35),"n/a")</f>
        <v/>
      </c>
      <c r="F64" s="31">
        <f>IFERROR(F$66/(F$31-F$35),"n/a")</f>
        <v/>
      </c>
      <c r="G64" s="31">
        <f>IFERROR(G$66/(G$31-G$35),"n/a")</f>
        <v/>
      </c>
      <c r="H64" s="31">
        <f>IFERROR(H$66/(H$31-H$35),"n/a")</f>
        <v/>
      </c>
      <c r="I64" s="31">
        <f>IFERROR(I$66/(I$31-I$35),"n/a")</f>
        <v/>
      </c>
    </row>
    <row r="65">
      <c r="A65" s="30" t="inlineStr">
        <is>
          <t>CROIC</t>
        </is>
      </c>
      <c r="B65" s="31">
        <f>IFERROR(B$70/(B$31-B$35),"n/a")</f>
        <v/>
      </c>
      <c r="C65" s="31">
        <f>IFERROR(C$70/(C$31-C$35),"n/a")</f>
        <v/>
      </c>
      <c r="D65" s="31">
        <f>IFERROR(D$70/(D$31-D$35),"n/a")</f>
        <v/>
      </c>
      <c r="E65" s="31">
        <f>IFERROR(E$70/(E$31-E$35),"n/a")</f>
        <v/>
      </c>
      <c r="F65" s="31">
        <f>IFERROR(F$70/(F$31-F$35),"n/a")</f>
        <v/>
      </c>
      <c r="G65" s="31">
        <f>IFERROR(G$70/(G$31-G$35),"n/a")</f>
        <v/>
      </c>
      <c r="H65" s="31">
        <f>IFERROR(H$70/(H$31-H$35),"n/a")</f>
        <v/>
      </c>
      <c r="I65" s="31">
        <f>IFERROR(I$70/(I$31-I$35),"n/a")</f>
        <v/>
      </c>
    </row>
    <row r="66">
      <c r="A66" s="30" t="inlineStr">
        <is>
          <t>EBIT</t>
        </is>
      </c>
      <c r="B66" s="32">
        <f>IFERROR(B$49+ABS(B$50),"n/a")</f>
        <v/>
      </c>
      <c r="C66" s="32">
        <f>IFERROR(C$49+ABS(C$50),"n/a")</f>
        <v/>
      </c>
      <c r="D66" s="32">
        <f>IFERROR(D$49+ABS(D$50),"n/a")</f>
        <v/>
      </c>
      <c r="E66" s="32">
        <f>IFERROR(E$49+ABS(E$50),"n/a")</f>
        <v/>
      </c>
      <c r="F66" s="32">
        <f>IFERROR(F$49+ABS(F$50),"n/a")</f>
        <v/>
      </c>
      <c r="G66" s="32">
        <f>IFERROR(G$49+ABS(G$50),"n/a")</f>
        <v/>
      </c>
      <c r="H66" s="32">
        <f>IFERROR(H$49+ABS(H$50),"n/a")</f>
        <v/>
      </c>
      <c r="I66" s="32">
        <f>IFERROR(I$49+ABS(I$50),"n/a")</f>
        <v/>
      </c>
    </row>
    <row r="67">
      <c r="A67" s="30" t="inlineStr">
        <is>
          <t>EBIT/DT</t>
        </is>
      </c>
      <c r="B67" s="31">
        <f>IFERROR(B$66/B$44,"n/a")</f>
        <v/>
      </c>
      <c r="C67" s="31">
        <f>IFERROR(C$66/C$44,"n/a")</f>
        <v/>
      </c>
      <c r="D67" s="31">
        <f>IFERROR(D$66/D$44,"n/a")</f>
        <v/>
      </c>
      <c r="E67" s="31">
        <f>IFERROR(E$66/E$44,"n/a")</f>
        <v/>
      </c>
      <c r="F67" s="31">
        <f>IFERROR(F$66/F$44,"n/a")</f>
        <v/>
      </c>
      <c r="G67" s="31">
        <f>IFERROR(G$66/G$44,"n/a")</f>
        <v/>
      </c>
      <c r="H67" s="31">
        <f>IFERROR(H$66/H$44,"n/a")</f>
        <v/>
      </c>
      <c r="I67" s="31">
        <f>IFERROR(I$66/I$44,"n/a")</f>
        <v/>
      </c>
    </row>
    <row r="68">
      <c r="A68" s="30" t="inlineStr">
        <is>
          <t>DT/TS</t>
        </is>
      </c>
      <c r="B68" s="31">
        <f>IFERROR(B$44/B$31,"n/a")</f>
        <v/>
      </c>
      <c r="C68" s="31">
        <f>IFERROR(C$44/C$31,"n/a")</f>
        <v/>
      </c>
      <c r="D68" s="31">
        <f>IFERROR(D$44/D$31,"n/a")</f>
        <v/>
      </c>
      <c r="E68" s="31">
        <f>IFERROR(E$44/E$31,"n/a")</f>
        <v/>
      </c>
      <c r="F68" s="31">
        <f>IFERROR(F$44/F$31,"n/a")</f>
        <v/>
      </c>
      <c r="G68" s="31">
        <f>IFERROR(G$44/G$31,"n/a")</f>
        <v/>
      </c>
      <c r="H68" s="31">
        <f>IFERROR(H$44/H$31,"n/a")</f>
        <v/>
      </c>
      <c r="I68" s="31">
        <f>IFERROR(I$44/I$31,"n/a")</f>
        <v/>
      </c>
    </row>
    <row r="69">
      <c r="A69" s="29" t="inlineStr">
        <is>
          <t>Dòng tiền &amp; tái đầu tư</t>
        </is>
      </c>
      <c r="B69" s="30" t="n"/>
      <c r="C69" s="30" t="n"/>
      <c r="D69" s="30" t="n"/>
      <c r="E69" s="30" t="n"/>
      <c r="F69" s="30" t="n"/>
      <c r="G69" s="30" t="n"/>
      <c r="H69" s="30" t="n"/>
      <c r="I69" s="30" t="n"/>
    </row>
    <row r="70">
      <c r="A70" s="30" t="inlineStr">
        <is>
          <t>FCF</t>
        </is>
      </c>
      <c r="B70" s="32">
        <f>IFERROR(B$58-ABS(B$57),"n/a")</f>
        <v/>
      </c>
      <c r="C70" s="32">
        <f>IFERROR(C$58-ABS(C$57),"n/a")</f>
        <v/>
      </c>
      <c r="D70" s="32">
        <f>IFERROR(D$58-ABS(D$57),"n/a")</f>
        <v/>
      </c>
      <c r="E70" s="32">
        <f>IFERROR(E$58-ABS(E$57),"n/a")</f>
        <v/>
      </c>
      <c r="F70" s="32">
        <f>IFERROR(F$58-ABS(F$57),"n/a")</f>
        <v/>
      </c>
      <c r="G70" s="32">
        <f>IFERROR(G$58-ABS(G$57),"n/a")</f>
        <v/>
      </c>
      <c r="H70" s="32">
        <f>IFERROR(H$58-ABS(H$57),"n/a")</f>
        <v/>
      </c>
      <c r="I70" s="32">
        <f>IFERROR(I$58-ABS(I$57),"n/a")</f>
        <v/>
      </c>
    </row>
    <row r="71">
      <c r="A71" s="30" t="inlineStr">
        <is>
          <t>FCF/DT</t>
        </is>
      </c>
      <c r="B71" s="31">
        <f>IFERROR(B$70/B$44,"n/a")</f>
        <v/>
      </c>
      <c r="C71" s="31">
        <f>IFERROR(C$70/C$44,"n/a")</f>
        <v/>
      </c>
      <c r="D71" s="31">
        <f>IFERROR(D$70/D$44,"n/a")</f>
        <v/>
      </c>
      <c r="E71" s="31">
        <f>IFERROR(E$70/E$44,"n/a")</f>
        <v/>
      </c>
      <c r="F71" s="31">
        <f>IFERROR(F$70/F$44,"n/a")</f>
        <v/>
      </c>
      <c r="G71" s="31">
        <f>IFERROR(G$70/G$44,"n/a")</f>
        <v/>
      </c>
      <c r="H71" s="31">
        <f>IFERROR(H$70/H$44,"n/a")</f>
        <v/>
      </c>
      <c r="I71" s="31">
        <f>IFERROR(I$70/I$44,"n/a")</f>
        <v/>
      </c>
    </row>
    <row r="72">
      <c r="A72" s="30" t="inlineStr">
        <is>
          <t>FCF/Nợ ngắn hạn</t>
        </is>
      </c>
      <c r="B72" s="31">
        <f>IFERROR(B$70/B$35,"n/a")</f>
        <v/>
      </c>
      <c r="C72" s="31">
        <f>IFERROR(C$70/C$35,"n/a")</f>
        <v/>
      </c>
      <c r="D72" s="31">
        <f>IFERROR(D$70/D$35,"n/a")</f>
        <v/>
      </c>
      <c r="E72" s="31">
        <f>IFERROR(E$70/E$35,"n/a")</f>
        <v/>
      </c>
      <c r="F72" s="31">
        <f>IFERROR(F$70/F$35,"n/a")</f>
        <v/>
      </c>
      <c r="G72" s="31">
        <f>IFERROR(G$70/G$35,"n/a")</f>
        <v/>
      </c>
      <c r="H72" s="31">
        <f>IFERROR(H$70/H$35,"n/a")</f>
        <v/>
      </c>
      <c r="I72" s="31">
        <f>IFERROR(I$70/I$35,"n/a")</f>
        <v/>
      </c>
    </row>
    <row r="73">
      <c r="A73" s="30" t="inlineStr">
        <is>
          <t>Capex</t>
        </is>
      </c>
      <c r="B73" s="32">
        <f>IFERROR(ABS(B$57),"n/a")</f>
        <v/>
      </c>
      <c r="C73" s="32">
        <f>IFERROR(ABS(C$57),"n/a")</f>
        <v/>
      </c>
      <c r="D73" s="32">
        <f>IFERROR(ABS(D$57),"n/a")</f>
        <v/>
      </c>
      <c r="E73" s="32">
        <f>IFERROR(ABS(E$57),"n/a")</f>
        <v/>
      </c>
      <c r="F73" s="32">
        <f>IFERROR(ABS(F$57),"n/a")</f>
        <v/>
      </c>
      <c r="G73" s="32">
        <f>IFERROR(ABS(G$57),"n/a")</f>
        <v/>
      </c>
      <c r="H73" s="32">
        <f>IFERROR(ABS(H$57),"n/a")</f>
        <v/>
      </c>
      <c r="I73" s="32">
        <f>IFERROR(ABS(I$57),"n/a")</f>
        <v/>
      </c>
    </row>
    <row r="74">
      <c r="A74" s="30" t="inlineStr">
        <is>
          <t>Capex/TS</t>
        </is>
      </c>
      <c r="B74" s="31">
        <f>IFERROR(B$73/B$31,"n/a")</f>
        <v/>
      </c>
      <c r="C74" s="31">
        <f>IFERROR(C$73/C$31,"n/a")</f>
        <v/>
      </c>
      <c r="D74" s="31">
        <f>IFERROR(D$73/D$31,"n/a")</f>
        <v/>
      </c>
      <c r="E74" s="31">
        <f>IFERROR(E$73/E$31,"n/a")</f>
        <v/>
      </c>
      <c r="F74" s="31">
        <f>IFERROR(F$73/F$31,"n/a")</f>
        <v/>
      </c>
      <c r="G74" s="31">
        <f>IFERROR(G$73/G$31,"n/a")</f>
        <v/>
      </c>
      <c r="H74" s="31">
        <f>IFERROR(H$73/H$31,"n/a")</f>
        <v/>
      </c>
      <c r="I74" s="31">
        <f>IFERROR(I$73/I$31,"n/a")</f>
        <v/>
      </c>
    </row>
    <row r="75">
      <c r="A75" s="30" t="inlineStr">
        <is>
          <t>Capex/LNST</t>
        </is>
      </c>
      <c r="B75" s="31">
        <f>IFERROR(B$73/ABS(B$52),"n/a")</f>
        <v/>
      </c>
      <c r="C75" s="31">
        <f>IFERROR(C$73/ABS(C$52),"n/a")</f>
        <v/>
      </c>
      <c r="D75" s="31">
        <f>IFERROR(D$73/ABS(D$52),"n/a")</f>
        <v/>
      </c>
      <c r="E75" s="31">
        <f>IFERROR(E$73/ABS(E$52),"n/a")</f>
        <v/>
      </c>
      <c r="F75" s="31">
        <f>IFERROR(F$73/ABS(F$52),"n/a")</f>
        <v/>
      </c>
      <c r="G75" s="31">
        <f>IFERROR(G$73/ABS(G$52),"n/a")</f>
        <v/>
      </c>
      <c r="H75" s="31">
        <f>IFERROR(H$73/ABS(H$52),"n/a")</f>
        <v/>
      </c>
      <c r="I75" s="31">
        <f>IFERROR(I$73/ABS(I$52),"n/a")</f>
        <v/>
      </c>
    </row>
    <row r="76">
      <c r="A76" s="30" t="inlineStr">
        <is>
          <t>Chi phí khấu hao/Lợi nhuận gộp</t>
        </is>
      </c>
      <c r="B76" s="31">
        <f>IFERROR(ABS(B$56)/B$46,"n/a")</f>
        <v/>
      </c>
      <c r="C76" s="31">
        <f>IFERROR(ABS(C$56)/C$46,"n/a")</f>
        <v/>
      </c>
      <c r="D76" s="31">
        <f>IFERROR(ABS(D$56)/D$46,"n/a")</f>
        <v/>
      </c>
      <c r="E76" s="31">
        <f>IFERROR(ABS(E$56)/E$46,"n/a")</f>
        <v/>
      </c>
      <c r="F76" s="31">
        <f>IFERROR(ABS(F$56)/F$46,"n/a")</f>
        <v/>
      </c>
      <c r="G76" s="31">
        <f>IFERROR(ABS(G$56)/G$46,"n/a")</f>
        <v/>
      </c>
      <c r="H76" s="31">
        <f>IFERROR(ABS(H$56)/H$46,"n/a")</f>
        <v/>
      </c>
      <c r="I76" s="31">
        <f>IFERROR(ABS(I$56)/I$46,"n/a")</f>
        <v/>
      </c>
    </row>
    <row r="77">
      <c r="A77" s="30" t="inlineStr">
        <is>
          <t>EBIT/Chi phí lãi vay</t>
        </is>
      </c>
      <c r="B77" s="33">
        <f>IFERROR(B$66/ABS(B$50),"n/a")</f>
        <v/>
      </c>
      <c r="C77" s="33">
        <f>IFERROR(C$66/ABS(C$50),"n/a")</f>
        <v/>
      </c>
      <c r="D77" s="33">
        <f>IFERROR(D$66/ABS(D$50),"n/a")</f>
        <v/>
      </c>
      <c r="E77" s="33">
        <f>IFERROR(E$66/ABS(E$50),"n/a")</f>
        <v/>
      </c>
      <c r="F77" s="33">
        <f>IFERROR(F$66/ABS(F$50),"n/a")</f>
        <v/>
      </c>
      <c r="G77" s="33">
        <f>IFERROR(G$66/ABS(G$50),"n/a")</f>
        <v/>
      </c>
      <c r="H77" s="33">
        <f>IFERROR(H$66/ABS(H$50),"n/a")</f>
        <v/>
      </c>
      <c r="I77" s="33">
        <f>IFERROR(I$66/ABS(I$50),"n/a")</f>
        <v/>
      </c>
    </row>
    <row r="78">
      <c r="A78" s="29" t="inlineStr">
        <is>
          <t>Vốn lưu động &amp; hiệu quả hoạt động</t>
        </is>
      </c>
      <c r="B78" s="30" t="n"/>
      <c r="C78" s="30" t="n"/>
      <c r="D78" s="30" t="n"/>
      <c r="E78" s="30" t="n"/>
      <c r="F78" s="30" t="n"/>
      <c r="G78" s="30" t="n"/>
      <c r="H78" s="30" t="n"/>
      <c r="I78" s="30" t="n"/>
    </row>
    <row r="79">
      <c r="A79" s="30" t="inlineStr">
        <is>
          <t>Vòng quay tiền mặt</t>
        </is>
      </c>
      <c r="B79" s="34">
        <f>IFERROR(B$17+B$18-B$16,"n/a")</f>
        <v/>
      </c>
      <c r="C79" s="34">
        <f>IFERROR(C$17+C$18-C$16,"n/a")</f>
        <v/>
      </c>
      <c r="D79" s="34">
        <f>IFERROR(D$17+D$18-D$16,"n/a")</f>
        <v/>
      </c>
      <c r="E79" s="34">
        <f>IFERROR(E$17+E$18-E$16,"n/a")</f>
        <v/>
      </c>
      <c r="F79" s="34">
        <f>IFERROR(F$17+F$18-F$16,"n/a")</f>
        <v/>
      </c>
      <c r="G79" s="34">
        <f>IFERROR(G$17+G$18-G$16,"n/a")</f>
        <v/>
      </c>
      <c r="H79" s="34">
        <f>IFERROR(H$17+H$18-H$16,"n/a")</f>
        <v/>
      </c>
      <c r="I79" s="34">
        <f>IFERROR(I$17+I$18-I$16,"n/a")</f>
        <v/>
      </c>
    </row>
    <row r="80">
      <c r="A80" s="30" t="inlineStr">
        <is>
          <t>HTK/DT</t>
        </is>
      </c>
      <c r="B80" s="31">
        <f>IFERROR(B$28/B$44,"n/a")</f>
        <v/>
      </c>
      <c r="C80" s="31">
        <f>IFERROR(C$28/C$44,"n/a")</f>
        <v/>
      </c>
      <c r="D80" s="31">
        <f>IFERROR(D$28/D$44,"n/a")</f>
        <v/>
      </c>
      <c r="E80" s="31">
        <f>IFERROR(E$28/E$44,"n/a")</f>
        <v/>
      </c>
      <c r="F80" s="31">
        <f>IFERROR(F$28/F$44,"n/a")</f>
        <v/>
      </c>
      <c r="G80" s="31">
        <f>IFERROR(G$28/G$44,"n/a")</f>
        <v/>
      </c>
      <c r="H80" s="31">
        <f>IFERROR(H$28/H$44,"n/a")</f>
        <v/>
      </c>
      <c r="I80" s="31">
        <f>IFERROR(I$28/I$44,"n/a")</f>
        <v/>
      </c>
    </row>
    <row r="81">
      <c r="A81" s="30" t="inlineStr">
        <is>
          <t>HTK/TS</t>
        </is>
      </c>
      <c r="B81" s="31">
        <f>IFERROR(B$28/B$31,"n/a")</f>
        <v/>
      </c>
      <c r="C81" s="31">
        <f>IFERROR(C$28/C$31,"n/a")</f>
        <v/>
      </c>
      <c r="D81" s="31">
        <f>IFERROR(D$28/D$31,"n/a")</f>
        <v/>
      </c>
      <c r="E81" s="31">
        <f>IFERROR(E$28/E$31,"n/a")</f>
        <v/>
      </c>
      <c r="F81" s="31">
        <f>IFERROR(F$28/F$31,"n/a")</f>
        <v/>
      </c>
      <c r="G81" s="31">
        <f>IFERROR(G$28/G$31,"n/a")</f>
        <v/>
      </c>
      <c r="H81" s="31">
        <f>IFERROR(H$28/H$31,"n/a")</f>
        <v/>
      </c>
      <c r="I81" s="31">
        <f>IFERROR(I$28/I$31,"n/a")</f>
        <v/>
      </c>
    </row>
    <row r="82">
      <c r="A82" s="30" t="inlineStr">
        <is>
          <t>DT/TS</t>
        </is>
      </c>
      <c r="B82" s="31">
        <f>IFERROR(B$44/B$31,"n/a")</f>
        <v/>
      </c>
      <c r="C82" s="31">
        <f>IFERROR(C$44/C$31,"n/a")</f>
        <v/>
      </c>
      <c r="D82" s="31">
        <f>IFERROR(D$44/D$31,"n/a")</f>
        <v/>
      </c>
      <c r="E82" s="31">
        <f>IFERROR(E$44/E$31,"n/a")</f>
        <v/>
      </c>
      <c r="F82" s="31">
        <f>IFERROR(F$44/F$31,"n/a")</f>
        <v/>
      </c>
      <c r="G82" s="31">
        <f>IFERROR(G$44/G$31,"n/a")</f>
        <v/>
      </c>
      <c r="H82" s="31">
        <f>IFERROR(H$44/H$31,"n/a")</f>
        <v/>
      </c>
      <c r="I82" s="31">
        <f>IFERROR(I$44/I$31,"n/a")</f>
        <v/>
      </c>
    </row>
    <row r="83">
      <c r="A83" s="29" t="inlineStr">
        <is>
          <t>Khả năng thanh toán</t>
        </is>
      </c>
      <c r="B83" s="30" t="n"/>
      <c r="C83" s="30" t="n"/>
      <c r="D83" s="30" t="n"/>
      <c r="E83" s="30" t="n"/>
      <c r="F83" s="30" t="n"/>
      <c r="G83" s="30" t="n"/>
      <c r="H83" s="30" t="n"/>
      <c r="I83" s="30" t="n"/>
    </row>
    <row r="84">
      <c r="A84" s="30" t="inlineStr">
        <is>
          <t>(TS ngắn hạn − HTK)/Nợ ngắn hạn</t>
        </is>
      </c>
      <c r="B84" s="33">
        <f>IFERROR((B$29-B$28)/B$35,"n/a")</f>
        <v/>
      </c>
      <c r="C84" s="33">
        <f>IFERROR((C$29-C$28)/C$35,"n/a")</f>
        <v/>
      </c>
      <c r="D84" s="33">
        <f>IFERROR((D$29-D$28)/D$35,"n/a")</f>
        <v/>
      </c>
      <c r="E84" s="33">
        <f>IFERROR((E$29-E$28)/E$35,"n/a")</f>
        <v/>
      </c>
      <c r="F84" s="33">
        <f>IFERROR((F$29-F$28)/F$35,"n/a")</f>
        <v/>
      </c>
      <c r="G84" s="33">
        <f>IFERROR((G$29-G$28)/G$35,"n/a")</f>
        <v/>
      </c>
      <c r="H84" s="33">
        <f>IFERROR((H$29-H$28)/H$35,"n/a")</f>
        <v/>
      </c>
      <c r="I84" s="33">
        <f>IFERROR((I$29-I$28)/I$35,"n/a")</f>
        <v/>
      </c>
    </row>
    <row r="85">
      <c r="A85" s="30" t="inlineStr">
        <is>
          <t>TS ngắn hạn/Nợ ngắn hạn</t>
        </is>
      </c>
      <c r="B85" s="33">
        <f>IFERROR(B$29/B$35,"n/a")</f>
        <v/>
      </c>
      <c r="C85" s="33">
        <f>IFERROR(C$29/C$35,"n/a")</f>
        <v/>
      </c>
      <c r="D85" s="33">
        <f>IFERROR(D$29/D$35,"n/a")</f>
        <v/>
      </c>
      <c r="E85" s="33">
        <f>IFERROR(E$29/E$35,"n/a")</f>
        <v/>
      </c>
      <c r="F85" s="33">
        <f>IFERROR(F$29/F$35,"n/a")</f>
        <v/>
      </c>
      <c r="G85" s="33">
        <f>IFERROR(G$29/G$35,"n/a")</f>
        <v/>
      </c>
      <c r="H85" s="33">
        <f>IFERROR(H$29/H$35,"n/a")</f>
        <v/>
      </c>
      <c r="I85" s="33">
        <f>IFERROR(I$29/I$35,"n/a")</f>
        <v/>
      </c>
    </row>
    <row r="86">
      <c r="A86" s="29" t="inlineStr">
        <is>
          <t>Tài sản &amp; cơ cấu tài sản</t>
        </is>
      </c>
      <c r="B86" s="30" t="n"/>
      <c r="C86" s="30" t="n"/>
      <c r="D86" s="30" t="n"/>
      <c r="E86" s="30" t="n"/>
      <c r="F86" s="30" t="n"/>
      <c r="G86" s="30" t="n"/>
      <c r="H86" s="30" t="n"/>
      <c r="I86" s="30" t="n"/>
    </row>
    <row r="87">
      <c r="A87" s="30" t="inlineStr">
        <is>
          <t>TSCĐ vô hình</t>
        </is>
      </c>
      <c r="B87" s="32">
        <f>IFERROR(B$30,"n/a")</f>
        <v/>
      </c>
      <c r="C87" s="32">
        <f>IFERROR(C$30,"n/a")</f>
        <v/>
      </c>
      <c r="D87" s="32">
        <f>IFERROR(D$30,"n/a")</f>
        <v/>
      </c>
      <c r="E87" s="32">
        <f>IFERROR(E$30,"n/a")</f>
        <v/>
      </c>
      <c r="F87" s="32">
        <f>IFERROR(F$30,"n/a")</f>
        <v/>
      </c>
      <c r="G87" s="32">
        <f>IFERROR(G$30,"n/a")</f>
        <v/>
      </c>
      <c r="H87" s="32">
        <f>IFERROR(H$30,"n/a")</f>
        <v/>
      </c>
      <c r="I87" s="32">
        <f>IFERROR(I$30,"n/a")</f>
        <v/>
      </c>
    </row>
    <row r="88">
      <c r="A88" s="30" t="inlineStr">
        <is>
          <t>Tài sản vô hình/Giá trị sổ sách</t>
        </is>
      </c>
      <c r="B88" s="31">
        <f>IFERROR(B$30/B$39,"n/a")</f>
        <v/>
      </c>
      <c r="C88" s="31">
        <f>IFERROR(C$30/C$39,"n/a")</f>
        <v/>
      </c>
      <c r="D88" s="31">
        <f>IFERROR(D$30/D$39,"n/a")</f>
        <v/>
      </c>
      <c r="E88" s="31">
        <f>IFERROR(E$30/E$39,"n/a")</f>
        <v/>
      </c>
      <c r="F88" s="31">
        <f>IFERROR(F$30/F$39,"n/a")</f>
        <v/>
      </c>
      <c r="G88" s="31">
        <f>IFERROR(G$30/G$39,"n/a")</f>
        <v/>
      </c>
      <c r="H88" s="31">
        <f>IFERROR(H$30/H$39,"n/a")</f>
        <v/>
      </c>
      <c r="I88" s="31">
        <f>IFERROR(I$30/I$39,"n/a")</f>
        <v/>
      </c>
    </row>
  </sheetData>
  <conditionalFormatting sqref="B6:M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M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M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M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9" customWidth="1" min="11" max="11"/>
    <col width="15.625" customWidth="1" min="14" max="14"/>
    <col width="15.625" customWidth="1" min="15" max="15"/>
    <col width="15.625" customWidth="1" min="18" max="18"/>
    <col width="8.125" customWidth="1" min="19" max="19"/>
    <col width="9" customWidth="1" min="23" max="23"/>
    <col width="9" customWidth="1" min="24" max="24"/>
  </cols>
  <sheetData>
    <row r="1">
      <c r="A1" s="35" t="n"/>
      <c r="B1" s="35" t="inlineStr">
        <is>
          <t>Q4/2025</t>
        </is>
      </c>
      <c r="C1" s="35" t="inlineStr">
        <is>
          <t>Q1/2026</t>
        </is>
      </c>
      <c r="D1" s="35" t="inlineStr">
        <is>
          <t>Q2/2026</t>
        </is>
      </c>
      <c r="E1" s="35" t="inlineStr">
        <is>
          <t>Q3/2026</t>
        </is>
      </c>
      <c r="F1" s="35" t="inlineStr">
        <is>
          <t>Q4/2026</t>
        </is>
      </c>
      <c r="G1" s="35" t="inlineStr">
        <is>
          <t>Q1/2027</t>
        </is>
      </c>
      <c r="H1" s="35" t="inlineStr">
        <is>
          <t>Q2/2027</t>
        </is>
      </c>
      <c r="I1" s="35" t="inlineStr">
        <is>
          <t>Q3/2027</t>
        </is>
      </c>
      <c r="J1" s="35" t="inlineStr">
        <is>
          <t>Q4/2027</t>
        </is>
      </c>
      <c r="K1" s="35" t="inlineStr">
        <is>
          <t>Q1/2028</t>
        </is>
      </c>
      <c r="L1" s="35" t="inlineStr">
        <is>
          <t>Q2/2028</t>
        </is>
      </c>
      <c r="M1" s="35" t="inlineStr">
        <is>
          <t>Q3/2028</t>
        </is>
      </c>
      <c r="N1" s="35" t="inlineStr">
        <is>
          <t>Q4/2028</t>
        </is>
      </c>
      <c r="O1" s="35" t="inlineStr">
        <is>
          <t>Q1/2029</t>
        </is>
      </c>
      <c r="P1" s="35" t="inlineStr">
        <is>
          <t>Q2/2029</t>
        </is>
      </c>
      <c r="Q1" s="35" t="inlineStr">
        <is>
          <t>Q3/2029</t>
        </is>
      </c>
      <c r="R1" s="35" t="inlineStr">
        <is>
          <t>Q4/2029</t>
        </is>
      </c>
    </row>
    <row r="2">
      <c r="A2" s="35" t="inlineStr">
        <is>
          <t>Số CP</t>
        </is>
      </c>
      <c r="B2" s="36" t="n">
        <v>511721959</v>
      </c>
      <c r="C2" s="36" t="n">
        <v>511721959</v>
      </c>
      <c r="D2" s="36" t="n">
        <v>511721959</v>
      </c>
      <c r="E2" s="36" t="n">
        <v>511721959</v>
      </c>
      <c r="F2" s="36" t="n">
        <v>511721959</v>
      </c>
      <c r="G2" s="37" t="n">
        <v>1050000000</v>
      </c>
      <c r="H2" s="37" t="n">
        <v>1050000000</v>
      </c>
      <c r="I2" s="37" t="n">
        <v>1050000000</v>
      </c>
      <c r="J2" s="37" t="n">
        <v>1050000000</v>
      </c>
      <c r="K2" s="37" t="n">
        <v>1050000000</v>
      </c>
      <c r="L2" s="37" t="n">
        <v>1050000000</v>
      </c>
      <c r="M2" s="37" t="n">
        <v>1050000000</v>
      </c>
      <c r="N2" s="37" t="n">
        <v>1050000000</v>
      </c>
      <c r="O2" s="37" t="n">
        <v>1050000000</v>
      </c>
      <c r="P2" s="37" t="n">
        <v>1050000000</v>
      </c>
      <c r="Q2" s="37" t="n">
        <v>1050000000</v>
      </c>
      <c r="R2" s="37" t="n">
        <v>1050000000</v>
      </c>
    </row>
    <row r="3">
      <c r="A3" s="35" t="inlineStr">
        <is>
          <t>Thị giá</t>
        </is>
      </c>
      <c r="B3" s="36" t="n">
        <v>17450</v>
      </c>
      <c r="C3" s="36" t="n">
        <v>17450</v>
      </c>
      <c r="D3" s="36" t="n">
        <v>17450</v>
      </c>
      <c r="E3" s="36" t="n">
        <v>17450</v>
      </c>
      <c r="F3" s="36" t="n">
        <v>17450</v>
      </c>
      <c r="G3" s="36" t="n">
        <v>17450</v>
      </c>
      <c r="H3" s="36" t="n">
        <v>17450</v>
      </c>
      <c r="I3" s="36" t="n">
        <v>17450</v>
      </c>
      <c r="J3" s="36" t="n">
        <v>17450</v>
      </c>
      <c r="K3" s="36" t="n">
        <v>17450</v>
      </c>
      <c r="L3" s="36" t="n">
        <v>17450</v>
      </c>
      <c r="M3" s="36" t="n">
        <v>17450</v>
      </c>
      <c r="N3" s="36" t="n">
        <v>17450</v>
      </c>
      <c r="O3" s="36" t="n">
        <v>17450</v>
      </c>
      <c r="P3" s="36" t="n">
        <v>17450</v>
      </c>
      <c r="Q3" s="36" t="n">
        <v>17450</v>
      </c>
      <c r="R3" s="36" t="n">
        <v>17450</v>
      </c>
    </row>
    <row r="4">
      <c r="A4" s="35" t="inlineStr">
        <is>
          <t>Vốn hoá</t>
        </is>
      </c>
      <c r="B4" s="36">
        <f>B2*B3</f>
        <v/>
      </c>
      <c r="C4" s="36">
        <f>C2*C3</f>
        <v/>
      </c>
      <c r="D4" s="36">
        <f>D2*D3</f>
        <v/>
      </c>
      <c r="E4" s="36">
        <f>E2*E3</f>
        <v/>
      </c>
      <c r="F4" s="36">
        <f>F2*F3</f>
        <v/>
      </c>
      <c r="G4" s="36">
        <f>G2*G3</f>
        <v/>
      </c>
      <c r="H4" s="36">
        <f>H2*H3</f>
        <v/>
      </c>
      <c r="I4" s="36">
        <f>I2*I3</f>
        <v/>
      </c>
      <c r="J4" s="36">
        <f>J2*J3</f>
        <v/>
      </c>
      <c r="K4" s="36">
        <f>K2*K3</f>
        <v/>
      </c>
      <c r="L4" s="36">
        <f>L2*L3</f>
        <v/>
      </c>
      <c r="M4" s="36">
        <f>M2*M3</f>
        <v/>
      </c>
      <c r="N4" s="36">
        <f>N2*N3</f>
        <v/>
      </c>
      <c r="O4" s="36">
        <f>O2*O3</f>
        <v/>
      </c>
      <c r="P4" s="36">
        <f>P2*P3</f>
        <v/>
      </c>
      <c r="Q4" s="36">
        <f>Q2*Q3</f>
        <v/>
      </c>
      <c r="R4" s="36">
        <f>R2*R3</f>
        <v/>
      </c>
    </row>
    <row r="5">
      <c r="G5" s="36" t="n"/>
      <c r="H5" s="36" t="n"/>
      <c r="I5" s="36" t="n"/>
      <c r="J5" s="36" t="n"/>
      <c r="K5" s="37" t="n"/>
      <c r="L5" s="37" t="n"/>
      <c r="M5" s="37" t="n"/>
      <c r="N5" s="38" t="n"/>
      <c r="O5" s="38" t="n"/>
      <c r="P5" s="38" t="n"/>
      <c r="Q5" s="38" t="n"/>
    </row>
    <row r="6">
      <c r="A6" s="35" t="inlineStr">
        <is>
          <t>VCSH</t>
        </is>
      </c>
      <c r="B6" s="35" t="n"/>
      <c r="C6" s="39" t="n">
        <v>14401000000000</v>
      </c>
      <c r="D6" s="39" t="n">
        <v>13913000000000</v>
      </c>
      <c r="E6" s="39">
        <f>$D$6*(($F$6/$D$6)^(1/2))</f>
        <v/>
      </c>
      <c r="F6" s="36">
        <f>chi_so_tai_chinh!J39</f>
        <v/>
      </c>
      <c r="G6" s="39">
        <f>$F$6*((J6/$F$6)^(1/4))</f>
        <v/>
      </c>
      <c r="H6" s="39">
        <f>$F$6*((J6/$F$6)^(2/4))</f>
        <v/>
      </c>
      <c r="I6" s="39">
        <f>$F$6*((J6/$F$6)^(3/4))</f>
        <v/>
      </c>
      <c r="J6" s="36">
        <f>chi_so_tai_chinh!K39</f>
        <v/>
      </c>
      <c r="K6" s="39">
        <f>$J$6*(($N$6/$J$6)^(1/4))</f>
        <v/>
      </c>
      <c r="L6" s="39">
        <f>$J$6*(($N$6/$J$6)^(2/4))</f>
        <v/>
      </c>
      <c r="M6" s="39">
        <f>$J$6*(($N$6/$J$6)^(3/4))</f>
        <v/>
      </c>
      <c r="N6" s="36">
        <f>chi_so_tai_chinh!L39</f>
        <v/>
      </c>
      <c r="O6" s="39">
        <f>$N$6*(($R$6/$N$6)^(1/4))</f>
        <v/>
      </c>
      <c r="P6" s="39">
        <f>$N$6*(($R$6/$N$6)^(2/4))</f>
        <v/>
      </c>
      <c r="Q6" s="39">
        <f>$N$6*(($R$6/$N$6)^(3/4))</f>
        <v/>
      </c>
      <c r="R6" s="36">
        <f>chi_so_tai_chinh!M39</f>
        <v/>
      </c>
    </row>
    <row r="7">
      <c r="A7" s="35" t="inlineStr">
        <is>
          <t>LICĐKKS</t>
        </is>
      </c>
      <c r="B7" s="35">
        <f>chi_so_tai_chinh!I41</f>
        <v/>
      </c>
      <c r="C7" s="39" t="n">
        <v>0</v>
      </c>
      <c r="D7" s="39" t="n">
        <v>0</v>
      </c>
      <c r="E7" s="39" t="n">
        <v>0</v>
      </c>
      <c r="F7" s="39" t="n">
        <v>0</v>
      </c>
      <c r="G7" s="39" t="n">
        <v>0</v>
      </c>
      <c r="H7" s="39" t="n">
        <v>0</v>
      </c>
      <c r="I7" s="39" t="n">
        <v>0</v>
      </c>
      <c r="J7" s="39" t="n">
        <v>0</v>
      </c>
      <c r="K7" s="39" t="n">
        <v>0</v>
      </c>
      <c r="L7" s="39" t="n">
        <v>0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0</v>
      </c>
      <c r="R7" s="39" t="n">
        <v>0</v>
      </c>
    </row>
    <row r="8">
      <c r="A8" s="35" t="inlineStr">
        <is>
          <t>BV</t>
        </is>
      </c>
      <c r="B8" s="35" t="n"/>
      <c r="C8" s="39">
        <f>C6-C7</f>
        <v/>
      </c>
      <c r="D8" s="39">
        <f>D6-D7</f>
        <v/>
      </c>
      <c r="E8" s="39">
        <f>E6-E7</f>
        <v/>
      </c>
      <c r="F8" s="39">
        <f>F6-F7</f>
        <v/>
      </c>
      <c r="G8" s="39">
        <f>G6-G7</f>
        <v/>
      </c>
      <c r="H8" s="39">
        <f>H6-H7</f>
        <v/>
      </c>
      <c r="I8" s="39">
        <f>I6-I7</f>
        <v/>
      </c>
      <c r="J8" s="39">
        <f>J6-J7</f>
        <v/>
      </c>
      <c r="K8" s="39">
        <f>K6-K7</f>
        <v/>
      </c>
      <c r="L8" s="39">
        <f>L6-L7</f>
        <v/>
      </c>
      <c r="M8" s="39">
        <f>M6-M7</f>
        <v/>
      </c>
      <c r="N8" s="39">
        <f>N6-N7</f>
        <v/>
      </c>
      <c r="O8" s="39">
        <f>O6-O7</f>
        <v/>
      </c>
      <c r="P8" s="39">
        <f>P6-P7</f>
        <v/>
      </c>
      <c r="Q8" s="39">
        <f>Q6-Q7</f>
        <v/>
      </c>
      <c r="R8" s="39">
        <f>R6-R7</f>
        <v/>
      </c>
    </row>
    <row r="9">
      <c r="A9" s="40" t="inlineStr">
        <is>
          <t>BVPS</t>
        </is>
      </c>
      <c r="B9" s="40" t="n"/>
      <c r="C9" s="41">
        <f>C8/C2</f>
        <v/>
      </c>
      <c r="D9" s="41">
        <f>D8/D2</f>
        <v/>
      </c>
      <c r="E9" s="41">
        <f>E8/E2</f>
        <v/>
      </c>
      <c r="F9" s="41">
        <f>F8/F2</f>
        <v/>
      </c>
      <c r="G9" s="41">
        <f>G8/G2</f>
        <v/>
      </c>
      <c r="H9" s="41">
        <f>H8/H2</f>
        <v/>
      </c>
      <c r="I9" s="41">
        <f>I8/I2</f>
        <v/>
      </c>
      <c r="J9" s="41">
        <f>J8/J2</f>
        <v/>
      </c>
      <c r="K9" s="41">
        <f>K8/K2</f>
        <v/>
      </c>
      <c r="L9" s="41">
        <f>L8/L2</f>
        <v/>
      </c>
      <c r="M9" s="41">
        <f>M8/M2</f>
        <v/>
      </c>
      <c r="N9" s="41">
        <f>N8/N2</f>
        <v/>
      </c>
      <c r="O9" s="41">
        <f>O8/O2</f>
        <v/>
      </c>
      <c r="P9" s="41">
        <f>P8/P2</f>
        <v/>
      </c>
      <c r="Q9" s="41">
        <f>Q8/Q2</f>
        <v/>
      </c>
      <c r="R9" s="41">
        <f>R8/R2</f>
        <v/>
      </c>
      <c r="S9" s="42" t="n"/>
      <c r="T9" s="42" t="n"/>
      <c r="U9" s="42" t="n"/>
      <c r="V9" s="42" t="n"/>
    </row>
    <row r="10">
      <c r="A10" s="40" t="inlineStr">
        <is>
          <t>PB</t>
        </is>
      </c>
      <c r="B10" s="40" t="n"/>
      <c r="C10" s="43">
        <f>C3/C9</f>
        <v/>
      </c>
      <c r="D10" s="43">
        <f>D3/D9</f>
        <v/>
      </c>
      <c r="E10" s="43">
        <f>E3/E9</f>
        <v/>
      </c>
      <c r="F10" s="43">
        <f>F3/F9</f>
        <v/>
      </c>
      <c r="G10" s="43">
        <f>G3/G9</f>
        <v/>
      </c>
      <c r="H10" s="43">
        <f>H3/H9</f>
        <v/>
      </c>
      <c r="I10" s="43">
        <f>I3/I9</f>
        <v/>
      </c>
      <c r="J10" s="43">
        <f>J3/J9</f>
        <v/>
      </c>
      <c r="K10" s="43">
        <f>K3/K9</f>
        <v/>
      </c>
      <c r="L10" s="43">
        <f>L3/L9</f>
        <v/>
      </c>
      <c r="M10" s="43">
        <f>M3/M9</f>
        <v/>
      </c>
      <c r="N10" s="43">
        <f>N3/N9</f>
        <v/>
      </c>
      <c r="O10" s="43">
        <f>O3/O9</f>
        <v/>
      </c>
      <c r="P10" s="43">
        <f>P3/P9</f>
        <v/>
      </c>
      <c r="Q10" s="43">
        <f>Q3/Q9</f>
        <v/>
      </c>
      <c r="R10" s="43">
        <f>R3/R9</f>
        <v/>
      </c>
      <c r="S10" s="42" t="n"/>
      <c r="T10" s="42" t="n"/>
      <c r="U10" s="42" t="n"/>
      <c r="V10" s="42" t="n"/>
    </row>
    <row r="11">
      <c r="C11" s="44" t="n"/>
      <c r="D11" s="44" t="n"/>
      <c r="E11" s="44" t="n"/>
      <c r="F11" s="44" t="n"/>
      <c r="I11" s="42" t="n"/>
      <c r="J11" s="42" t="n"/>
      <c r="K11" s="42" t="n"/>
      <c r="L11" s="42" t="n"/>
      <c r="M11" s="42" t="n"/>
    </row>
    <row r="12">
      <c r="A12" s="35" t="inlineStr">
        <is>
          <t>Trailing Earning</t>
        </is>
      </c>
      <c r="B12" s="39" t="n">
        <v>2828000000000</v>
      </c>
      <c r="C12" s="39">
        <f>$B$12*(($F$12/$B$12)^(1/4))</f>
        <v/>
      </c>
      <c r="D12" s="39">
        <f>$B$12*(($F$12/$B$12)^(2/4))</f>
        <v/>
      </c>
      <c r="E12" s="39">
        <f>$B$12*(($F$12/$B$12)^(3/4))</f>
        <v/>
      </c>
      <c r="F12" s="39" t="n">
        <v>800000000000</v>
      </c>
      <c r="G12" s="39">
        <f>$F$12*(($J$12/$F$12)^(1/4))</f>
        <v/>
      </c>
      <c r="H12" s="39">
        <f>$F$12*(($J$12/$F$12)^(2/4))</f>
        <v/>
      </c>
      <c r="I12" s="39">
        <f>$F$12*(($J$12/$F$12)^(3/4))</f>
        <v/>
      </c>
      <c r="J12" s="39">
        <f>chi_so_tai_chinh!K54</f>
        <v/>
      </c>
      <c r="K12" s="39">
        <f>$J$12*(($N$12/$J$12)^(1/4))</f>
        <v/>
      </c>
      <c r="L12" s="39">
        <f>$J$12*(($N$12/$J$12)^(2/4))</f>
        <v/>
      </c>
      <c r="M12" s="39">
        <f>$J$12*(($N$12/$J$12)^(3/4))</f>
        <v/>
      </c>
      <c r="N12" s="39">
        <f>chi_so_tai_chinh!L54</f>
        <v/>
      </c>
      <c r="O12" s="39">
        <f>$N$12*(($R$12/$N$12)^(1/4))</f>
        <v/>
      </c>
      <c r="P12" s="39">
        <f>$N$12*(($R$12/$N$12)^(2/4))</f>
        <v/>
      </c>
      <c r="Q12" s="39">
        <f>$N$12*(($R$12/$N$12)^(3/4))</f>
        <v/>
      </c>
      <c r="R12" s="39">
        <f>chi_so_tai_chinh!M54</f>
        <v/>
      </c>
    </row>
    <row r="13">
      <c r="A13" s="40" t="inlineStr">
        <is>
          <t>EPS</t>
        </is>
      </c>
      <c r="B13" s="41">
        <f>B12/B2</f>
        <v/>
      </c>
      <c r="C13" s="41">
        <f>C12/C2</f>
        <v/>
      </c>
      <c r="D13" s="41">
        <f>D12/D2</f>
        <v/>
      </c>
      <c r="E13" s="41">
        <f>E12/E2</f>
        <v/>
      </c>
      <c r="F13" s="41">
        <f>F12/F2</f>
        <v/>
      </c>
      <c r="G13" s="41">
        <f>G12/G2</f>
        <v/>
      </c>
      <c r="H13" s="41">
        <f>H12/H2</f>
        <v/>
      </c>
      <c r="I13" s="41">
        <f>I12/I2</f>
        <v/>
      </c>
      <c r="J13" s="41">
        <f>J12/J2</f>
        <v/>
      </c>
      <c r="K13" s="41">
        <f>K12/K2</f>
        <v/>
      </c>
      <c r="L13" s="41">
        <f>L12/L2</f>
        <v/>
      </c>
      <c r="M13" s="41">
        <f>M12/M2</f>
        <v/>
      </c>
      <c r="N13" s="41">
        <f>N12/N2</f>
        <v/>
      </c>
      <c r="O13" s="41">
        <f>O12/O2</f>
        <v/>
      </c>
      <c r="P13" s="41">
        <f>P12/P2</f>
        <v/>
      </c>
      <c r="Q13" s="41">
        <f>Q12/Q2</f>
        <v/>
      </c>
      <c r="R13" s="41">
        <f>R12/R2</f>
        <v/>
      </c>
    </row>
    <row r="14">
      <c r="A14" s="40" t="inlineStr">
        <is>
          <t>PE</t>
        </is>
      </c>
      <c r="B14" s="43">
        <f>B3/B13</f>
        <v/>
      </c>
      <c r="C14" s="43">
        <f>C3/C13</f>
        <v/>
      </c>
      <c r="D14" s="43">
        <f>D3/D13</f>
        <v/>
      </c>
      <c r="E14" s="43">
        <f>E3/E13</f>
        <v/>
      </c>
      <c r="F14" s="43">
        <f>F3/F13</f>
        <v/>
      </c>
      <c r="G14" s="43">
        <f>G3/G13</f>
        <v/>
      </c>
      <c r="H14" s="43">
        <f>H3/H13</f>
        <v/>
      </c>
      <c r="I14" s="43">
        <f>I3/I13</f>
        <v/>
      </c>
      <c r="J14" s="43">
        <f>J3/J13</f>
        <v/>
      </c>
      <c r="K14" s="43">
        <f>K3/K13</f>
        <v/>
      </c>
      <c r="L14" s="43">
        <f>L3/L13</f>
        <v/>
      </c>
      <c r="M14" s="43">
        <f>M3/M13</f>
        <v/>
      </c>
      <c r="N14" s="43">
        <f>N3/N13</f>
        <v/>
      </c>
      <c r="O14" s="43">
        <f>O3/O13</f>
        <v/>
      </c>
      <c r="P14" s="43">
        <f>P3/P13</f>
        <v/>
      </c>
      <c r="Q14" s="43">
        <f>Q3/Q13</f>
        <v/>
      </c>
      <c r="R14" s="43">
        <f>R3/R13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.375" customWidth="1" min="1" max="1"/>
    <col width="17.125" customWidth="1" min="2" max="2"/>
  </cols>
  <sheetData>
    <row r="1" ht="15" customHeight="1">
      <c r="A1" s="45" t="n"/>
      <c r="B1" s="45" t="n">
        <v>2022</v>
      </c>
      <c r="C1" s="45" t="n">
        <v>2023</v>
      </c>
      <c r="D1" s="45" t="n">
        <v>2024</v>
      </c>
      <c r="E1" s="45" t="n">
        <v>2025</v>
      </c>
    </row>
    <row r="2" ht="15.75" customHeight="1">
      <c r="A2" s="45" t="inlineStr">
        <is>
          <t>Doanh thu kế hoạch</t>
        </is>
      </c>
      <c r="B2" s="46" t="n">
        <v>25834930000000</v>
      </c>
      <c r="C2" s="46" t="n">
        <v>35597952000000</v>
      </c>
      <c r="D2" s="46" t="n">
        <v>37147627000000</v>
      </c>
      <c r="E2" s="46" t="n">
        <v>31606954000000</v>
      </c>
    </row>
    <row r="3" ht="15.75" customHeight="1">
      <c r="A3" s="45" t="inlineStr">
        <is>
          <t>DT thực hiện</t>
        </is>
      </c>
      <c r="B3" s="46">
        <f>chi_so_tai_chinh!F44</f>
        <v/>
      </c>
      <c r="C3" s="46">
        <f>chi_so_tai_chinh!G44</f>
        <v/>
      </c>
      <c r="D3" s="46">
        <f>chi_so_tai_chinh!H44</f>
        <v/>
      </c>
      <c r="E3" s="46">
        <f>chi_so_tai_chinh!I44</f>
        <v/>
      </c>
    </row>
    <row r="4" ht="15.75" customHeight="1">
      <c r="A4" s="47" t="inlineStr">
        <is>
          <t>%thực hiện</t>
        </is>
      </c>
      <c r="B4" s="48">
        <f>B3/B2</f>
        <v/>
      </c>
      <c r="C4" s="48">
        <f>C3/C2</f>
        <v/>
      </c>
      <c r="D4" s="48">
        <f>D3/D2</f>
        <v/>
      </c>
      <c r="E4" s="48">
        <f>E3/E2</f>
        <v/>
      </c>
    </row>
    <row r="5" ht="15.75" customHeight="1">
      <c r="A5" s="45" t="inlineStr">
        <is>
          <t>Lợi nhuận trước thuế kế hoạch</t>
        </is>
      </c>
      <c r="B5" s="46" t="n">
        <v>1640396000000</v>
      </c>
      <c r="C5" s="46" t="n">
        <v>2473882000000</v>
      </c>
      <c r="D5" s="46" t="n">
        <v>2637880000000</v>
      </c>
      <c r="E5" s="46" t="n">
        <v>2474805000000</v>
      </c>
    </row>
    <row r="6" ht="15.75" customHeight="1">
      <c r="A6" s="45" t="inlineStr">
        <is>
          <t>LN trước thuế KH</t>
        </is>
      </c>
      <c r="B6" s="46">
        <f>chi_so_tai_chinh!F51</f>
        <v/>
      </c>
      <c r="C6" s="46">
        <f>chi_so_tai_chinh!G51</f>
        <v/>
      </c>
      <c r="D6" s="46">
        <f>chi_so_tai_chinh!H51</f>
        <v/>
      </c>
      <c r="E6" s="46">
        <f>chi_so_tai_chinh!I51</f>
        <v/>
      </c>
    </row>
    <row r="7" ht="15.75" customHeight="1">
      <c r="A7" s="47" t="inlineStr">
        <is>
          <t>%thực hiện</t>
        </is>
      </c>
      <c r="B7" s="48">
        <f>B6/B5</f>
        <v/>
      </c>
      <c r="C7" s="48">
        <f>C6/C5</f>
        <v/>
      </c>
      <c r="D7" s="48">
        <f>D6/D5</f>
        <v/>
      </c>
      <c r="E7" s="48">
        <f>E6/E5</f>
        <v/>
      </c>
    </row>
    <row r="8" ht="15.75" customHeight="1">
      <c r="A8" s="45" t="inlineStr">
        <is>
          <t>Lợi nhuận sau thuế kế hoạch</t>
        </is>
      </c>
      <c r="B8" s="46" t="n">
        <v>1319573000000</v>
      </c>
      <c r="C8" s="46" t="n">
        <v>1937198000000</v>
      </c>
      <c r="D8" s="46" t="n">
        <v>2089201000000</v>
      </c>
      <c r="E8" s="46" t="n">
        <v>1959650000000</v>
      </c>
    </row>
    <row r="9" ht="15.75" customHeight="1">
      <c r="A9" s="45" t="inlineStr">
        <is>
          <t>LNST thực hiện</t>
        </is>
      </c>
      <c r="B9" s="46">
        <f>chi_so_tai_chinh!F52</f>
        <v/>
      </c>
      <c r="C9" s="46">
        <f>chi_so_tai_chinh!G52</f>
        <v/>
      </c>
      <c r="D9" s="46">
        <f>chi_so_tai_chinh!H52</f>
        <v/>
      </c>
      <c r="E9" s="46">
        <f>chi_so_tai_chinh!I52</f>
        <v/>
      </c>
    </row>
    <row r="10" ht="15.75" customHeight="1">
      <c r="A10" s="47" t="inlineStr">
        <is>
          <t>%thực hiện</t>
        </is>
      </c>
      <c r="B10" s="48">
        <f>B9/B8</f>
        <v/>
      </c>
      <c r="C10" s="48">
        <f>C9/C8</f>
        <v/>
      </c>
      <c r="D10" s="48">
        <f>D9/D8</f>
        <v/>
      </c>
      <c r="E10" s="48">
        <f>E9/E8</f>
        <v/>
      </c>
    </row>
    <row r="11" ht="15" customHeight="1">
      <c r="A11" s="45" t="n"/>
      <c r="B11" s="45" t="n"/>
      <c r="C11" s="45" t="n"/>
      <c r="D11" s="45" t="n"/>
      <c r="E11" s="45" t="n"/>
    </row>
    <row r="12" ht="15" customHeight="1">
      <c r="A12" s="45" t="n"/>
      <c r="B12" s="45" t="n"/>
      <c r="C12" s="45" t="n"/>
      <c r="D12" s="45" t="n"/>
      <c r="E12" s="45" t="n"/>
    </row>
    <row r="13" ht="15.75" customHeight="1">
      <c r="A13" s="47" t="inlineStr">
        <is>
          <t>Trung vị %thực hiện DT</t>
        </is>
      </c>
      <c r="B13" s="48">
        <f>MEDIAN(B4:D4)</f>
        <v/>
      </c>
      <c r="C13" s="45" t="n"/>
      <c r="D13" s="45" t="n"/>
      <c r="E13" s="45" t="n"/>
    </row>
    <row r="14" ht="15.75" customHeight="1">
      <c r="A14" s="47" t="inlineStr">
        <is>
          <t>Trung vị %thực hiện LNTT</t>
        </is>
      </c>
      <c r="B14" s="48">
        <f>MEDIAN(B7:D7)</f>
        <v/>
      </c>
      <c r="C14" s="45" t="n"/>
      <c r="D14" s="45" t="n"/>
      <c r="E14" s="45" t="n"/>
    </row>
    <row r="15" ht="15.75" customHeight="1">
      <c r="A15" s="47" t="inlineStr">
        <is>
          <t>Trung vị %thực hiện LNST</t>
        </is>
      </c>
      <c r="B15" s="48">
        <f>MEDIAN(B10:D10)</f>
        <v/>
      </c>
      <c r="C15" s="45" t="n"/>
      <c r="D15" s="45" t="n"/>
      <c r="E15" s="45" t="n"/>
    </row>
    <row r="16" ht="15" customHeight="1">
      <c r="A16" s="45" t="n"/>
      <c r="B16" s="45" t="n"/>
      <c r="C16" s="45" t="n"/>
      <c r="D16" s="45" t="n"/>
      <c r="E16" s="45" t="n"/>
    </row>
    <row r="17" ht="15" customHeight="1">
      <c r="A17" s="45" t="inlineStr">
        <is>
          <t>Tỷ lệ hoàn thành DT trên 95%</t>
        </is>
      </c>
      <c r="B17" s="49">
        <f>COUNTIF(B4:F4,"&gt;=95%")/COUNT(B4:F4)</f>
        <v/>
      </c>
      <c r="C17" s="45" t="n"/>
      <c r="D17" s="45" t="n"/>
      <c r="E17" s="45" t="n"/>
    </row>
    <row r="18" ht="15" customHeight="1">
      <c r="A18" s="45" t="inlineStr">
        <is>
          <t>Tỷ lệ hoàn thành LNST trên 95%</t>
        </is>
      </c>
      <c r="B18" s="49">
        <f>COUNTIF(B7:F7,"&gt;=95%")/COUNT(B7:F7)</f>
        <v/>
      </c>
      <c r="C18" s="45" t="n"/>
      <c r="D18" s="45" t="n"/>
      <c r="E18" s="45" t="n"/>
    </row>
    <row r="19" ht="15" customHeight="1">
      <c r="A19" s="45" t="inlineStr">
        <is>
          <t>Tỷ lệ hoàn thành LNTT trên 95%</t>
        </is>
      </c>
      <c r="B19" s="49">
        <f>COUNTIF(B10:F10,"&gt;=95%")/COUNT(B10:F10)</f>
        <v/>
      </c>
      <c r="C19" s="45" t="n"/>
      <c r="D19" s="45" t="n"/>
      <c r="E19" s="45" t="n"/>
    </row>
  </sheetData>
  <conditionalFormatting sqref="B13:B15">
    <cfRule type="cellIs" priority="1" operator="greaterThanOrEqual" dxfId="3">
      <formula>1</formula>
    </cfRule>
  </conditionalFormatting>
  <conditionalFormatting sqref="B4:E4">
    <cfRule type="cellIs" priority="4" operator="greaterThanOrEqual" dxfId="3">
      <formula>1</formula>
    </cfRule>
  </conditionalFormatting>
  <conditionalFormatting sqref="B7:E7">
    <cfRule type="cellIs" priority="3" operator="greaterThanOrEqual" dxfId="3">
      <formula>1</formula>
    </cfRule>
  </conditionalFormatting>
  <conditionalFormatting sqref="B10:E10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2026-10-29T03:12:43Z</dcterms:created>
  <dcterms:modified xsi:type="dcterms:W3CDTF">2026-10-29T03:12:43Z</dcterms:modified>
</cp:coreProperties>
</file>
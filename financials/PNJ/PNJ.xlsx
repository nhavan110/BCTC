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.000_);_(* \(#,##0.000\);_(* &quot;-&quot;_);_(@_)"/>
    <numFmt numFmtId="169" formatCode="_(* #,##0.00_);_(* \(#,##0.00\);_(* &quot;-&quot;_);_(@_)"/>
  </numFmts>
  <fonts count="18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family val="2"/>
      <b val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9" fillId="0" borderId="3" pivotButton="0" quotePrefix="0" xfId="0"/>
    <xf numFmtId="0" fontId="7" fillId="0" borderId="3" pivotButton="0" quotePrefix="0" xfId="0"/>
    <xf numFmtId="166" fontId="10" fillId="0" borderId="3" pivotButton="0" quotePrefix="0" xfId="0"/>
    <xf numFmtId="166" fontId="11" fillId="0" borderId="3" pivotButton="0" quotePrefix="0" xfId="0"/>
    <xf numFmtId="0" fontId="12" fillId="0" borderId="3" pivotButton="0" quotePrefix="0" xfId="0"/>
    <xf numFmtId="166" fontId="12" fillId="0" borderId="3" pivotButton="0" quotePrefix="0" xfId="0"/>
    <xf numFmtId="9" fontId="12" fillId="0" borderId="3" pivotButton="0" quotePrefix="0" xfId="0"/>
    <xf numFmtId="166" fontId="10" fillId="0" borderId="0" pivotButton="0" quotePrefix="0" xfId="0"/>
    <xf numFmtId="0" fontId="9" fillId="0" borderId="4" pivotButton="0" quotePrefix="0" xfId="0"/>
    <xf numFmtId="0" fontId="13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0" fontId="14" fillId="0" borderId="3" pivotButton="0" quotePrefix="0" xfId="0"/>
    <xf numFmtId="3" fontId="14" fillId="0" borderId="3" pivotButton="0" quotePrefix="0" xfId="0"/>
    <xf numFmtId="168" fontId="14" fillId="0" borderId="0" pivotButton="0" quotePrefix="0" xfId="0"/>
    <xf numFmtId="41" fontId="14" fillId="0" borderId="3" pivotButton="0" quotePrefix="0" xfId="0"/>
    <xf numFmtId="0" fontId="15" fillId="0" borderId="3" pivotButton="0" quotePrefix="0" xfId="0"/>
    <xf numFmtId="41" fontId="15" fillId="0" borderId="3" pivotButton="0" quotePrefix="0" xfId="0"/>
    <xf numFmtId="0" fontId="15" fillId="0" borderId="0" pivotButton="0" quotePrefix="0" xfId="0"/>
    <xf numFmtId="169" fontId="15" fillId="0" borderId="3" pivotButton="0" quotePrefix="0" xfId="0"/>
    <xf numFmtId="41" fontId="14" fillId="0" borderId="0" pivotButton="0" quotePrefix="0" xfId="0"/>
    <xf numFmtId="0" fontId="16" fillId="0" borderId="0" pivotButton="0" quotePrefix="0" xfId="0"/>
    <xf numFmtId="3" fontId="17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9" fontId="16" fillId="0" borderId="0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8.25" customWidth="1" min="2" max="2"/>
    <col width="20.5" customWidth="1" min="9" max="9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  <c r="K1" s="6" t="n">
        <v>2027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  <c r="J2" s="8">
        <f>IFERROR(J$52/((J$39+I$39)/2),"n/a")</f>
        <v/>
      </c>
      <c r="K2" s="8">
        <f>IFERROR(K$52/((K$39+J$39)/2),"n/a")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  <c r="K4" s="8">
        <f>IFERROR((K$52-J$52)/ABS(J$52),"n/a")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  <c r="K5" s="8">
        <f>IFERROR((K$43-J$43)/ABS(J$43),"n/a")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  <c r="K7" s="8">
        <f>IFERROR(K$52/K$43,"n/a")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7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>
        <f>I39+0.65*J52</f>
        <v/>
      </c>
      <c r="K39" s="20">
        <f>J39+0.65*K52</f>
        <v/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  <c r="K40" s="24" t="n"/>
    </row>
    <row r="41">
      <c r="A41" s="18" t="inlineStr">
        <is>
          <t>Lợi ích của cổ đông thiểu số</t>
        </is>
      </c>
      <c r="B41" s="19">
        <f>IFERROR(INDEX(balance_sheet!$B:$I,MATCH("Lợi ích của cổ đông thiểu số",balance_sheet!$A:$A,0),MATCH(B$23,balance_sheet!$B$1:$I$1,0)),"")</f>
        <v/>
      </c>
      <c r="C41" s="19">
        <f>IFERROR(INDEX(balance_sheet!$B:$I,MATCH("Lợi ích của cổ đông thiểu số",balance_sheet!$A:$A,0),MATCH(C$23,balance_sheet!$B$1:$I$1,0)),"")</f>
        <v/>
      </c>
      <c r="D41" s="19">
        <f>IFERROR(INDEX(balance_sheet!$B:$I,MATCH("Lợi ích của cổ đông thiểu số",balance_sheet!$A:$A,0),MATCH(D$23,balance_sheet!$B$1:$I$1,0)),"")</f>
        <v/>
      </c>
      <c r="E41" s="19">
        <f>IFERROR(INDEX(balance_sheet!$B:$I,MATCH("Lợi ích của cổ đông thiểu số",balance_sheet!$A:$A,0),MATCH(E$23,balance_sheet!$B$1:$I$1,0)),"")</f>
        <v/>
      </c>
      <c r="F41" s="19">
        <f>IFERROR(INDEX(balance_sheet!$B:$I,MATCH("Lợi ích của cổ đông thiểu số",balance_sheet!$A:$A,0),MATCH(F$23,balance_sheet!$B$1:$I$1,0)),"")</f>
        <v/>
      </c>
      <c r="G41" s="19">
        <f>IFERROR(INDEX(balance_sheet!$B:$I,MATCH("Lợi ích của cổ đông thiểu số",balance_sheet!$A:$A,0),MATCH(G$23,balance_sheet!$B$1:$I$1,0)),"")</f>
        <v/>
      </c>
      <c r="H41" s="19">
        <f>IFERROR(INDEX(balance_sheet!$B:$I,MATCH("Lợi ích của cổ đông thiểu số",balance_sheet!$A:$A,0),MATCH(H$23,balance_sheet!$B$1:$I$1,0)),"")</f>
        <v/>
      </c>
      <c r="I41" s="19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25" t="inlineStr">
        <is>
          <t>Kết quả hoạt động kinh doanh</t>
        </is>
      </c>
    </row>
    <row r="43" ht="15" customHeight="1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35676000000000</v>
      </c>
      <c r="K43" s="20" t="n">
        <v>35676000000000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 ht="15" customHeight="1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  <c r="J45" s="20" t="n">
        <v>9486000000000</v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18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</row>
    <row r="51" ht="15" customHeight="1">
      <c r="A51" s="15" t="inlineStr">
        <is>
          <t>Lãi/(lỗ) thuần sau thuế</t>
        </is>
      </c>
      <c r="B51" s="20">
        <f>IFERROR(INDEX(income_statement!$B:$I,MATCH("Lãi/(lỗ) thuần sau thuế",income_statement!$A:$A,0),MATCH(B$23,income_statement!$B$1:$I$1,0)),"")</f>
        <v/>
      </c>
      <c r="C51" s="20">
        <f>IFERROR(INDEX(income_statement!$B:$I,MATCH("Lãi/(lỗ) thuần sau thuế",income_statement!$A:$A,0),MATCH(C$23,income_statement!$B$1:$I$1,0)),"")</f>
        <v/>
      </c>
      <c r="D51" s="20">
        <f>IFERROR(INDEX(income_statement!$B:$I,MATCH("Lãi/(lỗ) thuần sau thuế",income_statement!$A:$A,0),MATCH(D$23,income_statement!$B$1:$I$1,0)),"")</f>
        <v/>
      </c>
      <c r="E51" s="20">
        <f>IFERROR(INDEX(income_statement!$B:$I,MATCH("Lãi/(lỗ) thuần sau thuế",income_statement!$A:$A,0),MATCH(E$23,income_statement!$B$1:$I$1,0)),"")</f>
        <v/>
      </c>
      <c r="F51" s="20">
        <f>IFERROR(INDEX(income_statement!$B:$I,MATCH("Lãi/(lỗ) thuần sau thuế",income_statement!$A:$A,0),MATCH(F$23,income_statement!$B$1:$I$1,0)),"")</f>
        <v/>
      </c>
      <c r="G51" s="20">
        <f>IFERROR(INDEX(income_statement!$B:$I,MATCH("Lãi/(lỗ) thuần sau thuế",income_statement!$A:$A,0),MATCH(G$23,income_statement!$B$1:$I$1,0)),"")</f>
        <v/>
      </c>
      <c r="H51" s="20">
        <f>IFERROR(INDEX(income_statement!$B:$I,MATCH("Lãi/(lỗ) thuần sau thuế",income_statement!$A:$A,0),MATCH(H$23,income_statement!$B$1:$I$1,0)),"")</f>
        <v/>
      </c>
      <c r="I51" s="20">
        <f>IFERROR(INDEX(income_statement!$B:$I,MATCH("Lãi/(lỗ) thuần sau thuế",income_statement!$A:$A,0),MATCH(I$23,income_statement!$B$1:$I$1,0)),"")</f>
        <v/>
      </c>
      <c r="J51" s="20" t="n">
        <v>1500000000000</v>
      </c>
    </row>
    <row r="52" ht="15" customHeight="1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 t="n">
        <v>1500000000000</v>
      </c>
      <c r="K52" s="20" t="n">
        <v>2828497462890</v>
      </c>
    </row>
    <row r="53">
      <c r="A53" s="25" t="inlineStr">
        <is>
          <t>Lưu chuyển tiền tệ</t>
        </is>
      </c>
    </row>
    <row r="54">
      <c r="A54" s="18" t="inlineStr">
        <is>
          <t>Khấu hao TSCĐ và BĐSĐT</t>
        </is>
      </c>
      <c r="B54" s="19">
        <f>IFERROR(INDEX(cash_flow!$B:$I,MATCH("Khấu hao TSCĐ và BĐSĐT",cash_flow!$A:$A,0),MATCH(B$23,cash_flow!$B$1:$I$1,0)),"")</f>
        <v/>
      </c>
      <c r="C54" s="19">
        <f>IFERROR(INDEX(cash_flow!$B:$I,MATCH("Khấu hao TSCĐ và BĐSĐT",cash_flow!$A:$A,0),MATCH(C$23,cash_flow!$B$1:$I$1,0)),"")</f>
        <v/>
      </c>
      <c r="D54" s="19">
        <f>IFERROR(INDEX(cash_flow!$B:$I,MATCH("Khấu hao TSCĐ và BĐSĐT",cash_flow!$A:$A,0),MATCH(D$23,cash_flow!$B$1:$I$1,0)),"")</f>
        <v/>
      </c>
      <c r="E54" s="19">
        <f>IFERROR(INDEX(cash_flow!$B:$I,MATCH("Khấu hao TSCĐ và BĐSĐT",cash_flow!$A:$A,0),MATCH(E$23,cash_flow!$B$1:$I$1,0)),"")</f>
        <v/>
      </c>
      <c r="F54" s="19">
        <f>IFERROR(INDEX(cash_flow!$B:$I,MATCH("Khấu hao TSCĐ và BĐSĐT",cash_flow!$A:$A,0),MATCH(F$23,cash_flow!$B$1:$I$1,0)),"")</f>
        <v/>
      </c>
      <c r="G54" s="19">
        <f>IFERROR(INDEX(cash_flow!$B:$I,MATCH("Khấu hao TSCĐ và BĐSĐT",cash_flow!$A:$A,0),MATCH(G$23,cash_flow!$B$1:$I$1,0)),"")</f>
        <v/>
      </c>
      <c r="H54" s="19">
        <f>IFERROR(INDEX(cash_flow!$B:$I,MATCH("Khấu hao TSCĐ và BĐSĐT",cash_flow!$A:$A,0),MATCH(H$23,cash_flow!$B$1:$I$1,0)),"")</f>
        <v/>
      </c>
      <c r="I54" s="19">
        <f>IFERROR(INDEX(cash_flow!$B:$I,MATCH("Khấu hao TSCĐ và BĐSĐT",cash_flow!$A:$A,0),MATCH(I$23,cash_flow!$B$1:$I$1,0)),"")</f>
        <v/>
      </c>
    </row>
    <row r="55">
      <c r="A55" s="18" t="inlineStr">
        <is>
          <t>Tiền chi để mua sắm, xây dựng TSCĐ và các tài sản dài hạn khác</t>
        </is>
      </c>
      <c r="B55" s="19">
        <f>IFERROR(INDEX(cash_flow!$B:$I,MATCH("Tiền chi để mua sắm, xây dựng TSCĐ và các tài sản dài hạn khác",cash_flow!$A:$A,0),MATCH(B$23,cash_flow!$B$1:$I$1,0)),"")</f>
        <v/>
      </c>
      <c r="C55" s="19">
        <f>IFERROR(INDEX(cash_flow!$B:$I,MATCH("Tiền chi để mua sắm, xây dựng TSCĐ và các tài sản dài hạn khác",cash_flow!$A:$A,0),MATCH(C$23,cash_flow!$B$1:$I$1,0)),"")</f>
        <v/>
      </c>
      <c r="D55" s="19">
        <f>IFERROR(INDEX(cash_flow!$B:$I,MATCH("Tiền chi để mua sắm, xây dựng TSCĐ và các tài sản dài hạn khác",cash_flow!$A:$A,0),MATCH(D$23,cash_flow!$B$1:$I$1,0)),"")</f>
        <v/>
      </c>
      <c r="E55" s="19">
        <f>IFERROR(INDEX(cash_flow!$B:$I,MATCH("Tiền chi để mua sắm, xây dựng TSCĐ và các tài sản dài hạn khác",cash_flow!$A:$A,0),MATCH(E$23,cash_flow!$B$1:$I$1,0)),"")</f>
        <v/>
      </c>
      <c r="F55" s="19">
        <f>IFERROR(INDEX(cash_flow!$B:$I,MATCH("Tiền chi để mua sắm, xây dựng TSCĐ và các tài sản dài hạn khác",cash_flow!$A:$A,0),MATCH(F$23,cash_flow!$B$1:$I$1,0)),"")</f>
        <v/>
      </c>
      <c r="G55" s="19">
        <f>IFERROR(INDEX(cash_flow!$B:$I,MATCH("Tiền chi để mua sắm, xây dựng TSCĐ và các tài sản dài hạn khác",cash_flow!$A:$A,0),MATCH(G$23,cash_flow!$B$1:$I$1,0)),"")</f>
        <v/>
      </c>
      <c r="H55" s="19">
        <f>IFERROR(INDEX(cash_flow!$B:$I,MATCH("Tiền chi để mua sắm, xây dựng TSCĐ và các tài sản dài hạn khác",cash_flow!$A:$A,0),MATCH(H$23,cash_flow!$B$1:$I$1,0)),"")</f>
        <v/>
      </c>
      <c r="I55" s="19">
        <f>IFERROR(INDEX(cash_flow!$B:$I,MATCH("Tiền chi để mua sắm, xây dựng TSCĐ và các tài sản dài hạn khác",cash_flow!$A:$A,0),MATCH(I$23,cash_flow!$B$1:$I$1,0)),"")</f>
        <v/>
      </c>
    </row>
    <row r="56">
      <c r="A56" s="18" t="inlineStr">
        <is>
          <t>Lưu chuyển tiền tệ ròng từ các hoạt động sản xuất kinh doanh</t>
        </is>
      </c>
      <c r="B56" s="19">
        <f>IFERROR(INDEX(cash_flow!$B:$I,MATCH("Lưu chuyển tiền tệ ròng từ các hoạt động sản xuất kinh doanh",cash_flow!$A:$A,0),MATCH(B$23,cash_flow!$B$1:$I$1,0)),"")</f>
        <v/>
      </c>
      <c r="C56" s="19">
        <f>IFERROR(INDEX(cash_flow!$B:$I,MATCH("Lưu chuyển tiền tệ ròng từ các hoạt động sản xuất kinh doanh",cash_flow!$A:$A,0),MATCH(C$23,cash_flow!$B$1:$I$1,0)),"")</f>
        <v/>
      </c>
      <c r="D56" s="19">
        <f>IFERROR(INDEX(cash_flow!$B:$I,MATCH("Lưu chuyển tiền tệ ròng từ các hoạt động sản xuất kinh doanh",cash_flow!$A:$A,0),MATCH(D$23,cash_flow!$B$1:$I$1,0)),"")</f>
        <v/>
      </c>
      <c r="E56" s="19">
        <f>IFERROR(INDEX(cash_flow!$B:$I,MATCH("Lưu chuyển tiền tệ ròng từ các hoạt động sản xuất kinh doanh",cash_flow!$A:$A,0),MATCH(E$23,cash_flow!$B$1:$I$1,0)),"")</f>
        <v/>
      </c>
      <c r="F56" s="19">
        <f>IFERROR(INDEX(cash_flow!$B:$I,MATCH("Lưu chuyển tiền tệ ròng từ các hoạt động sản xuất kinh doanh",cash_flow!$A:$A,0),MATCH(F$23,cash_flow!$B$1:$I$1,0)),"")</f>
        <v/>
      </c>
      <c r="G56" s="19">
        <f>IFERROR(INDEX(cash_flow!$B:$I,MATCH("Lưu chuyển tiền tệ ròng từ các hoạt động sản xuất kinh doanh",cash_flow!$A:$A,0),MATCH(G$23,cash_flow!$B$1:$I$1,0)),"")</f>
        <v/>
      </c>
      <c r="H56" s="19">
        <f>IFERROR(INDEX(cash_flow!$B:$I,MATCH("Lưu chuyển tiền tệ ròng từ các hoạt động sản xuất kinh doanh",cash_flow!$A:$A,0),MATCH(H$23,cash_flow!$B$1:$I$1,0)),"")</f>
        <v/>
      </c>
      <c r="I56" s="19">
        <f>IFERROR(INDEX(cash_flow!$B:$I,MATCH("Lưu chuyển tiền tệ ròng từ các hoạt động sản xuất kinh doanh",cash_flow!$A:$A,0),MATCH(I$23,cash_flow!$B$1:$I$1,0)),"")</f>
        <v/>
      </c>
    </row>
    <row r="57"/>
    <row r="58"/>
    <row r="59"/>
    <row r="60">
      <c r="A60" s="26" t="inlineStr">
        <is>
          <t>CHỈ SỐ THÊM</t>
        </is>
      </c>
      <c r="B60" s="16" t="n">
        <v>2018</v>
      </c>
      <c r="C60" s="16" t="n">
        <v>2019</v>
      </c>
      <c r="D60" s="16" t="n">
        <v>2020</v>
      </c>
      <c r="E60" s="16" t="n">
        <v>2021</v>
      </c>
      <c r="F60" s="16" t="n">
        <v>2022</v>
      </c>
      <c r="G60" s="16" t="n">
        <v>2023</v>
      </c>
      <c r="H60" s="16" t="n">
        <v>2024</v>
      </c>
      <c r="I60" s="16" t="n">
        <v>2025</v>
      </c>
    </row>
    <row r="61">
      <c r="A61" s="26" t="inlineStr">
        <is>
          <t>Khả năng sinh lời &amp; hiệu quả sử dụng vốn</t>
        </is>
      </c>
      <c r="B61" s="27" t="n"/>
      <c r="C61" s="27" t="n"/>
      <c r="D61" s="27" t="n"/>
      <c r="E61" s="27" t="n"/>
      <c r="F61" s="27" t="n"/>
      <c r="G61" s="27" t="n"/>
      <c r="H61" s="27" t="n"/>
      <c r="I61" s="27" t="n"/>
    </row>
    <row r="62">
      <c r="A62" s="27" t="inlineStr">
        <is>
          <t>ROCE</t>
        </is>
      </c>
      <c r="B62" s="28">
        <f>IFERROR(B$64/(B$31-B$35),"n/a")</f>
        <v/>
      </c>
      <c r="C62" s="28">
        <f>IFERROR(C$64/(C$31-C$35),"n/a")</f>
        <v/>
      </c>
      <c r="D62" s="28">
        <f>IFERROR(D$64/(D$31-D$35),"n/a")</f>
        <v/>
      </c>
      <c r="E62" s="28">
        <f>IFERROR(E$64/(E$31-E$35),"n/a")</f>
        <v/>
      </c>
      <c r="F62" s="28">
        <f>IFERROR(F$64/(F$31-F$35),"n/a")</f>
        <v/>
      </c>
      <c r="G62" s="28">
        <f>IFERROR(G$64/(G$31-G$35),"n/a")</f>
        <v/>
      </c>
      <c r="H62" s="28">
        <f>IFERROR(H$64/(H$31-H$35),"n/a")</f>
        <v/>
      </c>
      <c r="I62" s="28">
        <f>IFERROR(I$64/(I$31-I$35),"n/a")</f>
        <v/>
      </c>
    </row>
    <row r="63">
      <c r="A63" s="27" t="inlineStr">
        <is>
          <t>CROIC</t>
        </is>
      </c>
      <c r="B63" s="28">
        <f>IFERROR(B$68/(B$31-B$35),"n/a")</f>
        <v/>
      </c>
      <c r="C63" s="28">
        <f>IFERROR(C$68/(C$31-C$35),"n/a")</f>
        <v/>
      </c>
      <c r="D63" s="28">
        <f>IFERROR(D$68/(D$31-D$35),"n/a")</f>
        <v/>
      </c>
      <c r="E63" s="28">
        <f>IFERROR(E$68/(E$31-E$35),"n/a")</f>
        <v/>
      </c>
      <c r="F63" s="28">
        <f>IFERROR(F$68/(F$31-F$35),"n/a")</f>
        <v/>
      </c>
      <c r="G63" s="28">
        <f>IFERROR(G$68/(G$31-G$35),"n/a")</f>
        <v/>
      </c>
      <c r="H63" s="28">
        <f>IFERROR(H$68/(H$31-H$35),"n/a")</f>
        <v/>
      </c>
      <c r="I63" s="28">
        <f>IFERROR(I$68/(I$31-I$35),"n/a")</f>
        <v/>
      </c>
    </row>
    <row r="64">
      <c r="A64" s="27" t="inlineStr">
        <is>
          <t>EBIT</t>
        </is>
      </c>
      <c r="B64" s="29">
        <f>IFERROR(B$48+ABS(B$49),"n/a")</f>
        <v/>
      </c>
      <c r="C64" s="29">
        <f>IFERROR(C$48+ABS(C$49),"n/a")</f>
        <v/>
      </c>
      <c r="D64" s="29">
        <f>IFERROR(D$48+ABS(D$49),"n/a")</f>
        <v/>
      </c>
      <c r="E64" s="29">
        <f>IFERROR(E$48+ABS(E$49),"n/a")</f>
        <v/>
      </c>
      <c r="F64" s="29">
        <f>IFERROR(F$48+ABS(F$49),"n/a")</f>
        <v/>
      </c>
      <c r="G64" s="29">
        <f>IFERROR(G$48+ABS(G$49),"n/a")</f>
        <v/>
      </c>
      <c r="H64" s="29">
        <f>IFERROR(H$48+ABS(H$49),"n/a")</f>
        <v/>
      </c>
      <c r="I64" s="29">
        <f>IFERROR(I$48+ABS(I$49),"n/a")</f>
        <v/>
      </c>
    </row>
    <row r="65">
      <c r="A65" s="27" t="inlineStr">
        <is>
          <t>EBIT/DT</t>
        </is>
      </c>
      <c r="B65" s="28">
        <f>IFERROR(B$64/B$43,"n/a")</f>
        <v/>
      </c>
      <c r="C65" s="28">
        <f>IFERROR(C$64/C$43,"n/a")</f>
        <v/>
      </c>
      <c r="D65" s="28">
        <f>IFERROR(D$64/D$43,"n/a")</f>
        <v/>
      </c>
      <c r="E65" s="28">
        <f>IFERROR(E$64/E$43,"n/a")</f>
        <v/>
      </c>
      <c r="F65" s="28">
        <f>IFERROR(F$64/F$43,"n/a")</f>
        <v/>
      </c>
      <c r="G65" s="28">
        <f>IFERROR(G$64/G$43,"n/a")</f>
        <v/>
      </c>
      <c r="H65" s="28">
        <f>IFERROR(H$64/H$43,"n/a")</f>
        <v/>
      </c>
      <c r="I65" s="28">
        <f>IFERROR(I$64/I$43,"n/a")</f>
        <v/>
      </c>
    </row>
    <row r="66">
      <c r="A66" s="27" t="inlineStr">
        <is>
          <t>DT/TS</t>
        </is>
      </c>
      <c r="B66" s="28">
        <f>IFERROR(B$43/B$31,"n/a")</f>
        <v/>
      </c>
      <c r="C66" s="28">
        <f>IFERROR(C$43/C$31,"n/a")</f>
        <v/>
      </c>
      <c r="D66" s="28">
        <f>IFERROR(D$43/D$31,"n/a")</f>
        <v/>
      </c>
      <c r="E66" s="28">
        <f>IFERROR(E$43/E$31,"n/a")</f>
        <v/>
      </c>
      <c r="F66" s="28">
        <f>IFERROR(F$43/F$31,"n/a")</f>
        <v/>
      </c>
      <c r="G66" s="28">
        <f>IFERROR(G$43/G$31,"n/a")</f>
        <v/>
      </c>
      <c r="H66" s="28">
        <f>IFERROR(H$43/H$31,"n/a")</f>
        <v/>
      </c>
      <c r="I66" s="28">
        <f>IFERROR(I$43/I$31,"n/a")</f>
        <v/>
      </c>
    </row>
    <row r="67">
      <c r="A67" s="26" t="inlineStr">
        <is>
          <t>Dòng tiền &amp; tái đầu tư</t>
        </is>
      </c>
      <c r="B67" s="27" t="n"/>
      <c r="C67" s="27" t="n"/>
      <c r="D67" s="27" t="n"/>
      <c r="E67" s="27" t="n"/>
      <c r="F67" s="27" t="n"/>
      <c r="G67" s="27" t="n"/>
      <c r="H67" s="27" t="n"/>
      <c r="I67" s="27" t="n"/>
    </row>
    <row r="68">
      <c r="A68" s="27" t="inlineStr">
        <is>
          <t>FCF</t>
        </is>
      </c>
      <c r="B68" s="29">
        <f>IFERROR(B$56-ABS(B$55),"n/a")</f>
        <v/>
      </c>
      <c r="C68" s="29">
        <f>IFERROR(C$56-ABS(C$55),"n/a")</f>
        <v/>
      </c>
      <c r="D68" s="29">
        <f>IFERROR(D$56-ABS(D$55),"n/a")</f>
        <v/>
      </c>
      <c r="E68" s="29">
        <f>IFERROR(E$56-ABS(E$55),"n/a")</f>
        <v/>
      </c>
      <c r="F68" s="29">
        <f>IFERROR(F$56-ABS(F$55),"n/a")</f>
        <v/>
      </c>
      <c r="G68" s="29">
        <f>IFERROR(G$56-ABS(G$55),"n/a")</f>
        <v/>
      </c>
      <c r="H68" s="29">
        <f>IFERROR(H$56-ABS(H$55),"n/a")</f>
        <v/>
      </c>
      <c r="I68" s="29">
        <f>IFERROR(I$56-ABS(I$55),"n/a")</f>
        <v/>
      </c>
    </row>
    <row r="69">
      <c r="A69" s="27" t="inlineStr">
        <is>
          <t>FCF/DT</t>
        </is>
      </c>
      <c r="B69" s="28">
        <f>IFERROR(B$68/B$43,"n/a")</f>
        <v/>
      </c>
      <c r="C69" s="28">
        <f>IFERROR(C$68/C$43,"n/a")</f>
        <v/>
      </c>
      <c r="D69" s="28">
        <f>IFERROR(D$68/D$43,"n/a")</f>
        <v/>
      </c>
      <c r="E69" s="28">
        <f>IFERROR(E$68/E$43,"n/a")</f>
        <v/>
      </c>
      <c r="F69" s="28">
        <f>IFERROR(F$68/F$43,"n/a")</f>
        <v/>
      </c>
      <c r="G69" s="28">
        <f>IFERROR(G$68/G$43,"n/a")</f>
        <v/>
      </c>
      <c r="H69" s="28">
        <f>IFERROR(H$68/H$43,"n/a")</f>
        <v/>
      </c>
      <c r="I69" s="28">
        <f>IFERROR(I$68/I$43,"n/a")</f>
        <v/>
      </c>
    </row>
    <row r="70">
      <c r="A70" s="27" t="inlineStr">
        <is>
          <t>FCF/Nợ ngắn hạn</t>
        </is>
      </c>
      <c r="B70" s="28">
        <f>IFERROR(B$68/B$35,"n/a")</f>
        <v/>
      </c>
      <c r="C70" s="28">
        <f>IFERROR(C$68/C$35,"n/a")</f>
        <v/>
      </c>
      <c r="D70" s="28">
        <f>IFERROR(D$68/D$35,"n/a")</f>
        <v/>
      </c>
      <c r="E70" s="28">
        <f>IFERROR(E$68/E$35,"n/a")</f>
        <v/>
      </c>
      <c r="F70" s="28">
        <f>IFERROR(F$68/F$35,"n/a")</f>
        <v/>
      </c>
      <c r="G70" s="28">
        <f>IFERROR(G$68/G$35,"n/a")</f>
        <v/>
      </c>
      <c r="H70" s="28">
        <f>IFERROR(H$68/H$35,"n/a")</f>
        <v/>
      </c>
      <c r="I70" s="28">
        <f>IFERROR(I$68/I$35,"n/a")</f>
        <v/>
      </c>
    </row>
    <row r="71">
      <c r="A71" s="27" t="inlineStr">
        <is>
          <t>Capex</t>
        </is>
      </c>
      <c r="B71" s="29">
        <f>IFERROR(ABS(B$55),"n/a")</f>
        <v/>
      </c>
      <c r="C71" s="29">
        <f>IFERROR(ABS(C$55),"n/a")</f>
        <v/>
      </c>
      <c r="D71" s="29">
        <f>IFERROR(ABS(D$55),"n/a")</f>
        <v/>
      </c>
      <c r="E71" s="29">
        <f>IFERROR(ABS(E$55),"n/a")</f>
        <v/>
      </c>
      <c r="F71" s="29">
        <f>IFERROR(ABS(F$55),"n/a")</f>
        <v/>
      </c>
      <c r="G71" s="29">
        <f>IFERROR(ABS(G$55),"n/a")</f>
        <v/>
      </c>
      <c r="H71" s="29">
        <f>IFERROR(ABS(H$55),"n/a")</f>
        <v/>
      </c>
      <c r="I71" s="29">
        <f>IFERROR(ABS(I$55),"n/a")</f>
        <v/>
      </c>
    </row>
    <row r="72">
      <c r="A72" s="27" t="inlineStr">
        <is>
          <t>Capex/TS</t>
        </is>
      </c>
      <c r="B72" s="28">
        <f>IFERROR(B$71/B$31,"n/a")</f>
        <v/>
      </c>
      <c r="C72" s="28">
        <f>IFERROR(C$71/C$31,"n/a")</f>
        <v/>
      </c>
      <c r="D72" s="28">
        <f>IFERROR(D$71/D$31,"n/a")</f>
        <v/>
      </c>
      <c r="E72" s="28">
        <f>IFERROR(E$71/E$31,"n/a")</f>
        <v/>
      </c>
      <c r="F72" s="28">
        <f>IFERROR(F$71/F$31,"n/a")</f>
        <v/>
      </c>
      <c r="G72" s="28">
        <f>IFERROR(G$71/G$31,"n/a")</f>
        <v/>
      </c>
      <c r="H72" s="28">
        <f>IFERROR(H$71/H$31,"n/a")</f>
        <v/>
      </c>
      <c r="I72" s="28">
        <f>IFERROR(I$71/I$31,"n/a")</f>
        <v/>
      </c>
    </row>
    <row r="73">
      <c r="A73" s="27" t="inlineStr">
        <is>
          <t>Capex/LNST</t>
        </is>
      </c>
      <c r="B73" s="28">
        <f>IFERROR(B$71/ABS(B$51),"n/a")</f>
        <v/>
      </c>
      <c r="C73" s="28">
        <f>IFERROR(C$71/ABS(C$51),"n/a")</f>
        <v/>
      </c>
      <c r="D73" s="28">
        <f>IFERROR(D$71/ABS(D$51),"n/a")</f>
        <v/>
      </c>
      <c r="E73" s="28">
        <f>IFERROR(E$71/ABS(E$51),"n/a")</f>
        <v/>
      </c>
      <c r="F73" s="28">
        <f>IFERROR(F$71/ABS(F$51),"n/a")</f>
        <v/>
      </c>
      <c r="G73" s="28">
        <f>IFERROR(G$71/ABS(G$51),"n/a")</f>
        <v/>
      </c>
      <c r="H73" s="28">
        <f>IFERROR(H$71/ABS(H$51),"n/a")</f>
        <v/>
      </c>
      <c r="I73" s="28">
        <f>IFERROR(I$71/ABS(I$51),"n/a")</f>
        <v/>
      </c>
    </row>
    <row r="74">
      <c r="A74" s="27" t="inlineStr">
        <is>
          <t>Chi phí khấu hao/Lợi nhuận gộp</t>
        </is>
      </c>
      <c r="B74" s="28">
        <f>IFERROR(ABS(B$54)/B$45,"n/a")</f>
        <v/>
      </c>
      <c r="C74" s="28">
        <f>IFERROR(ABS(C$54)/C$45,"n/a")</f>
        <v/>
      </c>
      <c r="D74" s="28">
        <f>IFERROR(ABS(D$54)/D$45,"n/a")</f>
        <v/>
      </c>
      <c r="E74" s="28">
        <f>IFERROR(ABS(E$54)/E$45,"n/a")</f>
        <v/>
      </c>
      <c r="F74" s="28">
        <f>IFERROR(ABS(F$54)/F$45,"n/a")</f>
        <v/>
      </c>
      <c r="G74" s="28">
        <f>IFERROR(ABS(G$54)/G$45,"n/a")</f>
        <v/>
      </c>
      <c r="H74" s="28">
        <f>IFERROR(ABS(H$54)/H$45,"n/a")</f>
        <v/>
      </c>
      <c r="I74" s="28">
        <f>IFERROR(ABS(I$54)/I$45,"n/a")</f>
        <v/>
      </c>
    </row>
    <row r="75">
      <c r="A75" s="27" t="inlineStr">
        <is>
          <t>EBIT/Chi phí lãi vay</t>
        </is>
      </c>
      <c r="B75" s="30">
        <f>IFERROR(B$64/ABS(B$49),"n/a")</f>
        <v/>
      </c>
      <c r="C75" s="30">
        <f>IFERROR(C$64/ABS(C$49),"n/a")</f>
        <v/>
      </c>
      <c r="D75" s="30">
        <f>IFERROR(D$64/ABS(D$49),"n/a")</f>
        <v/>
      </c>
      <c r="E75" s="30">
        <f>IFERROR(E$64/ABS(E$49),"n/a")</f>
        <v/>
      </c>
      <c r="F75" s="30">
        <f>IFERROR(F$64/ABS(F$49),"n/a")</f>
        <v/>
      </c>
      <c r="G75" s="30">
        <f>IFERROR(G$64/ABS(G$49),"n/a")</f>
        <v/>
      </c>
      <c r="H75" s="30">
        <f>IFERROR(H$64/ABS(H$49),"n/a")</f>
        <v/>
      </c>
      <c r="I75" s="30">
        <f>IFERROR(I$64/ABS(I$49),"n/a")</f>
        <v/>
      </c>
    </row>
    <row r="76">
      <c r="A76" s="26" t="inlineStr">
        <is>
          <t>Vốn lưu động &amp; hiệu quả hoạt động</t>
        </is>
      </c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7" t="inlineStr">
        <is>
          <t>Vòng quay tiền mặt</t>
        </is>
      </c>
      <c r="B77" s="31">
        <f>IFERROR(B$17+B$18-B$16,"n/a")</f>
        <v/>
      </c>
      <c r="C77" s="31">
        <f>IFERROR(C$17+C$18-C$16,"n/a")</f>
        <v/>
      </c>
      <c r="D77" s="31">
        <f>IFERROR(D$17+D$18-D$16,"n/a")</f>
        <v/>
      </c>
      <c r="E77" s="31">
        <f>IFERROR(E$17+E$18-E$16,"n/a")</f>
        <v/>
      </c>
      <c r="F77" s="31">
        <f>IFERROR(F$17+F$18-F$16,"n/a")</f>
        <v/>
      </c>
      <c r="G77" s="31">
        <f>IFERROR(G$17+G$18-G$16,"n/a")</f>
        <v/>
      </c>
      <c r="H77" s="31">
        <f>IFERROR(H$17+H$18-H$16,"n/a")</f>
        <v/>
      </c>
      <c r="I77" s="31">
        <f>IFERROR(I$17+I$18-I$16,"n/a")</f>
        <v/>
      </c>
    </row>
    <row r="78">
      <c r="A78" s="27" t="inlineStr">
        <is>
          <t>HTK/DT</t>
        </is>
      </c>
      <c r="B78" s="28">
        <f>IFERROR(B$28/B$43,"n/a")</f>
        <v/>
      </c>
      <c r="C78" s="28">
        <f>IFERROR(C$28/C$43,"n/a")</f>
        <v/>
      </c>
      <c r="D78" s="28">
        <f>IFERROR(D$28/D$43,"n/a")</f>
        <v/>
      </c>
      <c r="E78" s="28">
        <f>IFERROR(E$28/E$43,"n/a")</f>
        <v/>
      </c>
      <c r="F78" s="28">
        <f>IFERROR(F$28/F$43,"n/a")</f>
        <v/>
      </c>
      <c r="G78" s="28">
        <f>IFERROR(G$28/G$43,"n/a")</f>
        <v/>
      </c>
      <c r="H78" s="28">
        <f>IFERROR(H$28/H$43,"n/a")</f>
        <v/>
      </c>
      <c r="I78" s="28">
        <f>IFERROR(I$28/I$43,"n/a")</f>
        <v/>
      </c>
    </row>
    <row r="79">
      <c r="A79" s="27" t="inlineStr">
        <is>
          <t>HTK/TS</t>
        </is>
      </c>
      <c r="B79" s="28">
        <f>IFERROR(B$28/B$31,"n/a")</f>
        <v/>
      </c>
      <c r="C79" s="28">
        <f>IFERROR(C$28/C$31,"n/a")</f>
        <v/>
      </c>
      <c r="D79" s="28">
        <f>IFERROR(D$28/D$31,"n/a")</f>
        <v/>
      </c>
      <c r="E79" s="28">
        <f>IFERROR(E$28/E$31,"n/a")</f>
        <v/>
      </c>
      <c r="F79" s="28">
        <f>IFERROR(F$28/F$31,"n/a")</f>
        <v/>
      </c>
      <c r="G79" s="28">
        <f>IFERROR(G$28/G$31,"n/a")</f>
        <v/>
      </c>
      <c r="H79" s="28">
        <f>IFERROR(H$28/H$31,"n/a")</f>
        <v/>
      </c>
      <c r="I79" s="28">
        <f>IFERROR(I$28/I$31,"n/a")</f>
        <v/>
      </c>
    </row>
    <row r="80">
      <c r="A80" s="27" t="inlineStr">
        <is>
          <t>DT/TS</t>
        </is>
      </c>
      <c r="B80" s="28">
        <f>IFERROR(B$43/B$31,"n/a")</f>
        <v/>
      </c>
      <c r="C80" s="28">
        <f>IFERROR(C$43/C$31,"n/a")</f>
        <v/>
      </c>
      <c r="D80" s="28">
        <f>IFERROR(D$43/D$31,"n/a")</f>
        <v/>
      </c>
      <c r="E80" s="28">
        <f>IFERROR(E$43/E$31,"n/a")</f>
        <v/>
      </c>
      <c r="F80" s="28">
        <f>IFERROR(F$43/F$31,"n/a")</f>
        <v/>
      </c>
      <c r="G80" s="28">
        <f>IFERROR(G$43/G$31,"n/a")</f>
        <v/>
      </c>
      <c r="H80" s="28">
        <f>IFERROR(H$43/H$31,"n/a")</f>
        <v/>
      </c>
      <c r="I80" s="28">
        <f>IFERROR(I$43/I$31,"n/a")</f>
        <v/>
      </c>
    </row>
    <row r="81">
      <c r="A81" s="26" t="inlineStr">
        <is>
          <t>Khả năng thanh toán</t>
        </is>
      </c>
      <c r="B81" s="27" t="n"/>
      <c r="C81" s="27" t="n"/>
      <c r="D81" s="27" t="n"/>
      <c r="E81" s="27" t="n"/>
      <c r="F81" s="27" t="n"/>
      <c r="G81" s="27" t="n"/>
      <c r="H81" s="27" t="n"/>
      <c r="I81" s="27" t="n"/>
    </row>
    <row r="82">
      <c r="A82" s="27" t="inlineStr">
        <is>
          <t>(TS ngắn hạn − HTK)/Nợ ngắn hạn</t>
        </is>
      </c>
      <c r="B82" s="30">
        <f>IFERROR((B$29-B$28)/B$35,"n/a")</f>
        <v/>
      </c>
      <c r="C82" s="30">
        <f>IFERROR((C$29-C$28)/C$35,"n/a")</f>
        <v/>
      </c>
      <c r="D82" s="30">
        <f>IFERROR((D$29-D$28)/D$35,"n/a")</f>
        <v/>
      </c>
      <c r="E82" s="30">
        <f>IFERROR((E$29-E$28)/E$35,"n/a")</f>
        <v/>
      </c>
      <c r="F82" s="30">
        <f>IFERROR((F$29-F$28)/F$35,"n/a")</f>
        <v/>
      </c>
      <c r="G82" s="30">
        <f>IFERROR((G$29-G$28)/G$35,"n/a")</f>
        <v/>
      </c>
      <c r="H82" s="30">
        <f>IFERROR((H$29-H$28)/H$35,"n/a")</f>
        <v/>
      </c>
      <c r="I82" s="30">
        <f>IFERROR((I$29-I$28)/I$35,"n/a")</f>
        <v/>
      </c>
    </row>
    <row r="83">
      <c r="A83" s="27" t="inlineStr">
        <is>
          <t>TS ngắn hạn/Nợ ngắn hạn</t>
        </is>
      </c>
      <c r="B83" s="30">
        <f>IFERROR(B$29/B$35,"n/a")</f>
        <v/>
      </c>
      <c r="C83" s="30">
        <f>IFERROR(C$29/C$35,"n/a")</f>
        <v/>
      </c>
      <c r="D83" s="30">
        <f>IFERROR(D$29/D$35,"n/a")</f>
        <v/>
      </c>
      <c r="E83" s="30">
        <f>IFERROR(E$29/E$35,"n/a")</f>
        <v/>
      </c>
      <c r="F83" s="30">
        <f>IFERROR(F$29/F$35,"n/a")</f>
        <v/>
      </c>
      <c r="G83" s="30">
        <f>IFERROR(G$29/G$35,"n/a")</f>
        <v/>
      </c>
      <c r="H83" s="30">
        <f>IFERROR(H$29/H$35,"n/a")</f>
        <v/>
      </c>
      <c r="I83" s="30">
        <f>IFERROR(I$29/I$35,"n/a")</f>
        <v/>
      </c>
    </row>
    <row r="84">
      <c r="A84" s="26" t="inlineStr">
        <is>
          <t>Tài sản &amp; cơ cấu tài sản</t>
        </is>
      </c>
      <c r="B84" s="27" t="n"/>
      <c r="C84" s="27" t="n"/>
      <c r="D84" s="27" t="n"/>
      <c r="E84" s="27" t="n"/>
      <c r="F84" s="27" t="n"/>
      <c r="G84" s="27" t="n"/>
      <c r="H84" s="27" t="n"/>
      <c r="I84" s="27" t="n"/>
    </row>
    <row r="85">
      <c r="A85" s="27" t="inlineStr">
        <is>
          <t>TSCĐ vô hình</t>
        </is>
      </c>
      <c r="B85" s="29">
        <f>IFERROR(B$30,"n/a")</f>
        <v/>
      </c>
      <c r="C85" s="29">
        <f>IFERROR(C$30,"n/a")</f>
        <v/>
      </c>
      <c r="D85" s="29">
        <f>IFERROR(D$30,"n/a")</f>
        <v/>
      </c>
      <c r="E85" s="29">
        <f>IFERROR(E$30,"n/a")</f>
        <v/>
      </c>
      <c r="F85" s="29">
        <f>IFERROR(F$30,"n/a")</f>
        <v/>
      </c>
      <c r="G85" s="29">
        <f>IFERROR(G$30,"n/a")</f>
        <v/>
      </c>
      <c r="H85" s="29">
        <f>IFERROR(H$30,"n/a")</f>
        <v/>
      </c>
      <c r="I85" s="29">
        <f>IFERROR(I$30,"n/a")</f>
        <v/>
      </c>
    </row>
    <row r="86">
      <c r="A86" s="27" t="inlineStr">
        <is>
          <t>Tài sản vô hình/Giá trị sổ sách</t>
        </is>
      </c>
      <c r="B86" s="28">
        <f>IFERROR(B$30/B$39,"n/a")</f>
        <v/>
      </c>
      <c r="C86" s="28">
        <f>IFERROR(C$30/C$39,"n/a")</f>
        <v/>
      </c>
      <c r="D86" s="28">
        <f>IFERROR(D$30/D$39,"n/a")</f>
        <v/>
      </c>
      <c r="E86" s="28">
        <f>IFERROR(E$30/E$39,"n/a")</f>
        <v/>
      </c>
      <c r="F86" s="28">
        <f>IFERROR(F$30/F$39,"n/a")</f>
        <v/>
      </c>
      <c r="G86" s="28">
        <f>IFERROR(G$30/G$39,"n/a")</f>
        <v/>
      </c>
      <c r="H86" s="28">
        <f>IFERROR(H$30/H$39,"n/a")</f>
        <v/>
      </c>
      <c r="I86" s="28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K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K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K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8.125" customWidth="1" min="11" max="11"/>
    <col width="9" customWidth="1" min="19" max="19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  <c r="G1" s="32" t="inlineStr">
        <is>
          <t>Q1/2027</t>
        </is>
      </c>
      <c r="H1" s="32" t="inlineStr">
        <is>
          <t>Q2/2027</t>
        </is>
      </c>
      <c r="I1" s="32" t="inlineStr">
        <is>
          <t>Q3/2027</t>
        </is>
      </c>
      <c r="J1" s="32" t="inlineStr">
        <is>
          <t>Q4/2027</t>
        </is>
      </c>
    </row>
    <row r="2">
      <c r="A2" s="32" t="inlineStr">
        <is>
          <t>Số CP</t>
        </is>
      </c>
      <c r="B2" s="33" t="n">
        <v>511721959</v>
      </c>
      <c r="C2" s="33" t="n">
        <v>511721959</v>
      </c>
      <c r="D2" s="33" t="n">
        <v>511721959</v>
      </c>
      <c r="E2" s="33" t="n">
        <v>511721959</v>
      </c>
      <c r="F2" s="33" t="n">
        <v>511721959</v>
      </c>
      <c r="G2" s="33" t="n">
        <v>511721959</v>
      </c>
      <c r="H2" s="33" t="n">
        <v>511721959</v>
      </c>
      <c r="I2" s="33" t="n">
        <v>511721959</v>
      </c>
      <c r="J2" s="33" t="n">
        <v>511721959</v>
      </c>
    </row>
    <row r="3">
      <c r="A3" s="32" t="inlineStr">
        <is>
          <t>Thị giá</t>
        </is>
      </c>
      <c r="B3" s="33">
        <f>[1]Sheet1!$E$2</f>
        <v/>
      </c>
      <c r="C3" s="33">
        <f>[1]Sheet1!$E$2</f>
        <v/>
      </c>
      <c r="D3" s="33">
        <f>[1]Sheet1!$E$2</f>
        <v/>
      </c>
      <c r="E3" s="33">
        <f>[1]Sheet1!$E$2</f>
        <v/>
      </c>
      <c r="F3" s="33">
        <f>[1]Sheet1!$E$2</f>
        <v/>
      </c>
      <c r="G3" s="33">
        <f>[1]Sheet1!$E$2</f>
        <v/>
      </c>
      <c r="H3" s="33">
        <f>[1]Sheet1!$E$2</f>
        <v/>
      </c>
      <c r="I3" s="33">
        <f>[1]Sheet1!$E$2</f>
        <v/>
      </c>
      <c r="J3" s="33">
        <f>[1]Sheet1!$E$2</f>
        <v/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  <c r="G4" s="33">
        <f>G2*G3</f>
        <v/>
      </c>
      <c r="H4" s="33">
        <f>H2*H3</f>
        <v/>
      </c>
      <c r="I4" s="33">
        <f>I2*I3</f>
        <v/>
      </c>
      <c r="J4" s="33">
        <f>J2*J3</f>
        <v/>
      </c>
    </row>
    <row r="5">
      <c r="G5" s="33" t="n"/>
      <c r="H5" s="33" t="n"/>
      <c r="I5" s="33" t="n"/>
      <c r="J5" s="33" t="n"/>
      <c r="K5" s="34" t="n"/>
    </row>
    <row r="6">
      <c r="A6" s="32" t="inlineStr">
        <is>
          <t>VCSH</t>
        </is>
      </c>
      <c r="B6" s="32" t="n"/>
      <c r="C6" s="35" t="n">
        <v>14401000000000</v>
      </c>
      <c r="D6" s="35" t="n">
        <v>13913000000000</v>
      </c>
      <c r="E6" s="35">
        <f>$D$6*(($F$6/$D$6)^(1/2))</f>
        <v/>
      </c>
      <c r="F6" s="33">
        <f>chi_so_tai_chinh!J39</f>
        <v/>
      </c>
      <c r="G6" s="35">
        <f>$F$6*((J6/$F$6)^(1/4))</f>
        <v/>
      </c>
      <c r="H6" s="35">
        <f>$F$6*((J6/$F$6)^(2/4))</f>
        <v/>
      </c>
      <c r="I6" s="35">
        <f>$F$6*((J6/$F$6)^(3/4))</f>
        <v/>
      </c>
      <c r="J6" s="33">
        <f>chi_so_tai_chinh!K39</f>
        <v/>
      </c>
    </row>
    <row r="7">
      <c r="A7" s="32" t="inlineStr">
        <is>
          <t>LICĐKKS</t>
        </is>
      </c>
      <c r="B7" s="32" t="n"/>
      <c r="C7" s="35" t="n">
        <v>0</v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5" t="n">
        <v>0</v>
      </c>
      <c r="J7" s="35">
        <f>[2]CĐKT!J135*1000000000</f>
        <v/>
      </c>
    </row>
    <row r="8">
      <c r="A8" s="32" t="inlineStr">
        <is>
          <t>BV</t>
        </is>
      </c>
      <c r="B8" s="32" t="n"/>
      <c r="C8" s="35">
        <f>C6-C7</f>
        <v/>
      </c>
      <c r="D8" s="35">
        <f>D6-D7</f>
        <v/>
      </c>
      <c r="E8" s="35">
        <f>E6-E7</f>
        <v/>
      </c>
      <c r="F8" s="35">
        <f>F6-F7</f>
        <v/>
      </c>
      <c r="G8" s="35">
        <f>G6-G7</f>
        <v/>
      </c>
      <c r="H8" s="35">
        <f>H6-H7</f>
        <v/>
      </c>
      <c r="I8" s="35">
        <f>I6-I7</f>
        <v/>
      </c>
      <c r="J8" s="35">
        <f>J6-J7</f>
        <v/>
      </c>
    </row>
    <row r="9">
      <c r="A9" s="36" t="inlineStr">
        <is>
          <t>BVPS</t>
        </is>
      </c>
      <c r="B9" s="36" t="n"/>
      <c r="C9" s="37">
        <f>C8/C2</f>
        <v/>
      </c>
      <c r="D9" s="37">
        <f>D8/D2</f>
        <v/>
      </c>
      <c r="E9" s="37">
        <f>E8/E2</f>
        <v/>
      </c>
      <c r="F9" s="37">
        <f>F8/F2</f>
        <v/>
      </c>
      <c r="G9" s="37">
        <f>G8/G2</f>
        <v/>
      </c>
      <c r="H9" s="37">
        <f>H8/H2</f>
        <v/>
      </c>
      <c r="I9" s="37">
        <f>I8/I2</f>
        <v/>
      </c>
      <c r="J9" s="37">
        <f>J8/J2</f>
        <v/>
      </c>
      <c r="K9" s="38" t="n"/>
      <c r="L9" s="38" t="n"/>
      <c r="M9" s="38" t="n"/>
      <c r="N9" s="38" t="n"/>
      <c r="O9" s="38" t="n"/>
      <c r="P9" s="38" t="n"/>
      <c r="Q9" s="38" t="n"/>
      <c r="R9" s="38" t="n"/>
    </row>
    <row r="10">
      <c r="A10" s="36" t="inlineStr">
        <is>
          <t>PB</t>
        </is>
      </c>
      <c r="B10" s="36" t="n"/>
      <c r="C10" s="39">
        <f>C3/C9</f>
        <v/>
      </c>
      <c r="D10" s="39">
        <f>D3/D9</f>
        <v/>
      </c>
      <c r="E10" s="39">
        <f>E3/E9</f>
        <v/>
      </c>
      <c r="F10" s="39">
        <f>F3/F9</f>
        <v/>
      </c>
      <c r="G10" s="39">
        <f>G3/G9</f>
        <v/>
      </c>
      <c r="H10" s="39">
        <f>H3/H9</f>
        <v/>
      </c>
      <c r="I10" s="39">
        <f>I3/I9</f>
        <v/>
      </c>
      <c r="J10" s="39">
        <f>J3/J9</f>
        <v/>
      </c>
      <c r="K10" s="38" t="n"/>
      <c r="L10" s="38" t="n"/>
      <c r="M10" s="38" t="n"/>
      <c r="N10" s="38" t="n"/>
      <c r="O10" s="38" t="n"/>
      <c r="P10" s="38" t="n"/>
      <c r="Q10" s="38" t="n"/>
      <c r="R10" s="38" t="n"/>
    </row>
    <row r="11">
      <c r="C11" s="40" t="n"/>
      <c r="D11" s="40" t="n"/>
      <c r="E11" s="40" t="n"/>
      <c r="F11" s="40" t="n"/>
      <c r="I11" s="38" t="n"/>
      <c r="J11" s="38" t="n"/>
    </row>
    <row r="12">
      <c r="A12" s="32" t="inlineStr">
        <is>
          <t>Trailing Earning</t>
        </is>
      </c>
      <c r="B12" s="35" t="n">
        <v>2828000000000</v>
      </c>
      <c r="C12" s="35">
        <f>$B$12*(($F$12/$B$12)^(1/4))</f>
        <v/>
      </c>
      <c r="D12" s="35">
        <f>$B$12*(($F$12/$B$12)^(2/4))</f>
        <v/>
      </c>
      <c r="E12" s="35">
        <f>$B$12*(($F$12/$B$12)^(3/4))</f>
        <v/>
      </c>
      <c r="F12" s="35" t="n">
        <v>3139080000000</v>
      </c>
      <c r="G12" s="35">
        <f>$F$12*(($J$12/$F$12)^(1/4))</f>
        <v/>
      </c>
      <c r="H12" s="35">
        <f>$F$12*(($J$12/$F$12)^(2/4))</f>
        <v/>
      </c>
      <c r="I12" s="35">
        <f>$F$12*(($J$12/$F$12)^(3/4))</f>
        <v/>
      </c>
      <c r="J12" s="35">
        <f>chi_so_tai_chinh!K52</f>
        <v/>
      </c>
    </row>
    <row r="13">
      <c r="A13" s="36" t="inlineStr">
        <is>
          <t>EPS</t>
        </is>
      </c>
      <c r="B13" s="37">
        <f>B12/B2</f>
        <v/>
      </c>
      <c r="C13" s="37">
        <f>C12/C2</f>
        <v/>
      </c>
      <c r="D13" s="37">
        <f>D12/D2</f>
        <v/>
      </c>
      <c r="E13" s="37">
        <f>E12/E2</f>
        <v/>
      </c>
      <c r="F13" s="37">
        <f>F12/F2</f>
        <v/>
      </c>
      <c r="G13" s="37">
        <f>G12/G2</f>
        <v/>
      </c>
      <c r="H13" s="37">
        <f>H12/H2</f>
        <v/>
      </c>
      <c r="I13" s="37">
        <f>I12/I2</f>
        <v/>
      </c>
      <c r="J13" s="37">
        <f>J12/J2</f>
        <v/>
      </c>
    </row>
    <row r="14">
      <c r="A14" s="36" t="inlineStr">
        <is>
          <t>PE</t>
        </is>
      </c>
      <c r="B14" s="39">
        <f>B3/B13</f>
        <v/>
      </c>
      <c r="C14" s="39">
        <f>C3/C13</f>
        <v/>
      </c>
      <c r="D14" s="39">
        <f>D3/D13</f>
        <v/>
      </c>
      <c r="E14" s="39">
        <f>E3/E13</f>
        <v/>
      </c>
      <c r="F14" s="39">
        <f>F3/F13</f>
        <v/>
      </c>
      <c r="G14" s="39">
        <f>G3/G13</f>
        <v/>
      </c>
      <c r="H14" s="39">
        <f>H3/H13</f>
        <v/>
      </c>
      <c r="I14" s="39">
        <f>I3/I13</f>
        <v/>
      </c>
      <c r="J14" s="39">
        <f>J3/J13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.375" customWidth="1" min="1" max="1"/>
    <col width="17.125" customWidth="1" min="2" max="2"/>
  </cols>
  <sheetData>
    <row r="1" ht="15" customHeight="1">
      <c r="A1" s="41" t="n"/>
      <c r="B1" s="41" t="n">
        <v>2022</v>
      </c>
      <c r="C1" s="41" t="n">
        <v>2023</v>
      </c>
      <c r="D1" s="41" t="n">
        <v>2024</v>
      </c>
      <c r="E1" s="41" t="n">
        <v>2025</v>
      </c>
    </row>
    <row r="2" ht="15.75" customHeight="1">
      <c r="A2" s="41" t="inlineStr">
        <is>
          <t>Doanh thu kế hoạch</t>
        </is>
      </c>
      <c r="B2" s="42" t="n">
        <v>25834930000000</v>
      </c>
      <c r="C2" s="42" t="n">
        <v>35597952000000</v>
      </c>
      <c r="D2" s="42" t="n">
        <v>37147627000000</v>
      </c>
      <c r="E2" s="42" t="n">
        <v>31606954000000</v>
      </c>
    </row>
    <row r="3" ht="15.75" customHeight="1">
      <c r="A3" s="41" t="inlineStr">
        <is>
          <t>DT thực hiện</t>
        </is>
      </c>
      <c r="B3" s="42">
        <f>chi_so_tai_chinh!F43</f>
        <v/>
      </c>
      <c r="C3" s="42">
        <f>chi_so_tai_chinh!G43</f>
        <v/>
      </c>
      <c r="D3" s="42">
        <f>chi_so_tai_chinh!H43</f>
        <v/>
      </c>
      <c r="E3" s="42">
        <f>chi_so_tai_chinh!I43</f>
        <v/>
      </c>
    </row>
    <row r="4" ht="15.75" customHeight="1">
      <c r="A4" s="43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</row>
    <row r="5" ht="15.75" customHeight="1">
      <c r="A5" s="41" t="inlineStr">
        <is>
          <t>Lợi nhuận trước thuế kế hoạch</t>
        </is>
      </c>
      <c r="B5" s="42" t="n">
        <v>1640396000000</v>
      </c>
      <c r="C5" s="42" t="n">
        <v>2473882000000</v>
      </c>
      <c r="D5" s="42" t="n">
        <v>2637880000000</v>
      </c>
      <c r="E5" s="42" t="n">
        <v>2474805000000</v>
      </c>
    </row>
    <row r="6" ht="15.75" customHeight="1">
      <c r="A6" s="41" t="inlineStr">
        <is>
          <t>LN trước thuế KH</t>
        </is>
      </c>
      <c r="B6" s="42">
        <f>chi_so_tai_chinh!F50</f>
        <v/>
      </c>
      <c r="C6" s="42">
        <f>chi_so_tai_chinh!G50</f>
        <v/>
      </c>
      <c r="D6" s="42">
        <f>chi_so_tai_chinh!H50</f>
        <v/>
      </c>
      <c r="E6" s="42">
        <f>chi_so_tai_chinh!I50</f>
        <v/>
      </c>
    </row>
    <row r="7" ht="15.75" customHeight="1">
      <c r="A7" s="43" t="inlineStr">
        <is>
          <t>%thực hiện</t>
        </is>
      </c>
      <c r="B7" s="44">
        <f>B6/B5</f>
        <v/>
      </c>
      <c r="C7" s="44">
        <f>C6/C5</f>
        <v/>
      </c>
      <c r="D7" s="44">
        <f>D6/D5</f>
        <v/>
      </c>
      <c r="E7" s="44">
        <f>E6/E5</f>
        <v/>
      </c>
    </row>
    <row r="8" ht="15.75" customHeight="1">
      <c r="A8" s="41" t="inlineStr">
        <is>
          <t>Lợi nhuận sau thuế kế hoạch</t>
        </is>
      </c>
      <c r="B8" s="42" t="n">
        <v>1319573000000</v>
      </c>
      <c r="C8" s="42" t="n">
        <v>1937198000000</v>
      </c>
      <c r="D8" s="42" t="n">
        <v>2089201000000</v>
      </c>
      <c r="E8" s="42" t="n">
        <v>1959650000000</v>
      </c>
    </row>
    <row r="9" ht="15.75" customHeight="1">
      <c r="A9" s="41" t="inlineStr">
        <is>
          <t>LNST thực hiện</t>
        </is>
      </c>
      <c r="B9" s="42">
        <f>chi_so_tai_chinh!F51</f>
        <v/>
      </c>
      <c r="C9" s="42">
        <f>chi_so_tai_chinh!G51</f>
        <v/>
      </c>
      <c r="D9" s="42">
        <f>chi_so_tai_chinh!H51</f>
        <v/>
      </c>
      <c r="E9" s="42">
        <f>chi_so_tai_chinh!I51</f>
        <v/>
      </c>
    </row>
    <row r="10" ht="15.75" customHeight="1">
      <c r="A10" s="43" t="inlineStr">
        <is>
          <t>%thực hiện</t>
        </is>
      </c>
      <c r="B10" s="44">
        <f>B9/B8</f>
        <v/>
      </c>
      <c r="C10" s="44">
        <f>C9/C8</f>
        <v/>
      </c>
      <c r="D10" s="44">
        <f>D9/D8</f>
        <v/>
      </c>
      <c r="E10" s="44">
        <f>E9/E8</f>
        <v/>
      </c>
    </row>
    <row r="11" ht="15" customHeight="1">
      <c r="A11" s="41" t="n"/>
      <c r="B11" s="41" t="n"/>
      <c r="C11" s="41" t="n"/>
      <c r="D11" s="41" t="n"/>
      <c r="E11" s="41" t="n"/>
    </row>
    <row r="12" ht="15" customHeight="1">
      <c r="A12" s="41" t="n"/>
      <c r="B12" s="41" t="n"/>
      <c r="C12" s="41" t="n"/>
      <c r="D12" s="41" t="n"/>
      <c r="E12" s="41" t="n"/>
    </row>
    <row r="13" ht="15.75" customHeight="1">
      <c r="A13" s="43" t="inlineStr">
        <is>
          <t>Trung vị %thực hiện DT</t>
        </is>
      </c>
      <c r="B13" s="44">
        <f>MEDIAN(B4:D4)</f>
        <v/>
      </c>
      <c r="C13" s="41" t="n"/>
      <c r="D13" s="41" t="n"/>
      <c r="E13" s="41" t="n"/>
    </row>
    <row r="14" ht="15.75" customHeight="1">
      <c r="A14" s="43" t="inlineStr">
        <is>
          <t>Trung vị %thực hiện LNTT</t>
        </is>
      </c>
      <c r="B14" s="44">
        <f>MEDIAN(B7:D7)</f>
        <v/>
      </c>
      <c r="C14" s="41" t="n"/>
      <c r="D14" s="41" t="n"/>
      <c r="E14" s="41" t="n"/>
    </row>
    <row r="15" ht="15.75" customHeight="1">
      <c r="A15" s="43" t="inlineStr">
        <is>
          <t>Trung vị %thực hiện LNST</t>
        </is>
      </c>
      <c r="B15" s="44">
        <f>MEDIAN(B10:D10)</f>
        <v/>
      </c>
      <c r="C15" s="41" t="n"/>
      <c r="D15" s="41" t="n"/>
      <c r="E15" s="41" t="n"/>
    </row>
    <row r="16" ht="15" customHeight="1">
      <c r="A16" s="41" t="n"/>
      <c r="B16" s="41" t="n"/>
      <c r="C16" s="41" t="n"/>
      <c r="D16" s="41" t="n"/>
      <c r="E16" s="41" t="n"/>
    </row>
    <row r="17" ht="15" customHeight="1">
      <c r="A17" s="41" t="inlineStr">
        <is>
          <t>Tỷ lệ hoàn thành DT trên 95%</t>
        </is>
      </c>
      <c r="B17" s="45">
        <f>COUNTIF(B4:F4,"&gt;=95%")/COUNT(B4:F4)</f>
        <v/>
      </c>
      <c r="C17" s="41" t="n"/>
      <c r="D17" s="41" t="n"/>
      <c r="E17" s="41" t="n"/>
    </row>
    <row r="18" ht="15" customHeight="1">
      <c r="A18" s="41" t="inlineStr">
        <is>
          <t>Tỷ lệ hoàn thành LNST trên 95%</t>
        </is>
      </c>
      <c r="B18" s="45">
        <f>COUNTIF(B7:F7,"&gt;=95%")/COUNT(B7:F7)</f>
        <v/>
      </c>
      <c r="C18" s="41" t="n"/>
      <c r="D18" s="41" t="n"/>
      <c r="E18" s="41" t="n"/>
    </row>
    <row r="19" ht="15" customHeight="1">
      <c r="A19" s="41" t="inlineStr">
        <is>
          <t>Tỷ lệ hoàn thành LNTT trên 95%</t>
        </is>
      </c>
      <c r="B19" s="45">
        <f>COUNTIF(B10:F10,"&gt;=95%")/COUNT(B10:F10)</f>
        <v/>
      </c>
      <c r="C19" s="41" t="n"/>
      <c r="D19" s="41" t="n"/>
      <c r="E19" s="41" t="n"/>
    </row>
  </sheetData>
  <conditionalFormatting sqref="B13:B15">
    <cfRule type="cellIs" priority="1" operator="greaterThanOrEqual" dxfId="3">
      <formula>1</formula>
    </cfRule>
  </conditionalFormatting>
  <conditionalFormatting sqref="B4:E4">
    <cfRule type="cellIs" priority="4" operator="greaterThanOrEqual" dxfId="3">
      <formula>1</formula>
    </cfRule>
  </conditionalFormatting>
  <conditionalFormatting sqref="B7:E7">
    <cfRule type="cellIs" priority="3" operator="greaterThanOrEqual" dxfId="3">
      <formula>1</formula>
    </cfRule>
  </conditionalFormatting>
  <conditionalFormatting sqref="B10:E10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2026-09-23T03:38:29Z</dcterms:created>
  <dcterms:modified xsi:type="dcterms:W3CDTF">2026-09-23T03:38:29Z</dcterms:modified>
</cp:coreProperties>
</file>
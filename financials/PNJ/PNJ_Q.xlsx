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50" windowWidth="12000" windowHeight="6450" tabRatio="600" firstSheet="2" activeTab="3" autoFilterDateGrouping="1"/>
  </bookViews>
  <sheets>
    <sheet name="balance_sheet" sheetId="1" state="visible" r:id="rId1"/>
    <sheet name="income_statement" sheetId="2" state="visible" r:id="rId2"/>
    <sheet name="cash_flow" sheetId="3" state="visible" r:id="rId3"/>
    <sheet name="chi_so_tai_chinh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\(#,##0\);\-"/>
    <numFmt numFmtId="166" formatCode="0.00\x"/>
    <numFmt numFmtId="167" formatCode="#,##0;\(#,##0\);&quot;-&quot;"/>
    <numFmt numFmtId="168" formatCode="#,##0;(#,##0);&quot;-&quot;"/>
  </numFmts>
  <fonts count="16">
    <font>
      <name val="Arial"/>
      <family val="2"/>
      <color theme="1"/>
      <sz val="11"/>
      <scheme val="minor"/>
    </font>
    <font>
      <name val="Tahoma"/>
      <charset val="1"/>
      <family val="2"/>
      <b val="1"/>
      <sz val="10"/>
    </font>
    <font>
      <name val="Tahoma"/>
      <charset val="1"/>
      <family val="2"/>
      <sz val="10"/>
    </font>
    <font>
      <name val="Tahoma"/>
      <charset val="1"/>
      <family val="2"/>
      <color theme="1"/>
      <sz val="10"/>
    </font>
    <font>
      <name val="Tahoma"/>
      <charset val="1"/>
      <family val="2"/>
      <color rgb="FF008000"/>
      <sz val="10"/>
    </font>
    <font>
      <name val="Tahoma"/>
      <charset val="1"/>
      <family val="2"/>
      <b val="1"/>
      <color theme="1"/>
      <sz val="10"/>
    </font>
    <font>
      <name val="Arial"/>
      <family val="2"/>
      <color theme="1"/>
      <sz val="11"/>
      <scheme val="minor"/>
    </font>
    <font>
      <name val="Tahoma"/>
      <family val="2"/>
      <color theme="1"/>
      <sz val="10"/>
    </font>
    <font>
      <name val="Arial"/>
      <family val="2"/>
      <b val="1"/>
      <color theme="1"/>
      <sz val="11"/>
      <scheme val="minor"/>
    </font>
    <font>
      <name val="Tahoma"/>
      <family val="2"/>
      <b val="1"/>
      <sz val="10"/>
    </font>
    <font>
      <name val="Tahoma"/>
      <charset val="1"/>
      <family val="2"/>
      <b val="1"/>
      <color rgb="FF008000"/>
      <sz val="10"/>
    </font>
    <font>
      <name val="Tahoma"/>
      <family val="2"/>
      <b val="1"/>
      <color rgb="FF7030A0"/>
      <sz val="10"/>
    </font>
    <font>
      <name val="Tahoma"/>
      <b val="1"/>
      <color rgb="FFFFFFFF"/>
      <sz val="11"/>
    </font>
    <font>
      <name val="Tahoma"/>
      <sz val="10"/>
    </font>
    <font>
      <name val="Tahoma"/>
      <family val="2"/>
      <color rgb="FF000000"/>
      <sz val="10"/>
    </font>
    <font>
      <name val="Tahoma"/>
      <b val="1"/>
      <color rgb="00FFFFFF"/>
    </font>
  </fonts>
  <fills count="7">
    <fill>
      <patternFill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1F4E78"/>
      </patternFill>
    </fill>
    <fill>
      <patternFill patternType="solid">
        <fgColor theme="5" tint="0.7999816888943144"/>
        <bgColor rgb="FFFBE4D5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6" fillId="0" borderId="0"/>
    <xf numFmtId="9" fontId="6" fillId="0" borderId="0"/>
  </cellStyleXfs>
  <cellXfs count="40">
    <xf numFmtId="0" fontId="0" fillId="0" borderId="0" pivotButton="0" quotePrefix="0" xfId="0"/>
    <xf numFmtId="0" fontId="1" fillId="0" borderId="1" pivotButton="0" quotePrefix="0" xfId="0"/>
    <xf numFmtId="1" fontId="1" fillId="0" borderId="1" applyAlignment="1" pivotButton="0" quotePrefix="0" xfId="0">
      <alignment horizontal="center"/>
    </xf>
    <xf numFmtId="0" fontId="2" fillId="0" borderId="1" pivotButton="0" quotePrefix="0" xfId="0"/>
    <xf numFmtId="0" fontId="5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" fontId="3" fillId="0" borderId="1" pivotButton="0" quotePrefix="0" xfId="0"/>
    <xf numFmtId="0" fontId="1" fillId="3" borderId="1" pivotButton="0" quotePrefix="0" xfId="0"/>
    <xf numFmtId="1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2" borderId="1" pivotButton="0" quotePrefix="0" xfId="0"/>
    <xf numFmtId="0" fontId="3" fillId="2" borderId="1" pivotButton="0" quotePrefix="0" xfId="0"/>
    <xf numFmtId="165" fontId="4" fillId="0" borderId="1" pivotButton="0" quotePrefix="0" xfId="0"/>
    <xf numFmtId="0" fontId="9" fillId="0" borderId="1" pivotButton="0" quotePrefix="0" xfId="0"/>
    <xf numFmtId="0" fontId="9" fillId="0" borderId="2" pivotButton="0" quotePrefix="0" xfId="0"/>
    <xf numFmtId="165" fontId="10" fillId="0" borderId="1" pivotButton="0" quotePrefix="0" xfId="0"/>
    <xf numFmtId="0" fontId="8" fillId="0" borderId="0" pivotButton="0" quotePrefix="0" xfId="0"/>
    <xf numFmtId="0" fontId="11" fillId="0" borderId="1" pivotButton="0" quotePrefix="0" xfId="0"/>
    <xf numFmtId="9" fontId="11" fillId="0" borderId="1" pivotButton="0" quotePrefix="0" xfId="1"/>
    <xf numFmtId="0" fontId="12" fillId="4" borderId="3" applyAlignment="1" pivotButton="0" quotePrefix="0" xfId="0">
      <alignment horizontal="left"/>
    </xf>
    <xf numFmtId="0" fontId="12" fillId="4" borderId="3" applyAlignment="1" pivotButton="0" quotePrefix="0" xfId="0">
      <alignment horizontal="center"/>
    </xf>
    <xf numFmtId="0" fontId="13" fillId="0" borderId="3" pivotButton="0" quotePrefix="0" xfId="0"/>
    <xf numFmtId="167" fontId="13" fillId="0" borderId="3" pivotButton="0" quotePrefix="0" xfId="0"/>
    <xf numFmtId="164" fontId="14" fillId="3" borderId="1" pivotButton="0" quotePrefix="0" xfId="0"/>
    <xf numFmtId="9" fontId="7" fillId="5" borderId="1" pivotButton="0" quotePrefix="0" xfId="0"/>
    <xf numFmtId="9" fontId="14" fillId="3" borderId="1" pivotButton="0" quotePrefix="0" xfId="0"/>
    <xf numFmtId="1" fontId="14" fillId="3" borderId="1" pivotButton="0" quotePrefix="0" xfId="0"/>
    <xf numFmtId="0" fontId="15" fillId="6" borderId="4" applyAlignment="1" pivotButton="0" quotePrefix="0" xfId="0">
      <alignment horizontal="left"/>
    </xf>
    <xf numFmtId="0" fontId="15" fillId="6" borderId="4" applyAlignment="1" pivotButton="0" quotePrefix="0" xfId="0">
      <alignment horizontal="center"/>
    </xf>
    <xf numFmtId="0" fontId="13" fillId="0" borderId="4" pivotButton="0" quotePrefix="0" xfId="0"/>
    <xf numFmtId="168" fontId="13" fillId="0" borderId="4" pivotButton="0" quotePrefix="0" xfId="0"/>
    <xf numFmtId="164" fontId="14" fillId="3" borderId="1" pivotButton="0" quotePrefix="0" xfId="0"/>
    <xf numFmtId="165" fontId="4" fillId="0" borderId="1" pivotButton="0" quotePrefix="0" xfId="0"/>
    <xf numFmtId="165" fontId="10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</cellXfs>
  <cellStyles count="2">
    <cellStyle name="Normal" xfId="0" builtinId="0"/>
    <cellStyle name="Percent" xfId="1" builtinId="5"/>
  </cellStyles>
  <dxfs count="32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9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0" t="inlineStr">
        <is>
          <t>item</t>
        </is>
      </c>
      <c r="B1" s="31" t="inlineStr">
        <is>
          <t>2018-Q1</t>
        </is>
      </c>
      <c r="C1" s="31" t="inlineStr">
        <is>
          <t>2018-Q2</t>
        </is>
      </c>
      <c r="D1" s="31" t="inlineStr">
        <is>
          <t>2018-Q3</t>
        </is>
      </c>
      <c r="E1" s="31" t="inlineStr">
        <is>
          <t>2018-Q4</t>
        </is>
      </c>
      <c r="F1" s="31" t="inlineStr">
        <is>
          <t>2024-Q3</t>
        </is>
      </c>
      <c r="G1" s="31" t="inlineStr">
        <is>
          <t>2024-Q4</t>
        </is>
      </c>
      <c r="H1" s="31" t="inlineStr">
        <is>
          <t>2025-Q1</t>
        </is>
      </c>
      <c r="I1" s="31" t="inlineStr">
        <is>
          <t>2025-Q2</t>
        </is>
      </c>
      <c r="J1" s="31" t="inlineStr">
        <is>
          <t>2025-Q3</t>
        </is>
      </c>
      <c r="K1" s="31" t="inlineStr">
        <is>
          <t>2025-Q4</t>
        </is>
      </c>
      <c r="L1" s="31" t="inlineStr">
        <is>
          <t>2026-Q1</t>
        </is>
      </c>
      <c r="M1" s="31" t="inlineStr">
        <is>
          <t>2026-Q2</t>
        </is>
      </c>
    </row>
    <row r="2">
      <c r="A2" s="32" t="inlineStr">
        <is>
          <t>TÀI SẢN NGẮN HẠN</t>
        </is>
      </c>
      <c r="B2" s="33" t="n">
        <v>3872677138687</v>
      </c>
      <c r="C2" s="33" t="n">
        <v>4233070851415</v>
      </c>
      <c r="D2" s="33" t="n">
        <v>4491049840793</v>
      </c>
      <c r="E2" s="33" t="n">
        <v>5280216054578</v>
      </c>
      <c r="F2" s="33" t="n">
        <v>13535308084055</v>
      </c>
      <c r="G2" s="33" t="n">
        <v>15692597267632</v>
      </c>
      <c r="H2" s="33" t="n">
        <v>15949659613642</v>
      </c>
      <c r="I2" s="33" t="n">
        <v>15713933648138</v>
      </c>
      <c r="J2" s="33" t="n">
        <v>15664103070660</v>
      </c>
      <c r="K2" s="33" t="n">
        <v>18614031193890</v>
      </c>
      <c r="L2" s="33" t="n">
        <v>18163447994797</v>
      </c>
      <c r="M2" s="33" t="n">
        <v>19478579795452</v>
      </c>
    </row>
    <row r="3">
      <c r="A3" s="32" t="inlineStr">
        <is>
          <t>Tiền và tương đương tiền</t>
        </is>
      </c>
      <c r="B3" s="33" t="n">
        <v>81899944010</v>
      </c>
      <c r="C3" s="33" t="n">
        <v>96738062787</v>
      </c>
      <c r="D3" s="33" t="n">
        <v>117587302131</v>
      </c>
      <c r="E3" s="33" t="n">
        <v>206721179629</v>
      </c>
      <c r="F3" s="33" t="n">
        <v>1396669666014</v>
      </c>
      <c r="G3" s="33" t="n">
        <v>1122712392130</v>
      </c>
      <c r="H3" s="33" t="n">
        <v>256848695849</v>
      </c>
      <c r="I3" s="33" t="n">
        <v>346404312952</v>
      </c>
      <c r="J3" s="33" t="n">
        <v>584695579192</v>
      </c>
      <c r="K3" s="33" t="n">
        <v>522025257031</v>
      </c>
      <c r="L3" s="33" t="n">
        <v>923543256525</v>
      </c>
      <c r="M3" s="33" t="n">
        <v>608657296667</v>
      </c>
    </row>
    <row r="4">
      <c r="A4" s="32" t="inlineStr">
        <is>
          <t>Tiền</t>
        </is>
      </c>
      <c r="B4" s="33" t="n">
        <v>81899944010</v>
      </c>
      <c r="C4" s="33" t="n">
        <v>96738062787</v>
      </c>
      <c r="D4" s="33" t="n">
        <v>117587302131</v>
      </c>
      <c r="E4" s="33" t="n">
        <v>206721179629</v>
      </c>
      <c r="F4" s="33" t="n">
        <v>996669666014</v>
      </c>
      <c r="G4" s="33" t="n">
        <v>1022712392130</v>
      </c>
      <c r="H4" s="33" t="n">
        <v>256848695849</v>
      </c>
      <c r="I4" s="33" t="n">
        <v>339404312952</v>
      </c>
      <c r="J4" s="33" t="n">
        <v>542695579192</v>
      </c>
      <c r="K4" s="33" t="n">
        <v>438425257031</v>
      </c>
      <c r="L4" s="33" t="n">
        <v>494094441452</v>
      </c>
      <c r="M4" s="33" t="n">
        <v>599130683660</v>
      </c>
    </row>
    <row r="5">
      <c r="A5" s="32" t="inlineStr">
        <is>
          <t>Các khoản tương đương tiền</t>
        </is>
      </c>
      <c r="B5" s="33" t="n">
        <v>0</v>
      </c>
      <c r="C5" s="33" t="n">
        <v>0</v>
      </c>
      <c r="D5" s="33" t="n">
        <v>0</v>
      </c>
      <c r="E5" s="33" t="n">
        <v>0</v>
      </c>
      <c r="F5" s="33" t="n">
        <v>400000000000</v>
      </c>
      <c r="G5" s="33" t="n">
        <v>100000000000</v>
      </c>
      <c r="H5" s="33" t="n">
        <v>0</v>
      </c>
      <c r="I5" s="33" t="n">
        <v>7000000000</v>
      </c>
      <c r="J5" s="33" t="n">
        <v>42000000000</v>
      </c>
      <c r="K5" s="33" t="n">
        <v>83600000000</v>
      </c>
      <c r="L5" s="33" t="n">
        <v>429448815073</v>
      </c>
      <c r="M5" s="33" t="n">
        <v>9526613007</v>
      </c>
    </row>
    <row r="6">
      <c r="A6" s="32" t="inlineStr">
        <is>
          <t>Đầu tư ngắn hạn</t>
        </is>
      </c>
      <c r="B6" s="33" t="n">
        <v>0</v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98921673893</v>
      </c>
      <c r="J6" s="33" t="n">
        <v>99289134416</v>
      </c>
      <c r="K6" s="33" t="n">
        <v>97918137408</v>
      </c>
      <c r="L6" s="33" t="n">
        <v>99074794328</v>
      </c>
      <c r="M6" s="33" t="n">
        <v>99074794328</v>
      </c>
    </row>
    <row r="7">
      <c r="A7" s="32" t="inlineStr">
        <is>
          <t>Đầu tư ngắn hạn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</row>
    <row r="8">
      <c r="A8" s="32" t="inlineStr">
        <is>
          <t>Dự phòng giảm giá</t>
        </is>
      </c>
      <c r="B8" s="33" t="n">
        <v>0</v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</row>
    <row r="9">
      <c r="A9" s="32" t="inlineStr">
        <is>
          <t>Các khoản phải thu</t>
        </is>
      </c>
      <c r="B9" s="33" t="n">
        <v>108604897949</v>
      </c>
      <c r="C9" s="33" t="n">
        <v>125498489397</v>
      </c>
      <c r="D9" s="33" t="n">
        <v>171250035910</v>
      </c>
      <c r="E9" s="33" t="n">
        <v>175780393688</v>
      </c>
      <c r="F9" s="33" t="n">
        <v>278283783093</v>
      </c>
      <c r="G9" s="33" t="n">
        <v>401134922152</v>
      </c>
      <c r="H9" s="33" t="n">
        <v>304632445702</v>
      </c>
      <c r="I9" s="33" t="n">
        <v>166359422956</v>
      </c>
      <c r="J9" s="33" t="n">
        <v>259873714991</v>
      </c>
      <c r="K9" s="33" t="n">
        <v>153980309545</v>
      </c>
      <c r="L9" s="33" t="n">
        <v>147751795669</v>
      </c>
      <c r="M9" s="33" t="n">
        <v>203761182255</v>
      </c>
    </row>
    <row r="10">
      <c r="A10" s="32" t="inlineStr">
        <is>
          <t>Phải thu khách hàng</t>
        </is>
      </c>
      <c r="B10" s="33" t="n">
        <v>52858316685</v>
      </c>
      <c r="C10" s="33" t="n">
        <v>43292478993</v>
      </c>
      <c r="D10" s="33" t="n">
        <v>68342873558</v>
      </c>
      <c r="E10" s="33" t="n">
        <v>79066643790</v>
      </c>
      <c r="F10" s="33" t="n">
        <v>124556827222</v>
      </c>
      <c r="G10" s="33" t="n">
        <v>70851635761</v>
      </c>
      <c r="H10" s="33" t="n">
        <v>104257111442</v>
      </c>
      <c r="I10" s="33" t="n">
        <v>55983103364</v>
      </c>
      <c r="J10" s="33" t="n">
        <v>106384593691</v>
      </c>
      <c r="K10" s="33" t="n">
        <v>48760415990</v>
      </c>
      <c r="L10" s="33" t="n">
        <v>70317151861</v>
      </c>
      <c r="M10" s="33" t="n">
        <v>46832069007</v>
      </c>
    </row>
    <row r="11">
      <c r="A11" s="32" t="inlineStr">
        <is>
          <t>Trả trước người bán</t>
        </is>
      </c>
      <c r="B11" s="33" t="n">
        <v>44366799350</v>
      </c>
      <c r="C11" s="33" t="n">
        <v>50739682013</v>
      </c>
      <c r="D11" s="33" t="n">
        <v>55978181269</v>
      </c>
      <c r="E11" s="33" t="n">
        <v>57981679200</v>
      </c>
      <c r="F11" s="33" t="n">
        <v>93239686351</v>
      </c>
      <c r="G11" s="33" t="n">
        <v>253102611434</v>
      </c>
      <c r="H11" s="33" t="n">
        <v>117957363803</v>
      </c>
      <c r="I11" s="33" t="n">
        <v>52739479784</v>
      </c>
      <c r="J11" s="33" t="n">
        <v>58899696598</v>
      </c>
      <c r="K11" s="33" t="n">
        <v>38085152243</v>
      </c>
      <c r="L11" s="33" t="n">
        <v>31524838891</v>
      </c>
      <c r="M11" s="33" t="n">
        <v>113056995549</v>
      </c>
    </row>
    <row r="12">
      <c r="A12" s="32" t="inlineStr">
        <is>
          <t>Phải thu nội bộ</t>
        </is>
      </c>
      <c r="B12" s="33" t="n">
        <v>0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  <c r="I12" s="33" t="n">
        <v>0</v>
      </c>
      <c r="J12" s="33" t="n">
        <v>0</v>
      </c>
      <c r="K12" s="33" t="n">
        <v>0</v>
      </c>
      <c r="L12" s="33" t="n">
        <v>0</v>
      </c>
      <c r="M12" s="33" t="n">
        <v>0</v>
      </c>
    </row>
    <row r="13">
      <c r="A13" s="32" t="inlineStr">
        <is>
          <t>Phải thu hợp đồng xây dựng đang thực hiện</t>
        </is>
      </c>
      <c r="B13" s="33" t="n">
        <v>0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</row>
    <row r="14">
      <c r="A14" s="32" t="inlineStr">
        <is>
          <t>Phải thu khác</t>
        </is>
      </c>
      <c r="B14" s="33" t="n">
        <v>11323958943</v>
      </c>
      <c r="C14" s="33" t="n">
        <v>30841097634</v>
      </c>
      <c r="D14" s="33" t="n">
        <v>46706677475</v>
      </c>
      <c r="E14" s="33" t="n">
        <v>36637359679</v>
      </c>
      <c r="F14" s="33" t="n">
        <v>28470072863</v>
      </c>
      <c r="G14" s="33" t="n">
        <v>64867442121</v>
      </c>
      <c r="H14" s="33" t="n">
        <v>70657918746</v>
      </c>
      <c r="I14" s="33" t="n">
        <v>86021100245</v>
      </c>
      <c r="J14" s="33" t="n">
        <v>82869872822</v>
      </c>
      <c r="K14" s="33" t="n">
        <v>90681158676</v>
      </c>
      <c r="L14" s="33" t="n">
        <v>77663271162</v>
      </c>
      <c r="M14" s="33" t="n">
        <v>75756807090</v>
      </c>
    </row>
    <row r="15">
      <c r="A15" s="32" t="inlineStr">
        <is>
          <t>Dự phòng nợ khó đòi</t>
        </is>
      </c>
      <c r="B15" s="33" t="n">
        <v>0</v>
      </c>
      <c r="C15" s="33" t="n">
        <v>0</v>
      </c>
      <c r="D15" s="33" t="n">
        <v>0</v>
      </c>
      <c r="E15" s="33" t="n">
        <v>0</v>
      </c>
      <c r="F15" s="33" t="n">
        <v>-8345709869</v>
      </c>
      <c r="G15" s="33" t="n">
        <v>-28518444279</v>
      </c>
      <c r="H15" s="33" t="n">
        <v>-28518444279</v>
      </c>
      <c r="I15" s="33" t="n">
        <v>-28518444279</v>
      </c>
      <c r="J15" s="33" t="n">
        <v>-28531587387</v>
      </c>
      <c r="K15" s="33" t="n">
        <v>-31918617346</v>
      </c>
      <c r="L15" s="33" t="n">
        <v>-31918617346</v>
      </c>
      <c r="M15" s="33" t="n">
        <v>-31918617346</v>
      </c>
    </row>
    <row r="16">
      <c r="A16" s="32" t="inlineStr">
        <is>
          <t>Hàng tồn kho, ròng</t>
        </is>
      </c>
      <c r="B16" s="33" t="n">
        <v>3607975543026</v>
      </c>
      <c r="C16" s="33" t="n">
        <v>3936094231986</v>
      </c>
      <c r="D16" s="33" t="n">
        <v>4124177973673</v>
      </c>
      <c r="E16" s="33" t="n">
        <v>4815524650057</v>
      </c>
      <c r="F16" s="33" t="n">
        <v>10801601688892</v>
      </c>
      <c r="G16" s="33" t="n">
        <v>13015170477311</v>
      </c>
      <c r="H16" s="33" t="n">
        <v>13647265729372</v>
      </c>
      <c r="I16" s="33" t="n">
        <v>13708719465746</v>
      </c>
      <c r="J16" s="33" t="n">
        <v>12448786823997</v>
      </c>
      <c r="K16" s="33" t="n">
        <v>15835334529837</v>
      </c>
      <c r="L16" s="33" t="n">
        <v>13419012225443</v>
      </c>
      <c r="M16" s="33" t="n">
        <v>15186576809971</v>
      </c>
    </row>
    <row r="17">
      <c r="A17" s="32" t="inlineStr">
        <is>
          <t>Hàng tồn kho</t>
        </is>
      </c>
      <c r="B17" s="33" t="n">
        <v>3607975543026</v>
      </c>
      <c r="C17" s="33" t="n">
        <v>3936094231986</v>
      </c>
      <c r="D17" s="33" t="n">
        <v>4124177973673</v>
      </c>
      <c r="E17" s="33" t="n">
        <v>4815524650057</v>
      </c>
      <c r="F17" s="33" t="n">
        <v>10849406684029</v>
      </c>
      <c r="G17" s="33" t="n">
        <v>13074586927914</v>
      </c>
      <c r="H17" s="33" t="n">
        <v>13705778487258</v>
      </c>
      <c r="I17" s="33" t="n">
        <v>13753709950595</v>
      </c>
      <c r="J17" s="33" t="n">
        <v>12494991997766</v>
      </c>
      <c r="K17" s="33" t="n">
        <v>15881309718303</v>
      </c>
      <c r="L17" s="33" t="n">
        <v>13461111273984</v>
      </c>
      <c r="M17" s="33" t="n">
        <v>16603412089455</v>
      </c>
    </row>
    <row r="18">
      <c r="A18" s="32" t="inlineStr">
        <is>
          <t>Dự phòng giảm giá hàng tồn kho</t>
        </is>
      </c>
      <c r="B18" s="33" t="n">
        <v>0</v>
      </c>
      <c r="C18" s="33" t="n">
        <v>0</v>
      </c>
      <c r="D18" s="33" t="n">
        <v>0</v>
      </c>
      <c r="E18" s="33" t="n">
        <v>0</v>
      </c>
      <c r="F18" s="33" t="n">
        <v>-47804995137</v>
      </c>
      <c r="G18" s="33" t="n">
        <v>-59416450603</v>
      </c>
      <c r="H18" s="33" t="n">
        <v>-58512757886</v>
      </c>
      <c r="I18" s="33" t="n">
        <v>-44990484849</v>
      </c>
      <c r="J18" s="33" t="n">
        <v>-46205173769</v>
      </c>
      <c r="K18" s="33" t="n">
        <v>-45975188466</v>
      </c>
      <c r="L18" s="33" t="n">
        <v>-42099048541</v>
      </c>
      <c r="M18" s="33" t="n">
        <v>-1416835279484</v>
      </c>
    </row>
    <row r="19">
      <c r="A19" s="32" t="inlineStr">
        <is>
          <t>Tài sản lưu động khác</t>
        </is>
      </c>
      <c r="B19" s="33" t="n">
        <v>0</v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0</v>
      </c>
      <c r="H19" s="33" t="n">
        <v>0</v>
      </c>
      <c r="I19" s="33" t="n">
        <v>0</v>
      </c>
      <c r="J19" s="33" t="n">
        <v>0</v>
      </c>
      <c r="K19" s="33" t="n">
        <v>0</v>
      </c>
      <c r="L19" s="33" t="n">
        <v>170838603</v>
      </c>
      <c r="M19" s="33" t="n">
        <v>171335736</v>
      </c>
    </row>
    <row r="20">
      <c r="A20" s="32" t="inlineStr">
        <is>
          <t>Chi phí trả trước ngắn hạn</t>
        </is>
      </c>
      <c r="B20" s="33" t="n">
        <v>63568914271</v>
      </c>
      <c r="C20" s="33" t="n">
        <v>73812319458</v>
      </c>
      <c r="D20" s="33" t="n">
        <v>74771861813</v>
      </c>
      <c r="E20" s="33" t="n">
        <v>74326002109</v>
      </c>
      <c r="F20" s="33" t="n">
        <v>107433834921</v>
      </c>
      <c r="G20" s="33" t="n">
        <v>132726608716</v>
      </c>
      <c r="H20" s="33" t="n">
        <v>119723868238</v>
      </c>
      <c r="I20" s="33" t="n">
        <v>122958860744</v>
      </c>
      <c r="J20" s="33" t="n">
        <v>121247159338</v>
      </c>
      <c r="K20" s="33" t="n">
        <v>94862372660</v>
      </c>
      <c r="L20" s="33" t="n">
        <v>86102687044</v>
      </c>
      <c r="M20" s="33" t="n">
        <v>85435422839</v>
      </c>
    </row>
    <row r="21">
      <c r="A21" s="32" t="inlineStr">
        <is>
          <t>Thuế GTGT được khấu trừ</t>
        </is>
      </c>
      <c r="B21" s="33" t="n">
        <v>140428998</v>
      </c>
      <c r="C21" s="33" t="n">
        <v>17710481</v>
      </c>
      <c r="D21" s="33" t="n">
        <v>225278740</v>
      </c>
      <c r="E21" s="33" t="n">
        <v>643511019</v>
      </c>
      <c r="F21" s="33" t="n">
        <v>1149111135</v>
      </c>
      <c r="G21" s="33" t="n">
        <v>682867323</v>
      </c>
      <c r="H21" s="33" t="n">
        <v>463222626</v>
      </c>
      <c r="I21" s="33" t="n">
        <v>399911847</v>
      </c>
      <c r="J21" s="33" t="n">
        <v>318803713</v>
      </c>
      <c r="K21" s="33" t="n">
        <v>234579085</v>
      </c>
      <c r="L21" s="33" t="n">
        <v>447316184</v>
      </c>
      <c r="M21" s="33" t="n">
        <v>638288200</v>
      </c>
    </row>
    <row r="22">
      <c r="A22" s="32" t="inlineStr">
        <is>
          <t>Phải thu thuế khác</t>
        </is>
      </c>
      <c r="B22" s="33" t="n">
        <v>10422410433</v>
      </c>
      <c r="C22" s="33" t="n">
        <v>845037306</v>
      </c>
      <c r="D22" s="33" t="n">
        <v>3037388526</v>
      </c>
      <c r="E22" s="33" t="n">
        <v>7220318076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2721855013</v>
      </c>
      <c r="K22" s="33" t="n">
        <v>106008324</v>
      </c>
      <c r="L22" s="33" t="n">
        <v>11499299</v>
      </c>
      <c r="M22" s="33" t="n">
        <v>11499299</v>
      </c>
    </row>
    <row r="23">
      <c r="A23" s="32" t="inlineStr">
        <is>
          <t>Tài sản lưu động khác</t>
        </is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</row>
    <row r="24">
      <c r="A24" s="32" t="inlineStr">
        <is>
          <t>TÀI SẢN DÀI HẠN</t>
        </is>
      </c>
      <c r="B24" s="33" t="n">
        <v>815719289943</v>
      </c>
      <c r="C24" s="33" t="n">
        <v>940610834341</v>
      </c>
      <c r="D24" s="33" t="n">
        <v>990183116721</v>
      </c>
      <c r="E24" s="33" t="n">
        <v>1022969076235</v>
      </c>
      <c r="F24" s="33" t="n">
        <v>1427177199972</v>
      </c>
      <c r="G24" s="33" t="n">
        <v>1515133510053</v>
      </c>
      <c r="H24" s="33" t="n">
        <v>1469657699207</v>
      </c>
      <c r="I24" s="33" t="n">
        <v>1439843389653</v>
      </c>
      <c r="J24" s="33" t="n">
        <v>1386604619560</v>
      </c>
      <c r="K24" s="33" t="n">
        <v>1549599053151</v>
      </c>
      <c r="L24" s="33" t="n">
        <v>1529337560992</v>
      </c>
      <c r="M24" s="33" t="n">
        <v>2117254018864</v>
      </c>
    </row>
    <row r="25">
      <c r="A25" s="32" t="inlineStr">
        <is>
          <t>Phải thu dài hạn</t>
        </is>
      </c>
      <c r="B25" s="33" t="n">
        <v>46243189214</v>
      </c>
      <c r="C25" s="33" t="n">
        <v>49007477674</v>
      </c>
      <c r="D25" s="33" t="n">
        <v>51390752399</v>
      </c>
      <c r="E25" s="33" t="n">
        <v>57498444869</v>
      </c>
      <c r="F25" s="33" t="n">
        <v>113559945788</v>
      </c>
      <c r="G25" s="33" t="n">
        <v>115599492454</v>
      </c>
      <c r="H25" s="33" t="n">
        <v>118129206365</v>
      </c>
      <c r="I25" s="33" t="n">
        <v>117815539075</v>
      </c>
      <c r="J25" s="33" t="n">
        <v>118147518870</v>
      </c>
      <c r="K25" s="33" t="n">
        <v>121168536356</v>
      </c>
      <c r="L25" s="33" t="n">
        <v>120511022383</v>
      </c>
      <c r="M25" s="33" t="n">
        <v>124008434823</v>
      </c>
    </row>
    <row r="26">
      <c r="A26" s="32" t="inlineStr">
        <is>
          <t>Phải thu khách hàng dài hạn</t>
        </is>
      </c>
      <c r="B26" s="33" t="n">
        <v>0</v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</row>
    <row r="27">
      <c r="A27" s="32" t="inlineStr">
        <is>
          <t>Phải thu nội bộ dài hạn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33" t="n">
        <v>0</v>
      </c>
      <c r="I27" s="33" t="n">
        <v>0</v>
      </c>
      <c r="J27" s="33" t="n">
        <v>0</v>
      </c>
      <c r="K27" s="33" t="n">
        <v>0</v>
      </c>
      <c r="L27" s="33" t="n">
        <v>0</v>
      </c>
      <c r="M27" s="33" t="n">
        <v>0</v>
      </c>
    </row>
    <row r="28">
      <c r="A28" s="32" t="inlineStr">
        <is>
          <t>Phải thu dài hạn khác</t>
        </is>
      </c>
      <c r="B28" s="33" t="n">
        <v>46243189214</v>
      </c>
      <c r="C28" s="33" t="n">
        <v>49007477674</v>
      </c>
      <c r="D28" s="33" t="n">
        <v>51390752399</v>
      </c>
      <c r="E28" s="33" t="n">
        <v>57498444869</v>
      </c>
      <c r="F28" s="33" t="n">
        <v>113559945788</v>
      </c>
      <c r="G28" s="33" t="n">
        <v>115599492454</v>
      </c>
      <c r="H28" s="33" t="n">
        <v>118129206365</v>
      </c>
      <c r="I28" s="33" t="n">
        <v>117815539075</v>
      </c>
      <c r="J28" s="33" t="n">
        <v>118147518870</v>
      </c>
      <c r="K28" s="33" t="n">
        <v>121168536356</v>
      </c>
      <c r="L28" s="33" t="n">
        <v>120511022383</v>
      </c>
      <c r="M28" s="33" t="n">
        <v>124008434823</v>
      </c>
    </row>
    <row r="29">
      <c r="A29" s="32" t="inlineStr">
        <is>
          <t>Dự phòng phải thu dài hạn</t>
        </is>
      </c>
      <c r="B29" s="33" t="n">
        <v>0</v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  <c r="M29" s="33" t="n">
        <v>0</v>
      </c>
    </row>
    <row r="30">
      <c r="A30" s="32" t="inlineStr">
        <is>
          <t>Tài sản cố định</t>
        </is>
      </c>
      <c r="B30" s="33" t="n">
        <v>668852820114</v>
      </c>
      <c r="C30" s="33" t="n">
        <v>683360736408</v>
      </c>
      <c r="D30" s="33" t="n">
        <v>684360427987</v>
      </c>
      <c r="E30" s="33" t="n">
        <v>719287274744</v>
      </c>
      <c r="F30" s="33" t="n">
        <v>862234627072</v>
      </c>
      <c r="G30" s="33" t="n">
        <v>857118818527</v>
      </c>
      <c r="H30" s="33" t="n">
        <v>871957813290</v>
      </c>
      <c r="I30" s="33" t="n">
        <v>853355575866</v>
      </c>
      <c r="J30" s="33" t="n">
        <v>864837183955</v>
      </c>
      <c r="K30" s="33" t="n">
        <v>855770473476</v>
      </c>
      <c r="L30" s="33" t="n">
        <v>914701489275</v>
      </c>
      <c r="M30" s="33" t="n">
        <v>919855138482</v>
      </c>
    </row>
    <row r="31">
      <c r="A31" s="32" t="inlineStr">
        <is>
          <t>GTCL TSCĐ hữu hình</t>
        </is>
      </c>
      <c r="B31" s="33" t="n">
        <v>208184182822</v>
      </c>
      <c r="C31" s="33" t="n">
        <v>223173751581</v>
      </c>
      <c r="D31" s="33" t="n">
        <v>224935778959</v>
      </c>
      <c r="E31" s="33" t="n">
        <v>225960569846</v>
      </c>
      <c r="F31" s="33" t="n">
        <v>249140405046</v>
      </c>
      <c r="G31" s="33" t="n">
        <v>248430247930</v>
      </c>
      <c r="H31" s="33" t="n">
        <v>267030503900</v>
      </c>
      <c r="I31" s="33" t="n">
        <v>252699361405</v>
      </c>
      <c r="J31" s="33" t="n">
        <v>242298081088</v>
      </c>
      <c r="K31" s="33" t="n">
        <v>236245161003</v>
      </c>
      <c r="L31" s="33" t="n">
        <v>246222148323</v>
      </c>
      <c r="M31" s="33" t="n">
        <v>252907423029</v>
      </c>
    </row>
    <row r="32">
      <c r="A32" s="32" t="inlineStr">
        <is>
          <t>Nguyên giá TSCĐ hữu hình</t>
        </is>
      </c>
      <c r="B32" s="33" t="n">
        <v>408320249245</v>
      </c>
      <c r="C32" s="33" t="n">
        <v>430114267619</v>
      </c>
      <c r="D32" s="33" t="n">
        <v>442861017336</v>
      </c>
      <c r="E32" s="33" t="n">
        <v>454178423940</v>
      </c>
      <c r="F32" s="33" t="n">
        <v>783123886981</v>
      </c>
      <c r="G32" s="33" t="n">
        <v>796271142120</v>
      </c>
      <c r="H32" s="33" t="n">
        <v>831295971071</v>
      </c>
      <c r="I32" s="33" t="n">
        <v>833097801697</v>
      </c>
      <c r="J32" s="33" t="n">
        <v>839052084137</v>
      </c>
      <c r="K32" s="33" t="n">
        <v>845032678156</v>
      </c>
      <c r="L32" s="33" t="n">
        <v>870508552693</v>
      </c>
      <c r="M32" s="33" t="n">
        <v>890202651648</v>
      </c>
    </row>
    <row r="33">
      <c r="A33" s="32" t="inlineStr">
        <is>
          <t>Khấu hao lũy kế TSCĐ hữu hình</t>
        </is>
      </c>
      <c r="B33" s="33" t="n">
        <v>-200136066423</v>
      </c>
      <c r="C33" s="33" t="n">
        <v>-206940516038</v>
      </c>
      <c r="D33" s="33" t="n">
        <v>-217925238377</v>
      </c>
      <c r="E33" s="33" t="n">
        <v>-228217854094</v>
      </c>
      <c r="F33" s="33" t="n">
        <v>-533983481935</v>
      </c>
      <c r="G33" s="33" t="n">
        <v>-547840894190</v>
      </c>
      <c r="H33" s="33" t="n">
        <v>-564265467171</v>
      </c>
      <c r="I33" s="33" t="n">
        <v>-580398440292</v>
      </c>
      <c r="J33" s="33" t="n">
        <v>-596754003049</v>
      </c>
      <c r="K33" s="33" t="n">
        <v>-608787517153</v>
      </c>
      <c r="L33" s="33" t="n">
        <v>-624286404370</v>
      </c>
      <c r="M33" s="33" t="n">
        <v>-637295228619</v>
      </c>
    </row>
    <row r="34">
      <c r="A34" s="32" t="inlineStr">
        <is>
          <t>GTCL tài sản thuê tài chính</t>
        </is>
      </c>
      <c r="B34" s="33" t="n">
        <v>0</v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</row>
    <row r="35">
      <c r="A35" s="32" t="inlineStr">
        <is>
          <t>Nguyên giá tài sản thuê tài chính</t>
        </is>
      </c>
      <c r="B35" s="33" t="n">
        <v>0</v>
      </c>
      <c r="C35" s="33" t="n">
        <v>0</v>
      </c>
      <c r="D35" s="33" t="n">
        <v>0</v>
      </c>
      <c r="E35" s="33" t="n">
        <v>0</v>
      </c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0</v>
      </c>
    </row>
    <row r="36">
      <c r="A36" s="32" t="inlineStr">
        <is>
          <t>Khấu hao lũy kế tài sản thuê tài chính</t>
        </is>
      </c>
      <c r="B36" s="33" t="n">
        <v>0</v>
      </c>
      <c r="C36" s="33" t="n">
        <v>0</v>
      </c>
      <c r="D36" s="33" t="n">
        <v>0</v>
      </c>
      <c r="E36" s="33" t="n">
        <v>0</v>
      </c>
      <c r="F36" s="33" t="n">
        <v>0</v>
      </c>
      <c r="G36" s="33" t="n">
        <v>0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</row>
    <row r="37">
      <c r="A37" s="32" t="inlineStr">
        <is>
          <t>GTCL tài sản cố định vô hình</t>
        </is>
      </c>
      <c r="B37" s="33" t="n">
        <v>460668637292</v>
      </c>
      <c r="C37" s="33" t="n">
        <v>460186984827</v>
      </c>
      <c r="D37" s="33" t="n">
        <v>459424649028</v>
      </c>
      <c r="E37" s="33" t="n">
        <v>493326704898</v>
      </c>
      <c r="F37" s="33" t="n">
        <v>613094222026</v>
      </c>
      <c r="G37" s="33" t="n">
        <v>608688570597</v>
      </c>
      <c r="H37" s="33" t="n">
        <v>604927309390</v>
      </c>
      <c r="I37" s="33" t="n">
        <v>600656214461</v>
      </c>
      <c r="J37" s="33" t="n">
        <v>622539102867</v>
      </c>
      <c r="K37" s="33" t="n">
        <v>619525312473</v>
      </c>
      <c r="L37" s="33" t="n">
        <v>668479340952</v>
      </c>
      <c r="M37" s="33" t="n">
        <v>666947715453</v>
      </c>
    </row>
    <row r="38">
      <c r="A38" s="32" t="inlineStr">
        <is>
          <t>Nguyên giá TSCĐ vô hình</t>
        </is>
      </c>
      <c r="B38" s="33" t="n">
        <v>466255407873</v>
      </c>
      <c r="C38" s="33" t="n">
        <v>466255407873</v>
      </c>
      <c r="D38" s="33" t="n">
        <v>466255407873</v>
      </c>
      <c r="E38" s="33" t="n">
        <v>499937407873</v>
      </c>
      <c r="F38" s="33" t="n">
        <v>708142194553</v>
      </c>
      <c r="G38" s="33" t="n">
        <v>708142194553</v>
      </c>
      <c r="H38" s="33" t="n">
        <v>708825666553</v>
      </c>
      <c r="I38" s="33" t="n">
        <v>708825666553</v>
      </c>
      <c r="J38" s="33" t="n">
        <v>734954066553</v>
      </c>
      <c r="K38" s="33" t="n">
        <v>734945157553</v>
      </c>
      <c r="L38" s="33" t="n">
        <v>786221455940</v>
      </c>
      <c r="M38" s="33" t="n">
        <v>787210811474</v>
      </c>
    </row>
    <row r="39">
      <c r="A39" s="32" t="inlineStr">
        <is>
          <t>Khấu hao lũy kế TSCĐ vô hình</t>
        </is>
      </c>
      <c r="B39" s="33" t="n">
        <v>-5586770581</v>
      </c>
      <c r="C39" s="33" t="n">
        <v>-6068423046</v>
      </c>
      <c r="D39" s="33" t="n">
        <v>-6830758845</v>
      </c>
      <c r="E39" s="33" t="n">
        <v>-6610702975</v>
      </c>
      <c r="F39" s="33" t="n">
        <v>-95047972527</v>
      </c>
      <c r="G39" s="33" t="n">
        <v>-99453623956</v>
      </c>
      <c r="H39" s="33" t="n">
        <v>-103898357163</v>
      </c>
      <c r="I39" s="33" t="n">
        <v>-108169452092</v>
      </c>
      <c r="J39" s="33" t="n">
        <v>-112414963686</v>
      </c>
      <c r="K39" s="33" t="n">
        <v>-115419845080</v>
      </c>
      <c r="L39" s="33" t="n">
        <v>-117742114988</v>
      </c>
      <c r="M39" s="33" t="n">
        <v>-120263096021</v>
      </c>
    </row>
    <row r="40">
      <c r="A40" s="32" t="inlineStr">
        <is>
          <t>Xây dựng cơ bản đang dang dở (trước 2015)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</row>
    <row r="41">
      <c r="A41" s="32" t="inlineStr">
        <is>
          <t>Giá trị ròng tài sản đầu tư</t>
        </is>
      </c>
      <c r="B41" s="33" t="n">
        <v>0</v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</row>
    <row r="42">
      <c r="A42" s="32" t="inlineStr">
        <is>
          <t>Nguyên giá tài sản đầu tư</t>
        </is>
      </c>
      <c r="B42" s="33" t="n">
        <v>0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</row>
    <row r="43">
      <c r="A43" s="32" t="inlineStr">
        <is>
          <t>Khấu hao lũy kế tài sản đầu tư</t>
        </is>
      </c>
      <c r="B43" s="33" t="n">
        <v>0</v>
      </c>
      <c r="C43" s="33" t="n">
        <v>0</v>
      </c>
      <c r="D43" s="33" t="n">
        <v>0</v>
      </c>
      <c r="E43" s="33" t="n">
        <v>0</v>
      </c>
      <c r="F43" s="33" t="n">
        <v>0</v>
      </c>
      <c r="G43" s="33" t="n">
        <v>0</v>
      </c>
      <c r="H43" s="33" t="n">
        <v>0</v>
      </c>
      <c r="I43" s="33" t="n">
        <v>0</v>
      </c>
      <c r="J43" s="33" t="n">
        <v>0</v>
      </c>
      <c r="K43" s="33" t="n">
        <v>0</v>
      </c>
      <c r="L43" s="33" t="n">
        <v>0</v>
      </c>
      <c r="M43" s="33" t="n">
        <v>0</v>
      </c>
    </row>
    <row r="44">
      <c r="A44" s="32" t="inlineStr">
        <is>
          <t>Đầu tư dài hạn</t>
        </is>
      </c>
      <c r="B44" s="33" t="n">
        <v>0</v>
      </c>
      <c r="C44" s="33" t="n">
        <v>0</v>
      </c>
      <c r="D44" s="33" t="n">
        <v>0</v>
      </c>
      <c r="E44" s="33" t="n">
        <v>0</v>
      </c>
      <c r="F44" s="33" t="n">
        <v>3980000000</v>
      </c>
      <c r="G44" s="33" t="n">
        <v>3980000000</v>
      </c>
      <c r="H44" s="33" t="n">
        <v>3980000000</v>
      </c>
      <c r="I44" s="33" t="n">
        <v>5930000000</v>
      </c>
      <c r="J44" s="33" t="n">
        <v>5930000000</v>
      </c>
      <c r="K44" s="33" t="n">
        <v>5930000000</v>
      </c>
      <c r="L44" s="33" t="n">
        <v>5930000000</v>
      </c>
      <c r="M44" s="33" t="n">
        <v>5930000000</v>
      </c>
    </row>
    <row r="45">
      <c r="A45" s="32" t="inlineStr">
        <is>
          <t>Đầu tư vào các công ty con</t>
        </is>
      </c>
      <c r="B45" s="33" t="n">
        <v>0</v>
      </c>
      <c r="C45" s="33" t="n">
        <v>0</v>
      </c>
      <c r="D45" s="33" t="n">
        <v>0</v>
      </c>
      <c r="E45" s="33" t="n">
        <v>0</v>
      </c>
      <c r="F45" s="33" t="n">
        <v>0</v>
      </c>
      <c r="G45" s="33" t="n">
        <v>0</v>
      </c>
      <c r="H45" s="33" t="n">
        <v>0</v>
      </c>
      <c r="I45" s="33" t="n">
        <v>0</v>
      </c>
      <c r="J45" s="33" t="n">
        <v>0</v>
      </c>
      <c r="K45" s="33" t="n">
        <v>0</v>
      </c>
      <c r="L45" s="33" t="n">
        <v>0</v>
      </c>
      <c r="M45" s="33" t="n">
        <v>0</v>
      </c>
    </row>
    <row r="46">
      <c r="A46" s="32" t="inlineStr">
        <is>
          <t>Đầu tư vào các công ty liên kết</t>
        </is>
      </c>
      <c r="B46" s="33" t="n">
        <v>0</v>
      </c>
      <c r="C46" s="33" t="n">
        <v>0</v>
      </c>
      <c r="D46" s="33" t="n">
        <v>0</v>
      </c>
      <c r="E46" s="33" t="n">
        <v>0</v>
      </c>
      <c r="F46" s="33" t="n">
        <v>0</v>
      </c>
      <c r="G46" s="33" t="n">
        <v>0</v>
      </c>
      <c r="H46" s="33" t="n">
        <v>0</v>
      </c>
      <c r="I46" s="33" t="n">
        <v>0</v>
      </c>
      <c r="J46" s="33" t="n">
        <v>0</v>
      </c>
      <c r="K46" s="33" t="n">
        <v>0</v>
      </c>
      <c r="L46" s="33" t="n">
        <v>0</v>
      </c>
      <c r="M46" s="33" t="n">
        <v>0</v>
      </c>
    </row>
    <row r="47">
      <c r="A47" s="32" t="inlineStr">
        <is>
          <t>Đầu tư dài hạn khác</t>
        </is>
      </c>
      <c r="B47" s="33" t="n">
        <v>395271613400</v>
      </c>
      <c r="C47" s="33" t="n">
        <v>395271613400</v>
      </c>
      <c r="D47" s="33" t="n">
        <v>395271613400</v>
      </c>
      <c r="E47" s="33" t="n">
        <v>395271613400</v>
      </c>
      <c r="F47" s="33" t="n">
        <v>399251613400</v>
      </c>
      <c r="G47" s="33" t="n">
        <v>399251613400</v>
      </c>
      <c r="H47" s="33" t="n">
        <v>399251613400</v>
      </c>
      <c r="I47" s="33" t="n">
        <v>401201613400</v>
      </c>
      <c r="J47" s="33" t="n">
        <v>401201613400</v>
      </c>
      <c r="K47" s="33" t="n">
        <v>401201613400</v>
      </c>
      <c r="L47" s="33" t="n">
        <v>401201613400</v>
      </c>
      <c r="M47" s="33" t="n">
        <v>401201613400</v>
      </c>
    </row>
    <row r="48">
      <c r="A48" s="32" t="inlineStr">
        <is>
          <t>Dự phòng giảm giá đầu tư dài hạn</t>
        </is>
      </c>
      <c r="B48" s="33" t="n">
        <v>-395271613400</v>
      </c>
      <c r="C48" s="33" t="n">
        <v>-395271613400</v>
      </c>
      <c r="D48" s="33" t="n">
        <v>-395271613400</v>
      </c>
      <c r="E48" s="33" t="n">
        <v>-395271613400</v>
      </c>
      <c r="F48" s="33" t="n">
        <v>-395271613400</v>
      </c>
      <c r="G48" s="33" t="n">
        <v>-395271613400</v>
      </c>
      <c r="H48" s="33" t="n">
        <v>-395271613400</v>
      </c>
      <c r="I48" s="33" t="n">
        <v>-395271613400</v>
      </c>
      <c r="J48" s="33" t="n">
        <v>-395271613400</v>
      </c>
      <c r="K48" s="33" t="n">
        <v>-395271613400</v>
      </c>
      <c r="L48" s="33" t="n">
        <v>-395271613400</v>
      </c>
      <c r="M48" s="33" t="n">
        <v>-395271613400</v>
      </c>
    </row>
    <row r="49">
      <c r="A49" s="32" t="inlineStr">
        <is>
          <t>Lợi thế thương mại (trước 2015)</t>
        </is>
      </c>
      <c r="B49" s="33" t="n">
        <v>0</v>
      </c>
      <c r="C49" s="33" t="n">
        <v>0</v>
      </c>
      <c r="D49" s="33" t="n">
        <v>0</v>
      </c>
      <c r="E49" s="33" t="n">
        <v>0</v>
      </c>
      <c r="F49" s="33" t="n">
        <v>0</v>
      </c>
      <c r="G49" s="33" t="n">
        <v>0</v>
      </c>
      <c r="H49" s="33" t="n">
        <v>0</v>
      </c>
      <c r="I49" s="33" t="n">
        <v>0</v>
      </c>
      <c r="J49" s="33" t="n">
        <v>0</v>
      </c>
      <c r="K49" s="33" t="n">
        <v>0</v>
      </c>
      <c r="L49" s="33" t="n">
        <v>0</v>
      </c>
      <c r="M49" s="33" t="n">
        <v>0</v>
      </c>
    </row>
    <row r="50">
      <c r="A50" s="32" t="inlineStr">
        <is>
          <t>Tài sản dài hạn khác</t>
        </is>
      </c>
      <c r="B50" s="33" t="n">
        <v>66037970399</v>
      </c>
      <c r="C50" s="33" t="n">
        <v>151729541293</v>
      </c>
      <c r="D50" s="33" t="n">
        <v>167087146345</v>
      </c>
      <c r="E50" s="33" t="n">
        <v>178199566632</v>
      </c>
      <c r="F50" s="33" t="n">
        <v>410351804419</v>
      </c>
      <c r="G50" s="33" t="n">
        <v>473732557913</v>
      </c>
      <c r="H50" s="33" t="n">
        <v>445182919148</v>
      </c>
      <c r="I50" s="33" t="n">
        <v>406807325748</v>
      </c>
      <c r="J50" s="33" t="n">
        <v>366950619371</v>
      </c>
      <c r="K50" s="33" t="n">
        <v>472022383285</v>
      </c>
      <c r="L50" s="33" t="n">
        <v>455838389300</v>
      </c>
      <c r="M50" s="33" t="n">
        <v>1036364443459</v>
      </c>
    </row>
    <row r="51">
      <c r="A51" s="32" t="inlineStr">
        <is>
          <t>Trả trước dài hạn</t>
        </is>
      </c>
      <c r="B51" s="33" t="n">
        <v>63598950975</v>
      </c>
      <c r="C51" s="33" t="n">
        <v>70236199189</v>
      </c>
      <c r="D51" s="33" t="n">
        <v>85593804241</v>
      </c>
      <c r="E51" s="33" t="n">
        <v>96381505058</v>
      </c>
      <c r="F51" s="33" t="n">
        <v>280096384533</v>
      </c>
      <c r="G51" s="33" t="n">
        <v>276525499295</v>
      </c>
      <c r="H51" s="33" t="n">
        <v>248312003324</v>
      </c>
      <c r="I51" s="33" t="n">
        <v>206309098650</v>
      </c>
      <c r="J51" s="33" t="n">
        <v>166095473834</v>
      </c>
      <c r="K51" s="33" t="n">
        <v>144500376660</v>
      </c>
      <c r="L51" s="33" t="n">
        <v>128252539946</v>
      </c>
      <c r="M51" s="33" t="n">
        <v>112252255928</v>
      </c>
    </row>
    <row r="52">
      <c r="A52" s="32" t="inlineStr">
        <is>
          <t>Thuế thu nhập hoãn lại</t>
        </is>
      </c>
      <c r="B52" s="33" t="n">
        <v>0</v>
      </c>
      <c r="C52" s="33" t="n">
        <v>0</v>
      </c>
      <c r="D52" s="33" t="n">
        <v>0</v>
      </c>
      <c r="E52" s="33" t="n">
        <v>0</v>
      </c>
      <c r="F52" s="33" t="n">
        <v>0</v>
      </c>
      <c r="G52" s="33" t="n">
        <v>0</v>
      </c>
      <c r="H52" s="33" t="n">
        <v>0</v>
      </c>
      <c r="I52" s="33" t="n">
        <v>0</v>
      </c>
      <c r="J52" s="33" t="n">
        <v>0</v>
      </c>
      <c r="K52" s="33" t="n">
        <v>0</v>
      </c>
      <c r="L52" s="33" t="n">
        <v>0</v>
      </c>
      <c r="M52" s="33" t="n">
        <v>0</v>
      </c>
    </row>
    <row r="53">
      <c r="A53" s="32" t="inlineStr">
        <is>
          <t>Các tài sản dài hạn khác</t>
        </is>
      </c>
      <c r="B53" s="33" t="n">
        <v>0</v>
      </c>
      <c r="C53" s="33" t="n">
        <v>0</v>
      </c>
      <c r="D53" s="33" t="n">
        <v>0</v>
      </c>
      <c r="E53" s="33" t="n">
        <v>0</v>
      </c>
      <c r="F53" s="33" t="n">
        <v>0</v>
      </c>
      <c r="G53" s="33" t="n">
        <v>0</v>
      </c>
      <c r="H53" s="33" t="n">
        <v>0</v>
      </c>
      <c r="I53" s="33" t="n">
        <v>0</v>
      </c>
      <c r="J53" s="33" t="n">
        <v>0</v>
      </c>
      <c r="K53" s="33" t="n">
        <v>0</v>
      </c>
      <c r="L53" s="33" t="n">
        <v>0</v>
      </c>
      <c r="M53" s="33" t="n">
        <v>0</v>
      </c>
    </row>
    <row r="54">
      <c r="A54" s="32" t="inlineStr">
        <is>
          <t>TỔNG CỘNG TÀI SẢN</t>
        </is>
      </c>
      <c r="B54" s="33" t="n">
        <v>4688396428630</v>
      </c>
      <c r="C54" s="33" t="n">
        <v>5173681685756</v>
      </c>
      <c r="D54" s="33" t="n">
        <v>5481232957514</v>
      </c>
      <c r="E54" s="33" t="n">
        <v>6303185130813</v>
      </c>
      <c r="F54" s="33" t="n">
        <v>14962485284027</v>
      </c>
      <c r="G54" s="33" t="n">
        <v>17207730777685</v>
      </c>
      <c r="H54" s="33" t="n">
        <v>17419317312849</v>
      </c>
      <c r="I54" s="33" t="n">
        <v>17153777037791</v>
      </c>
      <c r="J54" s="33" t="n">
        <v>17050707690220</v>
      </c>
      <c r="K54" s="33" t="n">
        <v>20163630247041</v>
      </c>
      <c r="L54" s="33" t="n">
        <v>19692785555789</v>
      </c>
      <c r="M54" s="33" t="n">
        <v>21595833814316</v>
      </c>
    </row>
    <row r="55">
      <c r="A55" s="32" t="inlineStr">
        <is>
          <t>NỢ PHẢI TRẢ</t>
        </is>
      </c>
      <c r="B55" s="33" t="n">
        <v>1489492690119</v>
      </c>
      <c r="C55" s="33" t="n">
        <v>1806969622460</v>
      </c>
      <c r="D55" s="33" t="n">
        <v>2098971628269</v>
      </c>
      <c r="E55" s="33" t="n">
        <v>2557872112611</v>
      </c>
      <c r="F55" s="33" t="n">
        <v>4438053268724</v>
      </c>
      <c r="G55" s="33" t="n">
        <v>5952424147163</v>
      </c>
      <c r="H55" s="33" t="n">
        <v>5689025894402</v>
      </c>
      <c r="I55" s="33" t="n">
        <v>5184392368530</v>
      </c>
      <c r="J55" s="33" t="n">
        <v>5058685745602</v>
      </c>
      <c r="K55" s="33" t="n">
        <v>6888716787629</v>
      </c>
      <c r="L55" s="33" t="n">
        <v>5291615882033</v>
      </c>
      <c r="M55" s="33" t="n">
        <v>8139302452850</v>
      </c>
    </row>
    <row r="56">
      <c r="A56" s="32" t="inlineStr">
        <is>
          <t>Nợ ngắn hạn</t>
        </is>
      </c>
      <c r="B56" s="33" t="n">
        <v>1403604033119</v>
      </c>
      <c r="C56" s="33" t="n">
        <v>1747623490460</v>
      </c>
      <c r="D56" s="33" t="n">
        <v>2072792761269</v>
      </c>
      <c r="E56" s="33" t="n">
        <v>2542367769611</v>
      </c>
      <c r="F56" s="33" t="n">
        <v>4428672526724</v>
      </c>
      <c r="G56" s="33" t="n">
        <v>5941881733413</v>
      </c>
      <c r="H56" s="33" t="n">
        <v>5678483480652</v>
      </c>
      <c r="I56" s="33" t="n">
        <v>5173829954780</v>
      </c>
      <c r="J56" s="33" t="n">
        <v>5046824044102</v>
      </c>
      <c r="K56" s="33" t="n">
        <v>6874318773629</v>
      </c>
      <c r="L56" s="33" t="n">
        <v>5277290943535</v>
      </c>
      <c r="M56" s="33" t="n">
        <v>8127157340850</v>
      </c>
    </row>
    <row r="57">
      <c r="A57" s="32" t="inlineStr">
        <is>
          <t>Vay ngắn hạn</t>
        </is>
      </c>
      <c r="B57" s="33" t="n">
        <v>700313899131</v>
      </c>
      <c r="C57" s="33" t="n">
        <v>985614342214</v>
      </c>
      <c r="D57" s="33" t="n">
        <v>1286629994818</v>
      </c>
      <c r="E57" s="33" t="n">
        <v>1558482498026</v>
      </c>
      <c r="F57" s="33" t="n">
        <v>1470419844988</v>
      </c>
      <c r="G57" s="33" t="n">
        <v>3341542016760</v>
      </c>
      <c r="H57" s="33" t="n">
        <v>3488032587304</v>
      </c>
      <c r="I57" s="33" t="n">
        <v>3096292371490</v>
      </c>
      <c r="J57" s="33" t="n">
        <v>2332603024492</v>
      </c>
      <c r="K57" s="33" t="n">
        <v>4223385635653</v>
      </c>
      <c r="L57" s="33" t="n">
        <v>2893621845273</v>
      </c>
      <c r="M57" s="33" t="n">
        <v>3989128051250</v>
      </c>
    </row>
    <row r="58">
      <c r="A58" s="32" t="inlineStr">
        <is>
          <t>Phải trả người bán</t>
        </is>
      </c>
      <c r="B58" s="33" t="n">
        <v>275576128719</v>
      </c>
      <c r="C58" s="33" t="n">
        <v>301009754820</v>
      </c>
      <c r="D58" s="33" t="n">
        <v>238769179301</v>
      </c>
      <c r="E58" s="33" t="n">
        <v>290712774787</v>
      </c>
      <c r="F58" s="33" t="n">
        <v>652908973354</v>
      </c>
      <c r="G58" s="33" t="n">
        <v>624291098148</v>
      </c>
      <c r="H58" s="33" t="n">
        <v>559298750005</v>
      </c>
      <c r="I58" s="33" t="n">
        <v>206132232648</v>
      </c>
      <c r="J58" s="33" t="n">
        <v>112776490287</v>
      </c>
      <c r="K58" s="33" t="n">
        <v>333861329514</v>
      </c>
      <c r="L58" s="33" t="n">
        <v>281696553533</v>
      </c>
      <c r="M58" s="33" t="n">
        <v>180284997942</v>
      </c>
    </row>
    <row r="59">
      <c r="A59" s="32" t="inlineStr">
        <is>
          <t>Người mua trả tiền trước</t>
        </is>
      </c>
      <c r="B59" s="33" t="n">
        <v>44632906145</v>
      </c>
      <c r="C59" s="33" t="n">
        <v>44737781196</v>
      </c>
      <c r="D59" s="33" t="n">
        <v>66178193807</v>
      </c>
      <c r="E59" s="33" t="n">
        <v>103181369233</v>
      </c>
      <c r="F59" s="33" t="n">
        <v>170384977642</v>
      </c>
      <c r="G59" s="33" t="n">
        <v>188182044409</v>
      </c>
      <c r="H59" s="33" t="n">
        <v>143136652593</v>
      </c>
      <c r="I59" s="33" t="n">
        <v>133331530693</v>
      </c>
      <c r="J59" s="33" t="n">
        <v>127598662992</v>
      </c>
      <c r="K59" s="33" t="n">
        <v>182492529057</v>
      </c>
      <c r="L59" s="33" t="n">
        <v>142718937533</v>
      </c>
      <c r="M59" s="33" t="n">
        <v>141459806387</v>
      </c>
    </row>
    <row r="60">
      <c r="A60" s="32" t="inlineStr">
        <is>
          <t>Thuế và các khoản phải trả Nhà nước</t>
        </is>
      </c>
      <c r="B60" s="33" t="n">
        <v>129889730744</v>
      </c>
      <c r="C60" s="33" t="n">
        <v>126316564473</v>
      </c>
      <c r="D60" s="33" t="n">
        <v>126713476707</v>
      </c>
      <c r="E60" s="33" t="n">
        <v>150202223094</v>
      </c>
      <c r="F60" s="33" t="n">
        <v>298681039604</v>
      </c>
      <c r="G60" s="33" t="n">
        <v>448697283312</v>
      </c>
      <c r="H60" s="33" t="n">
        <v>358046275587</v>
      </c>
      <c r="I60" s="33" t="n">
        <v>331216154470</v>
      </c>
      <c r="J60" s="33" t="n">
        <v>337294158072</v>
      </c>
      <c r="K60" s="33" t="n">
        <v>777717691575</v>
      </c>
      <c r="L60" s="33" t="n">
        <v>592358238712</v>
      </c>
      <c r="M60" s="33" t="n">
        <v>634521584766</v>
      </c>
    </row>
    <row r="61">
      <c r="A61" s="32" t="inlineStr">
        <is>
          <t>Phải trả người lao động</t>
        </is>
      </c>
      <c r="B61" s="33" t="n">
        <v>70449350137</v>
      </c>
      <c r="C61" s="33" t="n">
        <v>98379415302</v>
      </c>
      <c r="D61" s="33" t="n">
        <v>125329930398</v>
      </c>
      <c r="E61" s="33" t="n">
        <v>228776696273</v>
      </c>
      <c r="F61" s="33" t="n">
        <v>812133158477</v>
      </c>
      <c r="G61" s="33" t="n">
        <v>596322426230</v>
      </c>
      <c r="H61" s="33" t="n">
        <v>485033158208</v>
      </c>
      <c r="I61" s="33" t="n">
        <v>669839622711</v>
      </c>
      <c r="J61" s="33" t="n">
        <v>822242886587</v>
      </c>
      <c r="K61" s="33" t="n">
        <v>569308694234</v>
      </c>
      <c r="L61" s="33" t="n">
        <v>692988649300</v>
      </c>
      <c r="M61" s="33" t="n">
        <v>65781876478</v>
      </c>
    </row>
    <row r="62">
      <c r="A62" s="32" t="inlineStr">
        <is>
          <t>Chi phí phải trả</t>
        </is>
      </c>
      <c r="B62" s="33" t="n">
        <v>91121991970</v>
      </c>
      <c r="C62" s="33" t="n">
        <v>72012176675</v>
      </c>
      <c r="D62" s="33" t="n">
        <v>68827146590</v>
      </c>
      <c r="E62" s="33" t="n">
        <v>10434942251</v>
      </c>
      <c r="F62" s="33" t="n">
        <v>145001187040</v>
      </c>
      <c r="G62" s="33" t="n">
        <v>360040211420</v>
      </c>
      <c r="H62" s="33" t="n">
        <v>271492484536</v>
      </c>
      <c r="I62" s="33" t="n">
        <v>250170087995</v>
      </c>
      <c r="J62" s="33" t="n">
        <v>304484221282</v>
      </c>
      <c r="K62" s="33" t="n">
        <v>321827090456</v>
      </c>
      <c r="L62" s="33" t="n">
        <v>206153613745</v>
      </c>
      <c r="M62" s="33" t="n">
        <v>164616794002</v>
      </c>
    </row>
    <row r="63">
      <c r="A63" s="32" t="inlineStr">
        <is>
          <t>Phải trả nội bộ</t>
        </is>
      </c>
      <c r="B63" s="33" t="n">
        <v>0</v>
      </c>
      <c r="C63" s="33" t="n">
        <v>0</v>
      </c>
      <c r="D63" s="33" t="n">
        <v>0</v>
      </c>
      <c r="E63" s="33" t="n">
        <v>0</v>
      </c>
      <c r="F63" s="33" t="n">
        <v>0</v>
      </c>
      <c r="G63" s="33" t="n">
        <v>0</v>
      </c>
      <c r="H63" s="33" t="n">
        <v>0</v>
      </c>
      <c r="I63" s="33" t="n">
        <v>0</v>
      </c>
      <c r="J63" s="33" t="n">
        <v>0</v>
      </c>
      <c r="K63" s="33" t="n">
        <v>0</v>
      </c>
      <c r="L63" s="33" t="n">
        <v>0</v>
      </c>
      <c r="M63" s="33" t="n">
        <v>0</v>
      </c>
    </row>
    <row r="64">
      <c r="A64" s="32" t="inlineStr">
        <is>
          <t>Phải trả về xây dựng cơ bản</t>
        </is>
      </c>
      <c r="B64" s="33" t="n">
        <v>0</v>
      </c>
      <c r="C64" s="33" t="n">
        <v>0</v>
      </c>
      <c r="D64" s="33" t="n">
        <v>0</v>
      </c>
      <c r="E64" s="33" t="n">
        <v>0</v>
      </c>
      <c r="F64" s="33" t="n">
        <v>0</v>
      </c>
      <c r="G64" s="33" t="n">
        <v>0</v>
      </c>
      <c r="H64" s="33" t="n">
        <v>0</v>
      </c>
      <c r="I64" s="33" t="n">
        <v>0</v>
      </c>
      <c r="J64" s="33" t="n">
        <v>0</v>
      </c>
      <c r="K64" s="33" t="n">
        <v>0</v>
      </c>
      <c r="L64" s="33" t="n">
        <v>0</v>
      </c>
      <c r="M64" s="33" t="n">
        <v>0</v>
      </c>
    </row>
    <row r="65">
      <c r="A65" s="32" t="inlineStr">
        <is>
          <t>Phải trả khác</t>
        </is>
      </c>
      <c r="B65" s="33" t="n">
        <v>52039611743</v>
      </c>
      <c r="C65" s="33" t="n">
        <v>46534240079</v>
      </c>
      <c r="D65" s="33" t="n">
        <v>89731940091</v>
      </c>
      <c r="E65" s="33" t="n">
        <v>137597311522</v>
      </c>
      <c r="F65" s="33" t="n">
        <v>598482032259</v>
      </c>
      <c r="G65" s="33" t="n">
        <v>106241642105</v>
      </c>
      <c r="H65" s="33" t="n">
        <v>106023347455</v>
      </c>
      <c r="I65" s="33" t="n">
        <v>118458975811</v>
      </c>
      <c r="J65" s="33" t="n">
        <v>646414796428</v>
      </c>
      <c r="K65" s="33" t="n">
        <v>103175435252</v>
      </c>
      <c r="L65" s="33" t="n">
        <v>93657157854</v>
      </c>
      <c r="M65" s="33" t="n">
        <v>173301808359</v>
      </c>
    </row>
    <row r="66">
      <c r="A66" s="32" t="inlineStr">
        <is>
          <t>Dự phòng các khoản phải trả ngắn hạn</t>
        </is>
      </c>
      <c r="B66" s="33" t="n">
        <v>0</v>
      </c>
      <c r="C66" s="33" t="n">
        <v>0</v>
      </c>
      <c r="D66" s="33" t="n">
        <v>0</v>
      </c>
      <c r="E66" s="33" t="n">
        <v>0</v>
      </c>
      <c r="F66" s="33" t="n">
        <v>29061192534</v>
      </c>
      <c r="G66" s="33" t="n">
        <v>26547708303</v>
      </c>
      <c r="H66" s="33" t="n">
        <v>26547708303</v>
      </c>
      <c r="I66" s="33" t="n">
        <v>26547708303</v>
      </c>
      <c r="J66" s="33" t="n">
        <v>26547708303</v>
      </c>
      <c r="K66" s="33" t="n">
        <v>26574672229</v>
      </c>
      <c r="L66" s="33" t="n">
        <v>26574672229</v>
      </c>
      <c r="M66" s="33" t="n">
        <v>2293954850310</v>
      </c>
    </row>
    <row r="67">
      <c r="A67" s="32" t="inlineStr">
        <is>
          <t>Quỹ khen thưởng, phúc lợi</t>
        </is>
      </c>
      <c r="B67" s="33" t="n">
        <v>38211978166</v>
      </c>
      <c r="C67" s="33" t="n">
        <v>73019215701</v>
      </c>
      <c r="D67" s="33" t="n">
        <v>70612899557</v>
      </c>
      <c r="E67" s="33" t="n">
        <v>62979954425</v>
      </c>
      <c r="F67" s="33" t="n">
        <v>251600120826</v>
      </c>
      <c r="G67" s="33" t="n">
        <v>250017302726</v>
      </c>
      <c r="H67" s="33" t="n">
        <v>240872516661</v>
      </c>
      <c r="I67" s="33" t="n">
        <v>341841270659</v>
      </c>
      <c r="J67" s="33" t="n">
        <v>336862095659</v>
      </c>
      <c r="K67" s="33" t="n">
        <v>335975695659</v>
      </c>
      <c r="L67" s="33" t="n">
        <v>335829695659</v>
      </c>
      <c r="M67" s="33" t="n">
        <v>473314195659</v>
      </c>
    </row>
    <row r="68">
      <c r="A68" s="32" t="inlineStr">
        <is>
          <t>Nợ dài hạn</t>
        </is>
      </c>
      <c r="B68" s="33" t="n">
        <v>85888657000</v>
      </c>
      <c r="C68" s="33" t="n">
        <v>59346132000</v>
      </c>
      <c r="D68" s="33" t="n">
        <v>26178867000</v>
      </c>
      <c r="E68" s="33" t="n">
        <v>15504343000</v>
      </c>
      <c r="F68" s="33" t="n">
        <v>9380742000</v>
      </c>
      <c r="G68" s="33" t="n">
        <v>10542413750</v>
      </c>
      <c r="H68" s="33" t="n">
        <v>10542413750</v>
      </c>
      <c r="I68" s="33" t="n">
        <v>10562413750</v>
      </c>
      <c r="J68" s="33" t="n">
        <v>11861701500</v>
      </c>
      <c r="K68" s="33" t="n">
        <v>14398014000</v>
      </c>
      <c r="L68" s="33" t="n">
        <v>14324938498</v>
      </c>
      <c r="M68" s="33" t="n">
        <v>12145112000</v>
      </c>
    </row>
    <row r="69">
      <c r="A69" s="32" t="inlineStr">
        <is>
          <t>Phải trả nhà cung cấp dài hạn</t>
        </is>
      </c>
      <c r="B69" s="33" t="n">
        <v>0</v>
      </c>
      <c r="C69" s="33" t="n">
        <v>0</v>
      </c>
      <c r="D69" s="33" t="n">
        <v>0</v>
      </c>
      <c r="E69" s="33" t="n">
        <v>0</v>
      </c>
      <c r="F69" s="33" t="n">
        <v>0</v>
      </c>
      <c r="G69" s="33" t="n">
        <v>0</v>
      </c>
      <c r="H69" s="33" t="n">
        <v>0</v>
      </c>
      <c r="I69" s="33" t="n">
        <v>0</v>
      </c>
      <c r="J69" s="33" t="n">
        <v>0</v>
      </c>
      <c r="K69" s="33" t="n">
        <v>0</v>
      </c>
      <c r="L69" s="33" t="n">
        <v>0</v>
      </c>
      <c r="M69" s="33" t="n">
        <v>0</v>
      </c>
    </row>
    <row r="70">
      <c r="A70" s="32" t="inlineStr">
        <is>
          <t>Phải trả nội bộ dài hạn</t>
        </is>
      </c>
      <c r="B70" s="33" t="n">
        <v>0</v>
      </c>
      <c r="C70" s="33" t="n">
        <v>0</v>
      </c>
      <c r="D70" s="33" t="n">
        <v>0</v>
      </c>
      <c r="E70" s="33" t="n">
        <v>0</v>
      </c>
      <c r="F70" s="33" t="n">
        <v>0</v>
      </c>
      <c r="G70" s="33" t="n">
        <v>0</v>
      </c>
      <c r="H70" s="33" t="n">
        <v>0</v>
      </c>
      <c r="I70" s="33" t="n">
        <v>0</v>
      </c>
      <c r="J70" s="33" t="n">
        <v>0</v>
      </c>
      <c r="K70" s="33" t="n">
        <v>0</v>
      </c>
      <c r="L70" s="33" t="n">
        <v>0</v>
      </c>
      <c r="M70" s="33" t="n">
        <v>0</v>
      </c>
    </row>
    <row r="71">
      <c r="A71" s="32" t="inlineStr">
        <is>
          <t>Phải trả dài hạn khác</t>
        </is>
      </c>
      <c r="B71" s="33" t="n">
        <v>628026000</v>
      </c>
      <c r="C71" s="33" t="n">
        <v>628026000</v>
      </c>
      <c r="D71" s="33" t="n">
        <v>628026000</v>
      </c>
      <c r="E71" s="33" t="n">
        <v>628026000</v>
      </c>
      <c r="F71" s="33" t="n">
        <v>178668000</v>
      </c>
      <c r="G71" s="33" t="n">
        <v>178668000</v>
      </c>
      <c r="H71" s="33" t="n">
        <v>178668000</v>
      </c>
      <c r="I71" s="33" t="n">
        <v>198668000</v>
      </c>
      <c r="J71" s="33" t="n">
        <v>1715384000</v>
      </c>
      <c r="K71" s="33" t="n">
        <v>1715384000</v>
      </c>
      <c r="L71" s="33" t="n">
        <v>1715384000</v>
      </c>
      <c r="M71" s="33" t="n">
        <v>1745384000</v>
      </c>
    </row>
    <row r="72">
      <c r="A72" s="32" t="inlineStr">
        <is>
          <t>Vay dài hạn</t>
        </is>
      </c>
      <c r="B72" s="33" t="n">
        <v>78184314000</v>
      </c>
      <c r="C72" s="33" t="n">
        <v>51641789000</v>
      </c>
      <c r="D72" s="33" t="n">
        <v>18474524000</v>
      </c>
      <c r="E72" s="33" t="n">
        <v>7800000000</v>
      </c>
      <c r="F72" s="33" t="n">
        <v>0</v>
      </c>
      <c r="G72" s="33" t="n">
        <v>0</v>
      </c>
      <c r="H72" s="33" t="n">
        <v>0</v>
      </c>
      <c r="I72" s="33" t="n">
        <v>0</v>
      </c>
      <c r="J72" s="33" t="n">
        <v>0</v>
      </c>
      <c r="K72" s="33" t="n">
        <v>0</v>
      </c>
      <c r="L72" s="33" t="n">
        <v>0</v>
      </c>
      <c r="M72" s="33" t="n">
        <v>0</v>
      </c>
    </row>
    <row r="73">
      <c r="A73" s="32" t="inlineStr">
        <is>
          <t>Thuế thu nhập hoãn lại</t>
        </is>
      </c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</row>
    <row r="74">
      <c r="A74" s="32" t="inlineStr">
        <is>
          <t>Dự phòng trợ cấp thôi việc</t>
        </is>
      </c>
      <c r="B74" s="33" t="n">
        <v>0</v>
      </c>
      <c r="C74" s="33" t="n">
        <v>0</v>
      </c>
      <c r="D74" s="33" t="n">
        <v>0</v>
      </c>
      <c r="E74" s="33" t="n">
        <v>0</v>
      </c>
      <c r="F74" s="33" t="n">
        <v>0</v>
      </c>
      <c r="G74" s="33" t="n">
        <v>0</v>
      </c>
      <c r="H74" s="33" t="n">
        <v>0</v>
      </c>
      <c r="I74" s="33" t="n">
        <v>0</v>
      </c>
      <c r="J74" s="33" t="n">
        <v>0</v>
      </c>
      <c r="K74" s="33" t="n">
        <v>0</v>
      </c>
      <c r="L74" s="33" t="n">
        <v>0</v>
      </c>
      <c r="M74" s="33" t="n">
        <v>0</v>
      </c>
    </row>
    <row r="75">
      <c r="A75" s="32" t="inlineStr">
        <is>
          <t>Dự phòng các khoản nợ dài hạn</t>
        </is>
      </c>
      <c r="B75" s="33" t="n">
        <v>7076317000</v>
      </c>
      <c r="C75" s="33" t="n">
        <v>7076317000</v>
      </c>
      <c r="D75" s="33" t="n">
        <v>7076317000</v>
      </c>
      <c r="E75" s="33" t="n">
        <v>7076317000</v>
      </c>
      <c r="F75" s="33" t="n">
        <v>9202074000</v>
      </c>
      <c r="G75" s="33" t="n">
        <v>10363745750</v>
      </c>
      <c r="H75" s="33" t="n">
        <v>10363745750</v>
      </c>
      <c r="I75" s="33" t="n">
        <v>10363745750</v>
      </c>
      <c r="J75" s="33" t="n">
        <v>10146317500</v>
      </c>
      <c r="K75" s="33" t="n">
        <v>12682630000</v>
      </c>
      <c r="L75" s="33" t="n">
        <v>12609554498</v>
      </c>
      <c r="M75" s="33" t="n">
        <v>10399728000</v>
      </c>
    </row>
    <row r="76">
      <c r="A76" s="32" t="inlineStr">
        <is>
          <t>Doanh thu chưa thực hiện</t>
        </is>
      </c>
      <c r="B76" s="33" t="n">
        <v>0</v>
      </c>
      <c r="C76" s="33" t="n">
        <v>0</v>
      </c>
      <c r="D76" s="33" t="n">
        <v>0</v>
      </c>
      <c r="E76" s="33" t="n">
        <v>0</v>
      </c>
      <c r="F76" s="33" t="n">
        <v>0</v>
      </c>
      <c r="G76" s="33" t="n">
        <v>0</v>
      </c>
      <c r="H76" s="33" t="n">
        <v>0</v>
      </c>
      <c r="I76" s="33" t="n">
        <v>0</v>
      </c>
      <c r="J76" s="33" t="n">
        <v>0</v>
      </c>
      <c r="K76" s="33" t="n">
        <v>0</v>
      </c>
      <c r="L76" s="33" t="n">
        <v>0</v>
      </c>
      <c r="M76" s="33" t="n">
        <v>0</v>
      </c>
    </row>
    <row r="77">
      <c r="A77" s="32" t="inlineStr">
        <is>
          <t>Quỹ phát triển khoa học công nghệ</t>
        </is>
      </c>
      <c r="B77" s="33" t="n">
        <v>0</v>
      </c>
      <c r="C77" s="33" t="n">
        <v>0</v>
      </c>
      <c r="D77" s="33" t="n">
        <v>0</v>
      </c>
      <c r="E77" s="33" t="n">
        <v>0</v>
      </c>
      <c r="F77" s="33" t="n">
        <v>0</v>
      </c>
      <c r="G77" s="33" t="n">
        <v>0</v>
      </c>
      <c r="H77" s="33" t="n">
        <v>0</v>
      </c>
      <c r="I77" s="33" t="n">
        <v>0</v>
      </c>
      <c r="J77" s="33" t="n">
        <v>0</v>
      </c>
      <c r="K77" s="33" t="n">
        <v>0</v>
      </c>
      <c r="L77" s="33" t="n">
        <v>0</v>
      </c>
      <c r="M77" s="33" t="n">
        <v>0</v>
      </c>
    </row>
    <row r="78">
      <c r="A78" s="32" t="inlineStr">
        <is>
          <t>Vốn chủ sở hữu</t>
        </is>
      </c>
      <c r="B78" s="33" t="n">
        <v>3198903738511</v>
      </c>
      <c r="C78" s="33" t="n">
        <v>3366712063296</v>
      </c>
      <c r="D78" s="33" t="n">
        <v>3382261329245</v>
      </c>
      <c r="E78" s="33" t="n">
        <v>3745313018202</v>
      </c>
      <c r="F78" s="33" t="n">
        <v>10524432015303</v>
      </c>
      <c r="G78" s="33" t="n">
        <v>11255306630522</v>
      </c>
      <c r="H78" s="33" t="n">
        <v>11730291418447</v>
      </c>
      <c r="I78" s="33" t="n">
        <v>11969384669261</v>
      </c>
      <c r="J78" s="33" t="n">
        <v>11992021944618</v>
      </c>
      <c r="K78" s="33" t="n">
        <v>13274913459412</v>
      </c>
      <c r="L78" s="33" t="n">
        <v>14401169673756</v>
      </c>
      <c r="M78" s="33" t="n">
        <v>13456531361466</v>
      </c>
    </row>
    <row r="79">
      <c r="A79" s="32" t="inlineStr">
        <is>
          <t>Vốn và các quỹ</t>
        </is>
      </c>
      <c r="B79" s="33" t="n">
        <v>3198903738511</v>
      </c>
      <c r="C79" s="33" t="n">
        <v>3366712063296</v>
      </c>
      <c r="D79" s="33" t="n">
        <v>3382261329245</v>
      </c>
      <c r="E79" s="33" t="n">
        <v>3745313018202</v>
      </c>
      <c r="F79" s="33" t="n">
        <v>10524432015303</v>
      </c>
      <c r="G79" s="33" t="n">
        <v>11255306630522</v>
      </c>
      <c r="H79" s="33" t="n">
        <v>11730291418447</v>
      </c>
      <c r="I79" s="33" t="n">
        <v>11969384669261</v>
      </c>
      <c r="J79" s="33" t="n">
        <v>11992021944618</v>
      </c>
      <c r="K79" s="33" t="n">
        <v>13274913459412</v>
      </c>
      <c r="L79" s="33" t="n">
        <v>14401169673756</v>
      </c>
      <c r="M79" s="33" t="n">
        <v>13456531361466</v>
      </c>
    </row>
    <row r="80">
      <c r="A80" s="32" t="inlineStr">
        <is>
          <t>Vốn góp</t>
        </is>
      </c>
      <c r="B80" s="33" t="n">
        <v>1081020340000</v>
      </c>
      <c r="C80" s="33" t="n">
        <v>1621393240000</v>
      </c>
      <c r="D80" s="33" t="n">
        <v>1621393240000</v>
      </c>
      <c r="E80" s="33" t="n">
        <v>1670029820000</v>
      </c>
      <c r="F80" s="33" t="n">
        <v>3380747760000</v>
      </c>
      <c r="G80" s="33" t="n">
        <v>3380747760000</v>
      </c>
      <c r="H80" s="33" t="n">
        <v>3380747760000</v>
      </c>
      <c r="I80" s="33" t="n">
        <v>3380747760000</v>
      </c>
      <c r="J80" s="33" t="n">
        <v>3380747760000</v>
      </c>
      <c r="K80" s="33" t="n">
        <v>3413186660000</v>
      </c>
      <c r="L80" s="33" t="n">
        <v>3413186660000</v>
      </c>
      <c r="M80" s="33" t="n">
        <v>5118915180000</v>
      </c>
    </row>
    <row r="81">
      <c r="A81" s="32" t="inlineStr">
        <is>
          <t>Thặng dư vốn cổ phần</t>
        </is>
      </c>
      <c r="B81" s="33" t="n">
        <v>876761282458</v>
      </c>
      <c r="C81" s="33" t="n">
        <v>876761282458</v>
      </c>
      <c r="D81" s="33" t="n">
        <v>876761282458</v>
      </c>
      <c r="E81" s="33" t="n">
        <v>925397862458</v>
      </c>
      <c r="F81" s="33" t="n">
        <v>1950309912458</v>
      </c>
      <c r="G81" s="33" t="n">
        <v>1950309912458</v>
      </c>
      <c r="H81" s="33" t="n">
        <v>1950309912458</v>
      </c>
      <c r="I81" s="33" t="n">
        <v>1950309912458</v>
      </c>
      <c r="J81" s="33" t="n">
        <v>1950309912458</v>
      </c>
      <c r="K81" s="33" t="n">
        <v>1982694812458</v>
      </c>
      <c r="L81" s="33" t="n">
        <v>1982694812458</v>
      </c>
      <c r="M81" s="33" t="n">
        <v>276966292458</v>
      </c>
    </row>
    <row r="82">
      <c r="A82" s="32" t="inlineStr">
        <is>
          <t>Vốn khác</t>
        </is>
      </c>
      <c r="B82" s="33" t="n">
        <v>0</v>
      </c>
      <c r="C82" s="33" t="n">
        <v>0</v>
      </c>
      <c r="D82" s="33" t="n">
        <v>0</v>
      </c>
      <c r="E82" s="33" t="n">
        <v>0</v>
      </c>
      <c r="F82" s="33" t="n">
        <v>0</v>
      </c>
      <c r="G82" s="33" t="n">
        <v>0</v>
      </c>
      <c r="H82" s="33" t="n">
        <v>0</v>
      </c>
      <c r="I82" s="33" t="n">
        <v>0</v>
      </c>
      <c r="J82" s="33" t="n">
        <v>0</v>
      </c>
      <c r="K82" s="33" t="n">
        <v>0</v>
      </c>
      <c r="L82" s="33" t="n">
        <v>0</v>
      </c>
      <c r="M82" s="33" t="n">
        <v>500000000000</v>
      </c>
    </row>
    <row r="83">
      <c r="A83" s="32" t="inlineStr">
        <is>
          <t>Cổ phiếu quỹ</t>
        </is>
      </c>
      <c r="B83" s="33" t="n">
        <v>-7090000</v>
      </c>
      <c r="C83" s="33" t="n">
        <v>-7090000</v>
      </c>
      <c r="D83" s="33" t="n">
        <v>-7090000</v>
      </c>
      <c r="E83" s="33" t="n">
        <v>-7090000</v>
      </c>
      <c r="F83" s="33" t="n">
        <v>-3384090000</v>
      </c>
      <c r="G83" s="33" t="n">
        <v>-3384090000</v>
      </c>
      <c r="H83" s="33" t="n">
        <v>-3384090000</v>
      </c>
      <c r="I83" s="33" t="n">
        <v>-3384090000</v>
      </c>
      <c r="J83" s="33" t="n">
        <v>-3384090000</v>
      </c>
      <c r="K83" s="33" t="n">
        <v>-3384090000</v>
      </c>
      <c r="L83" s="33" t="n">
        <v>-3384090000</v>
      </c>
      <c r="M83" s="33" t="n">
        <v>-3384090000</v>
      </c>
    </row>
    <row r="84">
      <c r="A84" s="32" t="inlineStr">
        <is>
          <t>Chênh lệch đánh giá lại tài sản</t>
        </is>
      </c>
      <c r="B84" s="33" t="n">
        <v>0</v>
      </c>
      <c r="C84" s="33" t="n">
        <v>0</v>
      </c>
      <c r="D84" s="33" t="n">
        <v>0</v>
      </c>
      <c r="E84" s="33" t="n">
        <v>0</v>
      </c>
      <c r="F84" s="33" t="n">
        <v>0</v>
      </c>
      <c r="G84" s="33" t="n">
        <v>0</v>
      </c>
      <c r="H84" s="33" t="n">
        <v>0</v>
      </c>
      <c r="I84" s="33" t="n">
        <v>0</v>
      </c>
      <c r="J84" s="33" t="n">
        <v>0</v>
      </c>
      <c r="K84" s="33" t="n">
        <v>0</v>
      </c>
      <c r="L84" s="33" t="n">
        <v>0</v>
      </c>
      <c r="M84" s="33" t="n">
        <v>0</v>
      </c>
    </row>
    <row r="85">
      <c r="A85" s="32" t="inlineStr">
        <is>
          <t>Chênh lệch tỷ giá</t>
        </is>
      </c>
      <c r="B85" s="33" t="n">
        <v>0</v>
      </c>
      <c r="C85" s="33" t="n">
        <v>0</v>
      </c>
      <c r="D85" s="33" t="n">
        <v>0</v>
      </c>
      <c r="E85" s="33" t="n">
        <v>0</v>
      </c>
      <c r="F85" s="33" t="n">
        <v>0</v>
      </c>
      <c r="G85" s="33" t="n">
        <v>0</v>
      </c>
      <c r="H85" s="33" t="n">
        <v>0</v>
      </c>
      <c r="I85" s="33" t="n">
        <v>0</v>
      </c>
      <c r="J85" s="33" t="n">
        <v>0</v>
      </c>
      <c r="K85" s="33" t="n">
        <v>0</v>
      </c>
      <c r="L85" s="33" t="n">
        <v>0</v>
      </c>
      <c r="M85" s="33" t="n">
        <v>0</v>
      </c>
    </row>
    <row r="86">
      <c r="A86" s="32" t="inlineStr">
        <is>
          <t>Quỹ đầu tư và phát triển</t>
        </is>
      </c>
      <c r="B86" s="33" t="n">
        <v>220087556918</v>
      </c>
      <c r="C86" s="33" t="n">
        <v>265087556918</v>
      </c>
      <c r="D86" s="33" t="n">
        <v>265087556918</v>
      </c>
      <c r="E86" s="33" t="n">
        <v>265087556918</v>
      </c>
      <c r="F86" s="33" t="n">
        <v>2626281556918</v>
      </c>
      <c r="G86" s="33" t="n">
        <v>2626281556918</v>
      </c>
      <c r="H86" s="33" t="n">
        <v>2626281556918</v>
      </c>
      <c r="I86" s="33" t="n">
        <v>3471447556918</v>
      </c>
      <c r="J86" s="33" t="n">
        <v>3471447556918</v>
      </c>
      <c r="K86" s="33" t="n">
        <v>3471447556918</v>
      </c>
      <c r="L86" s="33" t="n">
        <v>3471447556918</v>
      </c>
      <c r="M86" s="33" t="n">
        <v>4602846556918</v>
      </c>
    </row>
    <row r="87">
      <c r="A87" s="32" t="inlineStr">
        <is>
          <t>Quỹ dự phòng tài chính</t>
        </is>
      </c>
      <c r="B87" s="33" t="n">
        <v>0</v>
      </c>
      <c r="C87" s="33" t="n">
        <v>0</v>
      </c>
      <c r="D87" s="33" t="n">
        <v>0</v>
      </c>
      <c r="E87" s="33" t="n">
        <v>0</v>
      </c>
      <c r="F87" s="33" t="n">
        <v>0</v>
      </c>
      <c r="G87" s="33" t="n">
        <v>0</v>
      </c>
      <c r="H87" s="33" t="n">
        <v>0</v>
      </c>
      <c r="I87" s="33" t="n">
        <v>0</v>
      </c>
      <c r="J87" s="33" t="n">
        <v>0</v>
      </c>
      <c r="K87" s="33" t="n">
        <v>0</v>
      </c>
      <c r="L87" s="33" t="n">
        <v>0</v>
      </c>
      <c r="M87" s="33" t="n">
        <v>0</v>
      </c>
    </row>
    <row r="88">
      <c r="A88" s="32" t="inlineStr">
        <is>
          <t>Quỹ khác</t>
        </is>
      </c>
      <c r="B88" s="33" t="n">
        <v>0</v>
      </c>
      <c r="C88" s="33" t="n">
        <v>0</v>
      </c>
      <c r="D88" s="33" t="n">
        <v>0</v>
      </c>
      <c r="E88" s="33" t="n">
        <v>0</v>
      </c>
      <c r="F88" s="33" t="n">
        <v>0</v>
      </c>
      <c r="G88" s="33" t="n">
        <v>0</v>
      </c>
      <c r="H88" s="33" t="n">
        <v>0</v>
      </c>
      <c r="I88" s="33" t="n">
        <v>0</v>
      </c>
      <c r="J88" s="33" t="n">
        <v>0</v>
      </c>
      <c r="K88" s="33" t="n">
        <v>0</v>
      </c>
      <c r="L88" s="33" t="n">
        <v>0</v>
      </c>
      <c r="M88" s="33" t="n">
        <v>0</v>
      </c>
    </row>
    <row r="89">
      <c r="A89" s="32" t="inlineStr">
        <is>
          <t>Lãi chưa phân phối</t>
        </is>
      </c>
      <c r="B89" s="33" t="n">
        <v>1021041649135</v>
      </c>
      <c r="C89" s="33" t="n">
        <v>603477073920</v>
      </c>
      <c r="D89" s="33" t="n">
        <v>619026339869</v>
      </c>
      <c r="E89" s="33" t="n">
        <v>884804868826</v>
      </c>
      <c r="F89" s="33" t="n">
        <v>2570476875927</v>
      </c>
      <c r="G89" s="33" t="n">
        <v>3301351491146</v>
      </c>
      <c r="H89" s="33" t="n">
        <v>3776336279071</v>
      </c>
      <c r="I89" s="33" t="n">
        <v>3170263529885</v>
      </c>
      <c r="J89" s="33" t="n">
        <v>3192900805242</v>
      </c>
      <c r="K89" s="33" t="n">
        <v>4410968520036</v>
      </c>
      <c r="L89" s="33" t="n">
        <v>5537224734380</v>
      </c>
      <c r="M89" s="33" t="n">
        <v>2943831201908</v>
      </c>
    </row>
    <row r="90">
      <c r="A90" s="32" t="inlineStr">
        <is>
          <t>Quỹ hỗ trợ sắp xếp doanh nghiệp</t>
        </is>
      </c>
      <c r="B90" s="33" t="n">
        <v>0</v>
      </c>
      <c r="C90" s="33" t="n">
        <v>0</v>
      </c>
      <c r="D90" s="33" t="n">
        <v>0</v>
      </c>
      <c r="E90" s="33" t="n">
        <v>0</v>
      </c>
      <c r="F90" s="33" t="n">
        <v>0</v>
      </c>
      <c r="G90" s="33" t="n">
        <v>0</v>
      </c>
      <c r="H90" s="33" t="n">
        <v>0</v>
      </c>
      <c r="I90" s="33" t="n">
        <v>0</v>
      </c>
      <c r="J90" s="33" t="n">
        <v>0</v>
      </c>
      <c r="K90" s="33" t="n">
        <v>0</v>
      </c>
      <c r="L90" s="33" t="n">
        <v>0</v>
      </c>
      <c r="M90" s="33" t="n">
        <v>0</v>
      </c>
    </row>
    <row r="91">
      <c r="A91" s="32" t="inlineStr">
        <is>
          <t>Vốn Ngân sách nhà nước và quỹ khác</t>
        </is>
      </c>
      <c r="B91" s="33" t="n">
        <v>0</v>
      </c>
      <c r="C91" s="33" t="n">
        <v>0</v>
      </c>
      <c r="D91" s="33" t="n">
        <v>0</v>
      </c>
      <c r="E91" s="33" t="n">
        <v>0</v>
      </c>
      <c r="F91" s="33" t="n">
        <v>0</v>
      </c>
      <c r="G91" s="33" t="n">
        <v>0</v>
      </c>
      <c r="H91" s="33" t="n">
        <v>0</v>
      </c>
      <c r="I91" s="33" t="n">
        <v>0</v>
      </c>
      <c r="J91" s="33" t="n">
        <v>0</v>
      </c>
      <c r="K91" s="33" t="n">
        <v>0</v>
      </c>
      <c r="L91" s="33" t="n">
        <v>0</v>
      </c>
      <c r="M91" s="33" t="n">
        <v>0</v>
      </c>
    </row>
    <row r="92">
      <c r="A92" s="32" t="inlineStr">
        <is>
          <t>Quỹ khen thưởng, phúc lợi (trước 2010)</t>
        </is>
      </c>
      <c r="B92" s="33" t="n">
        <v>0</v>
      </c>
      <c r="C92" s="33" t="n">
        <v>0</v>
      </c>
      <c r="D92" s="33" t="n">
        <v>0</v>
      </c>
      <c r="E92" s="33" t="n">
        <v>0</v>
      </c>
      <c r="F92" s="33" t="n">
        <v>0</v>
      </c>
      <c r="G92" s="33" t="n">
        <v>0</v>
      </c>
      <c r="H92" s="33" t="n">
        <v>0</v>
      </c>
      <c r="I92" s="33" t="n">
        <v>0</v>
      </c>
      <c r="J92" s="33" t="n">
        <v>0</v>
      </c>
      <c r="K92" s="33" t="n">
        <v>0</v>
      </c>
      <c r="L92" s="33" t="n">
        <v>0</v>
      </c>
      <c r="M92" s="33" t="n">
        <v>0</v>
      </c>
    </row>
    <row r="93">
      <c r="A93" s="32" t="inlineStr">
        <is>
          <t>Vốn ngân sách nhà nước và quỹ khác</t>
        </is>
      </c>
      <c r="B93" s="33" t="n">
        <v>0</v>
      </c>
      <c r="C93" s="33" t="n">
        <v>0</v>
      </c>
      <c r="D93" s="33" t="n">
        <v>0</v>
      </c>
      <c r="E93" s="33" t="n">
        <v>0</v>
      </c>
      <c r="F93" s="33" t="n">
        <v>0</v>
      </c>
      <c r="G93" s="33" t="n">
        <v>0</v>
      </c>
      <c r="H93" s="33" t="n">
        <v>0</v>
      </c>
      <c r="I93" s="33" t="n">
        <v>0</v>
      </c>
      <c r="J93" s="33" t="n">
        <v>0</v>
      </c>
      <c r="K93" s="33" t="n">
        <v>0</v>
      </c>
      <c r="L93" s="33" t="n">
        <v>0</v>
      </c>
      <c r="M93" s="33" t="n">
        <v>0</v>
      </c>
    </row>
    <row r="94">
      <c r="A94" s="32" t="inlineStr">
        <is>
          <t>Lợi ích của cổ đông thiểu số</t>
        </is>
      </c>
      <c r="B94" s="33" t="n">
        <v>0</v>
      </c>
      <c r="C94" s="33" t="n">
        <v>0</v>
      </c>
      <c r="D94" s="33" t="n">
        <v>0</v>
      </c>
      <c r="E94" s="33" t="n">
        <v>0</v>
      </c>
      <c r="F94" s="33" t="n">
        <v>0</v>
      </c>
      <c r="G94" s="33" t="n">
        <v>0</v>
      </c>
      <c r="H94" s="33" t="n">
        <v>0</v>
      </c>
      <c r="I94" s="33" t="n">
        <v>0</v>
      </c>
      <c r="J94" s="33" t="n">
        <v>0</v>
      </c>
      <c r="K94" s="33" t="n">
        <v>0</v>
      </c>
      <c r="L94" s="33" t="n">
        <v>0</v>
      </c>
      <c r="M94" s="33" t="n">
        <v>0</v>
      </c>
    </row>
    <row r="95">
      <c r="A95" s="32" t="inlineStr">
        <is>
          <t>Tổng cộng nguồn vốn</t>
        </is>
      </c>
      <c r="B95" s="33" t="n">
        <v>4688396428630</v>
      </c>
      <c r="C95" s="33" t="n">
        <v>5173681685756</v>
      </c>
      <c r="D95" s="33" t="n">
        <v>5481232957514</v>
      </c>
      <c r="E95" s="33" t="n">
        <v>6303185130813</v>
      </c>
      <c r="F95" s="33" t="n">
        <v>14962485284027</v>
      </c>
      <c r="G95" s="33" t="n">
        <v>17207730777685</v>
      </c>
      <c r="H95" s="33" t="n">
        <v>17419317312849</v>
      </c>
      <c r="I95" s="33" t="n">
        <v>17153777037791</v>
      </c>
      <c r="J95" s="33" t="n">
        <v>17050707690220</v>
      </c>
      <c r="K95" s="33" t="n">
        <v>20163630247041</v>
      </c>
      <c r="L95" s="33" t="n">
        <v>19692785555789</v>
      </c>
      <c r="M95" s="33" t="n">
        <v>21595833814316</v>
      </c>
    </row>
    <row r="96">
      <c r="A96" s="32" t="inlineStr">
        <is>
          <t>Cổ phiếu ưu đãi</t>
        </is>
      </c>
      <c r="B96" s="33" t="n">
        <v>0</v>
      </c>
      <c r="C96" s="33" t="n">
        <v>0</v>
      </c>
      <c r="D96" s="33" t="n">
        <v>0</v>
      </c>
      <c r="E96" s="33" t="n">
        <v>0</v>
      </c>
      <c r="F96" s="33" t="n">
        <v>0</v>
      </c>
      <c r="G96" s="33" t="n">
        <v>0</v>
      </c>
      <c r="H96" s="33" t="n">
        <v>0</v>
      </c>
      <c r="I96" s="33" t="n">
        <v>0</v>
      </c>
      <c r="J96" s="33" t="n">
        <v>0</v>
      </c>
      <c r="K96" s="33" t="n">
        <v>0</v>
      </c>
      <c r="L96" s="33" t="n">
        <v>0</v>
      </c>
      <c r="M96" s="33" t="n">
        <v>0</v>
      </c>
    </row>
    <row r="97">
      <c r="A97" s="32" t="inlineStr">
        <is>
          <t>Đầu tư nắm giữ đến ngày đáo hạn</t>
        </is>
      </c>
      <c r="B97" s="33" t="n">
        <v>0</v>
      </c>
      <c r="C97" s="33" t="n">
        <v>0</v>
      </c>
      <c r="D97" s="33" t="n">
        <v>0</v>
      </c>
      <c r="E97" s="33" t="n">
        <v>0</v>
      </c>
      <c r="F97" s="33" t="n">
        <v>0</v>
      </c>
      <c r="G97" s="33" t="n">
        <v>0</v>
      </c>
      <c r="H97" s="33" t="n">
        <v>0</v>
      </c>
      <c r="I97" s="33" t="n">
        <v>0</v>
      </c>
      <c r="J97" s="33" t="n">
        <v>0</v>
      </c>
      <c r="K97" s="33" t="n">
        <v>0</v>
      </c>
      <c r="L97" s="33" t="n">
        <v>0</v>
      </c>
      <c r="M97" s="33" t="n">
        <v>0</v>
      </c>
    </row>
    <row r="98">
      <c r="A98" s="32" t="inlineStr">
        <is>
          <t>Vốn kinh doanh ở các đơn vị trực thuộc</t>
        </is>
      </c>
      <c r="B98" s="33" t="n">
        <v>0</v>
      </c>
      <c r="C98" s="33" t="n">
        <v>0</v>
      </c>
      <c r="D98" s="33" t="n">
        <v>0</v>
      </c>
      <c r="E98" s="33" t="n">
        <v>0</v>
      </c>
      <c r="F98" s="33" t="n">
        <v>0</v>
      </c>
      <c r="G98" s="33" t="n">
        <v>0</v>
      </c>
      <c r="H98" s="33" t="n">
        <v>0</v>
      </c>
      <c r="I98" s="33" t="n">
        <v>0</v>
      </c>
      <c r="J98" s="33" t="n">
        <v>0</v>
      </c>
      <c r="K98" s="33" t="n">
        <v>0</v>
      </c>
      <c r="L98" s="33" t="n">
        <v>0</v>
      </c>
      <c r="M98" s="33" t="n">
        <v>0</v>
      </c>
    </row>
    <row r="99">
      <c r="A99" s="32" t="inlineStr">
        <is>
          <t>Tài sản thiếu cần xử lý</t>
        </is>
      </c>
      <c r="B99" s="33" t="n">
        <v>55822971</v>
      </c>
      <c r="C99" s="33" t="n">
        <v>625230757</v>
      </c>
      <c r="D99" s="33" t="n">
        <v>222303608</v>
      </c>
      <c r="E99" s="33" t="n">
        <v>2094711019</v>
      </c>
      <c r="F99" s="33" t="n">
        <v>362906526</v>
      </c>
      <c r="G99" s="33" t="n">
        <v>831677115</v>
      </c>
      <c r="H99" s="33" t="n">
        <v>278495990</v>
      </c>
      <c r="I99" s="33" t="n">
        <v>134183842</v>
      </c>
      <c r="J99" s="33" t="n">
        <v>251139267</v>
      </c>
      <c r="K99" s="33" t="n">
        <v>372199982</v>
      </c>
      <c r="L99" s="33" t="n">
        <v>165151101</v>
      </c>
      <c r="M99" s="33" t="n">
        <v>33927955</v>
      </c>
    </row>
    <row r="100">
      <c r="A100" s="32" t="inlineStr">
        <is>
          <t>Phải thu cho vay ngắn hạn</t>
        </is>
      </c>
      <c r="B100" s="33" t="n">
        <v>0</v>
      </c>
      <c r="C100" s="33" t="n">
        <v>0</v>
      </c>
      <c r="D100" s="33" t="n">
        <v>0</v>
      </c>
      <c r="E100" s="33" t="n">
        <v>0</v>
      </c>
      <c r="F100" s="33" t="n">
        <v>40000000000</v>
      </c>
      <c r="G100" s="33" t="n">
        <v>40000000000</v>
      </c>
      <c r="H100" s="33" t="n">
        <v>40000000000</v>
      </c>
      <c r="I100" s="33" t="n">
        <v>0</v>
      </c>
      <c r="J100" s="33" t="n">
        <v>40000000000</v>
      </c>
      <c r="K100" s="33" t="n">
        <v>8000000000</v>
      </c>
      <c r="L100" s="33" t="n">
        <v>0</v>
      </c>
      <c r="M100" s="33" t="n">
        <v>0</v>
      </c>
    </row>
    <row r="101">
      <c r="A101" s="32" t="inlineStr">
        <is>
          <t>Giao dịch mua bán lại trái phiếu Chính phủ</t>
        </is>
      </c>
      <c r="B101" s="33" t="n">
        <v>0</v>
      </c>
      <c r="C101" s="33" t="n">
        <v>0</v>
      </c>
      <c r="D101" s="33" t="n">
        <v>0</v>
      </c>
      <c r="E101" s="33" t="n">
        <v>0</v>
      </c>
      <c r="F101" s="33" t="n">
        <v>0</v>
      </c>
      <c r="G101" s="33" t="n">
        <v>0</v>
      </c>
      <c r="H101" s="33" t="n">
        <v>0</v>
      </c>
      <c r="I101" s="33" t="n">
        <v>0</v>
      </c>
      <c r="J101" s="33" t="n">
        <v>0</v>
      </c>
      <c r="K101" s="33" t="n">
        <v>0</v>
      </c>
      <c r="L101" s="33" t="n">
        <v>0</v>
      </c>
      <c r="M101" s="33" t="n">
        <v>0</v>
      </c>
    </row>
    <row r="102">
      <c r="A102" s="32" t="inlineStr">
        <is>
          <t>Trả trước người bán dài hạn</t>
        </is>
      </c>
      <c r="B102" s="33" t="n">
        <v>0</v>
      </c>
      <c r="C102" s="33" t="n">
        <v>0</v>
      </c>
      <c r="D102" s="33" t="n">
        <v>0</v>
      </c>
      <c r="E102" s="33" t="n">
        <v>0</v>
      </c>
      <c r="F102" s="33" t="n">
        <v>0</v>
      </c>
      <c r="G102" s="33" t="n">
        <v>0</v>
      </c>
      <c r="H102" s="33" t="n">
        <v>0</v>
      </c>
      <c r="I102" s="33" t="n">
        <v>0</v>
      </c>
      <c r="J102" s="33" t="n">
        <v>0</v>
      </c>
      <c r="K102" s="33" t="n">
        <v>0</v>
      </c>
      <c r="L102" s="33" t="n">
        <v>0</v>
      </c>
      <c r="M102" s="33" t="n">
        <v>0</v>
      </c>
    </row>
    <row r="103">
      <c r="A103" s="32" t="inlineStr">
        <is>
          <t>Phải thu cho vay dài hạn</t>
        </is>
      </c>
      <c r="B103" s="33" t="n">
        <v>0</v>
      </c>
      <c r="C103" s="33" t="n">
        <v>0</v>
      </c>
      <c r="D103" s="33" t="n">
        <v>0</v>
      </c>
      <c r="E103" s="33" t="n">
        <v>0</v>
      </c>
      <c r="F103" s="33" t="n">
        <v>0</v>
      </c>
      <c r="G103" s="33" t="n">
        <v>0</v>
      </c>
      <c r="H103" s="33" t="n">
        <v>0</v>
      </c>
      <c r="I103" s="33" t="n">
        <v>0</v>
      </c>
      <c r="J103" s="33" t="n">
        <v>0</v>
      </c>
      <c r="K103" s="33" t="n">
        <v>0</v>
      </c>
      <c r="L103" s="33" t="n">
        <v>0</v>
      </c>
      <c r="M103" s="33" t="n">
        <v>0</v>
      </c>
    </row>
    <row r="104">
      <c r="A104" s="32" t="inlineStr">
        <is>
          <t>Tài sản dở dang dài hạn</t>
        </is>
      </c>
      <c r="B104" s="33" t="n">
        <v>34585310216</v>
      </c>
      <c r="C104" s="33" t="n">
        <v>56513078966</v>
      </c>
      <c r="D104" s="33" t="n">
        <v>87344789990</v>
      </c>
      <c r="E104" s="33" t="n">
        <v>67983789990</v>
      </c>
      <c r="F104" s="33" t="n">
        <v>37050822693</v>
      </c>
      <c r="G104" s="33" t="n">
        <v>64702641159</v>
      </c>
      <c r="H104" s="33" t="n">
        <v>30407760404</v>
      </c>
      <c r="I104" s="33" t="n">
        <v>55934948964</v>
      </c>
      <c r="J104" s="33" t="n">
        <v>30739297364</v>
      </c>
      <c r="K104" s="33" t="n">
        <v>94707660034</v>
      </c>
      <c r="L104" s="33" t="n">
        <v>32356660034</v>
      </c>
      <c r="M104" s="33" t="n">
        <v>31096002100</v>
      </c>
    </row>
    <row r="105">
      <c r="A105" s="32" t="inlineStr">
        <is>
          <t>Chi phí sản xuất, kinh doanh dở dang dài hạn</t>
        </is>
      </c>
      <c r="B105" s="33" t="n">
        <v>0</v>
      </c>
      <c r="C105" s="33" t="n">
        <v>0</v>
      </c>
      <c r="D105" s="33" t="n">
        <v>0</v>
      </c>
      <c r="E105" s="33" t="n">
        <v>0</v>
      </c>
      <c r="F105" s="33" t="n">
        <v>0</v>
      </c>
      <c r="G105" s="33" t="n">
        <v>0</v>
      </c>
      <c r="H105" s="33" t="n">
        <v>0</v>
      </c>
      <c r="I105" s="33" t="n">
        <v>0</v>
      </c>
      <c r="J105" s="33" t="n">
        <v>0</v>
      </c>
      <c r="K105" s="33" t="n">
        <v>0</v>
      </c>
      <c r="L105" s="33" t="n">
        <v>0</v>
      </c>
      <c r="M105" s="33" t="n">
        <v>0</v>
      </c>
    </row>
    <row r="106">
      <c r="A106" s="32" t="inlineStr">
        <is>
          <t>Đầu tư nắm giữ đến ngày đáo hạn</t>
        </is>
      </c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3" t="n"/>
    </row>
    <row r="107">
      <c r="A107" s="32" t="inlineStr">
        <is>
          <t>Thiết bị, vật tư, phụ tùng thay thế dài hạn</t>
        </is>
      </c>
      <c r="B107" s="33" t="n">
        <v>0</v>
      </c>
      <c r="C107" s="33" t="n">
        <v>0</v>
      </c>
      <c r="D107" s="33" t="n">
        <v>0</v>
      </c>
      <c r="E107" s="33" t="n">
        <v>0</v>
      </c>
      <c r="F107" s="33" t="n">
        <v>0</v>
      </c>
      <c r="G107" s="33" t="n">
        <v>0</v>
      </c>
      <c r="H107" s="33" t="n">
        <v>0</v>
      </c>
      <c r="I107" s="33" t="n">
        <v>0</v>
      </c>
      <c r="J107" s="33" t="n">
        <v>0</v>
      </c>
      <c r="K107" s="33" t="n">
        <v>0</v>
      </c>
      <c r="L107" s="33" t="n">
        <v>0</v>
      </c>
      <c r="M107" s="33" t="n">
        <v>0</v>
      </c>
    </row>
    <row r="108">
      <c r="A108" s="32" t="inlineStr">
        <is>
          <t>Doanh thu chưa thực hiện ngắn hạn</t>
        </is>
      </c>
      <c r="B108" s="33" t="n">
        <v>1368436364</v>
      </c>
      <c r="C108" s="33" t="n">
        <v>0</v>
      </c>
      <c r="D108" s="33" t="n">
        <v>0</v>
      </c>
      <c r="E108" s="33" t="n">
        <v>0</v>
      </c>
      <c r="F108" s="33" t="n">
        <v>0</v>
      </c>
      <c r="G108" s="33" t="n">
        <v>0</v>
      </c>
      <c r="H108" s="33" t="n">
        <v>0</v>
      </c>
      <c r="I108" s="33" t="n">
        <v>0</v>
      </c>
      <c r="J108" s="33" t="n">
        <v>0</v>
      </c>
      <c r="K108" s="33" t="n">
        <v>0</v>
      </c>
      <c r="L108" s="33" t="n">
        <v>0</v>
      </c>
      <c r="M108" s="33" t="n">
        <v>0</v>
      </c>
    </row>
    <row r="109">
      <c r="A109" s="32" t="inlineStr">
        <is>
          <t>Quỹ bình ổn giá</t>
        </is>
      </c>
      <c r="B109" s="33" t="n">
        <v>0</v>
      </c>
      <c r="C109" s="33" t="n">
        <v>0</v>
      </c>
      <c r="D109" s="33" t="n">
        <v>0</v>
      </c>
      <c r="E109" s="33" t="n">
        <v>0</v>
      </c>
      <c r="F109" s="33" t="n">
        <v>0</v>
      </c>
      <c r="G109" s="33" t="n">
        <v>0</v>
      </c>
      <c r="H109" s="33" t="n">
        <v>0</v>
      </c>
      <c r="I109" s="33" t="n">
        <v>0</v>
      </c>
      <c r="J109" s="33" t="n">
        <v>0</v>
      </c>
      <c r="K109" s="33" t="n">
        <v>0</v>
      </c>
      <c r="L109" s="33" t="n">
        <v>0</v>
      </c>
      <c r="M109" s="33" t="n">
        <v>0</v>
      </c>
    </row>
    <row r="110">
      <c r="A110" s="32" t="inlineStr">
        <is>
          <t>Giao dịch mua bán lại trái phiếu chính phủ</t>
        </is>
      </c>
      <c r="B110" s="33" t="n">
        <v>0</v>
      </c>
      <c r="C110" s="33" t="n">
        <v>0</v>
      </c>
      <c r="D110" s="33" t="n">
        <v>0</v>
      </c>
      <c r="E110" s="33" t="n">
        <v>0</v>
      </c>
      <c r="F110" s="33" t="n">
        <v>0</v>
      </c>
      <c r="G110" s="33" t="n">
        <v>0</v>
      </c>
      <c r="H110" s="33" t="n">
        <v>0</v>
      </c>
      <c r="I110" s="33" t="n">
        <v>0</v>
      </c>
      <c r="J110" s="33" t="n">
        <v>0</v>
      </c>
      <c r="K110" s="33" t="n">
        <v>0</v>
      </c>
      <c r="L110" s="33" t="n">
        <v>0</v>
      </c>
      <c r="M110" s="33" t="n">
        <v>0</v>
      </c>
    </row>
    <row r="111">
      <c r="A111" s="32" t="inlineStr">
        <is>
          <t>Người mua trả tiền trước dài hạn</t>
        </is>
      </c>
      <c r="B111" s="33" t="n">
        <v>0</v>
      </c>
      <c r="C111" s="33" t="n">
        <v>0</v>
      </c>
      <c r="D111" s="33" t="n">
        <v>0</v>
      </c>
      <c r="E111" s="33" t="n">
        <v>0</v>
      </c>
      <c r="F111" s="33" t="n">
        <v>0</v>
      </c>
      <c r="G111" s="33" t="n">
        <v>0</v>
      </c>
      <c r="H111" s="33" t="n">
        <v>0</v>
      </c>
      <c r="I111" s="33" t="n">
        <v>0</v>
      </c>
      <c r="J111" s="33" t="n">
        <v>0</v>
      </c>
      <c r="K111" s="33" t="n">
        <v>0</v>
      </c>
      <c r="L111" s="33" t="n">
        <v>0</v>
      </c>
      <c r="M111" s="33" t="n">
        <v>0</v>
      </c>
    </row>
    <row r="112">
      <c r="A112" s="32" t="inlineStr">
        <is>
          <t>Chi phí phải trả dài hạn</t>
        </is>
      </c>
      <c r="B112" s="33" t="n">
        <v>0</v>
      </c>
      <c r="C112" s="33" t="n">
        <v>0</v>
      </c>
      <c r="D112" s="33" t="n">
        <v>0</v>
      </c>
      <c r="E112" s="33" t="n">
        <v>0</v>
      </c>
      <c r="F112" s="33" t="n">
        <v>0</v>
      </c>
      <c r="G112" s="33" t="n">
        <v>0</v>
      </c>
      <c r="H112" s="33" t="n">
        <v>0</v>
      </c>
      <c r="I112" s="33" t="n">
        <v>0</v>
      </c>
      <c r="J112" s="33" t="n">
        <v>0</v>
      </c>
      <c r="K112" s="33" t="n">
        <v>0</v>
      </c>
      <c r="L112" s="33" t="n">
        <v>0</v>
      </c>
      <c r="M112" s="33" t="n">
        <v>0</v>
      </c>
    </row>
    <row r="113">
      <c r="A113" s="32" t="inlineStr">
        <is>
          <t>Phải trả nội bộ về vốn kinh doanh</t>
        </is>
      </c>
      <c r="B113" s="33" t="n">
        <v>0</v>
      </c>
      <c r="C113" s="33" t="n">
        <v>0</v>
      </c>
      <c r="D113" s="33" t="n">
        <v>0</v>
      </c>
      <c r="E113" s="33" t="n">
        <v>0</v>
      </c>
      <c r="F113" s="33" t="n">
        <v>0</v>
      </c>
      <c r="G113" s="33" t="n">
        <v>0</v>
      </c>
      <c r="H113" s="33" t="n">
        <v>0</v>
      </c>
      <c r="I113" s="33" t="n">
        <v>0</v>
      </c>
      <c r="J113" s="33" t="n">
        <v>0</v>
      </c>
      <c r="K113" s="33" t="n">
        <v>0</v>
      </c>
      <c r="L113" s="33" t="n">
        <v>0</v>
      </c>
      <c r="M113" s="33" t="n">
        <v>0</v>
      </c>
    </row>
    <row r="114">
      <c r="A114" s="32" t="inlineStr">
        <is>
          <t>Trái phiếu chuyển đổi</t>
        </is>
      </c>
      <c r="B114" s="33" t="n">
        <v>0</v>
      </c>
      <c r="C114" s="33" t="n">
        <v>0</v>
      </c>
      <c r="D114" s="33" t="n">
        <v>0</v>
      </c>
      <c r="E114" s="33" t="n">
        <v>0</v>
      </c>
      <c r="F114" s="33" t="n">
        <v>0</v>
      </c>
      <c r="G114" s="33" t="n">
        <v>0</v>
      </c>
      <c r="H114" s="33" t="n">
        <v>0</v>
      </c>
      <c r="I114" s="33" t="n">
        <v>0</v>
      </c>
      <c r="J114" s="33" t="n">
        <v>0</v>
      </c>
      <c r="K114" s="33" t="n">
        <v>0</v>
      </c>
      <c r="L114" s="33" t="n">
        <v>0</v>
      </c>
      <c r="M114" s="33" t="n">
        <v>0</v>
      </c>
    </row>
    <row r="115">
      <c r="A115" s="32" t="inlineStr">
        <is>
          <t>Cổ phiếu ưu đãi</t>
        </is>
      </c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</row>
    <row r="116">
      <c r="A116" s="32" t="inlineStr">
        <is>
          <t>Cổ phiếu phổ thông</t>
        </is>
      </c>
      <c r="B116" s="33" t="n">
        <v>1081020340000</v>
      </c>
      <c r="C116" s="33" t="n">
        <v>1621393240000</v>
      </c>
      <c r="D116" s="33" t="n">
        <v>1621393240000</v>
      </c>
      <c r="E116" s="33" t="n">
        <v>1670029820000</v>
      </c>
      <c r="F116" s="33" t="n">
        <v>3380747760000</v>
      </c>
      <c r="G116" s="33" t="n">
        <v>3380747760000</v>
      </c>
      <c r="H116" s="33" t="n">
        <v>3380747760000</v>
      </c>
      <c r="I116" s="33" t="n">
        <v>3380747760000</v>
      </c>
      <c r="J116" s="33" t="n">
        <v>3380747760000</v>
      </c>
      <c r="K116" s="33" t="n">
        <v>3413186660000</v>
      </c>
      <c r="L116" s="33" t="n">
        <v>3413186660000</v>
      </c>
      <c r="M116" s="33" t="n">
        <v>5118915180000</v>
      </c>
    </row>
    <row r="117">
      <c r="A117" s="32" t="inlineStr">
        <is>
          <t>Quyền chọn chuyển đổi trái phiếu</t>
        </is>
      </c>
      <c r="B117" s="33" t="n">
        <v>0</v>
      </c>
      <c r="C117" s="33" t="n">
        <v>0</v>
      </c>
      <c r="D117" s="33" t="n">
        <v>0</v>
      </c>
      <c r="E117" s="33" t="n">
        <v>0</v>
      </c>
      <c r="F117" s="33" t="n">
        <v>0</v>
      </c>
      <c r="G117" s="33" t="n">
        <v>0</v>
      </c>
      <c r="H117" s="33" t="n">
        <v>0</v>
      </c>
      <c r="I117" s="33" t="n">
        <v>0</v>
      </c>
      <c r="J117" s="33" t="n">
        <v>0</v>
      </c>
      <c r="K117" s="33" t="n">
        <v>0</v>
      </c>
      <c r="L117" s="33" t="n">
        <v>0</v>
      </c>
      <c r="M117" s="33" t="n">
        <v>0</v>
      </c>
    </row>
    <row r="118">
      <c r="A118" s="32" t="inlineStr">
        <is>
          <t>LNST chưa phân phối lũy kế đến cuối kỳ trước</t>
        </is>
      </c>
      <c r="B118" s="33" t="n">
        <v>684781388701</v>
      </c>
      <c r="C118" s="33" t="n">
        <v>86780546381</v>
      </c>
      <c r="D118" s="33" t="n">
        <v>86780546381</v>
      </c>
      <c r="E118" s="33" t="n">
        <v>86780546381</v>
      </c>
      <c r="F118" s="33" t="n">
        <v>1188435208200</v>
      </c>
      <c r="G118" s="33" t="n">
        <v>1188435208200</v>
      </c>
      <c r="H118" s="33" t="n">
        <v>3098608360946</v>
      </c>
      <c r="I118" s="33" t="n">
        <v>2055538360946</v>
      </c>
      <c r="J118" s="33" t="n">
        <v>1582471057146</v>
      </c>
      <c r="K118" s="33" t="n">
        <v>1582471057146</v>
      </c>
      <c r="L118" s="33" t="n">
        <v>4069819413036</v>
      </c>
      <c r="M118" s="33" t="n">
        <v>2215301413036</v>
      </c>
    </row>
    <row r="119">
      <c r="A119" s="32" t="inlineStr">
        <is>
          <t>LNST chưa phân phối kỳ này</t>
        </is>
      </c>
      <c r="B119" s="33" t="n">
        <v>336260260434</v>
      </c>
      <c r="C119" s="33" t="n">
        <v>516696527539</v>
      </c>
      <c r="D119" s="33" t="n">
        <v>532245793488</v>
      </c>
      <c r="E119" s="33" t="n">
        <v>798024322445</v>
      </c>
      <c r="F119" s="33" t="n">
        <v>1382041667727</v>
      </c>
      <c r="G119" s="33" t="n">
        <v>2112916282946</v>
      </c>
      <c r="H119" s="33" t="n">
        <v>677727918125</v>
      </c>
      <c r="I119" s="33" t="n">
        <v>1114725168939</v>
      </c>
      <c r="J119" s="33" t="n">
        <v>1610429748096</v>
      </c>
      <c r="K119" s="33" t="n">
        <v>2828497462890</v>
      </c>
      <c r="L119" s="33" t="n">
        <v>1467405321344</v>
      </c>
      <c r="M119" s="33" t="n">
        <v>728529788872</v>
      </c>
    </row>
    <row r="120">
      <c r="A120" s="32" t="inlineStr">
        <is>
          <t>Xây dựng cơ bản đang dở dang</t>
        </is>
      </c>
      <c r="B120" s="33" t="n">
        <v>34585310216</v>
      </c>
      <c r="C120" s="33" t="n">
        <v>56513078966</v>
      </c>
      <c r="D120" s="33" t="n">
        <v>87344789990</v>
      </c>
      <c r="E120" s="33" t="n">
        <v>67983789990</v>
      </c>
      <c r="F120" s="33" t="n">
        <v>37050822693</v>
      </c>
      <c r="G120" s="33" t="n">
        <v>64702641159</v>
      </c>
      <c r="H120" s="33" t="n">
        <v>30407760404</v>
      </c>
      <c r="I120" s="33" t="n">
        <v>55934948964</v>
      </c>
      <c r="J120" s="33" t="n">
        <v>30739297364</v>
      </c>
      <c r="K120" s="33" t="n">
        <v>94707660034</v>
      </c>
      <c r="L120" s="33" t="n">
        <v>32356660034</v>
      </c>
      <c r="M120" s="33" t="n">
        <v>31096002100</v>
      </c>
    </row>
    <row r="121">
      <c r="A121" s="32" t="inlineStr">
        <is>
          <t>Lợi thế thương mại</t>
        </is>
      </c>
      <c r="B121" s="33" t="n">
        <v>0</v>
      </c>
      <c r="C121" s="33" t="n">
        <v>0</v>
      </c>
      <c r="D121" s="33" t="n">
        <v>0</v>
      </c>
      <c r="E121" s="33" t="n">
        <v>0</v>
      </c>
      <c r="F121" s="33" t="n">
        <v>0</v>
      </c>
      <c r="G121" s="33" t="n">
        <v>0</v>
      </c>
      <c r="H121" s="33" t="n">
        <v>0</v>
      </c>
      <c r="I121" s="33" t="n">
        <v>0</v>
      </c>
      <c r="J121" s="33" t="n">
        <v>0</v>
      </c>
      <c r="K121" s="33" t="n">
        <v>0</v>
      </c>
      <c r="L121" s="33" t="n">
        <v>0</v>
      </c>
      <c r="M121" s="33" t="n">
        <v>0</v>
      </c>
    </row>
    <row r="122">
      <c r="A122" s="32" t="inlineStr">
        <is>
          <t>Lợi ích cổ đông không kiểm soát</t>
        </is>
      </c>
      <c r="B122" s="33" t="n">
        <v>0</v>
      </c>
      <c r="C122" s="33" t="n">
        <v>0</v>
      </c>
      <c r="D122" s="33" t="n">
        <v>0</v>
      </c>
      <c r="E122" s="33" t="n">
        <v>0</v>
      </c>
      <c r="F122" s="33" t="n">
        <v>0</v>
      </c>
      <c r="G122" s="33" t="n">
        <v>0</v>
      </c>
      <c r="H122" s="33" t="n">
        <v>0</v>
      </c>
      <c r="I122" s="33" t="n">
        <v>0</v>
      </c>
      <c r="J122" s="33" t="n">
        <v>0</v>
      </c>
      <c r="K122" s="33" t="n">
        <v>0</v>
      </c>
      <c r="L122" s="33" t="n">
        <v>0</v>
      </c>
      <c r="M122" s="33" t="n">
        <v>17356220182</v>
      </c>
    </row>
    <row r="123">
      <c r="A123" s="32" t="inlineStr">
        <is>
          <t>Nguồn kinh phí đã hình thành TSCĐ</t>
        </is>
      </c>
      <c r="B123" s="33" t="n">
        <v>0</v>
      </c>
      <c r="C123" s="33" t="n">
        <v>0</v>
      </c>
      <c r="D123" s="33" t="n">
        <v>0</v>
      </c>
      <c r="E123" s="33" t="n">
        <v>0</v>
      </c>
      <c r="F123" s="33" t="n">
        <v>0</v>
      </c>
      <c r="G123" s="33" t="n">
        <v>0</v>
      </c>
      <c r="H123" s="33" t="n">
        <v>0</v>
      </c>
      <c r="I123" s="33" t="n">
        <v>0</v>
      </c>
      <c r="J123" s="33" t="n">
        <v>0</v>
      </c>
      <c r="K123" s="33" t="n">
        <v>0</v>
      </c>
      <c r="L123" s="33" t="n">
        <v>0</v>
      </c>
      <c r="M123" s="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</cols>
  <sheetData>
    <row r="1">
      <c r="A1" s="30" t="inlineStr">
        <is>
          <t>item</t>
        </is>
      </c>
      <c r="B1" s="31" t="inlineStr">
        <is>
          <t>2018-Q1</t>
        </is>
      </c>
      <c r="C1" s="31" t="inlineStr">
        <is>
          <t>2018-Q2</t>
        </is>
      </c>
      <c r="D1" s="31" t="inlineStr">
        <is>
          <t>2018-Q3</t>
        </is>
      </c>
      <c r="E1" s="31" t="inlineStr">
        <is>
          <t>2018-Q4</t>
        </is>
      </c>
      <c r="F1" s="31" t="inlineStr">
        <is>
          <t>2024-Q3</t>
        </is>
      </c>
      <c r="G1" s="31" t="inlineStr">
        <is>
          <t>2024-Q4</t>
        </is>
      </c>
      <c r="H1" s="31" t="inlineStr">
        <is>
          <t>2025-Q1</t>
        </is>
      </c>
      <c r="I1" s="31" t="inlineStr">
        <is>
          <t>2025-Q2</t>
        </is>
      </c>
      <c r="J1" s="31" t="inlineStr">
        <is>
          <t>2025-Q3</t>
        </is>
      </c>
      <c r="K1" s="31" t="inlineStr">
        <is>
          <t>2025-Q4</t>
        </is>
      </c>
      <c r="L1" s="31" t="inlineStr">
        <is>
          <t>2026-Q1</t>
        </is>
      </c>
      <c r="M1" s="31" t="inlineStr">
        <is>
          <t>2026-Q2</t>
        </is>
      </c>
    </row>
    <row r="2">
      <c r="A2" s="32" t="inlineStr">
        <is>
          <t>Doanh thu bán hàng và cung cấp dịch vụ</t>
        </is>
      </c>
      <c r="B2" s="33" t="n">
        <v>4166588283379</v>
      </c>
      <c r="C2" s="33" t="n">
        <v>3238175968274</v>
      </c>
      <c r="D2" s="33" t="n">
        <v>3178369955454</v>
      </c>
      <c r="E2" s="33" t="n">
        <v>4095665398691</v>
      </c>
      <c r="F2" s="33" t="n">
        <v>7225789054822</v>
      </c>
      <c r="G2" s="33" t="n">
        <v>8698354347717</v>
      </c>
      <c r="H2" s="33" t="n">
        <v>9759650683046</v>
      </c>
      <c r="I2" s="33" t="n">
        <v>7664650341452</v>
      </c>
      <c r="J2" s="33" t="n">
        <v>8235605818836</v>
      </c>
      <c r="K2" s="33" t="n">
        <v>9750682769282</v>
      </c>
      <c r="L2" s="33" t="n">
        <v>17366657543714</v>
      </c>
      <c r="M2" s="33" t="n">
        <v>8564483128740</v>
      </c>
    </row>
    <row r="3">
      <c r="A3" s="32" t="inlineStr">
        <is>
          <t>Các khoản giảm trừ doanh thu</t>
        </is>
      </c>
      <c r="B3" s="33" t="n">
        <v>-27135169850</v>
      </c>
      <c r="C3" s="33" t="n">
        <v>-20736205018</v>
      </c>
      <c r="D3" s="33" t="n">
        <v>-27520745080</v>
      </c>
      <c r="E3" s="33" t="n">
        <v>-32271741000</v>
      </c>
      <c r="F3" s="33" t="n">
        <v>-96177851976</v>
      </c>
      <c r="G3" s="33" t="n">
        <v>-117666403375</v>
      </c>
      <c r="H3" s="33" t="n">
        <v>-124554268544</v>
      </c>
      <c r="I3" s="33" t="n">
        <v>-82200767315</v>
      </c>
      <c r="J3" s="33" t="n">
        <v>-100101386950</v>
      </c>
      <c r="K3" s="33" t="n">
        <v>-127690260415</v>
      </c>
      <c r="L3" s="33" t="n">
        <v>-121426544426</v>
      </c>
      <c r="M3" s="33" t="n">
        <v>-100517281627</v>
      </c>
    </row>
    <row r="4">
      <c r="A4" s="32" t="inlineStr">
        <is>
          <t>Doanh thu thuần</t>
        </is>
      </c>
      <c r="B4" s="33" t="n">
        <v>4139453113529</v>
      </c>
      <c r="C4" s="33" t="n">
        <v>3217439763256</v>
      </c>
      <c r="D4" s="33" t="n">
        <v>3150849210374</v>
      </c>
      <c r="E4" s="33" t="n">
        <v>4063393657691</v>
      </c>
      <c r="F4" s="33" t="n">
        <v>7129611202846</v>
      </c>
      <c r="G4" s="33" t="n">
        <v>8580687944342</v>
      </c>
      <c r="H4" s="33" t="n">
        <v>9635096414502</v>
      </c>
      <c r="I4" s="33" t="n">
        <v>7582449574137</v>
      </c>
      <c r="J4" s="33" t="n">
        <v>8135504431886</v>
      </c>
      <c r="K4" s="33" t="n">
        <v>9622992508867</v>
      </c>
      <c r="L4" s="33" t="n">
        <v>17245230999288</v>
      </c>
      <c r="M4" s="33" t="n">
        <v>8463965847113</v>
      </c>
    </row>
    <row r="5">
      <c r="A5" s="32" t="inlineStr">
        <is>
          <t>Giá vốn hàng bán</t>
        </is>
      </c>
      <c r="B5" s="33" t="n">
        <v>-3369430601006</v>
      </c>
      <c r="C5" s="33" t="n">
        <v>-2634537690306</v>
      </c>
      <c r="D5" s="33" t="n">
        <v>-2550829399062</v>
      </c>
      <c r="E5" s="33" t="n">
        <v>-3237254493017</v>
      </c>
      <c r="F5" s="33" t="n">
        <v>-5879029148365</v>
      </c>
      <c r="G5" s="33" t="n">
        <v>-6788226293053</v>
      </c>
      <c r="H5" s="33" t="n">
        <v>-7586766309432</v>
      </c>
      <c r="I5" s="33" t="n">
        <v>-5953476887712</v>
      </c>
      <c r="J5" s="33" t="n">
        <v>-6528295097135</v>
      </c>
      <c r="K5" s="33" t="n">
        <v>-7223656327099</v>
      </c>
      <c r="L5" s="33" t="n">
        <v>-13804325099087</v>
      </c>
      <c r="M5" s="33" t="n">
        <v>-9130797397247</v>
      </c>
    </row>
    <row r="6">
      <c r="A6" s="32" t="inlineStr">
        <is>
          <t>Lợi nhuận gộp</t>
        </is>
      </c>
      <c r="B6" s="33" t="n">
        <v>770022512523</v>
      </c>
      <c r="C6" s="33" t="n">
        <v>582902072950</v>
      </c>
      <c r="D6" s="33" t="n">
        <v>600019811312</v>
      </c>
      <c r="E6" s="33" t="n">
        <v>826139164674</v>
      </c>
      <c r="F6" s="33" t="n">
        <v>1250582054481</v>
      </c>
      <c r="G6" s="33" t="n">
        <v>1792461651289</v>
      </c>
      <c r="H6" s="33" t="n">
        <v>2048330105070</v>
      </c>
      <c r="I6" s="33" t="n">
        <v>1628972686425</v>
      </c>
      <c r="J6" s="33" t="n">
        <v>1607209334751</v>
      </c>
      <c r="K6" s="33" t="n">
        <v>2399336181768</v>
      </c>
      <c r="L6" s="33" t="n">
        <v>3440905900201</v>
      </c>
      <c r="M6" s="33" t="n">
        <v>-666831550134</v>
      </c>
    </row>
    <row r="7">
      <c r="A7" s="32" t="inlineStr">
        <is>
          <t>Doanh thu hoạt động tài chính</t>
        </is>
      </c>
      <c r="B7" s="33" t="n">
        <v>5994175297</v>
      </c>
      <c r="C7" s="33" t="n">
        <v>188751093</v>
      </c>
      <c r="D7" s="33" t="n">
        <v>145838562</v>
      </c>
      <c r="E7" s="33" t="n">
        <v>517262139</v>
      </c>
      <c r="F7" s="33" t="n">
        <v>24894603085</v>
      </c>
      <c r="G7" s="33" t="n">
        <v>28464720237</v>
      </c>
      <c r="H7" s="33" t="n">
        <v>37651295970</v>
      </c>
      <c r="I7" s="33" t="n">
        <v>24247252211</v>
      </c>
      <c r="J7" s="33" t="n">
        <v>28316452524</v>
      </c>
      <c r="K7" s="33" t="n">
        <v>46088225683</v>
      </c>
      <c r="L7" s="33" t="n">
        <v>52416783827</v>
      </c>
      <c r="M7" s="33" t="n">
        <v>-28651796771</v>
      </c>
    </row>
    <row r="8">
      <c r="A8" s="32" t="inlineStr">
        <is>
          <t>Chi phí tài chính</t>
        </is>
      </c>
      <c r="B8" s="33" t="n">
        <v>-13983492084</v>
      </c>
      <c r="C8" s="33" t="n">
        <v>-13733866715</v>
      </c>
      <c r="D8" s="33" t="n">
        <v>-17407413734</v>
      </c>
      <c r="E8" s="33" t="n">
        <v>-21221091678</v>
      </c>
      <c r="F8" s="33" t="n">
        <v>-12977217232</v>
      </c>
      <c r="G8" s="33" t="n">
        <v>-42880802744</v>
      </c>
      <c r="H8" s="33" t="n">
        <v>-37041222735</v>
      </c>
      <c r="I8" s="33" t="n">
        <v>-46383324153</v>
      </c>
      <c r="J8" s="33" t="n">
        <v>-30542311945</v>
      </c>
      <c r="K8" s="33" t="n">
        <v>-39201911986</v>
      </c>
      <c r="L8" s="33" t="n">
        <v>-55085199262</v>
      </c>
      <c r="M8" s="33" t="n">
        <v>-61012258081</v>
      </c>
    </row>
    <row r="9">
      <c r="A9" s="32" t="inlineStr">
        <is>
          <t>Chi phí lãi vay</t>
        </is>
      </c>
      <c r="B9" s="33" t="n">
        <v>-13553130698</v>
      </c>
      <c r="C9" s="33" t="n">
        <v>-11225839714</v>
      </c>
      <c r="D9" s="33" t="n">
        <v>-15315285497</v>
      </c>
      <c r="E9" s="33" t="n">
        <v>-21014783481</v>
      </c>
      <c r="F9" s="33" t="n">
        <v>-6438807781</v>
      </c>
      <c r="G9" s="33" t="n">
        <v>-22299606340</v>
      </c>
      <c r="H9" s="33" t="n">
        <v>-28848391611</v>
      </c>
      <c r="I9" s="33" t="n">
        <v>-32672703171</v>
      </c>
      <c r="J9" s="33" t="n">
        <v>-24063535984</v>
      </c>
      <c r="K9" s="33" t="n">
        <v>-33497968561</v>
      </c>
      <c r="L9" s="33" t="n">
        <v>-50571525907</v>
      </c>
      <c r="M9" s="33" t="n">
        <v>-56853927524</v>
      </c>
    </row>
    <row r="10">
      <c r="A10" s="32" t="inlineStr">
        <is>
          <t>Chi phí bán hàng</t>
        </is>
      </c>
      <c r="B10" s="33" t="n">
        <v>-281595451271</v>
      </c>
      <c r="C10" s="33" t="n">
        <v>-268913495241</v>
      </c>
      <c r="D10" s="33" t="n">
        <v>-268067364057</v>
      </c>
      <c r="E10" s="33" t="n">
        <v>-351492758857</v>
      </c>
      <c r="F10" s="33" t="n">
        <v>-766263429454</v>
      </c>
      <c r="G10" s="33" t="n">
        <v>-706245531150</v>
      </c>
      <c r="H10" s="33" t="n">
        <v>-1005693098938</v>
      </c>
      <c r="I10" s="33" t="n">
        <v>-855377092177</v>
      </c>
      <c r="J10" s="33" t="n">
        <v>-757519233823</v>
      </c>
      <c r="K10" s="33" t="n">
        <v>-704112549569</v>
      </c>
      <c r="L10" s="33" t="n">
        <v>-1352019120210</v>
      </c>
      <c r="M10" s="33" t="n">
        <v>-226715965082</v>
      </c>
    </row>
    <row r="11">
      <c r="A11" s="32" t="inlineStr">
        <is>
          <t>Chi phí quản lý doanh nghiệp</t>
        </is>
      </c>
      <c r="B11" s="33" t="n">
        <v>-60606184051</v>
      </c>
      <c r="C11" s="33" t="n">
        <v>-73696045394</v>
      </c>
      <c r="D11" s="33" t="n">
        <v>-93015229413</v>
      </c>
      <c r="E11" s="33" t="n">
        <v>-118550695082</v>
      </c>
      <c r="F11" s="33" t="n">
        <v>-181399247814</v>
      </c>
      <c r="G11" s="33" t="n">
        <v>-208079390615</v>
      </c>
      <c r="H11" s="33" t="n">
        <v>-193730064073</v>
      </c>
      <c r="I11" s="33" t="n">
        <v>-203474925240</v>
      </c>
      <c r="J11" s="33" t="n">
        <v>-240445601201</v>
      </c>
      <c r="K11" s="33" t="n">
        <v>-186745261351</v>
      </c>
      <c r="L11" s="33" t="n">
        <v>-222121791475</v>
      </c>
      <c r="M11" s="33" t="n">
        <v>-38196890403</v>
      </c>
    </row>
    <row r="12">
      <c r="A12" s="32" t="inlineStr">
        <is>
          <t>Lãi/(lỗ) từ hoạt động kinh doanh</t>
        </is>
      </c>
      <c r="B12" s="33" t="n">
        <v>419831560414</v>
      </c>
      <c r="C12" s="33" t="n">
        <v>226747416693</v>
      </c>
      <c r="D12" s="33" t="n">
        <v>221675642670</v>
      </c>
      <c r="E12" s="33" t="n">
        <v>335391881196</v>
      </c>
      <c r="F12" s="33" t="n">
        <v>314836763066</v>
      </c>
      <c r="G12" s="33" t="n">
        <v>863720647017</v>
      </c>
      <c r="H12" s="33" t="n">
        <v>849517015294</v>
      </c>
      <c r="I12" s="33" t="n">
        <v>547984597066</v>
      </c>
      <c r="J12" s="33" t="n">
        <v>607018640306</v>
      </c>
      <c r="K12" s="33" t="n">
        <v>1515364684545</v>
      </c>
      <c r="L12" s="33" t="n">
        <v>1864096573081</v>
      </c>
      <c r="M12" s="33" t="n">
        <v>-1021408460471</v>
      </c>
    </row>
    <row r="13">
      <c r="A13" s="32" t="inlineStr">
        <is>
          <t>Thu nhập khác</t>
        </is>
      </c>
      <c r="B13" s="33" t="n">
        <v>1057572840</v>
      </c>
      <c r="C13" s="33" t="n">
        <v>1263333256</v>
      </c>
      <c r="D13" s="33" t="n">
        <v>393502391</v>
      </c>
      <c r="E13" s="33" t="n">
        <v>1923401015</v>
      </c>
      <c r="F13" s="33" t="n">
        <v>4025704624</v>
      </c>
      <c r="G13" s="33" t="n">
        <v>1763875043</v>
      </c>
      <c r="H13" s="33" t="n">
        <v>5101406769</v>
      </c>
      <c r="I13" s="33" t="n">
        <v>3881275230</v>
      </c>
      <c r="J13" s="33" t="n">
        <v>21994473824</v>
      </c>
      <c r="K13" s="33" t="n">
        <v>10211754257</v>
      </c>
      <c r="L13" s="33" t="n">
        <v>3581632251</v>
      </c>
      <c r="M13" s="33" t="n">
        <v>19910198560</v>
      </c>
    </row>
    <row r="14">
      <c r="A14" s="32" t="inlineStr">
        <is>
          <t>Chi phí khác</t>
        </is>
      </c>
      <c r="B14" s="33" t="n">
        <v>-134618904</v>
      </c>
      <c r="C14" s="33" t="n">
        <v>-476223461</v>
      </c>
      <c r="D14" s="33" t="n">
        <v>-929846746</v>
      </c>
      <c r="E14" s="33" t="n">
        <v>-1193348243</v>
      </c>
      <c r="F14" s="33" t="n">
        <v>-843217720</v>
      </c>
      <c r="G14" s="33" t="n">
        <v>-1367830859</v>
      </c>
      <c r="H14" s="33" t="n">
        <v>-381163358</v>
      </c>
      <c r="I14" s="33" t="n">
        <v>-4473052728</v>
      </c>
      <c r="J14" s="33" t="n">
        <v>-3259932669</v>
      </c>
      <c r="K14" s="33" t="n">
        <v>-5120207745</v>
      </c>
      <c r="L14" s="33" t="n">
        <v>-2867586261</v>
      </c>
      <c r="M14" s="33" t="n">
        <v>-1057252923</v>
      </c>
    </row>
    <row r="15">
      <c r="A15" s="32" t="inlineStr">
        <is>
          <t>Thu nhập khác, ròng</t>
        </is>
      </c>
      <c r="B15" s="33" t="n">
        <v>922953936</v>
      </c>
      <c r="C15" s="33" t="n">
        <v>787109795</v>
      </c>
      <c r="D15" s="33" t="n">
        <v>-536344355</v>
      </c>
      <c r="E15" s="33" t="n">
        <v>730052772</v>
      </c>
      <c r="F15" s="33" t="n">
        <v>3182486904</v>
      </c>
      <c r="G15" s="33" t="n">
        <v>396044184</v>
      </c>
      <c r="H15" s="33" t="n">
        <v>4720243411</v>
      </c>
      <c r="I15" s="33" t="n">
        <v>-591777498</v>
      </c>
      <c r="J15" s="33" t="n">
        <v>18734541155</v>
      </c>
      <c r="K15" s="33" t="n">
        <v>5091546512</v>
      </c>
      <c r="L15" s="33" t="n">
        <v>714045990</v>
      </c>
      <c r="M15" s="33" t="n">
        <v>18852945637</v>
      </c>
    </row>
    <row r="16">
      <c r="A16" s="32" t="inlineStr">
        <is>
          <t>Lãi/(lỗ) từ công ty liên doanh</t>
        </is>
      </c>
      <c r="B16" s="33" t="n">
        <v>0</v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  <c r="M16" s="33" t="n">
        <v>0</v>
      </c>
    </row>
    <row r="17">
      <c r="A17" s="32" t="inlineStr">
        <is>
          <t>Lãi/(lỗ) trước thuế</t>
        </is>
      </c>
      <c r="B17" s="33" t="n">
        <v>420754514350</v>
      </c>
      <c r="C17" s="33" t="n">
        <v>227534526488</v>
      </c>
      <c r="D17" s="33" t="n">
        <v>221139298315</v>
      </c>
      <c r="E17" s="33" t="n">
        <v>336121933968</v>
      </c>
      <c r="F17" s="33" t="n">
        <v>318019249970</v>
      </c>
      <c r="G17" s="33" t="n">
        <v>864116691201</v>
      </c>
      <c r="H17" s="33" t="n">
        <v>854237258705</v>
      </c>
      <c r="I17" s="33" t="n">
        <v>547392819568</v>
      </c>
      <c r="J17" s="33" t="n">
        <v>625753181461</v>
      </c>
      <c r="K17" s="33" t="n">
        <v>1520456231057</v>
      </c>
      <c r="L17" s="33" t="n">
        <v>1864810619071</v>
      </c>
      <c r="M17" s="33" t="n">
        <v>-1002555514834</v>
      </c>
    </row>
    <row r="18">
      <c r="A18" s="32" t="inlineStr">
        <is>
          <t>Thuế thu nhập doanh nghiệp - hiện thời</t>
        </is>
      </c>
      <c r="B18" s="33" t="n">
        <v>-84494253916</v>
      </c>
      <c r="C18" s="33" t="n">
        <v>-47098259383</v>
      </c>
      <c r="D18" s="33" t="n">
        <v>-43451417366</v>
      </c>
      <c r="E18" s="33" t="n">
        <v>-74441478043</v>
      </c>
      <c r="F18" s="33" t="n">
        <v>-102557681117</v>
      </c>
      <c r="G18" s="33" t="n">
        <v>-200193714714</v>
      </c>
      <c r="H18" s="33" t="n">
        <v>-176173197786</v>
      </c>
      <c r="I18" s="33" t="n">
        <v>-114022880028</v>
      </c>
      <c r="J18" s="33" t="n">
        <v>-130405520743</v>
      </c>
      <c r="K18" s="33" t="n">
        <v>-429055377351</v>
      </c>
      <c r="L18" s="33" t="n">
        <v>-397469140456</v>
      </c>
      <c r="M18" s="33" t="n">
        <v>-332990135633</v>
      </c>
    </row>
    <row r="19">
      <c r="A19" s="32" t="inlineStr">
        <is>
          <t>Thuế thu nhập doanh nghiệp - hoãn lại</t>
        </is>
      </c>
      <c r="B19" s="33" t="n">
        <v>0</v>
      </c>
      <c r="C19" s="33" t="n">
        <v>0</v>
      </c>
      <c r="D19" s="33" t="n">
        <v>0</v>
      </c>
      <c r="E19" s="33" t="n">
        <v>3858482734</v>
      </c>
      <c r="F19" s="33" t="n">
        <v>373615835</v>
      </c>
      <c r="G19" s="33" t="n">
        <v>66951638732</v>
      </c>
      <c r="H19" s="33" t="n">
        <v>-336142794</v>
      </c>
      <c r="I19" s="33" t="n">
        <v>3627311274</v>
      </c>
      <c r="J19" s="33" t="n">
        <v>356918439</v>
      </c>
      <c r="K19" s="33" t="n">
        <v>126666861088</v>
      </c>
      <c r="L19" s="33" t="n">
        <v>63842729</v>
      </c>
      <c r="M19" s="33" t="n">
        <v>596526338177</v>
      </c>
    </row>
    <row r="20">
      <c r="A20" s="32" t="inlineStr">
        <is>
          <t>Chi phí thuế thu nhập doanh nghiệp</t>
        </is>
      </c>
      <c r="B20" s="33" t="n">
        <v>-84494253916</v>
      </c>
      <c r="C20" s="33" t="n">
        <v>-47098259383</v>
      </c>
      <c r="D20" s="33" t="n">
        <v>-43451417366</v>
      </c>
      <c r="E20" s="33" t="n">
        <v>-70582995309</v>
      </c>
      <c r="F20" s="33" t="n">
        <v>-102184065282</v>
      </c>
      <c r="G20" s="33" t="n">
        <v>-133242075982</v>
      </c>
      <c r="H20" s="33" t="n">
        <v>-176509340580</v>
      </c>
      <c r="I20" s="33" t="n">
        <v>-110395568754</v>
      </c>
      <c r="J20" s="33" t="n">
        <v>-130048602304</v>
      </c>
      <c r="K20" s="33" t="n">
        <v>-302388516263</v>
      </c>
      <c r="L20" s="33" t="n">
        <v>-397405297727</v>
      </c>
      <c r="M20" s="33" t="n">
        <v>263536202544</v>
      </c>
    </row>
    <row r="21">
      <c r="A21" s="32" t="inlineStr">
        <is>
          <t>Lãi/(lỗ) thuần sau thuế</t>
        </is>
      </c>
      <c r="B21" s="33" t="n">
        <v>336260260434</v>
      </c>
      <c r="C21" s="33" t="n">
        <v>180436267105</v>
      </c>
      <c r="D21" s="33" t="n">
        <v>177687880949</v>
      </c>
      <c r="E21" s="33" t="n">
        <v>265538938659</v>
      </c>
      <c r="F21" s="33" t="n">
        <v>215835184688</v>
      </c>
      <c r="G21" s="33" t="n">
        <v>730874615219</v>
      </c>
      <c r="H21" s="33" t="n">
        <v>677727918125</v>
      </c>
      <c r="I21" s="33" t="n">
        <v>436997250814</v>
      </c>
      <c r="J21" s="33" t="n">
        <v>495704579157</v>
      </c>
      <c r="K21" s="33" t="n">
        <v>1218067714794</v>
      </c>
      <c r="L21" s="33" t="n">
        <v>1467405321344</v>
      </c>
      <c r="M21" s="33" t="n">
        <v>-739019312290</v>
      </c>
    </row>
    <row r="22">
      <c r="A22" s="32" t="inlineStr">
        <is>
          <t>Lợi ích của cổ đông thiểu số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n">
        <v>0</v>
      </c>
      <c r="L22" s="33" t="n">
        <v>0</v>
      </c>
      <c r="M22" s="33" t="n">
        <v>-143779818</v>
      </c>
    </row>
    <row r="23">
      <c r="A23" s="32" t="inlineStr">
        <is>
          <t>Lợi nhuận của Cổ đông của Công ty mẹ</t>
        </is>
      </c>
      <c r="B23" s="33" t="n">
        <v>336260260434</v>
      </c>
      <c r="C23" s="33" t="n">
        <v>180436267105</v>
      </c>
      <c r="D23" s="33" t="n">
        <v>177687880949</v>
      </c>
      <c r="E23" s="33" t="n">
        <v>265538938659</v>
      </c>
      <c r="F23" s="33" t="n">
        <v>215835184688</v>
      </c>
      <c r="G23" s="33" t="n">
        <v>730874615219</v>
      </c>
      <c r="H23" s="33" t="n">
        <v>677727918125</v>
      </c>
      <c r="I23" s="33" t="n">
        <v>436997250814</v>
      </c>
      <c r="J23" s="33" t="n">
        <v>495704579157</v>
      </c>
      <c r="K23" s="33" t="n">
        <v>1218067714794</v>
      </c>
      <c r="L23" s="33" t="n">
        <v>1467405321344</v>
      </c>
      <c r="M23" s="33" t="n">
        <v>-738875532472</v>
      </c>
    </row>
    <row r="24">
      <c r="A24" s="32" t="inlineStr">
        <is>
          <t>Lãi cơ bản trên cổ phiếu (VND)</t>
        </is>
      </c>
      <c r="B24" s="33" t="n">
        <v>3111</v>
      </c>
      <c r="C24" s="33" t="n">
        <v>-148</v>
      </c>
      <c r="D24" s="33" t="n">
        <v>1096</v>
      </c>
      <c r="E24" s="33" t="n">
        <v>1591</v>
      </c>
      <c r="F24" s="33" t="n">
        <v>645</v>
      </c>
      <c r="G24" s="33" t="n">
        <v>1864</v>
      </c>
      <c r="H24" s="33" t="n">
        <v>1845</v>
      </c>
      <c r="I24" s="33" t="n">
        <v>1236</v>
      </c>
      <c r="J24" s="33" t="n">
        <v>1370</v>
      </c>
      <c r="K24" s="33" t="n">
        <v>3201</v>
      </c>
      <c r="L24" s="33" t="n">
        <v>4017</v>
      </c>
      <c r="M24" s="33" t="n">
        <v>-2631</v>
      </c>
    </row>
    <row r="25">
      <c r="A25" s="32" t="inlineStr">
        <is>
          <t>Lãi trên cổ phiếu pha loãng (VND)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1236</v>
      </c>
      <c r="J25" s="33" t="n">
        <v>0</v>
      </c>
      <c r="K25" s="33" t="n">
        <v>0</v>
      </c>
      <c r="L25" s="33" t="n">
        <v>0</v>
      </c>
      <c r="M25" s="33" t="n">
        <v>0</v>
      </c>
    </row>
    <row r="26">
      <c r="A26" s="32" t="inlineStr">
        <is>
          <t>Lãi/(lỗ) từ công ty liên doanh (từ năm 2015)</t>
        </is>
      </c>
      <c r="B26" s="33" t="n">
        <v>0</v>
      </c>
      <c r="C26" s="33" t="n">
        <v>0</v>
      </c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0" t="inlineStr">
        <is>
          <t>item</t>
        </is>
      </c>
      <c r="B1" s="31" t="inlineStr">
        <is>
          <t>2018-Q1</t>
        </is>
      </c>
      <c r="C1" s="31" t="inlineStr">
        <is>
          <t>2018-Q2</t>
        </is>
      </c>
      <c r="D1" s="31" t="inlineStr">
        <is>
          <t>2018-Q3</t>
        </is>
      </c>
      <c r="E1" s="31" t="inlineStr">
        <is>
          <t>2018-Q4</t>
        </is>
      </c>
      <c r="F1" s="31" t="inlineStr">
        <is>
          <t>2024-Q3</t>
        </is>
      </c>
      <c r="G1" s="31" t="inlineStr">
        <is>
          <t>2024-Q4</t>
        </is>
      </c>
      <c r="H1" s="31" t="inlineStr">
        <is>
          <t>2025-Q1</t>
        </is>
      </c>
      <c r="I1" s="31" t="inlineStr">
        <is>
          <t>2025-Q2</t>
        </is>
      </c>
      <c r="J1" s="31" t="inlineStr">
        <is>
          <t>2025-Q3</t>
        </is>
      </c>
      <c r="K1" s="31" t="inlineStr">
        <is>
          <t>2025-Q4</t>
        </is>
      </c>
      <c r="L1" s="31" t="inlineStr">
        <is>
          <t>2026-Q1</t>
        </is>
      </c>
      <c r="M1" s="31" t="inlineStr">
        <is>
          <t>2026-Q2</t>
        </is>
      </c>
    </row>
    <row r="2">
      <c r="A2" s="32" t="inlineStr">
        <is>
          <t>Lợi nhuận/(lỗ) trước thuế</t>
        </is>
      </c>
      <c r="B2" s="33" t="n">
        <v>420754514350</v>
      </c>
      <c r="C2" s="33" t="n">
        <v>227534526488</v>
      </c>
      <c r="D2" s="33" t="n">
        <v>221139298315</v>
      </c>
      <c r="E2" s="33" t="n">
        <v>336121933968</v>
      </c>
      <c r="F2" s="33" t="n">
        <v>318019249970</v>
      </c>
      <c r="G2" s="33" t="n">
        <v>864116691201</v>
      </c>
      <c r="H2" s="33" t="n">
        <v>854237258705</v>
      </c>
      <c r="I2" s="33" t="n">
        <v>547392819568</v>
      </c>
      <c r="J2" s="33" t="n">
        <v>625753181461</v>
      </c>
      <c r="K2" s="33" t="n">
        <v>1520456231057</v>
      </c>
      <c r="L2" s="33" t="n">
        <v>1864810619071</v>
      </c>
      <c r="M2" s="33" t="n">
        <v>-1002555514834</v>
      </c>
    </row>
    <row r="3">
      <c r="A3" s="32" t="inlineStr">
        <is>
          <t>Khấu hao TSCĐ và BĐSĐT</t>
        </is>
      </c>
      <c r="B3" s="33" t="n">
        <v>9947182144</v>
      </c>
      <c r="C3" s="33" t="n">
        <v>10126744458</v>
      </c>
      <c r="D3" s="33" t="n">
        <v>11260742472</v>
      </c>
      <c r="E3" s="33" t="n">
        <v>10766979013</v>
      </c>
      <c r="F3" s="33" t="n">
        <v>20042779427</v>
      </c>
      <c r="G3" s="33" t="n">
        <v>20381735643</v>
      </c>
      <c r="H3" s="33" t="n">
        <v>22196706619</v>
      </c>
      <c r="I3" s="33" t="n">
        <v>21536874400</v>
      </c>
      <c r="J3" s="33" t="n">
        <v>21021081735</v>
      </c>
      <c r="K3" s="33" t="n">
        <v>20536795649</v>
      </c>
      <c r="L3" s="33" t="n">
        <v>18518277954</v>
      </c>
      <c r="M3" s="33" t="n">
        <v>18961959338</v>
      </c>
    </row>
    <row r="4">
      <c r="A4" s="32" t="inlineStr">
        <is>
          <t>Chi phí dự phòng</t>
        </is>
      </c>
      <c r="B4" s="33" t="n">
        <v>0</v>
      </c>
      <c r="C4" s="33" t="n">
        <v>0</v>
      </c>
      <c r="D4" s="33" t="n">
        <v>0</v>
      </c>
      <c r="E4" s="33" t="n">
        <v>0</v>
      </c>
      <c r="F4" s="33" t="n">
        <v>6380258406</v>
      </c>
      <c r="G4" s="33" t="n">
        <v>30432377395</v>
      </c>
      <c r="H4" s="33" t="n">
        <v>-903692717</v>
      </c>
      <c r="I4" s="33" t="n">
        <v>-7385664894</v>
      </c>
      <c r="J4" s="33" t="n">
        <v>-5126204365</v>
      </c>
      <c r="K4" s="33" t="n">
        <v>5720321082</v>
      </c>
      <c r="L4" s="33" t="n">
        <v>-3949215427</v>
      </c>
      <c r="M4" s="33" t="n">
        <v>2671197738793</v>
      </c>
    </row>
    <row r="5">
      <c r="A5" s="32" t="inlineStr">
        <is>
          <t>Lãi/lỗ chênh lệch tỷ giá hối đoái do đánh giá lại các khoản mục tiền tệ có gốc ngoại tệ</t>
        </is>
      </c>
      <c r="B5" s="33" t="n">
        <v>0</v>
      </c>
      <c r="C5" s="33" t="n">
        <v>963264840</v>
      </c>
      <c r="D5" s="33" t="n">
        <v>0</v>
      </c>
      <c r="E5" s="33" t="n">
        <v>-1132306183</v>
      </c>
      <c r="F5" s="33" t="n">
        <v>917038623</v>
      </c>
      <c r="G5" s="33" t="n">
        <v>549042768</v>
      </c>
      <c r="H5" s="33" t="n">
        <v>-1061047483</v>
      </c>
      <c r="I5" s="33" t="n">
        <v>-838658117</v>
      </c>
      <c r="J5" s="33" t="n">
        <v>1505334971</v>
      </c>
      <c r="K5" s="33" t="n">
        <v>-2039977941</v>
      </c>
      <c r="L5" s="33" t="n">
        <v>-2187343</v>
      </c>
      <c r="M5" s="33" t="n">
        <v>35131536</v>
      </c>
    </row>
    <row r="6">
      <c r="A6" s="32" t="inlineStr">
        <is>
          <t>Lãi/(lỗ) từ thanh lý tài sản cố định</t>
        </is>
      </c>
      <c r="B6" s="33" t="n">
        <v>0</v>
      </c>
      <c r="C6" s="33" t="n">
        <v>0</v>
      </c>
      <c r="D6" s="33" t="n">
        <v>0</v>
      </c>
      <c r="E6" s="33" t="n">
        <v>0</v>
      </c>
      <c r="F6" s="33" t="n">
        <v>0</v>
      </c>
      <c r="G6" s="33" t="n">
        <v>0</v>
      </c>
      <c r="H6" s="33" t="n">
        <v>0</v>
      </c>
      <c r="I6" s="33" t="n">
        <v>0</v>
      </c>
      <c r="J6" s="33" t="n">
        <v>0</v>
      </c>
      <c r="K6" s="33" t="n">
        <v>0</v>
      </c>
      <c r="L6" s="33" t="n">
        <v>0</v>
      </c>
      <c r="M6" s="33" t="n">
        <v>0</v>
      </c>
    </row>
    <row r="7">
      <c r="A7" s="32" t="inlineStr">
        <is>
          <t>(Lãi)/lỗ từ hoạt động đầu tư</t>
        </is>
      </c>
      <c r="B7" s="33" t="n">
        <v>-5894368533</v>
      </c>
      <c r="C7" s="33" t="n">
        <v>-304669627</v>
      </c>
      <c r="D7" s="33" t="n">
        <v>-4127190626</v>
      </c>
      <c r="E7" s="33" t="n">
        <v>2919284209</v>
      </c>
      <c r="F7" s="33" t="n">
        <v>-5251469580</v>
      </c>
      <c r="G7" s="33" t="n">
        <v>-26204259443</v>
      </c>
      <c r="H7" s="33" t="n">
        <v>-28318857249</v>
      </c>
      <c r="I7" s="33" t="n">
        <v>-14347632727</v>
      </c>
      <c r="J7" s="33" t="n">
        <v>-25115163203</v>
      </c>
      <c r="K7" s="33" t="n">
        <v>-42463294522</v>
      </c>
      <c r="L7" s="33" t="n">
        <v>-42831359789</v>
      </c>
      <c r="M7" s="33" t="n">
        <v>25367024738</v>
      </c>
    </row>
    <row r="8">
      <c r="A8" s="32" t="inlineStr">
        <is>
          <t>Chi phí lãi vay</t>
        </is>
      </c>
      <c r="B8" s="33" t="n">
        <v>13553130698</v>
      </c>
      <c r="C8" s="33" t="n">
        <v>11225839714</v>
      </c>
      <c r="D8" s="33" t="n">
        <v>15879373171</v>
      </c>
      <c r="E8" s="33" t="n">
        <v>20450698807</v>
      </c>
      <c r="F8" s="33" t="n">
        <v>6438807781</v>
      </c>
      <c r="G8" s="33" t="n">
        <v>22299606340</v>
      </c>
      <c r="H8" s="33" t="n">
        <v>28848391611</v>
      </c>
      <c r="I8" s="33" t="n">
        <v>32672703171</v>
      </c>
      <c r="J8" s="33" t="n">
        <v>24063535984</v>
      </c>
      <c r="K8" s="33" t="n">
        <v>33497968561</v>
      </c>
      <c r="L8" s="33" t="n">
        <v>50571525907</v>
      </c>
      <c r="M8" s="33" t="n">
        <v>56853927524</v>
      </c>
    </row>
    <row r="9">
      <c r="A9" s="32" t="inlineStr">
        <is>
          <t>Thu lãi và cổ tức</t>
        </is>
      </c>
      <c r="B9" s="33" t="n">
        <v>0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</row>
    <row r="10">
      <c r="A10" s="32" t="inlineStr">
        <is>
          <t>Lợi nhuận/(lỗ) từ hoạt động kinh doanh trước những thay đổi vốn lưu động</t>
        </is>
      </c>
      <c r="B10" s="33" t="n">
        <v>438360458659</v>
      </c>
      <c r="C10" s="33" t="n">
        <v>249545705873</v>
      </c>
      <c r="D10" s="33" t="n">
        <v>244152223332</v>
      </c>
      <c r="E10" s="33" t="n">
        <v>369126589814</v>
      </c>
      <c r="F10" s="33" t="n">
        <v>346546664627</v>
      </c>
      <c r="G10" s="33" t="n">
        <v>911575193904</v>
      </c>
      <c r="H10" s="33" t="n">
        <v>874998759486</v>
      </c>
      <c r="I10" s="33" t="n">
        <v>579030441401</v>
      </c>
      <c r="J10" s="33" t="n">
        <v>642101766583</v>
      </c>
      <c r="K10" s="33" t="n">
        <v>1535708043886</v>
      </c>
      <c r="L10" s="33" t="n">
        <v>1887117660373</v>
      </c>
      <c r="M10" s="33" t="n">
        <v>1769860267095</v>
      </c>
    </row>
    <row r="11">
      <c r="A11" s="32" t="inlineStr">
        <is>
          <t>(Tăng)/giảm các khoản phải thu</t>
        </is>
      </c>
      <c r="B11" s="33" t="n">
        <v>-12071458695</v>
      </c>
      <c r="C11" s="33" t="n">
        <v>-30568872418</v>
      </c>
      <c r="D11" s="33" t="n">
        <v>-32167599110</v>
      </c>
      <c r="E11" s="33" t="n">
        <v>-11229815791</v>
      </c>
      <c r="F11" s="33" t="n">
        <v>-79665892558</v>
      </c>
      <c r="G11" s="33" t="n">
        <v>-140267237683</v>
      </c>
      <c r="H11" s="33" t="n">
        <v>94192407236</v>
      </c>
      <c r="I11" s="33" t="n">
        <v>109276110403</v>
      </c>
      <c r="J11" s="33" t="n">
        <v>-64205154963</v>
      </c>
      <c r="K11" s="33" t="n">
        <v>96427786102</v>
      </c>
      <c r="L11" s="33" t="n">
        <v>-49803118650</v>
      </c>
      <c r="M11" s="33" t="n">
        <v>-60341880860</v>
      </c>
    </row>
    <row r="12">
      <c r="A12" s="32" t="inlineStr">
        <is>
          <t>(Tăng)/giảm hàng tồn kho</t>
        </is>
      </c>
      <c r="B12" s="33" t="n">
        <v>-206016316402</v>
      </c>
      <c r="C12" s="33" t="n">
        <v>-328118688960</v>
      </c>
      <c r="D12" s="33" t="n">
        <v>-188083741687</v>
      </c>
      <c r="E12" s="33" t="n">
        <v>-843967969317</v>
      </c>
      <c r="F12" s="33" t="n">
        <v>-1094975965705</v>
      </c>
      <c r="G12" s="33" t="n">
        <v>-2225180243885</v>
      </c>
      <c r="H12" s="33" t="n">
        <v>-631191559344</v>
      </c>
      <c r="I12" s="33" t="n">
        <v>-54068071480</v>
      </c>
      <c r="J12" s="33" t="n">
        <v>1264854560972</v>
      </c>
      <c r="K12" s="33" t="n">
        <v>-3386317720537</v>
      </c>
      <c r="L12" s="33" t="n">
        <v>2420198444319</v>
      </c>
      <c r="M12" s="33" t="n">
        <v>-2173591971738</v>
      </c>
    </row>
    <row r="13">
      <c r="A13" s="32" t="inlineStr">
        <is>
          <t>Tăng/(giảm) các khoản phải trả</t>
        </is>
      </c>
      <c r="B13" s="33" t="n">
        <v>40949743548</v>
      </c>
      <c r="C13" s="33" t="n">
        <v>19195141980</v>
      </c>
      <c r="D13" s="33" t="n">
        <v>6540959029</v>
      </c>
      <c r="E13" s="33" t="n">
        <v>345517358989</v>
      </c>
      <c r="F13" s="33" t="n">
        <v>474266842052</v>
      </c>
      <c r="G13" s="33" t="n">
        <v>8092632104</v>
      </c>
      <c r="H13" s="33" t="n">
        <v>-207454890349</v>
      </c>
      <c r="I13" s="33" t="n">
        <v>-329568580575</v>
      </c>
      <c r="J13" s="33" t="n">
        <v>37369383510</v>
      </c>
      <c r="K13" s="33" t="n">
        <v>130627589253</v>
      </c>
      <c r="L13" s="33" t="n">
        <v>-59653053842</v>
      </c>
      <c r="M13" s="33" t="n">
        <v>-910114273243</v>
      </c>
    </row>
    <row r="14">
      <c r="A14" s="32" t="inlineStr">
        <is>
          <t>(Tăng)/giảm chi phí trả trước</t>
        </is>
      </c>
      <c r="B14" s="33" t="n">
        <v>-4082007882</v>
      </c>
      <c r="C14" s="33" t="n">
        <v>-16880653401</v>
      </c>
      <c r="D14" s="33" t="n">
        <v>-16317147407</v>
      </c>
      <c r="E14" s="33" t="n">
        <v>-7504481012</v>
      </c>
      <c r="F14" s="33" t="n">
        <v>-12607128690</v>
      </c>
      <c r="G14" s="33" t="n">
        <v>-21721888557</v>
      </c>
      <c r="H14" s="33" t="n">
        <v>41216236449</v>
      </c>
      <c r="I14" s="33" t="n">
        <v>38767912168</v>
      </c>
      <c r="J14" s="33" t="n">
        <v>41925326222</v>
      </c>
      <c r="K14" s="33" t="n">
        <v>47979883852</v>
      </c>
      <c r="L14" s="33" t="n">
        <v>24972122330</v>
      </c>
      <c r="M14" s="33" t="n">
        <v>16702948223</v>
      </c>
    </row>
    <row r="15">
      <c r="A15" s="32" t="inlineStr">
        <is>
          <t>Tiền lãi vay đã trả</t>
        </is>
      </c>
      <c r="B15" s="33" t="n">
        <v>-13621293461</v>
      </c>
      <c r="C15" s="33" t="n">
        <v>-11036908067</v>
      </c>
      <c r="D15" s="33" t="n">
        <v>-10383927789</v>
      </c>
      <c r="E15" s="33" t="n">
        <v>-25401528212</v>
      </c>
      <c r="F15" s="33" t="n">
        <v>-5797057452</v>
      </c>
      <c r="G15" s="33" t="n">
        <v>-20301348662</v>
      </c>
      <c r="H15" s="33" t="n">
        <v>-28319619183</v>
      </c>
      <c r="I15" s="33" t="n">
        <v>-33768429038</v>
      </c>
      <c r="J15" s="33" t="n">
        <v>-23411292380</v>
      </c>
      <c r="K15" s="33" t="n">
        <v>-32389730717</v>
      </c>
      <c r="L15" s="33" t="n">
        <v>-51487757778</v>
      </c>
      <c r="M15" s="33" t="n">
        <v>-56548743521</v>
      </c>
    </row>
    <row r="16">
      <c r="A16" s="32" t="inlineStr">
        <is>
          <t>Thuế thu nhập doanh nghiệp đã nộp</t>
        </is>
      </c>
      <c r="B16" s="33" t="n">
        <v>-87145313529</v>
      </c>
      <c r="C16" s="33" t="n">
        <v>-41494253914</v>
      </c>
      <c r="D16" s="33" t="n">
        <v>-47075923635</v>
      </c>
      <c r="E16" s="33" t="n">
        <v>-56242595034</v>
      </c>
      <c r="F16" s="33" t="n">
        <v>-83741265585</v>
      </c>
      <c r="G16" s="33" t="n">
        <v>-86066136147</v>
      </c>
      <c r="H16" s="33" t="n">
        <v>-368459435459</v>
      </c>
      <c r="I16" s="33" t="n">
        <v>-80186435560</v>
      </c>
      <c r="J16" s="33" t="n">
        <v>-71109293548</v>
      </c>
      <c r="K16" s="33" t="n">
        <v>-87529846074</v>
      </c>
      <c r="L16" s="33" t="n">
        <v>-611849044775</v>
      </c>
      <c r="M16" s="33" t="n">
        <v>-149164506776</v>
      </c>
    </row>
    <row r="17">
      <c r="A17" s="32" t="inlineStr">
        <is>
          <t>Tiền thu khác từ hoạt động kinh doanh</t>
        </is>
      </c>
      <c r="B17" s="33" t="n">
        <v>0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</row>
    <row r="18">
      <c r="A18" s="32" t="inlineStr">
        <is>
          <t>Tiền chi khác cho hoạt động kinh doanh</t>
        </is>
      </c>
      <c r="B18" s="33" t="n">
        <v>-1082640170</v>
      </c>
      <c r="C18" s="33" t="n">
        <v>-14571635928</v>
      </c>
      <c r="D18" s="33" t="n">
        <v>1155815936</v>
      </c>
      <c r="E18" s="33" t="n">
        <v>-11619130917</v>
      </c>
      <c r="F18" s="33" t="n">
        <v>-3585871699</v>
      </c>
      <c r="G18" s="33" t="n">
        <v>548303600</v>
      </c>
      <c r="H18" s="33" t="n">
        <v>-10171748882</v>
      </c>
      <c r="I18" s="33" t="n">
        <v>-3650283185</v>
      </c>
      <c r="J18" s="33" t="n">
        <v>-4979175000</v>
      </c>
      <c r="K18" s="33" t="n">
        <v>-886400000</v>
      </c>
      <c r="L18" s="33" t="n">
        <v>-544993906</v>
      </c>
      <c r="M18" s="33" t="n">
        <v>-3541506094</v>
      </c>
    </row>
    <row r="19">
      <c r="A19" s="32" t="inlineStr">
        <is>
          <t>Lưu chuyển tiền tệ ròng từ các hoạt động sản xuất kinh doanh</t>
        </is>
      </c>
      <c r="B19" s="33" t="n">
        <v>155291172068</v>
      </c>
      <c r="C19" s="33" t="n">
        <v>-173930164835</v>
      </c>
      <c r="D19" s="33" t="n">
        <v>-42179341331</v>
      </c>
      <c r="E19" s="33" t="n">
        <v>-241321571480</v>
      </c>
      <c r="F19" s="33" t="n">
        <v>-459559675010</v>
      </c>
      <c r="G19" s="33" t="n">
        <v>-1573320725326</v>
      </c>
      <c r="H19" s="33" t="n">
        <v>-235189850046</v>
      </c>
      <c r="I19" s="33" t="n">
        <v>126910990241</v>
      </c>
      <c r="J19" s="33" t="n">
        <v>1822178660873</v>
      </c>
      <c r="K19" s="33" t="n">
        <v>-1695009397227</v>
      </c>
      <c r="L19" s="33" t="n">
        <v>3557793601151</v>
      </c>
      <c r="M19" s="33" t="n">
        <v>-1566739666914</v>
      </c>
    </row>
    <row r="20">
      <c r="A20" s="32" t="inlineStr">
        <is>
          <t>Tiền chi để mua sắm, xây dựng TSCĐ và các tài sản dài hạn khác</t>
        </is>
      </c>
      <c r="B20" s="33" t="n">
        <v>0</v>
      </c>
      <c r="C20" s="33" t="n">
        <v>0</v>
      </c>
      <c r="D20" s="33" t="n">
        <v>-43016840457</v>
      </c>
      <c r="E20" s="33" t="n">
        <v>-30047464392</v>
      </c>
      <c r="F20" s="33" t="n">
        <v>-19623882392</v>
      </c>
      <c r="G20" s="33" t="n">
        <v>-50265953419</v>
      </c>
      <c r="H20" s="33" t="n">
        <v>-3854068827</v>
      </c>
      <c r="I20" s="33" t="n">
        <v>-37879520259</v>
      </c>
      <c r="J20" s="33" t="n">
        <v>-7407292629</v>
      </c>
      <c r="K20" s="33" t="n">
        <v>-66401945535</v>
      </c>
      <c r="L20" s="33" t="n">
        <v>-14779883537</v>
      </c>
      <c r="M20" s="33" t="n">
        <v>-23216117689</v>
      </c>
    </row>
    <row r="21">
      <c r="A21" s="32" t="inlineStr">
        <is>
          <t>Tiền thu từ thanh lý, nhượng bán TSCĐ và các tài sản dài hạn khác</t>
        </is>
      </c>
      <c r="B21" s="33" t="n">
        <v>0</v>
      </c>
      <c r="C21" s="33" t="n">
        <v>0</v>
      </c>
      <c r="D21" s="33" t="n">
        <v>802952842</v>
      </c>
      <c r="E21" s="33" t="n">
        <v>-2510000</v>
      </c>
      <c r="F21" s="33" t="n">
        <v>-48157964</v>
      </c>
      <c r="G21" s="33" t="n">
        <v>0</v>
      </c>
      <c r="H21" s="33" t="n">
        <v>0</v>
      </c>
      <c r="I21" s="33" t="n">
        <v>0</v>
      </c>
      <c r="J21" s="33" t="n">
        <v>0</v>
      </c>
      <c r="K21" s="33" t="n">
        <v>3636364</v>
      </c>
      <c r="L21" s="33" t="n">
        <v>0</v>
      </c>
      <c r="M21" s="33" t="n">
        <v>0</v>
      </c>
    </row>
    <row r="22">
      <c r="A22" s="32" t="inlineStr">
        <is>
          <t>Tiền chi cho vay, mua các công cụ nợ của đơn vị khác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-1050000000000</v>
      </c>
      <c r="G22" s="33" t="n">
        <v>-70000000000</v>
      </c>
      <c r="H22" s="33" t="n">
        <v>-1550555651855</v>
      </c>
      <c r="I22" s="33" t="n">
        <v>-69614348145</v>
      </c>
      <c r="J22" s="33" t="n">
        <v>-2016830000000</v>
      </c>
      <c r="K22" s="33" t="n">
        <v>-430400000000</v>
      </c>
      <c r="L22" s="33" t="n">
        <v>-2994000000000</v>
      </c>
      <c r="M22" s="33" t="n">
        <v>-304648880000</v>
      </c>
    </row>
    <row r="23">
      <c r="A23" s="32" t="inlineStr">
        <is>
          <t>Tiền thu hồi cho vay, bán lại các công cụ nợ của đơn vị khác</t>
        </is>
      </c>
      <c r="B23" s="33" t="n">
        <v>0</v>
      </c>
      <c r="C23" s="33" t="n">
        <v>0</v>
      </c>
      <c r="D23" s="33" t="n">
        <v>0</v>
      </c>
      <c r="E23" s="33" t="n">
        <v>65000000</v>
      </c>
      <c r="F23" s="33" t="n">
        <v>100000000000</v>
      </c>
      <c r="G23" s="33" t="n">
        <v>0</v>
      </c>
      <c r="H23" s="33" t="n">
        <v>950000000000</v>
      </c>
      <c r="I23" s="33" t="n">
        <v>460170000000</v>
      </c>
      <c r="J23" s="33" t="n">
        <v>1099830000000</v>
      </c>
      <c r="K23" s="33" t="n">
        <v>700000000000</v>
      </c>
      <c r="L23" s="33" t="n">
        <v>1470000000000</v>
      </c>
      <c r="M23" s="33" t="n">
        <v>452467000000</v>
      </c>
    </row>
    <row r="24">
      <c r="A24" s="32" t="inlineStr">
        <is>
          <t>Tiền chi đầu tư góp vốn vào đơn vị khác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-1950000000</v>
      </c>
      <c r="J24" s="33" t="n">
        <v>0</v>
      </c>
      <c r="K24" s="33" t="n">
        <v>0</v>
      </c>
      <c r="L24" s="33" t="n">
        <v>0</v>
      </c>
      <c r="M24" s="33" t="n">
        <v>0</v>
      </c>
    </row>
    <row r="25">
      <c r="A25" s="32" t="inlineStr">
        <is>
          <t>Tiền thu hồi đầu tư góp vốn vào đơn vị khác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</row>
    <row r="26">
      <c r="A26" s="32" t="inlineStr">
        <is>
          <t>Tiền thu lãi cho vay, cổ tức và lợi nhuận được chia</t>
        </is>
      </c>
      <c r="B26" s="33" t="n">
        <v>0</v>
      </c>
      <c r="C26" s="33" t="n">
        <v>0</v>
      </c>
      <c r="D26" s="33" t="n">
        <v>-3875131770</v>
      </c>
      <c r="E26" s="33" t="n">
        <v>4282595347</v>
      </c>
      <c r="F26" s="33" t="n">
        <v>4196227073</v>
      </c>
      <c r="G26" s="33" t="n">
        <v>19519565605</v>
      </c>
      <c r="H26" s="33" t="n">
        <v>29358112143</v>
      </c>
      <c r="I26" s="33" t="n">
        <v>2697852460</v>
      </c>
      <c r="J26" s="33" t="n">
        <v>38662389233</v>
      </c>
      <c r="K26" s="33" t="n">
        <v>10382806990</v>
      </c>
      <c r="L26" s="33" t="n">
        <v>50783637215</v>
      </c>
      <c r="M26" s="33" t="n">
        <v>14988333230</v>
      </c>
    </row>
    <row r="27">
      <c r="A27" s="32" t="inlineStr">
        <is>
          <t>Lưu chuyển tiền thuần từ hoạt động đầu tư</t>
        </is>
      </c>
      <c r="B27" s="33" t="n">
        <v>-50482090278</v>
      </c>
      <c r="C27" s="33" t="n">
        <v>-46632982085</v>
      </c>
      <c r="D27" s="33" t="n">
        <v>-46089019385</v>
      </c>
      <c r="E27" s="33" t="n">
        <v>-25702379045</v>
      </c>
      <c r="F27" s="33" t="n">
        <v>-965475813283</v>
      </c>
      <c r="G27" s="33" t="n">
        <v>-100746387814</v>
      </c>
      <c r="H27" s="33" t="n">
        <v>-575051608539</v>
      </c>
      <c r="I27" s="33" t="n">
        <v>353423984056</v>
      </c>
      <c r="J27" s="33" t="n">
        <v>-885744903396</v>
      </c>
      <c r="K27" s="33" t="n">
        <v>213584497819</v>
      </c>
      <c r="L27" s="33" t="n">
        <v>-1487996246322</v>
      </c>
      <c r="M27" s="33" t="n">
        <v>139590335541</v>
      </c>
    </row>
    <row r="28">
      <c r="A28" s="32" t="inlineStr">
        <is>
          <t>Tiền thu từ phát hành cổ phiếu, nhận vốn góp của chủ sở hữu</t>
        </is>
      </c>
      <c r="B28" s="33" t="n">
        <v>0</v>
      </c>
      <c r="C28" s="33" t="n">
        <v>0</v>
      </c>
      <c r="D28" s="33" t="n">
        <v>0</v>
      </c>
      <c r="E28" s="33" t="n">
        <v>97273160000</v>
      </c>
      <c r="F28" s="33" t="n">
        <v>66857920000</v>
      </c>
      <c r="G28" s="33" t="n">
        <v>0</v>
      </c>
      <c r="H28" s="33" t="n">
        <v>0</v>
      </c>
      <c r="I28" s="33" t="n">
        <v>0</v>
      </c>
      <c r="J28" s="33" t="n">
        <v>64877800000</v>
      </c>
      <c r="K28" s="33" t="n">
        <v>-54000000</v>
      </c>
      <c r="L28" s="33" t="n">
        <v>0</v>
      </c>
      <c r="M28" s="33" t="n">
        <v>17500000000</v>
      </c>
    </row>
    <row r="29">
      <c r="A29" s="32" t="inlineStr">
        <is>
          <t>Tiền chi trả vốn góp cho các chủ sở hữu, mua lại cổ phiếu của doanh nghiệp đã phát hành</t>
        </is>
      </c>
      <c r="B29" s="33" t="n">
        <v>0</v>
      </c>
      <c r="C29" s="33" t="n">
        <v>0</v>
      </c>
      <c r="D29" s="33" t="n">
        <v>0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  <c r="M29" s="33" t="n">
        <v>0</v>
      </c>
    </row>
    <row r="30">
      <c r="A30" s="32" t="inlineStr">
        <is>
          <t>Tiền thu được các khoản đi vay</t>
        </is>
      </c>
      <c r="B30" s="33" t="n">
        <v>1147089495620</v>
      </c>
      <c r="C30" s="33" t="n">
        <v>934486054676</v>
      </c>
      <c r="D30" s="33" t="n">
        <v>951493973814</v>
      </c>
      <c r="E30" s="33" t="n">
        <v>1287702518970</v>
      </c>
      <c r="F30" s="33" t="n">
        <v>1478563482967</v>
      </c>
      <c r="G30" s="33" t="n">
        <v>2964215858851</v>
      </c>
      <c r="H30" s="33" t="n">
        <v>2183431447192</v>
      </c>
      <c r="I30" s="33" t="n">
        <v>2635277189042</v>
      </c>
      <c r="J30" s="33" t="n">
        <v>1951671758875</v>
      </c>
      <c r="K30" s="33" t="n">
        <v>3047491100250</v>
      </c>
      <c r="L30" s="33" t="n">
        <v>2509869140915</v>
      </c>
      <c r="M30" s="33" t="n">
        <v>5309409232299</v>
      </c>
    </row>
    <row r="31">
      <c r="A31" s="32" t="inlineStr">
        <is>
          <t>Tiền trả nợ gốc vay</t>
        </is>
      </c>
      <c r="B31" s="33" t="n">
        <v>-1261451068707</v>
      </c>
      <c r="C31" s="33" t="n">
        <v>-675382064575</v>
      </c>
      <c r="D31" s="33" t="n">
        <v>-685186633302</v>
      </c>
      <c r="E31" s="33" t="n">
        <v>-1024983492670</v>
      </c>
      <c r="F31" s="33" t="n">
        <v>-267777824371</v>
      </c>
      <c r="G31" s="33" t="n">
        <v>-1093093687079</v>
      </c>
      <c r="H31" s="33" t="n">
        <v>-2036940876648</v>
      </c>
      <c r="I31" s="33" t="n">
        <v>-3027017404856</v>
      </c>
      <c r="J31" s="33" t="n">
        <v>-2715361105873</v>
      </c>
      <c r="K31" s="33" t="n">
        <v>-1156708489089</v>
      </c>
      <c r="L31" s="33" t="n">
        <v>-3839632931295</v>
      </c>
      <c r="M31" s="33" t="n">
        <v>-4213903026322</v>
      </c>
    </row>
    <row r="32">
      <c r="A32" s="32" t="inlineStr">
        <is>
          <t>Tiền trả nợ gốc thuê tài chính</t>
        </is>
      </c>
      <c r="B32" s="33" t="n">
        <v>0</v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3" t="n">
        <v>0</v>
      </c>
      <c r="J32" s="33" t="n">
        <v>0</v>
      </c>
      <c r="K32" s="33" t="n">
        <v>0</v>
      </c>
      <c r="L32" s="33" t="n">
        <v>0</v>
      </c>
      <c r="M32" s="33" t="n">
        <v>0</v>
      </c>
    </row>
    <row r="33">
      <c r="A33" s="32" t="inlineStr">
        <is>
          <t>Cổ tức, lợi nhuận đã trả cho chủ sở hữu</t>
        </is>
      </c>
      <c r="B33" s="33" t="n">
        <v>-83756116880</v>
      </c>
      <c r="C33" s="33" t="n">
        <v>-23751667300</v>
      </c>
      <c r="D33" s="33" t="n">
        <v>-157189740450</v>
      </c>
      <c r="E33" s="33" t="n">
        <v>-3674287670</v>
      </c>
      <c r="F33" s="33" t="n">
        <v>0</v>
      </c>
      <c r="G33" s="33" t="n">
        <v>-471584526700</v>
      </c>
      <c r="H33" s="33" t="n">
        <v>-202112808240</v>
      </c>
      <c r="I33" s="33" t="n">
        <v>0</v>
      </c>
      <c r="J33" s="33" t="n">
        <v>0</v>
      </c>
      <c r="K33" s="33" t="n">
        <v>-471579649590</v>
      </c>
      <c r="L33" s="33" t="n">
        <v>-339129068520</v>
      </c>
      <c r="M33" s="33" t="n">
        <v>-898204000</v>
      </c>
    </row>
    <row r="34">
      <c r="A34" s="32" t="inlineStr">
        <is>
          <t>Tiền lãi đã nhận</t>
        </is>
      </c>
      <c r="B34" s="33" t="n">
        <v>0</v>
      </c>
      <c r="C34" s="33" t="n">
        <v>0</v>
      </c>
      <c r="D34" s="33" t="n">
        <v>0</v>
      </c>
      <c r="E34" s="33" t="n">
        <v>0</v>
      </c>
      <c r="F34" s="33" t="n">
        <v>0</v>
      </c>
      <c r="G34" s="33" t="n">
        <v>0</v>
      </c>
      <c r="H34" s="33" t="n">
        <v>0</v>
      </c>
      <c r="I34" s="33" t="n">
        <v>0</v>
      </c>
      <c r="J34" s="33" t="n">
        <v>0</v>
      </c>
      <c r="K34" s="33" t="n">
        <v>0</v>
      </c>
      <c r="L34" s="33" t="n">
        <v>0</v>
      </c>
      <c r="M34" s="33" t="n">
        <v>0</v>
      </c>
    </row>
    <row r="35">
      <c r="A35" s="32" t="inlineStr">
        <is>
          <t>Lưu chuyển tiền thuần từ hoạt động tài chính</t>
        </is>
      </c>
      <c r="B35" s="33" t="n">
        <v>-198117689967</v>
      </c>
      <c r="C35" s="33" t="n">
        <v>235352322801</v>
      </c>
      <c r="D35" s="33" t="n">
        <v>109117600062</v>
      </c>
      <c r="E35" s="33" t="n">
        <v>356317898630</v>
      </c>
      <c r="F35" s="33" t="n">
        <v>1277643578596</v>
      </c>
      <c r="G35" s="33" t="n">
        <v>1399537645072</v>
      </c>
      <c r="H35" s="33" t="n">
        <v>-55622237696</v>
      </c>
      <c r="I35" s="33" t="n">
        <v>-391740215814</v>
      </c>
      <c r="J35" s="33" t="n">
        <v>-698811546998</v>
      </c>
      <c r="K35" s="33" t="n">
        <v>1419148961571</v>
      </c>
      <c r="L35" s="33" t="n">
        <v>-1668892858900</v>
      </c>
      <c r="M35" s="33" t="n">
        <v>1112108001977</v>
      </c>
    </row>
    <row r="36">
      <c r="A36" s="32" t="inlineStr">
        <is>
          <t>Lưu chuyển tiền thuần trong kỳ</t>
        </is>
      </c>
      <c r="B36" s="33" t="n">
        <v>-93308608177</v>
      </c>
      <c r="C36" s="33" t="n">
        <v>14789175881</v>
      </c>
      <c r="D36" s="33" t="n">
        <v>20849239346</v>
      </c>
      <c r="E36" s="33" t="n">
        <v>89293948105</v>
      </c>
      <c r="F36" s="33" t="n">
        <v>-147391909697</v>
      </c>
      <c r="G36" s="33" t="n">
        <v>-274529468068</v>
      </c>
      <c r="H36" s="33" t="n">
        <v>-865863696281</v>
      </c>
      <c r="I36" s="33" t="n">
        <v>88594758483</v>
      </c>
      <c r="J36" s="33" t="n">
        <v>237622210479</v>
      </c>
      <c r="K36" s="33" t="n">
        <v>-62275937837</v>
      </c>
      <c r="L36" s="33" t="n">
        <v>400904495929</v>
      </c>
      <c r="M36" s="33" t="n">
        <v>-315041329396</v>
      </c>
    </row>
    <row r="37">
      <c r="A37" s="32" t="inlineStr">
        <is>
          <t>Tiền và tương đương tiền đầu kỳ</t>
        </is>
      </c>
      <c r="B37" s="33" t="n">
        <v>175208552187</v>
      </c>
      <c r="C37" s="33" t="n">
        <v>81899944010</v>
      </c>
      <c r="D37" s="33" t="n">
        <v>96738062585</v>
      </c>
      <c r="E37" s="33" t="n">
        <v>117587302131</v>
      </c>
      <c r="F37" s="33" t="n">
        <v>1544061575711</v>
      </c>
      <c r="G37" s="33" t="n">
        <v>1396669666014</v>
      </c>
      <c r="H37" s="33" t="n">
        <v>1122712392130</v>
      </c>
      <c r="I37" s="33" t="n">
        <v>256848695849</v>
      </c>
      <c r="J37" s="33" t="n">
        <v>346404312952</v>
      </c>
      <c r="K37" s="33" t="n">
        <v>584695579192</v>
      </c>
      <c r="L37" s="33" t="n">
        <v>522302784849</v>
      </c>
      <c r="M37" s="33" t="n">
        <v>923543256525</v>
      </c>
    </row>
    <row r="38">
      <c r="A38" s="32" t="inlineStr">
        <is>
          <t>Ảnh hưởng của thay đổi tỷ giá hối đoái quy đổi ngoại tệ</t>
        </is>
      </c>
      <c r="B38" s="33" t="n">
        <v>0</v>
      </c>
      <c r="C38" s="33" t="n">
        <v>48942694</v>
      </c>
      <c r="D38" s="33" t="n">
        <v>200</v>
      </c>
      <c r="E38" s="33" t="n">
        <v>-160070607</v>
      </c>
      <c r="F38" s="33" t="n">
        <v>0</v>
      </c>
      <c r="G38" s="33" t="n">
        <v>572194184</v>
      </c>
      <c r="H38" s="33" t="n">
        <v>0</v>
      </c>
      <c r="I38" s="33" t="n">
        <v>960858620</v>
      </c>
      <c r="J38" s="33" t="n">
        <v>669055761</v>
      </c>
      <c r="K38" s="33" t="n">
        <v>-394384324</v>
      </c>
      <c r="L38" s="33" t="n">
        <v>335975747</v>
      </c>
      <c r="M38" s="33" t="n">
        <v>155369538</v>
      </c>
    </row>
    <row r="39">
      <c r="A39" s="32" t="inlineStr">
        <is>
          <t>Tiền và tương đương tiền cuối kỳ</t>
        </is>
      </c>
      <c r="B39" s="33" t="n">
        <v>81899944010</v>
      </c>
      <c r="C39" s="33" t="n">
        <v>96738062585</v>
      </c>
      <c r="D39" s="33" t="n">
        <v>117587302131</v>
      </c>
      <c r="E39" s="33" t="n">
        <v>206721179629</v>
      </c>
      <c r="F39" s="33" t="n">
        <v>1396669666014</v>
      </c>
      <c r="G39" s="33" t="n">
        <v>1122712392130</v>
      </c>
      <c r="H39" s="33" t="n">
        <v>256848695849</v>
      </c>
      <c r="I39" s="33" t="n">
        <v>346404312952</v>
      </c>
      <c r="J39" s="33" t="n">
        <v>584695579192</v>
      </c>
      <c r="K39" s="33" t="n">
        <v>522025257031</v>
      </c>
      <c r="L39" s="33" t="n">
        <v>923543256525</v>
      </c>
      <c r="M39" s="33" t="n">
        <v>608657296667</v>
      </c>
    </row>
    <row r="40">
      <c r="A40" s="32" t="inlineStr">
        <is>
          <t>Phân bổ lợi thế thương mại</t>
        </is>
      </c>
      <c r="B40" s="33" t="n">
        <v>0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0</v>
      </c>
      <c r="L40" s="33" t="n">
        <v>0</v>
      </c>
      <c r="M40" s="33" t="n">
        <v>0</v>
      </c>
    </row>
    <row r="41">
      <c r="A41" s="32" t="inlineStr">
        <is>
          <t>Các khoản điều chỉnh khác</t>
        </is>
      </c>
      <c r="B41" s="33" t="n">
        <v>0</v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0</v>
      </c>
      <c r="M41" s="33" t="n">
        <v>0</v>
      </c>
    </row>
    <row r="42">
      <c r="A42" s="32" t="inlineStr">
        <is>
          <t>(Tăng)/giảm chứng khoán kinh doanh</t>
        </is>
      </c>
      <c r="B42" s="33" t="n">
        <v>0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-98921673893</v>
      </c>
      <c r="J42" s="33" t="n">
        <v>-367460523</v>
      </c>
      <c r="K42" s="33" t="n">
        <v>1370997008</v>
      </c>
      <c r="L42" s="33" t="n">
        <v>-1156656920</v>
      </c>
      <c r="M42" s="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showGridLines="0" tabSelected="1" workbookViewId="0">
      <selection activeCell="E3" sqref="E3"/>
    </sheetView>
  </sheetViews>
  <sheetFormatPr baseColWidth="8" defaultRowHeight="14.25"/>
  <cols>
    <col width="48.875" bestFit="1" customWidth="1" min="1" max="1"/>
    <col width="17.125" bestFit="1" customWidth="1" min="2" max="8"/>
    <col width="17.625" bestFit="1" customWidth="1" min="9" max="9"/>
  </cols>
  <sheetData>
    <row r="1">
      <c r="A1" s="10" t="inlineStr">
        <is>
          <t>Chỉ tiêu</t>
        </is>
      </c>
      <c r="B1" s="11">
        <f>balance_sheet!B1</f>
        <v/>
      </c>
      <c r="C1" s="11">
        <f>balance_sheet!C1</f>
        <v/>
      </c>
      <c r="D1" s="11">
        <f>balance_sheet!D1</f>
        <v/>
      </c>
      <c r="E1" s="11">
        <f>balance_sheet!E1</f>
        <v/>
      </c>
      <c r="F1" s="11">
        <f>balance_sheet!F1</f>
        <v/>
      </c>
      <c r="G1" s="11">
        <f>balance_sheet!G1</f>
        <v/>
      </c>
      <c r="H1" s="11">
        <f>balance_sheet!H1</f>
        <v/>
      </c>
      <c r="I1" s="11">
        <f>balance_sheet!I1</f>
        <v/>
      </c>
    </row>
    <row r="2">
      <c r="A2" s="10" t="inlineStr">
        <is>
          <t>ROE (LNST CĐ Cty mẹ / VCSH bình quân)</t>
        </is>
      </c>
      <c r="B2" s="34">
        <f>IFERROR(B$54/((B$41+#REF!)/2),"n/a")</f>
        <v/>
      </c>
      <c r="C2" s="34">
        <f>IFERROR(C$54/((C$41+B$41)/2),"n/a")</f>
        <v/>
      </c>
      <c r="D2" s="34">
        <f>IFERROR(D$54/((D$41+C$41)/2),"n/a")</f>
        <v/>
      </c>
      <c r="E2" s="34">
        <f>IFERROR(E$54/((E$41+D$41)/2),"n/a")</f>
        <v/>
      </c>
      <c r="F2" s="34">
        <f>IFERROR(F$54/((F$41+E$41)/2),"n/a")</f>
        <v/>
      </c>
      <c r="G2" s="34">
        <f>IFERROR(G$54/((G$41+F$41)/2),"n/a")</f>
        <v/>
      </c>
      <c r="H2" s="34">
        <f>IFERROR(H$54/((H$41+G$41)/2),"n/a")</f>
        <v/>
      </c>
      <c r="I2" s="34">
        <f>IFERROR(I$54/((I$41+H$41)/2),"n/a")</f>
        <v/>
      </c>
    </row>
    <row r="3">
      <c r="A3" s="10" t="inlineStr">
        <is>
          <t>ROA (LNST / Tổng tài sản bình quân)</t>
        </is>
      </c>
      <c r="B3" s="34">
        <f>IFERROR(B$53/((B$33+#REF!)/2),"n/a")</f>
        <v/>
      </c>
      <c r="C3" s="34">
        <f>IFERROR(C$53/((C$33+B$33)/2),"n/a")</f>
        <v/>
      </c>
      <c r="D3" s="34">
        <f>IFERROR(D$53/((D$33+C$33)/2),"n/a")</f>
        <v/>
      </c>
      <c r="E3" s="34">
        <f>IFERROR(E$53/((E$33+D$33)/2),"n/a")</f>
        <v/>
      </c>
      <c r="F3" s="34">
        <f>IFERROR(F$53/((F$33+E$33)/2),"n/a")</f>
        <v/>
      </c>
      <c r="G3" s="34">
        <f>IFERROR(G$53/((G$33+F$33)/2),"n/a")</f>
        <v/>
      </c>
      <c r="H3" s="34">
        <f>IFERROR(H$53/((H$33+G$33)/2),"n/a")</f>
        <v/>
      </c>
      <c r="I3" s="34">
        <f>IFERROR(I$53/((I$33+H$33)/2),"n/a")</f>
        <v/>
      </c>
    </row>
    <row r="4">
      <c r="A4" s="10" t="inlineStr">
        <is>
          <t>Tăng trưởng LN Cổ đông Cty mẹ QQ</t>
        </is>
      </c>
      <c r="B4" s="34">
        <f>IFERROR((B$54-#REF!)/ABS(#REF!),"n/a")</f>
        <v/>
      </c>
      <c r="C4" s="27">
        <f>IFERROR((C$54-B$54)/ABS(B$54),"n/a")</f>
        <v/>
      </c>
      <c r="D4" s="27">
        <f>IFERROR((D$54-C$54)/ABS(C$54),"n/a")</f>
        <v/>
      </c>
      <c r="E4" s="27">
        <f>IFERROR((E$54-D$54)/ABS(D$54),"n/a")</f>
        <v/>
      </c>
      <c r="F4" s="27">
        <f>IFERROR((F$54-E$54)/ABS(E$54),"n/a")</f>
        <v/>
      </c>
      <c r="G4" s="27">
        <f>IFERROR((G$54-F$54)/ABS(F$54),"n/a")</f>
        <v/>
      </c>
      <c r="H4" s="27">
        <f>IFERROR((H$54-G$54)/ABS(G$54),"n/a")</f>
        <v/>
      </c>
      <c r="I4" s="27">
        <f>IFERROR((I$54-H$54)/ABS(H$54),"n/a")</f>
        <v/>
      </c>
    </row>
    <row r="5">
      <c r="A5" s="10" t="inlineStr">
        <is>
          <t>Tăng trưởng LN Cổ đông Cty mẹ YY</t>
        </is>
      </c>
      <c r="B5" s="34" t="n"/>
      <c r="C5" s="34" t="n"/>
      <c r="D5" s="34" t="n"/>
      <c r="E5" s="34" t="n"/>
      <c r="F5" s="34">
        <f>IFERROR((F$54-B$54)/ABS(B$54),"n/a")</f>
        <v/>
      </c>
      <c r="G5" s="34">
        <f>IFERROR((G$54-C$54)/ABS(C$54),"n/a")</f>
        <v/>
      </c>
      <c r="H5" s="34">
        <f>IFERROR((H$54-D$54)/ABS(D$54),"n/a")</f>
        <v/>
      </c>
      <c r="I5" s="34">
        <f>IFERROR((I$54-E$54)/ABS(E$54),"n/a")</f>
        <v/>
      </c>
    </row>
    <row r="6">
      <c r="A6" s="10" t="inlineStr">
        <is>
          <t>Tăng trưởng Doanh thu thuần QQ</t>
        </is>
      </c>
      <c r="B6" s="34">
        <f>IFERROR((B$45-#REF!)/ABS(#REF!),"n/a")</f>
        <v/>
      </c>
      <c r="C6" s="27">
        <f>IFERROR((C$45-B$45)/ABS(B$45),"n/a")</f>
        <v/>
      </c>
      <c r="D6" s="27">
        <f>IFERROR((D$45-C$45)/ABS(C$45),"n/a")</f>
        <v/>
      </c>
      <c r="E6" s="27">
        <f>IFERROR((E$45-D$45)/ABS(D$45),"n/a")</f>
        <v/>
      </c>
      <c r="F6" s="27">
        <f>IFERROR((F$45-E$45)/ABS(E$45),"n/a")</f>
        <v/>
      </c>
      <c r="G6" s="27">
        <f>IFERROR((G$45-F$45)/ABS(F$45),"n/a")</f>
        <v/>
      </c>
      <c r="H6" s="27">
        <f>IFERROR((H$45-G$45)/ABS(G$45),"n/a")</f>
        <v/>
      </c>
      <c r="I6" s="27">
        <f>IFERROR((I$45-H$45)/ABS(H$45),"n/a")</f>
        <v/>
      </c>
    </row>
    <row r="7">
      <c r="A7" s="10" t="inlineStr">
        <is>
          <t>Tăng trưởng Doanh thu thuần YY</t>
        </is>
      </c>
      <c r="B7" s="34" t="n"/>
      <c r="C7" s="34" t="n"/>
      <c r="D7" s="34" t="n"/>
      <c r="E7" s="34" t="n"/>
      <c r="F7" s="34">
        <f>IFERROR((F$45-B$45)/ABS(B$45),"n/a")</f>
        <v/>
      </c>
      <c r="G7" s="34">
        <f>IFERROR((G$45-C$45)/ABS(C$45),"n/a")</f>
        <v/>
      </c>
      <c r="H7" s="34">
        <f>IFERROR((H$45-D$45)/ABS(D$45),"n/a")</f>
        <v/>
      </c>
      <c r="I7" s="34">
        <f>IFERROR((I$45-E$45)/ABS(E$45),"n/a")</f>
        <v/>
      </c>
    </row>
    <row r="8">
      <c r="A8" s="10" t="inlineStr">
        <is>
          <t>Biên lợi nhuận gộp</t>
        </is>
      </c>
      <c r="B8" s="34">
        <f>IFERROR(B$47/B$45,"n/a")</f>
        <v/>
      </c>
      <c r="C8" s="34">
        <f>IFERROR(C$47/C$45,"n/a")</f>
        <v/>
      </c>
      <c r="D8" s="34">
        <f>IFERROR(D$47/D$45,"n/a")</f>
        <v/>
      </c>
      <c r="E8" s="34">
        <f>IFERROR(E$47/E$45,"n/a")</f>
        <v/>
      </c>
      <c r="F8" s="34">
        <f>IFERROR(F$47/F$45,"n/a")</f>
        <v/>
      </c>
      <c r="G8" s="34">
        <f>IFERROR(G$47/G$45,"n/a")</f>
        <v/>
      </c>
      <c r="H8" s="34">
        <f>IFERROR(H$47/H$45,"n/a")</f>
        <v/>
      </c>
      <c r="I8" s="34">
        <f>IFERROR(I$47/I$45,"n/a")</f>
        <v/>
      </c>
    </row>
    <row r="9">
      <c r="A9" s="10" t="inlineStr">
        <is>
          <t>Biên lợi nhuận ròng</t>
        </is>
      </c>
      <c r="B9" s="34">
        <f>IFERROR(B$54/B$45,"n/a")</f>
        <v/>
      </c>
      <c r="C9" s="34">
        <f>IFERROR(C$54/C$45,"n/a")</f>
        <v/>
      </c>
      <c r="D9" s="34">
        <f>IFERROR(D$54/D$45,"n/a")</f>
        <v/>
      </c>
      <c r="E9" s="34">
        <f>IFERROR(E$54/E$45,"n/a")</f>
        <v/>
      </c>
      <c r="F9" s="34">
        <f>IFERROR(F$54/F$45,"n/a")</f>
        <v/>
      </c>
      <c r="G9" s="34">
        <f>IFERROR(G$54/G$45,"n/a")</f>
        <v/>
      </c>
      <c r="H9" s="34">
        <f>IFERROR(H$54/H$45,"n/a")</f>
        <v/>
      </c>
      <c r="I9" s="34">
        <f>IFERROR(I$54/I$45,"n/a")</f>
        <v/>
      </c>
    </row>
    <row r="10">
      <c r="A10" s="10" t="inlineStr">
        <is>
          <t>D/E (Nợ vay / Vốn chủ sở hữu)</t>
        </is>
      </c>
      <c r="B10" s="28">
        <f>IFERROR((B$36+B$38)/B$41,"n/a")</f>
        <v/>
      </c>
      <c r="C10" s="28">
        <f>IFERROR((C$36+C$38)/C$41,"n/a")</f>
        <v/>
      </c>
      <c r="D10" s="28">
        <f>IFERROR((D$36+D$38)/D$41,"n/a")</f>
        <v/>
      </c>
      <c r="E10" s="28">
        <f>IFERROR((E$36+E$38)/E$41,"n/a")</f>
        <v/>
      </c>
      <c r="F10" s="28">
        <f>IFERROR((F$36+F$38)/F$41,"n/a")</f>
        <v/>
      </c>
      <c r="G10" s="28">
        <f>IFERROR((G$36+G$38)/G$41,"n/a")</f>
        <v/>
      </c>
      <c r="H10" s="28">
        <f>IFERROR((H$36+H$38)/H$41,"n/a")</f>
        <v/>
      </c>
      <c r="I10" s="28">
        <f>IFERROR((I$36+I$38)/I$41,"n/a")</f>
        <v/>
      </c>
    </row>
    <row r="11">
      <c r="A11" s="12" t="inlineStr">
        <is>
          <t xml:space="preserve">     - Nợ vay dài hạn/Vốn chủ sở hữu</t>
        </is>
      </c>
      <c r="B11" s="28">
        <f>IFERROR(B$38/B$41,"n/a")</f>
        <v/>
      </c>
      <c r="C11" s="28">
        <f>IFERROR(C$38/C$41,"n/a")</f>
        <v/>
      </c>
      <c r="D11" s="28">
        <f>IFERROR(D$38/D$41,"n/a")</f>
        <v/>
      </c>
      <c r="E11" s="28">
        <f>IFERROR(E$38/E$41,"n/a")</f>
        <v/>
      </c>
      <c r="F11" s="28">
        <f>IFERROR(F$38/F$41,"n/a")</f>
        <v/>
      </c>
      <c r="G11" s="28">
        <f>IFERROR(G$38/G$41,"n/a")</f>
        <v/>
      </c>
      <c r="H11" s="28">
        <f>IFERROR(H$38/H$41,"n/a")</f>
        <v/>
      </c>
      <c r="I11" s="28">
        <f>IFERROR(I$38/I$41,"n/a")</f>
        <v/>
      </c>
    </row>
    <row r="12">
      <c r="A12" s="12" t="inlineStr">
        <is>
          <t xml:space="preserve">     - Nợ vay ngắn hạn/Vốn chủ sở hữu</t>
        </is>
      </c>
      <c r="B12" s="28">
        <f>IFERROR(B$36/B$41,"n/a")</f>
        <v/>
      </c>
      <c r="C12" s="28">
        <f>IFERROR(C$36/C$41,"n/a")</f>
        <v/>
      </c>
      <c r="D12" s="28">
        <f>IFERROR(D$36/D$41,"n/a")</f>
        <v/>
      </c>
      <c r="E12" s="28">
        <f>IFERROR(E$36/E$41,"n/a")</f>
        <v/>
      </c>
      <c r="F12" s="28">
        <f>IFERROR(F$36/F$41,"n/a")</f>
        <v/>
      </c>
      <c r="G12" s="28">
        <f>IFERROR(G$36/G$41,"n/a")</f>
        <v/>
      </c>
      <c r="H12" s="28">
        <f>IFERROR(H$36/H$41,"n/a")</f>
        <v/>
      </c>
      <c r="I12" s="28">
        <f>IFERROR(I$36/I$41,"n/a")</f>
        <v/>
      </c>
    </row>
    <row r="13">
      <c r="A13" s="10" t="inlineStr">
        <is>
          <t>Nợ phải trả/Vốn chủ sở hữu</t>
        </is>
      </c>
      <c r="B13" s="28">
        <f>IFERROR(B$40/B$41,"n/a")</f>
        <v/>
      </c>
      <c r="C13" s="28">
        <f>IFERROR(C$40/C$41,"n/a")</f>
        <v/>
      </c>
      <c r="D13" s="28">
        <f>IFERROR(D$40/D$41,"n/a")</f>
        <v/>
      </c>
      <c r="E13" s="28">
        <f>IFERROR(E$40/E$41,"n/a")</f>
        <v/>
      </c>
      <c r="F13" s="28">
        <f>IFERROR(F$40/F$41,"n/a")</f>
        <v/>
      </c>
      <c r="G13" s="28">
        <f>IFERROR(G$40/G$41,"n/a")</f>
        <v/>
      </c>
      <c r="H13" s="28">
        <f>IFERROR(H$40/H$41,"n/a")</f>
        <v/>
      </c>
      <c r="I13" s="28">
        <f>IFERROR(I$40/I$41,"n/a")</f>
        <v/>
      </c>
    </row>
    <row r="14">
      <c r="A14" s="12" t="inlineStr">
        <is>
          <t xml:space="preserve">     - Nợ dài hạn/Vốn chủ sở hữu</t>
        </is>
      </c>
      <c r="B14" s="28">
        <f>IFERROR(B$39/B$41,"n/a")</f>
        <v/>
      </c>
      <c r="C14" s="28">
        <f>IFERROR(C$39/C$41,"n/a")</f>
        <v/>
      </c>
      <c r="D14" s="28">
        <f>IFERROR(D$39/D$41,"n/a")</f>
        <v/>
      </c>
      <c r="E14" s="28">
        <f>IFERROR(E$39/E$41,"n/a")</f>
        <v/>
      </c>
      <c r="F14" s="28">
        <f>IFERROR(F$39/F$41,"n/a")</f>
        <v/>
      </c>
      <c r="G14" s="28">
        <f>IFERROR(G$39/G$41,"n/a")</f>
        <v/>
      </c>
      <c r="H14" s="28">
        <f>IFERROR(H$39/H$41,"n/a")</f>
        <v/>
      </c>
      <c r="I14" s="28">
        <f>IFERROR(I$39/I$41,"n/a")</f>
        <v/>
      </c>
    </row>
    <row r="15">
      <c r="A15" s="12" t="inlineStr">
        <is>
          <t xml:space="preserve">     - Nợ ngắn hạn/Vốn chủ sở hữu</t>
        </is>
      </c>
      <c r="B15" s="28">
        <f>IFERROR(B$37/B$41,"n/a")</f>
        <v/>
      </c>
      <c r="C15" s="28">
        <f>IFERROR(C$37/C$41,"n/a")</f>
        <v/>
      </c>
      <c r="D15" s="28">
        <f>IFERROR(D$37/D$41,"n/a")</f>
        <v/>
      </c>
      <c r="E15" s="28">
        <f>IFERROR(E$37/E$41,"n/a")</f>
        <v/>
      </c>
      <c r="F15" s="28">
        <f>IFERROR(F$37/F$41,"n/a")</f>
        <v/>
      </c>
      <c r="G15" s="28">
        <f>IFERROR(G$37/G$41,"n/a")</f>
        <v/>
      </c>
      <c r="H15" s="28">
        <f>IFERROR(H$37/H$41,"n/a")</f>
        <v/>
      </c>
      <c r="I15" s="28">
        <f>IFERROR(I$37/I$41,"n/a")</f>
        <v/>
      </c>
    </row>
    <row r="16">
      <c r="A16" s="10" t="inlineStr">
        <is>
          <t>Chi phí bán hàng, quản lý/LN gộp</t>
        </is>
      </c>
      <c r="B16" s="34">
        <f>IFERROR((ABS(B$48)+ABS(B$49))/B$47,"n/a")</f>
        <v/>
      </c>
      <c r="C16" s="34">
        <f>IFERROR((ABS(C$48)+ABS(C$49))/C$47,"n/a")</f>
        <v/>
      </c>
      <c r="D16" s="34">
        <f>IFERROR((ABS(D$48)+ABS(D$49))/D$47,"n/a")</f>
        <v/>
      </c>
      <c r="E16" s="34">
        <f>IFERROR((ABS(E$48)+ABS(E$49))/E$47,"n/a")</f>
        <v/>
      </c>
      <c r="F16" s="34">
        <f>IFERROR((ABS(F$48)+ABS(F$49))/F$47,"n/a")</f>
        <v/>
      </c>
      <c r="G16" s="34">
        <f>IFERROR((ABS(G$48)+ABS(G$49))/G$47,"n/a")</f>
        <v/>
      </c>
      <c r="H16" s="34">
        <f>IFERROR((ABS(H$48)+ABS(H$49))/H$47,"n/a")</f>
        <v/>
      </c>
      <c r="I16" s="34">
        <f>IFERROR((ABS(I$48)+ABS(I$49))/I$47,"n/a")</f>
        <v/>
      </c>
    </row>
    <row r="17">
      <c r="A17" s="10" t="inlineStr">
        <is>
          <t>Chi phí lãi vay/LN từ hoạt động kinh doanh</t>
        </is>
      </c>
      <c r="B17" s="34">
        <f>IFERROR(ABS(B$51)/B$50,"n/a")</f>
        <v/>
      </c>
      <c r="C17" s="34">
        <f>IFERROR(ABS(C$51)/C$50,"n/a")</f>
        <v/>
      </c>
      <c r="D17" s="34">
        <f>IFERROR(ABS(D$51)/D$50,"n/a")</f>
        <v/>
      </c>
      <c r="E17" s="34">
        <f>IFERROR(ABS(E$51)/E$50,"n/a")</f>
        <v/>
      </c>
      <c r="F17" s="34">
        <f>IFERROR(ABS(F$51)/F$50,"n/a")</f>
        <v/>
      </c>
      <c r="G17" s="34">
        <f>IFERROR(ABS(G$51)/G$50,"n/a")</f>
        <v/>
      </c>
      <c r="H17" s="34">
        <f>IFERROR(ABS(H$51)/H$50,"n/a")</f>
        <v/>
      </c>
      <c r="I17" s="34">
        <f>IFERROR(ABS(I$51)/I$50,"n/a")</f>
        <v/>
      </c>
    </row>
    <row r="18">
      <c r="A18" s="10" t="inlineStr">
        <is>
          <t>Số ngày phải trả (DPO)</t>
        </is>
      </c>
      <c r="B18" s="29">
        <f>IFERROR(((B$35+#REF!)/2)/ABS(B$46)*365,"n/a")</f>
        <v/>
      </c>
      <c r="C18" s="29">
        <f>IFERROR(((C$35+B$35)/2)/ABS(C$46)*365,"n/a")</f>
        <v/>
      </c>
      <c r="D18" s="29">
        <f>IFERROR(((D$35+C$35)/2)/ABS(D$46)*365,"n/a")</f>
        <v/>
      </c>
      <c r="E18" s="29">
        <f>IFERROR(((E$35+D$35)/2)/ABS(E$46)*365,"n/a")</f>
        <v/>
      </c>
      <c r="F18" s="29">
        <f>IFERROR(((F$35+E$35)/2)/ABS(F$46)*365,"n/a")</f>
        <v/>
      </c>
      <c r="G18" s="29">
        <f>IFERROR(((G$35+F$35)/2)/ABS(G$46)*365,"n/a")</f>
        <v/>
      </c>
      <c r="H18" s="29">
        <f>IFERROR(((H$35+G$35)/2)/ABS(H$46)*365,"n/a")</f>
        <v/>
      </c>
      <c r="I18" s="29">
        <f>IFERROR(((I$35+H$35)/2)/ABS(I$46)*365,"n/a")</f>
        <v/>
      </c>
    </row>
    <row r="19">
      <c r="A19" s="10" t="inlineStr">
        <is>
          <t>Số ngày phải thu (DSO)</t>
        </is>
      </c>
      <c r="B19" s="29">
        <f>IFERROR(((B$29+#REF!)/2)/B$45*365,"n/a")</f>
        <v/>
      </c>
      <c r="C19" s="29">
        <f>IFERROR(((C$29+B$29)/2)/C$45*365,"n/a")</f>
        <v/>
      </c>
      <c r="D19" s="29">
        <f>IFERROR(((D$29+C$29)/2)/D$45*365,"n/a")</f>
        <v/>
      </c>
      <c r="E19" s="29">
        <f>IFERROR(((E$29+D$29)/2)/E$45*365,"n/a")</f>
        <v/>
      </c>
      <c r="F19" s="29">
        <f>IFERROR(((F$29+E$29)/2)/F$45*365,"n/a")</f>
        <v/>
      </c>
      <c r="G19" s="29">
        <f>IFERROR(((G$29+F$29)/2)/G$45*365,"n/a")</f>
        <v/>
      </c>
      <c r="H19" s="29">
        <f>IFERROR(((H$29+G$29)/2)/H$45*365,"n/a")</f>
        <v/>
      </c>
      <c r="I19" s="29">
        <f>IFERROR(((I$29+H$29)/2)/I$45*365,"n/a")</f>
        <v/>
      </c>
    </row>
    <row r="20">
      <c r="A20" s="10" t="inlineStr">
        <is>
          <t>Số ngày tồn kho (DIO)</t>
        </is>
      </c>
      <c r="B20" s="29">
        <f>IFERROR(((B$30+#REF!)/2)/ABS(B$46)*365,"n/a")</f>
        <v/>
      </c>
      <c r="C20" s="29">
        <f>IFERROR(((C$30+B$30)/2)/ABS(C$46)*365,"n/a")</f>
        <v/>
      </c>
      <c r="D20" s="29">
        <f>IFERROR(((D$30+C$30)/2)/ABS(D$46)*365,"n/a")</f>
        <v/>
      </c>
      <c r="E20" s="29">
        <f>IFERROR(((E$30+D$30)/2)/ABS(E$46)*365,"n/a")</f>
        <v/>
      </c>
      <c r="F20" s="29">
        <f>IFERROR(((F$30+E$30)/2)/ABS(F$46)*365,"n/a")</f>
        <v/>
      </c>
      <c r="G20" s="29">
        <f>IFERROR(((G$30+F$30)/2)/ABS(G$46)*365,"n/a")</f>
        <v/>
      </c>
      <c r="H20" s="29">
        <f>IFERROR(((H$30+G$30)/2)/ABS(H$46)*365,"n/a")</f>
        <v/>
      </c>
      <c r="I20" s="29">
        <f>IFERROR(((I$30+H$30)/2)/ABS(I$46)*365,"n/a")</f>
        <v/>
      </c>
    </row>
    <row r="21">
      <c r="A21" s="10" t="inlineStr">
        <is>
          <t>Tiền và tương đương tiền/Tài sản</t>
        </is>
      </c>
      <c r="B21" s="34">
        <f>IFERROR(B$28/B$33,"n/a")</f>
        <v/>
      </c>
      <c r="C21" s="34">
        <f>IFERROR(C$28/C$33,"n/a")</f>
        <v/>
      </c>
      <c r="D21" s="34">
        <f>IFERROR(D$28/D$33,"n/a")</f>
        <v/>
      </c>
      <c r="E21" s="34">
        <f>IFERROR(E$28/E$33,"n/a")</f>
        <v/>
      </c>
      <c r="F21" s="34">
        <f>IFERROR(F$28/F$33,"n/a")</f>
        <v/>
      </c>
      <c r="G21" s="34">
        <f>IFERROR(G$28/G$33,"n/a")</f>
        <v/>
      </c>
      <c r="H21" s="34">
        <f>IFERROR(H$28/H$33,"n/a")</f>
        <v/>
      </c>
      <c r="I21" s="34">
        <f>IFERROR(I$28/I$33,"n/a")</f>
        <v/>
      </c>
    </row>
    <row r="22">
      <c r="A22" s="10" t="inlineStr">
        <is>
          <t>Hàng tồn kho/Tài sản</t>
        </is>
      </c>
      <c r="B22" s="34">
        <f>IFERROR(B$30/B$33,"n/a")</f>
        <v/>
      </c>
      <c r="C22" s="34">
        <f>IFERROR(C$30/C$33,"n/a")</f>
        <v/>
      </c>
      <c r="D22" s="34">
        <f>IFERROR(D$30/D$33,"n/a")</f>
        <v/>
      </c>
      <c r="E22" s="34">
        <f>IFERROR(E$30/E$33,"n/a")</f>
        <v/>
      </c>
      <c r="F22" s="34">
        <f>IFERROR(F$30/F$33,"n/a")</f>
        <v/>
      </c>
      <c r="G22" s="34">
        <f>IFERROR(G$30/G$33,"n/a")</f>
        <v/>
      </c>
      <c r="H22" s="34">
        <f>IFERROR(H$30/H$33,"n/a")</f>
        <v/>
      </c>
      <c r="I22" s="34">
        <f>IFERROR(I$30/I$33,"n/a")</f>
        <v/>
      </c>
    </row>
    <row r="24">
      <c r="A24" s="13" t="inlineStr">
        <is>
          <t>II. DỮ LIỆU TRÍCH XUẤT (tự động dò theo tên khoản mục)</t>
        </is>
      </c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>
      <c r="A25" s="1" t="inlineStr">
        <is>
          <t>Khoản mục</t>
        </is>
      </c>
      <c r="B25" s="2">
        <f>balance_sheet!B1</f>
        <v/>
      </c>
      <c r="C25" s="2">
        <f>balance_sheet!C1</f>
        <v/>
      </c>
      <c r="D25" s="2">
        <f>balance_sheet!D1</f>
        <v/>
      </c>
      <c r="E25" s="2">
        <f>balance_sheet!E1</f>
        <v/>
      </c>
      <c r="F25" s="2">
        <f>balance_sheet!F1</f>
        <v/>
      </c>
      <c r="G25" s="2">
        <f>balance_sheet!G1</f>
        <v/>
      </c>
      <c r="H25" s="2">
        <f>balance_sheet!H1</f>
        <v/>
      </c>
      <c r="I25" s="2">
        <f>balance_sheet!I1</f>
        <v/>
      </c>
    </row>
    <row r="26">
      <c r="A26" s="16" t="inlineStr">
        <is>
          <t>CĐKT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16" t="inlineStr">
        <is>
          <t>Tài sản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3" t="inlineStr">
        <is>
          <t>Tiền và tương đương tiền</t>
        </is>
      </c>
      <c r="B28" s="35">
        <f>IFERROR(INDEX(balance_sheet!$B:$XFD,MATCH("Tiền và tương đương tiền",balance_sheet!$A:$A,0),MATCH(B$25,balance_sheet!$B$1:$XFD$1,0)),"")</f>
        <v/>
      </c>
      <c r="C28" s="35">
        <f>IFERROR(INDEX(balance_sheet!$B:$XFD,MATCH("Tiền và tương đương tiền",balance_sheet!$A:$A,0),MATCH(C$25,balance_sheet!$B$1:$XFD$1,0)),"")</f>
        <v/>
      </c>
      <c r="D28" s="35">
        <f>IFERROR(INDEX(balance_sheet!$B:$XFD,MATCH("Tiền và tương đương tiền",balance_sheet!$A:$A,0),MATCH(D$25,balance_sheet!$B$1:$XFD$1,0)),"")</f>
        <v/>
      </c>
      <c r="E28" s="35">
        <f>IFERROR(INDEX(balance_sheet!$B:$XFD,MATCH("Tiền và tương đương tiền",balance_sheet!$A:$A,0),MATCH(E$25,balance_sheet!$B$1:$XFD$1,0)),"")</f>
        <v/>
      </c>
      <c r="F28" s="35">
        <f>IFERROR(INDEX(balance_sheet!$B:$XFD,MATCH("Tiền và tương đương tiền",balance_sheet!$A:$A,0),MATCH(F$25,balance_sheet!$B$1:$XFD$1,0)),"")</f>
        <v/>
      </c>
      <c r="G28" s="35">
        <f>IFERROR(INDEX(balance_sheet!$B:$XFD,MATCH("Tiền và tương đương tiền",balance_sheet!$A:$A,0),MATCH(G$25,balance_sheet!$B$1:$XFD$1,0)),"")</f>
        <v/>
      </c>
      <c r="H28" s="35">
        <f>IFERROR(INDEX(balance_sheet!$B:$XFD,MATCH("Tiền và tương đương tiền",balance_sheet!$A:$A,0),MATCH(H$25,balance_sheet!$B$1:$XFD$1,0)),"")</f>
        <v/>
      </c>
      <c r="I28" s="35">
        <f>IFERROR(INDEX(balance_sheet!$B:$XFD,MATCH("Tiền và tương đương tiền",balance_sheet!$A:$A,0),MATCH(I$25,balance_sheet!$B$1:$XFD$1,0)),"")</f>
        <v/>
      </c>
    </row>
    <row r="29">
      <c r="A29" s="3" t="inlineStr">
        <is>
          <t>Phải thu khách hàng</t>
        </is>
      </c>
      <c r="B29" s="35">
        <f>IFERROR(INDEX(balance_sheet!$B:$XFD,MATCH("Phải thu khách hàng",balance_sheet!$A:$A,0),MATCH(B$25,balance_sheet!$B$1:$XFD$1,0)),"")</f>
        <v/>
      </c>
      <c r="C29" s="35">
        <f>IFERROR(INDEX(balance_sheet!$B:$XFD,MATCH("Phải thu khách hàng",balance_sheet!$A:$A,0),MATCH(C$25,balance_sheet!$B$1:$XFD$1,0)),"")</f>
        <v/>
      </c>
      <c r="D29" s="35">
        <f>IFERROR(INDEX(balance_sheet!$B:$XFD,MATCH("Phải thu khách hàng",balance_sheet!$A:$A,0),MATCH(D$25,balance_sheet!$B$1:$XFD$1,0)),"")</f>
        <v/>
      </c>
      <c r="E29" s="35">
        <f>IFERROR(INDEX(balance_sheet!$B:$XFD,MATCH("Phải thu khách hàng",balance_sheet!$A:$A,0),MATCH(E$25,balance_sheet!$B$1:$XFD$1,0)),"")</f>
        <v/>
      </c>
      <c r="F29" s="35">
        <f>IFERROR(INDEX(balance_sheet!$B:$XFD,MATCH("Phải thu khách hàng",balance_sheet!$A:$A,0),MATCH(F$25,balance_sheet!$B$1:$XFD$1,0)),"")</f>
        <v/>
      </c>
      <c r="G29" s="35">
        <f>IFERROR(INDEX(balance_sheet!$B:$XFD,MATCH("Phải thu khách hàng",balance_sheet!$A:$A,0),MATCH(G$25,balance_sheet!$B$1:$XFD$1,0)),"")</f>
        <v/>
      </c>
      <c r="H29" s="35">
        <f>IFERROR(INDEX(balance_sheet!$B:$XFD,MATCH("Phải thu khách hàng",balance_sheet!$A:$A,0),MATCH(H$25,balance_sheet!$B$1:$XFD$1,0)),"")</f>
        <v/>
      </c>
      <c r="I29" s="35">
        <f>IFERROR(INDEX(balance_sheet!$B:$XFD,MATCH("Phải thu khách hàng",balance_sheet!$A:$A,0),MATCH(I$25,balance_sheet!$B$1:$XFD$1,0)),"")</f>
        <v/>
      </c>
    </row>
    <row r="30">
      <c r="A30" s="3" t="inlineStr">
        <is>
          <t>Hàng tồn kho, ròng</t>
        </is>
      </c>
      <c r="B30" s="35">
        <f>IFERROR(INDEX(balance_sheet!$B:$XFD,MATCH("Hàng tồn kho, ròng",balance_sheet!$A:$A,0),MATCH(B$25,balance_sheet!$B$1:$XFD$1,0)),"")</f>
        <v/>
      </c>
      <c r="C30" s="35">
        <f>IFERROR(INDEX(balance_sheet!$B:$XFD,MATCH("Hàng tồn kho, ròng",balance_sheet!$A:$A,0),MATCH(C$25,balance_sheet!$B$1:$XFD$1,0)),"")</f>
        <v/>
      </c>
      <c r="D30" s="35">
        <f>IFERROR(INDEX(balance_sheet!$B:$XFD,MATCH("Hàng tồn kho, ròng",balance_sheet!$A:$A,0),MATCH(D$25,balance_sheet!$B$1:$XFD$1,0)),"")</f>
        <v/>
      </c>
      <c r="E30" s="35">
        <f>IFERROR(INDEX(balance_sheet!$B:$XFD,MATCH("Hàng tồn kho, ròng",balance_sheet!$A:$A,0),MATCH(E$25,balance_sheet!$B$1:$XFD$1,0)),"")</f>
        <v/>
      </c>
      <c r="F30" s="35">
        <f>IFERROR(INDEX(balance_sheet!$B:$XFD,MATCH("Hàng tồn kho, ròng",balance_sheet!$A:$A,0),MATCH(F$25,balance_sheet!$B$1:$XFD$1,0)),"")</f>
        <v/>
      </c>
      <c r="G30" s="35">
        <f>IFERROR(INDEX(balance_sheet!$B:$XFD,MATCH("Hàng tồn kho, ròng",balance_sheet!$A:$A,0),MATCH(G$25,balance_sheet!$B$1:$XFD$1,0)),"")</f>
        <v/>
      </c>
      <c r="H30" s="35">
        <f>IFERROR(INDEX(balance_sheet!$B:$XFD,MATCH("Hàng tồn kho, ròng",balance_sheet!$A:$A,0),MATCH(H$25,balance_sheet!$B$1:$XFD$1,0)),"")</f>
        <v/>
      </c>
      <c r="I30" s="35">
        <f>IFERROR(INDEX(balance_sheet!$B:$XFD,MATCH("Hàng tồn kho, ròng",balance_sheet!$A:$A,0),MATCH(I$25,balance_sheet!$B$1:$XFD$1,0)),"")</f>
        <v/>
      </c>
    </row>
    <row r="31">
      <c r="A31" s="3" t="inlineStr">
        <is>
          <t>TÀI SẢN NGẮN HẠN</t>
        </is>
      </c>
      <c r="B31" s="35">
        <f>IFERROR(INDEX(balance_sheet!$B:$XFD,MATCH("TÀI SẢN NGẮN HẠN",balance_sheet!$A:$A,0),MATCH(B$25,balance_sheet!$B$1:$XFD$1,0)),"")</f>
        <v/>
      </c>
      <c r="C31" s="35">
        <f>IFERROR(INDEX(balance_sheet!$B:$XFD,MATCH("TÀI SẢN NGẮN HẠN",balance_sheet!$A:$A,0),MATCH(C$25,balance_sheet!$B$1:$XFD$1,0)),"")</f>
        <v/>
      </c>
      <c r="D31" s="35">
        <f>IFERROR(INDEX(balance_sheet!$B:$XFD,MATCH("TÀI SẢN NGẮN HẠN",balance_sheet!$A:$A,0),MATCH(D$25,balance_sheet!$B$1:$XFD$1,0)),"")</f>
        <v/>
      </c>
      <c r="E31" s="35">
        <f>IFERROR(INDEX(balance_sheet!$B:$XFD,MATCH("TÀI SẢN NGẮN HẠN",balance_sheet!$A:$A,0),MATCH(E$25,balance_sheet!$B$1:$XFD$1,0)),"")</f>
        <v/>
      </c>
      <c r="F31" s="35">
        <f>IFERROR(INDEX(balance_sheet!$B:$XFD,MATCH("TÀI SẢN NGẮN HẠN",balance_sheet!$A:$A,0),MATCH(F$25,balance_sheet!$B$1:$XFD$1,0)),"")</f>
        <v/>
      </c>
      <c r="G31" s="35">
        <f>IFERROR(INDEX(balance_sheet!$B:$XFD,MATCH("TÀI SẢN NGẮN HẠN",balance_sheet!$A:$A,0),MATCH(G$25,balance_sheet!$B$1:$XFD$1,0)),"")</f>
        <v/>
      </c>
      <c r="H31" s="35">
        <f>IFERROR(INDEX(balance_sheet!$B:$XFD,MATCH("TÀI SẢN NGẮN HẠN",balance_sheet!$A:$A,0),MATCH(H$25,balance_sheet!$B$1:$XFD$1,0)),"")</f>
        <v/>
      </c>
      <c r="I31" s="35">
        <f>IFERROR(INDEX(balance_sheet!$B:$XFD,MATCH("TÀI SẢN NGẮN HẠN",balance_sheet!$A:$A,0),MATCH(I$25,balance_sheet!$B$1:$XFD$1,0)),"")</f>
        <v/>
      </c>
    </row>
    <row r="32">
      <c r="A32" s="3" t="inlineStr">
        <is>
          <t>GTCL tài sản cố định vô hình</t>
        </is>
      </c>
      <c r="B32" s="35">
        <f>IFERROR(INDEX(balance_sheet!$B:$XFD,MATCH("GTCL tài sản cố định vô hình",balance_sheet!$A:$A,0),MATCH(B$25,balance_sheet!$B$1:$XFD$1,0)),"")</f>
        <v/>
      </c>
      <c r="C32" s="35">
        <f>IFERROR(INDEX(balance_sheet!$B:$XFD,MATCH("GTCL tài sản cố định vô hình",balance_sheet!$A:$A,0),MATCH(C$25,balance_sheet!$B$1:$XFD$1,0)),"")</f>
        <v/>
      </c>
      <c r="D32" s="35">
        <f>IFERROR(INDEX(balance_sheet!$B:$XFD,MATCH("GTCL tài sản cố định vô hình",balance_sheet!$A:$A,0),MATCH(D$25,balance_sheet!$B$1:$XFD$1,0)),"")</f>
        <v/>
      </c>
      <c r="E32" s="35">
        <f>IFERROR(INDEX(balance_sheet!$B:$XFD,MATCH("GTCL tài sản cố định vô hình",balance_sheet!$A:$A,0),MATCH(E$25,balance_sheet!$B$1:$XFD$1,0)),"")</f>
        <v/>
      </c>
      <c r="F32" s="35">
        <f>IFERROR(INDEX(balance_sheet!$B:$XFD,MATCH("GTCL tài sản cố định vô hình",balance_sheet!$A:$A,0),MATCH(F$25,balance_sheet!$B$1:$XFD$1,0)),"")</f>
        <v/>
      </c>
      <c r="G32" s="35">
        <f>IFERROR(INDEX(balance_sheet!$B:$XFD,MATCH("GTCL tài sản cố định vô hình",balance_sheet!$A:$A,0),MATCH(G$25,balance_sheet!$B$1:$XFD$1,0)),"")</f>
        <v/>
      </c>
      <c r="H32" s="35">
        <f>IFERROR(INDEX(balance_sheet!$B:$XFD,MATCH("GTCL tài sản cố định vô hình",balance_sheet!$A:$A,0),MATCH(H$25,balance_sheet!$B$1:$XFD$1,0)),"")</f>
        <v/>
      </c>
      <c r="I32" s="35">
        <f>IFERROR(INDEX(balance_sheet!$B:$XFD,MATCH("GTCL tài sản cố định vô hình",balance_sheet!$A:$A,0),MATCH(I$25,balance_sheet!$B$1:$XFD$1,0)),"")</f>
        <v/>
      </c>
    </row>
    <row r="33">
      <c r="A33" s="3" t="inlineStr">
        <is>
          <t>TỔNG CỘNG TÀI SẢN</t>
        </is>
      </c>
      <c r="B33" s="35">
        <f>IFERROR(INDEX(balance_sheet!$B:$XFD,MATCH("TỔNG CỘNG TÀI SẢN",balance_sheet!$A:$A,0),MATCH(B$25,balance_sheet!$B$1:$XFD$1,0)),"")</f>
        <v/>
      </c>
      <c r="C33" s="35">
        <f>IFERROR(INDEX(balance_sheet!$B:$XFD,MATCH("TỔNG CỘNG TÀI SẢN",balance_sheet!$A:$A,0),MATCH(C$25,balance_sheet!$B$1:$XFD$1,0)),"")</f>
        <v/>
      </c>
      <c r="D33" s="35">
        <f>IFERROR(INDEX(balance_sheet!$B:$XFD,MATCH("TỔNG CỘNG TÀI SẢN",balance_sheet!$A:$A,0),MATCH(D$25,balance_sheet!$B$1:$XFD$1,0)),"")</f>
        <v/>
      </c>
      <c r="E33" s="35">
        <f>IFERROR(INDEX(balance_sheet!$B:$XFD,MATCH("TỔNG CỘNG TÀI SẢN",balance_sheet!$A:$A,0),MATCH(E$25,balance_sheet!$B$1:$XFD$1,0)),"")</f>
        <v/>
      </c>
      <c r="F33" s="35">
        <f>IFERROR(INDEX(balance_sheet!$B:$XFD,MATCH("TỔNG CỘNG TÀI SẢN",balance_sheet!$A:$A,0),MATCH(F$25,balance_sheet!$B$1:$XFD$1,0)),"")</f>
        <v/>
      </c>
      <c r="G33" s="35">
        <f>IFERROR(INDEX(balance_sheet!$B:$XFD,MATCH("TỔNG CỘNG TÀI SẢN",balance_sheet!$A:$A,0),MATCH(G$25,balance_sheet!$B$1:$XFD$1,0)),"")</f>
        <v/>
      </c>
      <c r="H33" s="35">
        <f>IFERROR(INDEX(balance_sheet!$B:$XFD,MATCH("TỔNG CỘNG TÀI SẢN",balance_sheet!$A:$A,0),MATCH(H$25,balance_sheet!$B$1:$XFD$1,0)),"")</f>
        <v/>
      </c>
      <c r="I33" s="35">
        <f>IFERROR(INDEX(balance_sheet!$B:$XFD,MATCH("TỔNG CỘNG TÀI SẢN",balance_sheet!$A:$A,0),MATCH(I$25,balance_sheet!$B$1:$XFD$1,0)),"")</f>
        <v/>
      </c>
    </row>
    <row r="34">
      <c r="A34" s="16" t="inlineStr">
        <is>
          <t>Nguồn vốn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3" t="inlineStr">
        <is>
          <t>Phải trả người bán</t>
        </is>
      </c>
      <c r="B35" s="35">
        <f>IFERROR(INDEX(balance_sheet!$B:$XFD,MATCH("Phải trả người bán",balance_sheet!$A:$A,0),MATCH(B$25,balance_sheet!$B$1:$XFD$1,0)),"")</f>
        <v/>
      </c>
      <c r="C35" s="35">
        <f>IFERROR(INDEX(balance_sheet!$B:$XFD,MATCH("Phải trả người bán",balance_sheet!$A:$A,0),MATCH(C$25,balance_sheet!$B$1:$XFD$1,0)),"")</f>
        <v/>
      </c>
      <c r="D35" s="35">
        <f>IFERROR(INDEX(balance_sheet!$B:$XFD,MATCH("Phải trả người bán",balance_sheet!$A:$A,0),MATCH(D$25,balance_sheet!$B$1:$XFD$1,0)),"")</f>
        <v/>
      </c>
      <c r="E35" s="35">
        <f>IFERROR(INDEX(balance_sheet!$B:$XFD,MATCH("Phải trả người bán",balance_sheet!$A:$A,0),MATCH(E$25,balance_sheet!$B$1:$XFD$1,0)),"")</f>
        <v/>
      </c>
      <c r="F35" s="35">
        <f>IFERROR(INDEX(balance_sheet!$B:$XFD,MATCH("Phải trả người bán",balance_sheet!$A:$A,0),MATCH(F$25,balance_sheet!$B$1:$XFD$1,0)),"")</f>
        <v/>
      </c>
      <c r="G35" s="35">
        <f>IFERROR(INDEX(balance_sheet!$B:$XFD,MATCH("Phải trả người bán",balance_sheet!$A:$A,0),MATCH(G$25,balance_sheet!$B$1:$XFD$1,0)),"")</f>
        <v/>
      </c>
      <c r="H35" s="35">
        <f>IFERROR(INDEX(balance_sheet!$B:$XFD,MATCH("Phải trả người bán",balance_sheet!$A:$A,0),MATCH(H$25,balance_sheet!$B$1:$XFD$1,0)),"")</f>
        <v/>
      </c>
      <c r="I35" s="35">
        <f>IFERROR(INDEX(balance_sheet!$B:$XFD,MATCH("Phải trả người bán",balance_sheet!$A:$A,0),MATCH(I$25,balance_sheet!$B$1:$XFD$1,0)),"")</f>
        <v/>
      </c>
    </row>
    <row r="36">
      <c r="A36" s="3" t="inlineStr">
        <is>
          <t>Vay ngắn hạn</t>
        </is>
      </c>
      <c r="B36" s="35">
        <f>IFERROR(INDEX(balance_sheet!$B:$XFD,MATCH("Vay ngắn hạn",balance_sheet!$A:$A,0),MATCH(B$25,balance_sheet!$B$1:$XFD$1,0)),"")</f>
        <v/>
      </c>
      <c r="C36" s="35">
        <f>IFERROR(INDEX(balance_sheet!$B:$XFD,MATCH("Vay ngắn hạn",balance_sheet!$A:$A,0),MATCH(C$25,balance_sheet!$B$1:$XFD$1,0)),"")</f>
        <v/>
      </c>
      <c r="D36" s="35">
        <f>IFERROR(INDEX(balance_sheet!$B:$XFD,MATCH("Vay ngắn hạn",balance_sheet!$A:$A,0),MATCH(D$25,balance_sheet!$B$1:$XFD$1,0)),"")</f>
        <v/>
      </c>
      <c r="E36" s="35">
        <f>IFERROR(INDEX(balance_sheet!$B:$XFD,MATCH("Vay ngắn hạn",balance_sheet!$A:$A,0),MATCH(E$25,balance_sheet!$B$1:$XFD$1,0)),"")</f>
        <v/>
      </c>
      <c r="F36" s="35">
        <f>IFERROR(INDEX(balance_sheet!$B:$XFD,MATCH("Vay ngắn hạn",balance_sheet!$A:$A,0),MATCH(F$25,balance_sheet!$B$1:$XFD$1,0)),"")</f>
        <v/>
      </c>
      <c r="G36" s="35">
        <f>IFERROR(INDEX(balance_sheet!$B:$XFD,MATCH("Vay ngắn hạn",balance_sheet!$A:$A,0),MATCH(G$25,balance_sheet!$B$1:$XFD$1,0)),"")</f>
        <v/>
      </c>
      <c r="H36" s="35">
        <f>IFERROR(INDEX(balance_sheet!$B:$XFD,MATCH("Vay ngắn hạn",balance_sheet!$A:$A,0),MATCH(H$25,balance_sheet!$B$1:$XFD$1,0)),"")</f>
        <v/>
      </c>
      <c r="I36" s="35">
        <f>IFERROR(INDEX(balance_sheet!$B:$XFD,MATCH("Vay ngắn hạn",balance_sheet!$A:$A,0),MATCH(I$25,balance_sheet!$B$1:$XFD$1,0)),"")</f>
        <v/>
      </c>
    </row>
    <row r="37">
      <c r="A37" s="3" t="inlineStr">
        <is>
          <t>Nợ ngắn hạn</t>
        </is>
      </c>
      <c r="B37" s="35">
        <f>IFERROR(INDEX(balance_sheet!$B:$XFD,MATCH("Nợ ngắn hạn",balance_sheet!$A:$A,0),MATCH(B$25,balance_sheet!$B$1:$XFD$1,0)),"")</f>
        <v/>
      </c>
      <c r="C37" s="35">
        <f>IFERROR(INDEX(balance_sheet!$B:$XFD,MATCH("Nợ ngắn hạn",balance_sheet!$A:$A,0),MATCH(C$25,balance_sheet!$B$1:$XFD$1,0)),"")</f>
        <v/>
      </c>
      <c r="D37" s="35">
        <f>IFERROR(INDEX(balance_sheet!$B:$XFD,MATCH("Nợ ngắn hạn",balance_sheet!$A:$A,0),MATCH(D$25,balance_sheet!$B$1:$XFD$1,0)),"")</f>
        <v/>
      </c>
      <c r="E37" s="35">
        <f>IFERROR(INDEX(balance_sheet!$B:$XFD,MATCH("Nợ ngắn hạn",balance_sheet!$A:$A,0),MATCH(E$25,balance_sheet!$B$1:$XFD$1,0)),"")</f>
        <v/>
      </c>
      <c r="F37" s="35">
        <f>IFERROR(INDEX(balance_sheet!$B:$XFD,MATCH("Nợ ngắn hạn",balance_sheet!$A:$A,0),MATCH(F$25,balance_sheet!$B$1:$XFD$1,0)),"")</f>
        <v/>
      </c>
      <c r="G37" s="35">
        <f>IFERROR(INDEX(balance_sheet!$B:$XFD,MATCH("Nợ ngắn hạn",balance_sheet!$A:$A,0),MATCH(G$25,balance_sheet!$B$1:$XFD$1,0)),"")</f>
        <v/>
      </c>
      <c r="H37" s="35">
        <f>IFERROR(INDEX(balance_sheet!$B:$XFD,MATCH("Nợ ngắn hạn",balance_sheet!$A:$A,0),MATCH(H$25,balance_sheet!$B$1:$XFD$1,0)),"")</f>
        <v/>
      </c>
      <c r="I37" s="35">
        <f>IFERROR(INDEX(balance_sheet!$B:$XFD,MATCH("Nợ ngắn hạn",balance_sheet!$A:$A,0),MATCH(I$25,balance_sheet!$B$1:$XFD$1,0)),"")</f>
        <v/>
      </c>
    </row>
    <row r="38">
      <c r="A38" s="3" t="inlineStr">
        <is>
          <t>Vay dài hạn</t>
        </is>
      </c>
      <c r="B38" s="35">
        <f>IFERROR(INDEX(balance_sheet!$B:$XFD,MATCH("Vay dài hạn",balance_sheet!$A:$A,0),MATCH(B$25,balance_sheet!$B$1:$XFD$1,0)),"")</f>
        <v/>
      </c>
      <c r="C38" s="35">
        <f>IFERROR(INDEX(balance_sheet!$B:$XFD,MATCH("Vay dài hạn",balance_sheet!$A:$A,0),MATCH(C$25,balance_sheet!$B$1:$XFD$1,0)),"")</f>
        <v/>
      </c>
      <c r="D38" s="35">
        <f>IFERROR(INDEX(balance_sheet!$B:$XFD,MATCH("Vay dài hạn",balance_sheet!$A:$A,0),MATCH(D$25,balance_sheet!$B$1:$XFD$1,0)),"")</f>
        <v/>
      </c>
      <c r="E38" s="35">
        <f>IFERROR(INDEX(balance_sheet!$B:$XFD,MATCH("Vay dài hạn",balance_sheet!$A:$A,0),MATCH(E$25,balance_sheet!$B$1:$XFD$1,0)),"")</f>
        <v/>
      </c>
      <c r="F38" s="35">
        <f>IFERROR(INDEX(balance_sheet!$B:$XFD,MATCH("Vay dài hạn",balance_sheet!$A:$A,0),MATCH(F$25,balance_sheet!$B$1:$XFD$1,0)),"")</f>
        <v/>
      </c>
      <c r="G38" s="35">
        <f>IFERROR(INDEX(balance_sheet!$B:$XFD,MATCH("Vay dài hạn",balance_sheet!$A:$A,0),MATCH(G$25,balance_sheet!$B$1:$XFD$1,0)),"")</f>
        <v/>
      </c>
      <c r="H38" s="35">
        <f>IFERROR(INDEX(balance_sheet!$B:$XFD,MATCH("Vay dài hạn",balance_sheet!$A:$A,0),MATCH(H$25,balance_sheet!$B$1:$XFD$1,0)),"")</f>
        <v/>
      </c>
      <c r="I38" s="35">
        <f>IFERROR(INDEX(balance_sheet!$B:$XFD,MATCH("Vay dài hạn",balance_sheet!$A:$A,0),MATCH(I$25,balance_sheet!$B$1:$XFD$1,0)),"")</f>
        <v/>
      </c>
    </row>
    <row r="39">
      <c r="A39" s="3" t="inlineStr">
        <is>
          <t>Nợ dài hạn</t>
        </is>
      </c>
      <c r="B39" s="35">
        <f>IFERROR(INDEX(balance_sheet!$B:$XFD,MATCH("Nợ dài hạn",balance_sheet!$A:$A,0),MATCH(B$25,balance_sheet!$B$1:$XFD$1,0)),"")</f>
        <v/>
      </c>
      <c r="C39" s="35">
        <f>IFERROR(INDEX(balance_sheet!$B:$XFD,MATCH("Nợ dài hạn",balance_sheet!$A:$A,0),MATCH(C$25,balance_sheet!$B$1:$XFD$1,0)),"")</f>
        <v/>
      </c>
      <c r="D39" s="35">
        <f>IFERROR(INDEX(balance_sheet!$B:$XFD,MATCH("Nợ dài hạn",balance_sheet!$A:$A,0),MATCH(D$25,balance_sheet!$B$1:$XFD$1,0)),"")</f>
        <v/>
      </c>
      <c r="E39" s="35">
        <f>IFERROR(INDEX(balance_sheet!$B:$XFD,MATCH("Nợ dài hạn",balance_sheet!$A:$A,0),MATCH(E$25,balance_sheet!$B$1:$XFD$1,0)),"")</f>
        <v/>
      </c>
      <c r="F39" s="35">
        <f>IFERROR(INDEX(balance_sheet!$B:$XFD,MATCH("Nợ dài hạn",balance_sheet!$A:$A,0),MATCH(F$25,balance_sheet!$B$1:$XFD$1,0)),"")</f>
        <v/>
      </c>
      <c r="G39" s="35">
        <f>IFERROR(INDEX(balance_sheet!$B:$XFD,MATCH("Nợ dài hạn",balance_sheet!$A:$A,0),MATCH(G$25,balance_sheet!$B$1:$XFD$1,0)),"")</f>
        <v/>
      </c>
      <c r="H39" s="35">
        <f>IFERROR(INDEX(balance_sheet!$B:$XFD,MATCH("Nợ dài hạn",balance_sheet!$A:$A,0),MATCH(H$25,balance_sheet!$B$1:$XFD$1,0)),"")</f>
        <v/>
      </c>
      <c r="I39" s="35">
        <f>IFERROR(INDEX(balance_sheet!$B:$XFD,MATCH("Nợ dài hạn",balance_sheet!$A:$A,0),MATCH(I$25,balance_sheet!$B$1:$XFD$1,0)),"")</f>
        <v/>
      </c>
    </row>
    <row r="40">
      <c r="A40" s="3" t="inlineStr">
        <is>
          <t>NỢ PHẢI TRẢ</t>
        </is>
      </c>
      <c r="B40" s="35">
        <f>IFERROR(INDEX(balance_sheet!$B:$XFD,MATCH("NỢ PHẢI TRẢ",balance_sheet!$A:$A,0),MATCH(B$25,balance_sheet!$B$1:$XFD$1,0)),"")</f>
        <v/>
      </c>
      <c r="C40" s="35">
        <f>IFERROR(INDEX(balance_sheet!$B:$XFD,MATCH("NỢ PHẢI TRẢ",balance_sheet!$A:$A,0),MATCH(C$25,balance_sheet!$B$1:$XFD$1,0)),"")</f>
        <v/>
      </c>
      <c r="D40" s="35">
        <f>IFERROR(INDEX(balance_sheet!$B:$XFD,MATCH("NỢ PHẢI TRẢ",balance_sheet!$A:$A,0),MATCH(D$25,balance_sheet!$B$1:$XFD$1,0)),"")</f>
        <v/>
      </c>
      <c r="E40" s="35">
        <f>IFERROR(INDEX(balance_sheet!$B:$XFD,MATCH("NỢ PHẢI TRẢ",balance_sheet!$A:$A,0),MATCH(E$25,balance_sheet!$B$1:$XFD$1,0)),"")</f>
        <v/>
      </c>
      <c r="F40" s="35">
        <f>IFERROR(INDEX(balance_sheet!$B:$XFD,MATCH("NỢ PHẢI TRẢ",balance_sheet!$A:$A,0),MATCH(F$25,balance_sheet!$B$1:$XFD$1,0)),"")</f>
        <v/>
      </c>
      <c r="G40" s="35">
        <f>IFERROR(INDEX(balance_sheet!$B:$XFD,MATCH("NỢ PHẢI TRẢ",balance_sheet!$A:$A,0),MATCH(G$25,balance_sheet!$B$1:$XFD$1,0)),"")</f>
        <v/>
      </c>
      <c r="H40" s="35">
        <f>IFERROR(INDEX(balance_sheet!$B:$XFD,MATCH("NỢ PHẢI TRẢ",balance_sheet!$A:$A,0),MATCH(H$25,balance_sheet!$B$1:$XFD$1,0)),"")</f>
        <v/>
      </c>
      <c r="I40" s="35">
        <f>IFERROR(INDEX(balance_sheet!$B:$XFD,MATCH("NỢ PHẢI TRẢ",balance_sheet!$A:$A,0),MATCH(I$25,balance_sheet!$B$1:$XFD$1,0)),"")</f>
        <v/>
      </c>
    </row>
    <row r="41" ht="15" customFormat="1" customHeight="1" s="19">
      <c r="A41" s="1" t="inlineStr">
        <is>
          <t>Vốn chủ sở hữu</t>
        </is>
      </c>
      <c r="B41" s="36">
        <f>IFERROR(INDEX(balance_sheet!$B:$XFD,MATCH("Vốn chủ sở hữu",balance_sheet!$A:$A,0),MATCH(B$25,balance_sheet!$B$1:$XFD$1,0)),"")</f>
        <v/>
      </c>
      <c r="C41" s="36">
        <f>IFERROR(INDEX(balance_sheet!$B:$XFD,MATCH("Vốn chủ sở hữu",balance_sheet!$A:$A,0),MATCH(C$25,balance_sheet!$B$1:$XFD$1,0)),"")</f>
        <v/>
      </c>
      <c r="D41" s="36">
        <f>IFERROR(INDEX(balance_sheet!$B:$XFD,MATCH("Vốn chủ sở hữu",balance_sheet!$A:$A,0),MATCH(D$25,balance_sheet!$B$1:$XFD$1,0)),"")</f>
        <v/>
      </c>
      <c r="E41" s="36">
        <f>IFERROR(INDEX(balance_sheet!$B:$XFD,MATCH("Vốn chủ sở hữu",balance_sheet!$A:$A,0),MATCH(E$25,balance_sheet!$B$1:$XFD$1,0)),"")</f>
        <v/>
      </c>
      <c r="F41" s="36">
        <f>IFERROR(INDEX(balance_sheet!$B:$XFD,MATCH("Vốn chủ sở hữu",balance_sheet!$A:$A,0),MATCH(F$25,balance_sheet!$B$1:$XFD$1,0)),"")</f>
        <v/>
      </c>
      <c r="G41" s="36">
        <f>IFERROR(INDEX(balance_sheet!$B:$XFD,MATCH("Vốn chủ sở hữu",balance_sheet!$A:$A,0),MATCH(G$25,balance_sheet!$B$1:$XFD$1,0)),"")</f>
        <v/>
      </c>
      <c r="H41" s="36">
        <f>IFERROR(INDEX(balance_sheet!$B:$XFD,MATCH("Vốn chủ sở hữu",balance_sheet!$A:$A,0),MATCH(H$25,balance_sheet!$B$1:$XFD$1,0)),"")</f>
        <v/>
      </c>
      <c r="I41" s="36">
        <f>IFERROR(INDEX(balance_sheet!$B:$XFD,MATCH("Vốn chủ sở hữu",balance_sheet!$A:$A,0),MATCH(I$25,balance_sheet!$B$1:$XFD$1,0)),"")</f>
        <v/>
      </c>
    </row>
    <row r="42">
      <c r="A42" s="20" t="inlineStr">
        <is>
          <t>Tăng VCSH/LN cổ đông cty mẹ</t>
        </is>
      </c>
      <c r="B42" s="21">
        <f>(B41-#REF!)/B54</f>
        <v/>
      </c>
      <c r="C42" s="21">
        <f>(C41-B41)/C54</f>
        <v/>
      </c>
      <c r="D42" s="21">
        <f>(D41-C41)/D54</f>
        <v/>
      </c>
      <c r="E42" s="21">
        <f>(E41-D41)/E54</f>
        <v/>
      </c>
      <c r="F42" s="21">
        <f>(F41-E41)/F54</f>
        <v/>
      </c>
      <c r="G42" s="21">
        <f>(G41-F41)/G54</f>
        <v/>
      </c>
      <c r="H42" s="21">
        <f>(H41-G41)/H54</f>
        <v/>
      </c>
      <c r="I42" s="21">
        <f>(I41-H41)/I54</f>
        <v/>
      </c>
    </row>
    <row r="43">
      <c r="A43" s="3" t="inlineStr">
        <is>
          <t>Lợi ích của cổ đông thiểu số</t>
        </is>
      </c>
      <c r="B43" s="35">
        <f>IFERROR(INDEX(balance_sheet!$B:$XFD,MATCH("Lợi ích của cổ đông thiểu số",balance_sheet!$A:$A,0),MATCH(B$25,balance_sheet!$B$1:$XFD$1,0)),"")</f>
        <v/>
      </c>
      <c r="C43" s="35">
        <f>IFERROR(INDEX(balance_sheet!$B:$XFD,MATCH("Lợi ích của cổ đông thiểu số",balance_sheet!$A:$A,0),MATCH(C$25,balance_sheet!$B$1:$XFD$1,0)),"")</f>
        <v/>
      </c>
      <c r="D43" s="35">
        <f>IFERROR(INDEX(balance_sheet!$B:$XFD,MATCH("Lợi ích của cổ đông thiểu số",balance_sheet!$A:$A,0),MATCH(D$25,balance_sheet!$B$1:$XFD$1,0)),"")</f>
        <v/>
      </c>
      <c r="E43" s="35">
        <f>IFERROR(INDEX(balance_sheet!$B:$XFD,MATCH("Lợi ích của cổ đông thiểu số",balance_sheet!$A:$A,0),MATCH(E$25,balance_sheet!$B$1:$XFD$1,0)),"")</f>
        <v/>
      </c>
      <c r="F43" s="35">
        <f>IFERROR(INDEX(balance_sheet!$B:$XFD,MATCH("Lợi ích của cổ đông thiểu số",balance_sheet!$A:$A,0),MATCH(F$25,balance_sheet!$B$1:$XFD$1,0)),"")</f>
        <v/>
      </c>
      <c r="G43" s="35">
        <f>IFERROR(INDEX(balance_sheet!$B:$XFD,MATCH("Lợi ích của cổ đông thiểu số",balance_sheet!$A:$A,0),MATCH(G$25,balance_sheet!$B$1:$XFD$1,0)),"")</f>
        <v/>
      </c>
      <c r="H43" s="35">
        <f>IFERROR(INDEX(balance_sheet!$B:$XFD,MATCH("Lợi ích của cổ đông thiểu số",balance_sheet!$A:$A,0),MATCH(H$25,balance_sheet!$B$1:$XFD$1,0)),"")</f>
        <v/>
      </c>
      <c r="I43" s="35">
        <f>IFERROR(INDEX(balance_sheet!$B:$XFD,MATCH("Lợi ích của cổ đông thiểu số",balance_sheet!$A:$A,0),MATCH(I$25,balance_sheet!$B$1:$XFD$1,0)),"")</f>
        <v/>
      </c>
    </row>
    <row r="44">
      <c r="A44" s="17" t="inlineStr">
        <is>
          <t>Kết quả hoạt động kinh doanh</t>
        </is>
      </c>
    </row>
    <row r="45" ht="15" customFormat="1" customHeight="1" s="19">
      <c r="A45" s="1" t="inlineStr">
        <is>
          <t>Doanh thu thuần</t>
        </is>
      </c>
      <c r="B45" s="36">
        <f>IFERROR(INDEX(income_statement!$B:$XFD,MATCH("Doanh thu thuần",income_statement!$A:$A,0),MATCH(B$25,income_statement!$B$1:$XFD$1,0)),"")</f>
        <v/>
      </c>
      <c r="C45" s="36">
        <f>IFERROR(INDEX(income_statement!$B:$XFD,MATCH("Doanh thu thuần",income_statement!$A:$A,0),MATCH(C$25,income_statement!$B$1:$XFD$1,0)),"")</f>
        <v/>
      </c>
      <c r="D45" s="36">
        <f>IFERROR(INDEX(income_statement!$B:$XFD,MATCH("Doanh thu thuần",income_statement!$A:$A,0),MATCH(D$25,income_statement!$B$1:$XFD$1,0)),"")</f>
        <v/>
      </c>
      <c r="E45" s="36">
        <f>IFERROR(INDEX(income_statement!$B:$XFD,MATCH("Doanh thu thuần",income_statement!$A:$A,0),MATCH(E$25,income_statement!$B$1:$XFD$1,0)),"")</f>
        <v/>
      </c>
      <c r="F45" s="36">
        <f>IFERROR(INDEX(income_statement!$B:$XFD,MATCH("Doanh thu thuần",income_statement!$A:$A,0),MATCH(F$25,income_statement!$B$1:$XFD$1,0)),"")</f>
        <v/>
      </c>
      <c r="G45" s="36">
        <f>IFERROR(INDEX(income_statement!$B:$XFD,MATCH("Doanh thu thuần",income_statement!$A:$A,0),MATCH(G$25,income_statement!$B$1:$XFD$1,0)),"")</f>
        <v/>
      </c>
      <c r="H45" s="36">
        <f>IFERROR(INDEX(income_statement!$B:$XFD,MATCH("Doanh thu thuần",income_statement!$A:$A,0),MATCH(H$25,income_statement!$B$1:$XFD$1,0)),"")</f>
        <v/>
      </c>
      <c r="I45" s="36">
        <f>IFERROR(INDEX(income_statement!$B:$XFD,MATCH("Doanh thu thuần",income_statement!$A:$A,0),MATCH(I$25,income_statement!$B$1:$XFD$1,0)),"")</f>
        <v/>
      </c>
    </row>
    <row r="46">
      <c r="A46" s="3" t="inlineStr">
        <is>
          <t>Giá vốn hàng bán</t>
        </is>
      </c>
      <c r="B46" s="35">
        <f>IFERROR(INDEX(income_statement!$B:$XFD,MATCH("Giá vốn hàng bán",income_statement!$A:$A,0),MATCH(B$25,income_statement!$B$1:$XFD$1,0)),"")</f>
        <v/>
      </c>
      <c r="C46" s="35">
        <f>IFERROR(INDEX(income_statement!$B:$XFD,MATCH("Giá vốn hàng bán",income_statement!$A:$A,0),MATCH(C$25,income_statement!$B$1:$XFD$1,0)),"")</f>
        <v/>
      </c>
      <c r="D46" s="35">
        <f>IFERROR(INDEX(income_statement!$B:$XFD,MATCH("Giá vốn hàng bán",income_statement!$A:$A,0),MATCH(D$25,income_statement!$B$1:$XFD$1,0)),"")</f>
        <v/>
      </c>
      <c r="E46" s="35">
        <f>IFERROR(INDEX(income_statement!$B:$XFD,MATCH("Giá vốn hàng bán",income_statement!$A:$A,0),MATCH(E$25,income_statement!$B$1:$XFD$1,0)),"")</f>
        <v/>
      </c>
      <c r="F46" s="35">
        <f>IFERROR(INDEX(income_statement!$B:$XFD,MATCH("Giá vốn hàng bán",income_statement!$A:$A,0),MATCH(F$25,income_statement!$B$1:$XFD$1,0)),"")</f>
        <v/>
      </c>
      <c r="G46" s="35">
        <f>IFERROR(INDEX(income_statement!$B:$XFD,MATCH("Giá vốn hàng bán",income_statement!$A:$A,0),MATCH(G$25,income_statement!$B$1:$XFD$1,0)),"")</f>
        <v/>
      </c>
      <c r="H46" s="35">
        <f>IFERROR(INDEX(income_statement!$B:$XFD,MATCH("Giá vốn hàng bán",income_statement!$A:$A,0),MATCH(H$25,income_statement!$B$1:$XFD$1,0)),"")</f>
        <v/>
      </c>
      <c r="I46" s="35">
        <f>IFERROR(INDEX(income_statement!$B:$XFD,MATCH("Giá vốn hàng bán",income_statement!$A:$A,0),MATCH(I$25,income_statement!$B$1:$XFD$1,0)),"")</f>
        <v/>
      </c>
    </row>
    <row r="47" ht="15" customFormat="1" customHeight="1" s="19">
      <c r="A47" s="1" t="inlineStr">
        <is>
          <t>Lợi nhuận gộp</t>
        </is>
      </c>
      <c r="B47" s="36">
        <f>IFERROR(INDEX(income_statement!$B:$XFD,MATCH("Lợi nhuận gộp",income_statement!$A:$A,0),MATCH(B$25,income_statement!$B$1:$XFD$1,0)),"")</f>
        <v/>
      </c>
      <c r="C47" s="36">
        <f>IFERROR(INDEX(income_statement!$B:$XFD,MATCH("Lợi nhuận gộp",income_statement!$A:$A,0),MATCH(C$25,income_statement!$B$1:$XFD$1,0)),"")</f>
        <v/>
      </c>
      <c r="D47" s="36">
        <f>IFERROR(INDEX(income_statement!$B:$XFD,MATCH("Lợi nhuận gộp",income_statement!$A:$A,0),MATCH(D$25,income_statement!$B$1:$XFD$1,0)),"")</f>
        <v/>
      </c>
      <c r="E47" s="36">
        <f>IFERROR(INDEX(income_statement!$B:$XFD,MATCH("Lợi nhuận gộp",income_statement!$A:$A,0),MATCH(E$25,income_statement!$B$1:$XFD$1,0)),"")</f>
        <v/>
      </c>
      <c r="F47" s="36">
        <f>IFERROR(INDEX(income_statement!$B:$XFD,MATCH("Lợi nhuận gộp",income_statement!$A:$A,0),MATCH(F$25,income_statement!$B$1:$XFD$1,0)),"")</f>
        <v/>
      </c>
      <c r="G47" s="36">
        <f>IFERROR(INDEX(income_statement!$B:$XFD,MATCH("Lợi nhuận gộp",income_statement!$A:$A,0),MATCH(G$25,income_statement!$B$1:$XFD$1,0)),"")</f>
        <v/>
      </c>
      <c r="H47" s="36">
        <f>IFERROR(INDEX(income_statement!$B:$XFD,MATCH("Lợi nhuận gộp",income_statement!$A:$A,0),MATCH(H$25,income_statement!$B$1:$XFD$1,0)),"")</f>
        <v/>
      </c>
      <c r="I47" s="36">
        <f>IFERROR(INDEX(income_statement!$B:$XFD,MATCH("Lợi nhuận gộp",income_statement!$A:$A,0),MATCH(I$25,income_statement!$B$1:$XFD$1,0)),"")</f>
        <v/>
      </c>
    </row>
    <row r="48">
      <c r="A48" s="3" t="inlineStr">
        <is>
          <t>Chi phí bán hàng</t>
        </is>
      </c>
      <c r="B48" s="35">
        <f>IFERROR(INDEX(income_statement!$B:$XFD,MATCH("Chi phí bán hàng",income_statement!$A:$A,0),MATCH(B$25,income_statement!$B$1:$XFD$1,0)),"")</f>
        <v/>
      </c>
      <c r="C48" s="35">
        <f>IFERROR(INDEX(income_statement!$B:$XFD,MATCH("Chi phí bán hàng",income_statement!$A:$A,0),MATCH(C$25,income_statement!$B$1:$XFD$1,0)),"")</f>
        <v/>
      </c>
      <c r="D48" s="35">
        <f>IFERROR(INDEX(income_statement!$B:$XFD,MATCH("Chi phí bán hàng",income_statement!$A:$A,0),MATCH(D$25,income_statement!$B$1:$XFD$1,0)),"")</f>
        <v/>
      </c>
      <c r="E48" s="35">
        <f>IFERROR(INDEX(income_statement!$B:$XFD,MATCH("Chi phí bán hàng",income_statement!$A:$A,0),MATCH(E$25,income_statement!$B$1:$XFD$1,0)),"")</f>
        <v/>
      </c>
      <c r="F48" s="35">
        <f>IFERROR(INDEX(income_statement!$B:$XFD,MATCH("Chi phí bán hàng",income_statement!$A:$A,0),MATCH(F$25,income_statement!$B$1:$XFD$1,0)),"")</f>
        <v/>
      </c>
      <c r="G48" s="35">
        <f>IFERROR(INDEX(income_statement!$B:$XFD,MATCH("Chi phí bán hàng",income_statement!$A:$A,0),MATCH(G$25,income_statement!$B$1:$XFD$1,0)),"")</f>
        <v/>
      </c>
      <c r="H48" s="35">
        <f>IFERROR(INDEX(income_statement!$B:$XFD,MATCH("Chi phí bán hàng",income_statement!$A:$A,0),MATCH(H$25,income_statement!$B$1:$XFD$1,0)),"")</f>
        <v/>
      </c>
      <c r="I48" s="35">
        <f>IFERROR(INDEX(income_statement!$B:$XFD,MATCH("Chi phí bán hàng",income_statement!$A:$A,0),MATCH(I$25,income_statement!$B$1:$XFD$1,0)),"")</f>
        <v/>
      </c>
    </row>
    <row r="49">
      <c r="A49" s="3" t="inlineStr">
        <is>
          <t>Chi phí quản lý doanh nghiệp</t>
        </is>
      </c>
      <c r="B49" s="35">
        <f>IFERROR(INDEX(income_statement!$B:$XFD,MATCH("Chi phí quản lý doanh nghiệp",income_statement!$A:$A,0),MATCH(B$25,income_statement!$B$1:$XFD$1,0)),"")</f>
        <v/>
      </c>
      <c r="C49" s="35">
        <f>IFERROR(INDEX(income_statement!$B:$XFD,MATCH("Chi phí quản lý doanh nghiệp",income_statement!$A:$A,0),MATCH(C$25,income_statement!$B$1:$XFD$1,0)),"")</f>
        <v/>
      </c>
      <c r="D49" s="35">
        <f>IFERROR(INDEX(income_statement!$B:$XFD,MATCH("Chi phí quản lý doanh nghiệp",income_statement!$A:$A,0),MATCH(D$25,income_statement!$B$1:$XFD$1,0)),"")</f>
        <v/>
      </c>
      <c r="E49" s="35">
        <f>IFERROR(INDEX(income_statement!$B:$XFD,MATCH("Chi phí quản lý doanh nghiệp",income_statement!$A:$A,0),MATCH(E$25,income_statement!$B$1:$XFD$1,0)),"")</f>
        <v/>
      </c>
      <c r="F49" s="35">
        <f>IFERROR(INDEX(income_statement!$B:$XFD,MATCH("Chi phí quản lý doanh nghiệp",income_statement!$A:$A,0),MATCH(F$25,income_statement!$B$1:$XFD$1,0)),"")</f>
        <v/>
      </c>
      <c r="G49" s="35">
        <f>IFERROR(INDEX(income_statement!$B:$XFD,MATCH("Chi phí quản lý doanh nghiệp",income_statement!$A:$A,0),MATCH(G$25,income_statement!$B$1:$XFD$1,0)),"")</f>
        <v/>
      </c>
      <c r="H49" s="35">
        <f>IFERROR(INDEX(income_statement!$B:$XFD,MATCH("Chi phí quản lý doanh nghiệp",income_statement!$A:$A,0),MATCH(H$25,income_statement!$B$1:$XFD$1,0)),"")</f>
        <v/>
      </c>
      <c r="I49" s="35">
        <f>IFERROR(INDEX(income_statement!$B:$XFD,MATCH("Chi phí quản lý doanh nghiệp",income_statement!$A:$A,0),MATCH(I$25,income_statement!$B$1:$XFD$1,0)),"")</f>
        <v/>
      </c>
    </row>
    <row r="50">
      <c r="A50" s="3" t="inlineStr">
        <is>
          <t>Lãi/(lỗ) từ hoạt động kinh doanh</t>
        </is>
      </c>
      <c r="B50" s="35">
        <f>IFERROR(INDEX(income_statement!$B:$XFD,MATCH("Lãi/(lỗ) từ hoạt động kinh doanh",income_statement!$A:$A,0),MATCH(B$25,income_statement!$B$1:$XFD$1,0)),"")</f>
        <v/>
      </c>
      <c r="C50" s="35">
        <f>IFERROR(INDEX(income_statement!$B:$XFD,MATCH("Lãi/(lỗ) từ hoạt động kinh doanh",income_statement!$A:$A,0),MATCH(C$25,income_statement!$B$1:$XFD$1,0)),"")</f>
        <v/>
      </c>
      <c r="D50" s="35">
        <f>IFERROR(INDEX(income_statement!$B:$XFD,MATCH("Lãi/(lỗ) từ hoạt động kinh doanh",income_statement!$A:$A,0),MATCH(D$25,income_statement!$B$1:$XFD$1,0)),"")</f>
        <v/>
      </c>
      <c r="E50" s="35">
        <f>IFERROR(INDEX(income_statement!$B:$XFD,MATCH("Lãi/(lỗ) từ hoạt động kinh doanh",income_statement!$A:$A,0),MATCH(E$25,income_statement!$B$1:$XFD$1,0)),"")</f>
        <v/>
      </c>
      <c r="F50" s="35">
        <f>IFERROR(INDEX(income_statement!$B:$XFD,MATCH("Lãi/(lỗ) từ hoạt động kinh doanh",income_statement!$A:$A,0),MATCH(F$25,income_statement!$B$1:$XFD$1,0)),"")</f>
        <v/>
      </c>
      <c r="G50" s="35">
        <f>IFERROR(INDEX(income_statement!$B:$XFD,MATCH("Lãi/(lỗ) từ hoạt động kinh doanh",income_statement!$A:$A,0),MATCH(G$25,income_statement!$B$1:$XFD$1,0)),"")</f>
        <v/>
      </c>
      <c r="H50" s="35">
        <f>IFERROR(INDEX(income_statement!$B:$XFD,MATCH("Lãi/(lỗ) từ hoạt động kinh doanh",income_statement!$A:$A,0),MATCH(H$25,income_statement!$B$1:$XFD$1,0)),"")</f>
        <v/>
      </c>
      <c r="I50" s="35">
        <f>IFERROR(INDEX(income_statement!$B:$XFD,MATCH("Lãi/(lỗ) từ hoạt động kinh doanh",income_statement!$A:$A,0),MATCH(I$25,income_statement!$B$1:$XFD$1,0)),"")</f>
        <v/>
      </c>
    </row>
    <row r="51">
      <c r="A51" s="3" t="inlineStr">
        <is>
          <t>Chi phí lãi vay</t>
        </is>
      </c>
      <c r="B51" s="35">
        <f>IFERROR(INDEX(income_statement!$B:$XFD,MATCH("Chi phí lãi vay",income_statement!$A:$A,0),MATCH(B$25,income_statement!$B$1:$XFD$1,0)),"")</f>
        <v/>
      </c>
      <c r="C51" s="35">
        <f>IFERROR(INDEX(income_statement!$B:$XFD,MATCH("Chi phí lãi vay",income_statement!$A:$A,0),MATCH(C$25,income_statement!$B$1:$XFD$1,0)),"")</f>
        <v/>
      </c>
      <c r="D51" s="35">
        <f>IFERROR(INDEX(income_statement!$B:$XFD,MATCH("Chi phí lãi vay",income_statement!$A:$A,0),MATCH(D$25,income_statement!$B$1:$XFD$1,0)),"")</f>
        <v/>
      </c>
      <c r="E51" s="35">
        <f>IFERROR(INDEX(income_statement!$B:$XFD,MATCH("Chi phí lãi vay",income_statement!$A:$A,0),MATCH(E$25,income_statement!$B$1:$XFD$1,0)),"")</f>
        <v/>
      </c>
      <c r="F51" s="35">
        <f>IFERROR(INDEX(income_statement!$B:$XFD,MATCH("Chi phí lãi vay",income_statement!$A:$A,0),MATCH(F$25,income_statement!$B$1:$XFD$1,0)),"")</f>
        <v/>
      </c>
      <c r="G51" s="35">
        <f>IFERROR(INDEX(income_statement!$B:$XFD,MATCH("Chi phí lãi vay",income_statement!$A:$A,0),MATCH(G$25,income_statement!$B$1:$XFD$1,0)),"")</f>
        <v/>
      </c>
      <c r="H51" s="35">
        <f>IFERROR(INDEX(income_statement!$B:$XFD,MATCH("Chi phí lãi vay",income_statement!$A:$A,0),MATCH(H$25,income_statement!$B$1:$XFD$1,0)),"")</f>
        <v/>
      </c>
      <c r="I51" s="35">
        <f>IFERROR(INDEX(income_statement!$B:$XFD,MATCH("Chi phí lãi vay",income_statement!$A:$A,0),MATCH(I$25,income_statement!$B$1:$XFD$1,0)),"")</f>
        <v/>
      </c>
    </row>
    <row r="52">
      <c r="A52" s="3" t="inlineStr">
        <is>
          <t>Lãi/(lỗ) trước thuế</t>
        </is>
      </c>
      <c r="B52" s="36">
        <f>IFERROR(INDEX(income_statement!$B:$XFD,MATCH("Lãi/(lỗ) trước thuế",income_statement!$A:$A,0),MATCH(B$25,income_statement!$B$1:$XFD$1,0)),"")</f>
        <v/>
      </c>
      <c r="C52" s="36">
        <f>IFERROR(INDEX(income_statement!$B:$XFD,MATCH("Lãi/(lỗ) trước thuế",income_statement!$A:$A,0),MATCH(C$25,income_statement!$B$1:$XFD$1,0)),"")</f>
        <v/>
      </c>
      <c r="D52" s="36">
        <f>IFERROR(INDEX(income_statement!$B:$XFD,MATCH("Lãi/(lỗ) trước thuế",income_statement!$A:$A,0),MATCH(D$25,income_statement!$B$1:$XFD$1,0)),"")</f>
        <v/>
      </c>
      <c r="E52" s="36">
        <f>IFERROR(INDEX(income_statement!$B:$XFD,MATCH("Lãi/(lỗ) trước thuế",income_statement!$A:$A,0),MATCH(E$25,income_statement!$B$1:$XFD$1,0)),"")</f>
        <v/>
      </c>
      <c r="F52" s="36">
        <f>IFERROR(INDEX(income_statement!$B:$XFD,MATCH("Lãi/(lỗ) trước thuế",income_statement!$A:$A,0),MATCH(F$25,income_statement!$B$1:$XFD$1,0)),"")</f>
        <v/>
      </c>
      <c r="G52" s="36">
        <f>IFERROR(INDEX(income_statement!$B:$XFD,MATCH("Lãi/(lỗ) trước thuế",income_statement!$A:$A,0),MATCH(G$25,income_statement!$B$1:$XFD$1,0)),"")</f>
        <v/>
      </c>
      <c r="H52" s="36">
        <f>IFERROR(INDEX(income_statement!$B:$XFD,MATCH("Lãi/(lỗ) trước thuế",income_statement!$A:$A,0),MATCH(H$25,income_statement!$B$1:$XFD$1,0)),"")</f>
        <v/>
      </c>
      <c r="I52" s="36">
        <f>IFERROR(INDEX(income_statement!$B:$XFD,MATCH("Lãi/(lỗ) trước thuế",income_statement!$A:$A,0),MATCH(I$25,income_statement!$B$1:$XFD$1,0)),"")</f>
        <v/>
      </c>
    </row>
    <row r="53" ht="15" customFormat="1" customHeight="1" s="19">
      <c r="A53" s="1" t="inlineStr">
        <is>
          <t>Lãi/(lỗ) thuần sau thuế</t>
        </is>
      </c>
      <c r="B53" s="36">
        <f>IFERROR(INDEX(income_statement!$B:$XFD,MATCH("Lãi/(lỗ) thuần sau thuế",income_statement!$A:$A,0),MATCH(B$25,income_statement!$B$1:$XFD$1,0)),"")</f>
        <v/>
      </c>
      <c r="C53" s="36">
        <f>IFERROR(INDEX(income_statement!$B:$XFD,MATCH("Lãi/(lỗ) thuần sau thuế",income_statement!$A:$A,0),MATCH(C$25,income_statement!$B$1:$XFD$1,0)),"")</f>
        <v/>
      </c>
      <c r="D53" s="36">
        <f>IFERROR(INDEX(income_statement!$B:$XFD,MATCH("Lãi/(lỗ) thuần sau thuế",income_statement!$A:$A,0),MATCH(D$25,income_statement!$B$1:$XFD$1,0)),"")</f>
        <v/>
      </c>
      <c r="E53" s="36">
        <f>IFERROR(INDEX(income_statement!$B:$XFD,MATCH("Lãi/(lỗ) thuần sau thuế",income_statement!$A:$A,0),MATCH(E$25,income_statement!$B$1:$XFD$1,0)),"")</f>
        <v/>
      </c>
      <c r="F53" s="36">
        <f>IFERROR(INDEX(income_statement!$B:$XFD,MATCH("Lãi/(lỗ) thuần sau thuế",income_statement!$A:$A,0),MATCH(F$25,income_statement!$B$1:$XFD$1,0)),"")</f>
        <v/>
      </c>
      <c r="G53" s="36">
        <f>IFERROR(INDEX(income_statement!$B:$XFD,MATCH("Lãi/(lỗ) thuần sau thuế",income_statement!$A:$A,0),MATCH(G$25,income_statement!$B$1:$XFD$1,0)),"")</f>
        <v/>
      </c>
      <c r="H53" s="36">
        <f>IFERROR(INDEX(income_statement!$B:$XFD,MATCH("Lãi/(lỗ) thuần sau thuế",income_statement!$A:$A,0),MATCH(H$25,income_statement!$B$1:$XFD$1,0)),"")</f>
        <v/>
      </c>
      <c r="I53" s="36">
        <f>IFERROR(INDEX(income_statement!$B:$XFD,MATCH("Lãi/(lỗ) thuần sau thuế",income_statement!$A:$A,0),MATCH(I$25,income_statement!$B$1:$XFD$1,0)),"")</f>
        <v/>
      </c>
    </row>
    <row r="54" ht="15" customFormat="1" customHeight="1" s="19">
      <c r="A54" s="1" t="inlineStr">
        <is>
          <t>Lợi nhuận của Cổ đông của Công ty mẹ</t>
        </is>
      </c>
      <c r="B54" s="36">
        <f>IFERROR(INDEX(income_statement!$B:$XFD,MATCH("Lợi nhuận của Cổ đông của Công ty mẹ",income_statement!$A:$A,0),MATCH(B$25,income_statement!$B$1:$XFD$1,0)),"")</f>
        <v/>
      </c>
      <c r="C54" s="36">
        <f>IFERROR(INDEX(income_statement!$B:$XFD,MATCH("Lợi nhuận của Cổ đông của Công ty mẹ",income_statement!$A:$A,0),MATCH(C$25,income_statement!$B$1:$XFD$1,0)),"")</f>
        <v/>
      </c>
      <c r="D54" s="36">
        <f>IFERROR(INDEX(income_statement!$B:$XFD,MATCH("Lợi nhuận của Cổ đông của Công ty mẹ",income_statement!$A:$A,0),MATCH(D$25,income_statement!$B$1:$XFD$1,0)),"")</f>
        <v/>
      </c>
      <c r="E54" s="36">
        <f>IFERROR(INDEX(income_statement!$B:$XFD,MATCH("Lợi nhuận của Cổ đông của Công ty mẹ",income_statement!$A:$A,0),MATCH(E$25,income_statement!$B$1:$XFD$1,0)),"")</f>
        <v/>
      </c>
      <c r="F54" s="36">
        <f>IFERROR(INDEX(income_statement!$B:$XFD,MATCH("Lợi nhuận của Cổ đông của Công ty mẹ",income_statement!$A:$A,0),MATCH(F$25,income_statement!$B$1:$XFD$1,0)),"")</f>
        <v/>
      </c>
      <c r="G54" s="36">
        <f>IFERROR(INDEX(income_statement!$B:$XFD,MATCH("Lợi nhuận của Cổ đông của Công ty mẹ",income_statement!$A:$A,0),MATCH(G$25,income_statement!$B$1:$XFD$1,0)),"")</f>
        <v/>
      </c>
      <c r="H54" s="36">
        <f>IFERROR(INDEX(income_statement!$B:$XFD,MATCH("Lợi nhuận của Cổ đông của Công ty mẹ",income_statement!$A:$A,0),MATCH(H$25,income_statement!$B$1:$XFD$1,0)),"")</f>
        <v/>
      </c>
      <c r="I54" s="36">
        <f>IFERROR(INDEX(income_statement!$B:$XFD,MATCH("Lợi nhuận của Cổ đông của Công ty mẹ",income_statement!$A:$A,0),MATCH(I$25,income_statement!$B$1:$XFD$1,0)),"")</f>
        <v/>
      </c>
    </row>
    <row r="55">
      <c r="A55" s="17" t="inlineStr">
        <is>
          <t>Lưu chuyển tiền tệ</t>
        </is>
      </c>
    </row>
    <row r="56">
      <c r="A56" s="3" t="inlineStr">
        <is>
          <t>Khấu hao TSCĐ và BĐSĐT</t>
        </is>
      </c>
      <c r="B56" s="35">
        <f>IFERROR(INDEX(cash_flow!$B:$XFD,MATCH("Khấu hao TSCĐ và BĐSĐT",cash_flow!$A:$A,0),MATCH(B$25,cash_flow!$B$1:$XFD$1,0)),"")</f>
        <v/>
      </c>
      <c r="C56" s="35">
        <f>IFERROR(INDEX(cash_flow!$B:$XFD,MATCH("Khấu hao TSCĐ và BĐSĐT",cash_flow!$A:$A,0),MATCH(C$25,cash_flow!$B$1:$XFD$1,0)),"")</f>
        <v/>
      </c>
      <c r="D56" s="35">
        <f>IFERROR(INDEX(cash_flow!$B:$XFD,MATCH("Khấu hao TSCĐ và BĐSĐT",cash_flow!$A:$A,0),MATCH(D$25,cash_flow!$B$1:$XFD$1,0)),"")</f>
        <v/>
      </c>
      <c r="E56" s="35">
        <f>IFERROR(INDEX(cash_flow!$B:$XFD,MATCH("Khấu hao TSCĐ và BĐSĐT",cash_flow!$A:$A,0),MATCH(E$25,cash_flow!$B$1:$XFD$1,0)),"")</f>
        <v/>
      </c>
      <c r="F56" s="35">
        <f>IFERROR(INDEX(cash_flow!$B:$XFD,MATCH("Khấu hao TSCĐ và BĐSĐT",cash_flow!$A:$A,0),MATCH(F$25,cash_flow!$B$1:$XFD$1,0)),"")</f>
        <v/>
      </c>
      <c r="G56" s="35">
        <f>IFERROR(INDEX(cash_flow!$B:$XFD,MATCH("Khấu hao TSCĐ và BĐSĐT",cash_flow!$A:$A,0),MATCH(G$25,cash_flow!$B$1:$XFD$1,0)),"")</f>
        <v/>
      </c>
      <c r="H56" s="35">
        <f>IFERROR(INDEX(cash_flow!$B:$XFD,MATCH("Khấu hao TSCĐ và BĐSĐT",cash_flow!$A:$A,0),MATCH(H$25,cash_flow!$B$1:$XFD$1,0)),"")</f>
        <v/>
      </c>
      <c r="I56" s="35">
        <f>IFERROR(INDEX(cash_flow!$B:$XFD,MATCH("Khấu hao TSCĐ và BĐSĐT",cash_flow!$A:$A,0),MATCH(I$25,cash_flow!$B$1:$XFD$1,0)),"")</f>
        <v/>
      </c>
    </row>
    <row r="57">
      <c r="A57" s="3" t="inlineStr">
        <is>
          <t>Tiền chi để mua sắm, xây dựng TSCĐ và các tài sản dài hạn khác</t>
        </is>
      </c>
      <c r="B57" s="35">
        <f>IFERROR(INDEX(cash_flow!$B:$XFD,MATCH("Tiền chi để mua sắm, xây dựng TSCĐ và các tài sản dài hạn khác",cash_flow!$A:$A,0),MATCH(B$25,cash_flow!$B$1:$XFD$1,0)),"")</f>
        <v/>
      </c>
      <c r="C57" s="35">
        <f>IFERROR(INDEX(cash_flow!$B:$XFD,MATCH("Tiền chi để mua sắm, xây dựng TSCĐ và các tài sản dài hạn khác",cash_flow!$A:$A,0),MATCH(C$25,cash_flow!$B$1:$XFD$1,0)),"")</f>
        <v/>
      </c>
      <c r="D57" s="35">
        <f>IFERROR(INDEX(cash_flow!$B:$XFD,MATCH("Tiền chi để mua sắm, xây dựng TSCĐ và các tài sản dài hạn khác",cash_flow!$A:$A,0),MATCH(D$25,cash_flow!$B$1:$XFD$1,0)),"")</f>
        <v/>
      </c>
      <c r="E57" s="35">
        <f>IFERROR(INDEX(cash_flow!$B:$XFD,MATCH("Tiền chi để mua sắm, xây dựng TSCĐ và các tài sản dài hạn khác",cash_flow!$A:$A,0),MATCH(E$25,cash_flow!$B$1:$XFD$1,0)),"")</f>
        <v/>
      </c>
      <c r="F57" s="35">
        <f>IFERROR(INDEX(cash_flow!$B:$XFD,MATCH("Tiền chi để mua sắm, xây dựng TSCĐ và các tài sản dài hạn khác",cash_flow!$A:$A,0),MATCH(F$25,cash_flow!$B$1:$XFD$1,0)),"")</f>
        <v/>
      </c>
      <c r="G57" s="35">
        <f>IFERROR(INDEX(cash_flow!$B:$XFD,MATCH("Tiền chi để mua sắm, xây dựng TSCĐ và các tài sản dài hạn khác",cash_flow!$A:$A,0),MATCH(G$25,cash_flow!$B$1:$XFD$1,0)),"")</f>
        <v/>
      </c>
      <c r="H57" s="35">
        <f>IFERROR(INDEX(cash_flow!$B:$XFD,MATCH("Tiền chi để mua sắm, xây dựng TSCĐ và các tài sản dài hạn khác",cash_flow!$A:$A,0),MATCH(H$25,cash_flow!$B$1:$XFD$1,0)),"")</f>
        <v/>
      </c>
      <c r="I57" s="35">
        <f>IFERROR(INDEX(cash_flow!$B:$XFD,MATCH("Tiền chi để mua sắm, xây dựng TSCĐ và các tài sản dài hạn khác",cash_flow!$A:$A,0),MATCH(I$25,cash_flow!$B$1:$XFD$1,0)),"")</f>
        <v/>
      </c>
    </row>
    <row r="58">
      <c r="A58" s="3" t="inlineStr">
        <is>
          <t>Lưu chuyển tiền tệ ròng từ các hoạt động sản xuất kinh doanh</t>
        </is>
      </c>
      <c r="B58" s="35">
        <f>IFERROR(INDEX(cash_flow!$B:$XFD,MATCH("Lưu chuyển tiền tệ ròng từ các hoạt động sản xuất kinh doanh",cash_flow!$A:$A,0),MATCH(B$25,cash_flow!$B$1:$XFD$1,0)),"")</f>
        <v/>
      </c>
      <c r="C58" s="35">
        <f>IFERROR(INDEX(cash_flow!$B:$XFD,MATCH("Lưu chuyển tiền tệ ròng từ các hoạt động sản xuất kinh doanh",cash_flow!$A:$A,0),MATCH(C$25,cash_flow!$B$1:$XFD$1,0)),"")</f>
        <v/>
      </c>
      <c r="D58" s="35">
        <f>IFERROR(INDEX(cash_flow!$B:$XFD,MATCH("Lưu chuyển tiền tệ ròng từ các hoạt động sản xuất kinh doanh",cash_flow!$A:$A,0),MATCH(D$25,cash_flow!$B$1:$XFD$1,0)),"")</f>
        <v/>
      </c>
      <c r="E58" s="35">
        <f>IFERROR(INDEX(cash_flow!$B:$XFD,MATCH("Lưu chuyển tiền tệ ròng từ các hoạt động sản xuất kinh doanh",cash_flow!$A:$A,0),MATCH(E$25,cash_flow!$B$1:$XFD$1,0)),"")</f>
        <v/>
      </c>
      <c r="F58" s="35">
        <f>IFERROR(INDEX(cash_flow!$B:$XFD,MATCH("Lưu chuyển tiền tệ ròng từ các hoạt động sản xuất kinh doanh",cash_flow!$A:$A,0),MATCH(F$25,cash_flow!$B$1:$XFD$1,0)),"")</f>
        <v/>
      </c>
      <c r="G58" s="35">
        <f>IFERROR(INDEX(cash_flow!$B:$XFD,MATCH("Lưu chuyển tiền tệ ròng từ các hoạt động sản xuất kinh doanh",cash_flow!$A:$A,0),MATCH(G$25,cash_flow!$B$1:$XFD$1,0)),"")</f>
        <v/>
      </c>
      <c r="H58" s="35">
        <f>IFERROR(INDEX(cash_flow!$B:$XFD,MATCH("Lưu chuyển tiền tệ ròng từ các hoạt động sản xuất kinh doanh",cash_flow!$A:$A,0),MATCH(H$25,cash_flow!$B$1:$XFD$1,0)),"")</f>
        <v/>
      </c>
      <c r="I58" s="35">
        <f>IFERROR(INDEX(cash_flow!$B:$XFD,MATCH("Lưu chuyển tiền tệ ròng từ các hoạt động sản xuất kinh doanh",cash_flow!$A:$A,0),MATCH(I$25,cash_flow!$B$1:$XFD$1,0)),"")</f>
        <v/>
      </c>
    </row>
    <row r="62">
      <c r="A62" s="4" t="inlineStr">
        <is>
          <t>CHỈ SỐ THÊM</t>
        </is>
      </c>
      <c r="B62" s="2" t="n">
        <v>2026</v>
      </c>
      <c r="C62" s="2" t="n">
        <v>2027</v>
      </c>
      <c r="D62" s="2" t="n">
        <v>2028</v>
      </c>
      <c r="E62" s="2" t="n">
        <v>2029</v>
      </c>
      <c r="F62" s="2" t="n">
        <v>2030</v>
      </c>
      <c r="G62" s="2" t="n">
        <v>2031</v>
      </c>
      <c r="H62" s="2" t="n">
        <v>2032</v>
      </c>
      <c r="I62" s="2" t="n">
        <v>2033</v>
      </c>
    </row>
    <row r="63">
      <c r="A63" s="4" t="inlineStr">
        <is>
          <t>Khả năng sinh lời &amp; hiệu quả sử dụng vốn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</row>
    <row r="64">
      <c r="A64" s="5" t="inlineStr">
        <is>
          <t>ROCE</t>
        </is>
      </c>
      <c r="B64" s="37">
        <f>IFERROR(B$66/(B$33-B$37),"n/a")</f>
        <v/>
      </c>
      <c r="C64" s="37">
        <f>IFERROR(C$66/(C$33-C$37),"n/a")</f>
        <v/>
      </c>
      <c r="D64" s="37">
        <f>IFERROR(D$66/(D$33-D$37),"n/a")</f>
        <v/>
      </c>
      <c r="E64" s="37">
        <f>IFERROR(E$66/(E$33-E$37),"n/a")</f>
        <v/>
      </c>
      <c r="F64" s="37">
        <f>IFERROR(F$66/(F$33-F$37),"n/a")</f>
        <v/>
      </c>
      <c r="G64" s="37">
        <f>IFERROR(G$66/(G$33-G$37),"n/a")</f>
        <v/>
      </c>
      <c r="H64" s="37">
        <f>IFERROR(H$66/(H$33-H$37),"n/a")</f>
        <v/>
      </c>
      <c r="I64" s="37">
        <f>IFERROR(I$66/(I$33-I$37),"n/a")</f>
        <v/>
      </c>
    </row>
    <row r="65">
      <c r="A65" s="5" t="inlineStr">
        <is>
          <t>CROIC</t>
        </is>
      </c>
      <c r="B65" s="37">
        <f>IFERROR(B$70/(B$33-B$37),"n/a")</f>
        <v/>
      </c>
      <c r="C65" s="37">
        <f>IFERROR(C$70/(C$33-C$37),"n/a")</f>
        <v/>
      </c>
      <c r="D65" s="37">
        <f>IFERROR(D$70/(D$33-D$37),"n/a")</f>
        <v/>
      </c>
      <c r="E65" s="37">
        <f>IFERROR(E$70/(E$33-E$37),"n/a")</f>
        <v/>
      </c>
      <c r="F65" s="37">
        <f>IFERROR(F$70/(F$33-F$37),"n/a")</f>
        <v/>
      </c>
      <c r="G65" s="37">
        <f>IFERROR(G$70/(G$33-G$37),"n/a")</f>
        <v/>
      </c>
      <c r="H65" s="37">
        <f>IFERROR(H$70/(H$33-H$37),"n/a")</f>
        <v/>
      </c>
      <c r="I65" s="37">
        <f>IFERROR(I$70/(I$33-I$37),"n/a")</f>
        <v/>
      </c>
    </row>
    <row r="66">
      <c r="A66" s="5" t="inlineStr">
        <is>
          <t>EBIT</t>
        </is>
      </c>
      <c r="B66" s="38">
        <f>IFERROR(B$50+ABS(B$51),"n/a")</f>
        <v/>
      </c>
      <c r="C66" s="38">
        <f>IFERROR(C$50+ABS(C$51),"n/a")</f>
        <v/>
      </c>
      <c r="D66" s="38">
        <f>IFERROR(D$50+ABS(D$51),"n/a")</f>
        <v/>
      </c>
      <c r="E66" s="38">
        <f>IFERROR(E$50+ABS(E$51),"n/a")</f>
        <v/>
      </c>
      <c r="F66" s="38">
        <f>IFERROR(F$50+ABS(F$51),"n/a")</f>
        <v/>
      </c>
      <c r="G66" s="38">
        <f>IFERROR(G$50+ABS(G$51),"n/a")</f>
        <v/>
      </c>
      <c r="H66" s="38">
        <f>IFERROR(H$50+ABS(H$51),"n/a")</f>
        <v/>
      </c>
      <c r="I66" s="38">
        <f>IFERROR(I$50+ABS(I$51),"n/a")</f>
        <v/>
      </c>
    </row>
    <row r="67">
      <c r="A67" s="5" t="inlineStr">
        <is>
          <t>EBIT/DT</t>
        </is>
      </c>
      <c r="B67" s="37">
        <f>IFERROR(B$66/B$45,"n/a")</f>
        <v/>
      </c>
      <c r="C67" s="37">
        <f>IFERROR(C$66/C$45,"n/a")</f>
        <v/>
      </c>
      <c r="D67" s="37">
        <f>IFERROR(D$66/D$45,"n/a")</f>
        <v/>
      </c>
      <c r="E67" s="37">
        <f>IFERROR(E$66/E$45,"n/a")</f>
        <v/>
      </c>
      <c r="F67" s="37">
        <f>IFERROR(F$66/F$45,"n/a")</f>
        <v/>
      </c>
      <c r="G67" s="37">
        <f>IFERROR(G$66/G$45,"n/a")</f>
        <v/>
      </c>
      <c r="H67" s="37">
        <f>IFERROR(H$66/H$45,"n/a")</f>
        <v/>
      </c>
      <c r="I67" s="37">
        <f>IFERROR(I$66/I$45,"n/a")</f>
        <v/>
      </c>
    </row>
    <row r="68">
      <c r="A68" s="5" t="inlineStr">
        <is>
          <t>DT/TS</t>
        </is>
      </c>
      <c r="B68" s="37">
        <f>IFERROR(B$45/B$33,"n/a")</f>
        <v/>
      </c>
      <c r="C68" s="37">
        <f>IFERROR(C$45/C$33,"n/a")</f>
        <v/>
      </c>
      <c r="D68" s="37">
        <f>IFERROR(D$45/D$33,"n/a")</f>
        <v/>
      </c>
      <c r="E68" s="37">
        <f>IFERROR(E$45/E$33,"n/a")</f>
        <v/>
      </c>
      <c r="F68" s="37">
        <f>IFERROR(F$45/F$33,"n/a")</f>
        <v/>
      </c>
      <c r="G68" s="37">
        <f>IFERROR(G$45/G$33,"n/a")</f>
        <v/>
      </c>
      <c r="H68" s="37">
        <f>IFERROR(H$45/H$33,"n/a")</f>
        <v/>
      </c>
      <c r="I68" s="37">
        <f>IFERROR(I$45/I$33,"n/a")</f>
        <v/>
      </c>
    </row>
    <row r="69">
      <c r="A69" s="4" t="inlineStr">
        <is>
          <t>Dòng tiền &amp; tái đầu tư</t>
        </is>
      </c>
      <c r="B69" s="5" t="n"/>
      <c r="C69" s="5" t="n"/>
      <c r="D69" s="5" t="n"/>
      <c r="E69" s="5" t="n"/>
      <c r="F69" s="5" t="n"/>
      <c r="G69" s="5" t="n"/>
      <c r="H69" s="5" t="n"/>
      <c r="I69" s="5" t="n"/>
    </row>
    <row r="70">
      <c r="A70" s="5" t="inlineStr">
        <is>
          <t>FCF</t>
        </is>
      </c>
      <c r="B70" s="38">
        <f>IFERROR(B$58-ABS(B$57),"n/a")</f>
        <v/>
      </c>
      <c r="C70" s="38">
        <f>IFERROR(C$58-ABS(C$57),"n/a")</f>
        <v/>
      </c>
      <c r="D70" s="38">
        <f>IFERROR(D$58-ABS(D$57),"n/a")</f>
        <v/>
      </c>
      <c r="E70" s="38">
        <f>IFERROR(E$58-ABS(E$57),"n/a")</f>
        <v/>
      </c>
      <c r="F70" s="38">
        <f>IFERROR(F$58-ABS(F$57),"n/a")</f>
        <v/>
      </c>
      <c r="G70" s="38">
        <f>IFERROR(G$58-ABS(G$57),"n/a")</f>
        <v/>
      </c>
      <c r="H70" s="38">
        <f>IFERROR(H$58-ABS(H$57),"n/a")</f>
        <v/>
      </c>
      <c r="I70" s="38">
        <f>IFERROR(I$58-ABS(I$57),"n/a")</f>
        <v/>
      </c>
    </row>
    <row r="71">
      <c r="A71" s="5" t="inlineStr">
        <is>
          <t>FCF/DT</t>
        </is>
      </c>
      <c r="B71" s="37">
        <f>IFERROR(B$70/B$45,"n/a")</f>
        <v/>
      </c>
      <c r="C71" s="37">
        <f>IFERROR(C$70/C$45,"n/a")</f>
        <v/>
      </c>
      <c r="D71" s="37">
        <f>IFERROR(D$70/D$45,"n/a")</f>
        <v/>
      </c>
      <c r="E71" s="37">
        <f>IFERROR(E$70/E$45,"n/a")</f>
        <v/>
      </c>
      <c r="F71" s="37">
        <f>IFERROR(F$70/F$45,"n/a")</f>
        <v/>
      </c>
      <c r="G71" s="37">
        <f>IFERROR(G$70/G$45,"n/a")</f>
        <v/>
      </c>
      <c r="H71" s="37">
        <f>IFERROR(H$70/H$45,"n/a")</f>
        <v/>
      </c>
      <c r="I71" s="37">
        <f>IFERROR(I$70/I$45,"n/a")</f>
        <v/>
      </c>
    </row>
    <row r="72">
      <c r="A72" s="5" t="inlineStr">
        <is>
          <t>FCF/Nợ ngắn hạn</t>
        </is>
      </c>
      <c r="B72" s="37">
        <f>IFERROR(B$70/B$37,"n/a")</f>
        <v/>
      </c>
      <c r="C72" s="37">
        <f>IFERROR(C$70/C$37,"n/a")</f>
        <v/>
      </c>
      <c r="D72" s="37">
        <f>IFERROR(D$70/D$37,"n/a")</f>
        <v/>
      </c>
      <c r="E72" s="37">
        <f>IFERROR(E$70/E$37,"n/a")</f>
        <v/>
      </c>
      <c r="F72" s="37">
        <f>IFERROR(F$70/F$37,"n/a")</f>
        <v/>
      </c>
      <c r="G72" s="37">
        <f>IFERROR(G$70/G$37,"n/a")</f>
        <v/>
      </c>
      <c r="H72" s="37">
        <f>IFERROR(H$70/H$37,"n/a")</f>
        <v/>
      </c>
      <c r="I72" s="37">
        <f>IFERROR(I$70/I$37,"n/a")</f>
        <v/>
      </c>
    </row>
    <row r="73">
      <c r="A73" s="5" t="inlineStr">
        <is>
          <t>Capex</t>
        </is>
      </c>
      <c r="B73" s="38">
        <f>IFERROR(ABS(B$57),"n/a")</f>
        <v/>
      </c>
      <c r="C73" s="38">
        <f>IFERROR(ABS(C$57),"n/a")</f>
        <v/>
      </c>
      <c r="D73" s="38">
        <f>IFERROR(ABS(D$57),"n/a")</f>
        <v/>
      </c>
      <c r="E73" s="38">
        <f>IFERROR(ABS(E$57),"n/a")</f>
        <v/>
      </c>
      <c r="F73" s="38">
        <f>IFERROR(ABS(F$57),"n/a")</f>
        <v/>
      </c>
      <c r="G73" s="38">
        <f>IFERROR(ABS(G$57),"n/a")</f>
        <v/>
      </c>
      <c r="H73" s="38">
        <f>IFERROR(ABS(H$57),"n/a")</f>
        <v/>
      </c>
      <c r="I73" s="38">
        <f>IFERROR(ABS(I$57),"n/a")</f>
        <v/>
      </c>
    </row>
    <row r="74">
      <c r="A74" s="5" t="inlineStr">
        <is>
          <t>Capex/TS</t>
        </is>
      </c>
      <c r="B74" s="37">
        <f>IFERROR(B$73/B$33,"n/a")</f>
        <v/>
      </c>
      <c r="C74" s="37">
        <f>IFERROR(C$73/C$33,"n/a")</f>
        <v/>
      </c>
      <c r="D74" s="37">
        <f>IFERROR(D$73/D$33,"n/a")</f>
        <v/>
      </c>
      <c r="E74" s="37">
        <f>IFERROR(E$73/E$33,"n/a")</f>
        <v/>
      </c>
      <c r="F74" s="37">
        <f>IFERROR(F$73/F$33,"n/a")</f>
        <v/>
      </c>
      <c r="G74" s="37">
        <f>IFERROR(G$73/G$33,"n/a")</f>
        <v/>
      </c>
      <c r="H74" s="37">
        <f>IFERROR(H$73/H$33,"n/a")</f>
        <v/>
      </c>
      <c r="I74" s="37">
        <f>IFERROR(I$73/I$33,"n/a")</f>
        <v/>
      </c>
    </row>
    <row r="75">
      <c r="A75" s="5" t="inlineStr">
        <is>
          <t>Capex/LNST</t>
        </is>
      </c>
      <c r="B75" s="37">
        <f>IFERROR(B$73/ABS(B$53),"n/a")</f>
        <v/>
      </c>
      <c r="C75" s="37">
        <f>IFERROR(C$73/ABS(C$53),"n/a")</f>
        <v/>
      </c>
      <c r="D75" s="37">
        <f>IFERROR(D$73/ABS(D$53),"n/a")</f>
        <v/>
      </c>
      <c r="E75" s="37">
        <f>IFERROR(E$73/ABS(E$53),"n/a")</f>
        <v/>
      </c>
      <c r="F75" s="37">
        <f>IFERROR(F$73/ABS(F$53),"n/a")</f>
        <v/>
      </c>
      <c r="G75" s="37">
        <f>IFERROR(G$73/ABS(G$53),"n/a")</f>
        <v/>
      </c>
      <c r="H75" s="37">
        <f>IFERROR(H$73/ABS(H$53),"n/a")</f>
        <v/>
      </c>
      <c r="I75" s="37">
        <f>IFERROR(I$73/ABS(I$53),"n/a")</f>
        <v/>
      </c>
    </row>
    <row r="76">
      <c r="A76" s="5" t="inlineStr">
        <is>
          <t>Chi phí khấu hao/Lợi nhuận gộp</t>
        </is>
      </c>
      <c r="B76" s="37">
        <f>IFERROR(ABS(B$56)/B$47,"n/a")</f>
        <v/>
      </c>
      <c r="C76" s="37">
        <f>IFERROR(ABS(C$56)/C$47,"n/a")</f>
        <v/>
      </c>
      <c r="D76" s="37">
        <f>IFERROR(ABS(D$56)/D$47,"n/a")</f>
        <v/>
      </c>
      <c r="E76" s="37">
        <f>IFERROR(ABS(E$56)/E$47,"n/a")</f>
        <v/>
      </c>
      <c r="F76" s="37">
        <f>IFERROR(ABS(F$56)/F$47,"n/a")</f>
        <v/>
      </c>
      <c r="G76" s="37">
        <f>IFERROR(ABS(G$56)/G$47,"n/a")</f>
        <v/>
      </c>
      <c r="H76" s="37">
        <f>IFERROR(ABS(H$56)/H$47,"n/a")</f>
        <v/>
      </c>
      <c r="I76" s="37">
        <f>IFERROR(ABS(I$56)/I$47,"n/a")</f>
        <v/>
      </c>
    </row>
    <row r="77">
      <c r="A77" s="5" t="inlineStr">
        <is>
          <t>EBIT/Chi phí lãi vay</t>
        </is>
      </c>
      <c r="B77" s="39">
        <f>IFERROR(B$66/ABS(B$51),"n/a")</f>
        <v/>
      </c>
      <c r="C77" s="39">
        <f>IFERROR(C$66/ABS(C$51),"n/a")</f>
        <v/>
      </c>
      <c r="D77" s="39">
        <f>IFERROR(D$66/ABS(D$51),"n/a")</f>
        <v/>
      </c>
      <c r="E77" s="39">
        <f>IFERROR(E$66/ABS(E$51),"n/a")</f>
        <v/>
      </c>
      <c r="F77" s="39">
        <f>IFERROR(F$66/ABS(F$51),"n/a")</f>
        <v/>
      </c>
      <c r="G77" s="39">
        <f>IFERROR(G$66/ABS(G$51),"n/a")</f>
        <v/>
      </c>
      <c r="H77" s="39">
        <f>IFERROR(H$66/ABS(H$51),"n/a")</f>
        <v/>
      </c>
      <c r="I77" s="39">
        <f>IFERROR(I$66/ABS(I$51),"n/a")</f>
        <v/>
      </c>
    </row>
    <row r="78">
      <c r="A78" s="4" t="inlineStr">
        <is>
          <t>Vốn lưu động &amp; hiệu quả hoạt động</t>
        </is>
      </c>
      <c r="B78" s="5" t="n"/>
      <c r="C78" s="5" t="n"/>
      <c r="D78" s="5" t="n"/>
      <c r="E78" s="5" t="n"/>
      <c r="F78" s="5" t="n"/>
      <c r="G78" s="5" t="n"/>
      <c r="H78" s="5" t="n"/>
      <c r="I78" s="5" t="n"/>
    </row>
    <row r="79">
      <c r="A79" s="5" t="inlineStr">
        <is>
          <t>Vòng quay tiền mặt</t>
        </is>
      </c>
      <c r="B79" s="9">
        <f>IFERROR(B$19+B$20-B$18,"n/a")</f>
        <v/>
      </c>
      <c r="C79" s="9">
        <f>IFERROR(C$19+C$20-C$18,"n/a")</f>
        <v/>
      </c>
      <c r="D79" s="9">
        <f>IFERROR(D$19+D$20-D$18,"n/a")</f>
        <v/>
      </c>
      <c r="E79" s="9">
        <f>IFERROR(E$19+E$20-E$18,"n/a")</f>
        <v/>
      </c>
      <c r="F79" s="9">
        <f>IFERROR(F$19+F$20-F$18,"n/a")</f>
        <v/>
      </c>
      <c r="G79" s="9">
        <f>IFERROR(G$19+G$20-G$18,"n/a")</f>
        <v/>
      </c>
      <c r="H79" s="9">
        <f>IFERROR(H$19+H$20-H$18,"n/a")</f>
        <v/>
      </c>
      <c r="I79" s="9">
        <f>IFERROR(I$19+I$20-I$18,"n/a")</f>
        <v/>
      </c>
    </row>
    <row r="80">
      <c r="A80" s="5" t="inlineStr">
        <is>
          <t>HTK/DT</t>
        </is>
      </c>
      <c r="B80" s="37">
        <f>IFERROR(B$30/B$45,"n/a")</f>
        <v/>
      </c>
      <c r="C80" s="37">
        <f>IFERROR(C$30/C$45,"n/a")</f>
        <v/>
      </c>
      <c r="D80" s="37">
        <f>IFERROR(D$30/D$45,"n/a")</f>
        <v/>
      </c>
      <c r="E80" s="37">
        <f>IFERROR(E$30/E$45,"n/a")</f>
        <v/>
      </c>
      <c r="F80" s="37">
        <f>IFERROR(F$30/F$45,"n/a")</f>
        <v/>
      </c>
      <c r="G80" s="37">
        <f>IFERROR(G$30/G$45,"n/a")</f>
        <v/>
      </c>
      <c r="H80" s="37">
        <f>IFERROR(H$30/H$45,"n/a")</f>
        <v/>
      </c>
      <c r="I80" s="37">
        <f>IFERROR(I$30/I$45,"n/a")</f>
        <v/>
      </c>
    </row>
    <row r="81">
      <c r="A81" s="5" t="inlineStr">
        <is>
          <t>HTK/TS</t>
        </is>
      </c>
      <c r="B81" s="37">
        <f>IFERROR(B$30/B$33,"n/a")</f>
        <v/>
      </c>
      <c r="C81" s="37">
        <f>IFERROR(C$30/C$33,"n/a")</f>
        <v/>
      </c>
      <c r="D81" s="37">
        <f>IFERROR(D$30/D$33,"n/a")</f>
        <v/>
      </c>
      <c r="E81" s="37">
        <f>IFERROR(E$30/E$33,"n/a")</f>
        <v/>
      </c>
      <c r="F81" s="37">
        <f>IFERROR(F$30/F$33,"n/a")</f>
        <v/>
      </c>
      <c r="G81" s="37">
        <f>IFERROR(G$30/G$33,"n/a")</f>
        <v/>
      </c>
      <c r="H81" s="37">
        <f>IFERROR(H$30/H$33,"n/a")</f>
        <v/>
      </c>
      <c r="I81" s="37">
        <f>IFERROR(I$30/I$33,"n/a")</f>
        <v/>
      </c>
    </row>
    <row r="82">
      <c r="A82" s="5" t="inlineStr">
        <is>
          <t>DT/TS</t>
        </is>
      </c>
      <c r="B82" s="37">
        <f>IFERROR(B$45/B$33,"n/a")</f>
        <v/>
      </c>
      <c r="C82" s="37">
        <f>IFERROR(C$45/C$33,"n/a")</f>
        <v/>
      </c>
      <c r="D82" s="37">
        <f>IFERROR(D$45/D$33,"n/a")</f>
        <v/>
      </c>
      <c r="E82" s="37">
        <f>IFERROR(E$45/E$33,"n/a")</f>
        <v/>
      </c>
      <c r="F82" s="37">
        <f>IFERROR(F$45/F$33,"n/a")</f>
        <v/>
      </c>
      <c r="G82" s="37">
        <f>IFERROR(G$45/G$33,"n/a")</f>
        <v/>
      </c>
      <c r="H82" s="37">
        <f>IFERROR(H$45/H$33,"n/a")</f>
        <v/>
      </c>
      <c r="I82" s="37">
        <f>IFERROR(I$45/I$33,"n/a")</f>
        <v/>
      </c>
    </row>
    <row r="83">
      <c r="A83" s="4" t="inlineStr">
        <is>
          <t>Khả năng thanh toán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</row>
    <row r="84">
      <c r="A84" s="5" t="inlineStr">
        <is>
          <t>(TS ngắn hạn − HTK)/Nợ ngắn hạn</t>
        </is>
      </c>
      <c r="B84" s="39">
        <f>IFERROR((B$31-B$30)/B$37,"n/a")</f>
        <v/>
      </c>
      <c r="C84" s="39">
        <f>IFERROR((C$31-C$30)/C$37,"n/a")</f>
        <v/>
      </c>
      <c r="D84" s="39">
        <f>IFERROR((D$31-D$30)/D$37,"n/a")</f>
        <v/>
      </c>
      <c r="E84" s="39">
        <f>IFERROR((E$31-E$30)/E$37,"n/a")</f>
        <v/>
      </c>
      <c r="F84" s="39">
        <f>IFERROR((F$31-F$30)/F$37,"n/a")</f>
        <v/>
      </c>
      <c r="G84" s="39">
        <f>IFERROR((G$31-G$30)/G$37,"n/a")</f>
        <v/>
      </c>
      <c r="H84" s="39">
        <f>IFERROR((H$31-H$30)/H$37,"n/a")</f>
        <v/>
      </c>
      <c r="I84" s="39">
        <f>IFERROR((I$31-I$30)/I$37,"n/a")</f>
        <v/>
      </c>
    </row>
    <row r="85">
      <c r="A85" s="5" t="inlineStr">
        <is>
          <t>TS ngắn hạn/Nợ ngắn hạn</t>
        </is>
      </c>
      <c r="B85" s="39">
        <f>IFERROR(B$31/B$37,"n/a")</f>
        <v/>
      </c>
      <c r="C85" s="39">
        <f>IFERROR(C$31/C$37,"n/a")</f>
        <v/>
      </c>
      <c r="D85" s="39">
        <f>IFERROR(D$31/D$37,"n/a")</f>
        <v/>
      </c>
      <c r="E85" s="39">
        <f>IFERROR(E$31/E$37,"n/a")</f>
        <v/>
      </c>
      <c r="F85" s="39">
        <f>IFERROR(F$31/F$37,"n/a")</f>
        <v/>
      </c>
      <c r="G85" s="39">
        <f>IFERROR(G$31/G$37,"n/a")</f>
        <v/>
      </c>
      <c r="H85" s="39">
        <f>IFERROR(H$31/H$37,"n/a")</f>
        <v/>
      </c>
      <c r="I85" s="39">
        <f>IFERROR(I$31/I$37,"n/a")</f>
        <v/>
      </c>
    </row>
    <row r="86">
      <c r="A86" s="4" t="inlineStr">
        <is>
          <t>Tài sản &amp; cơ cấu tài sản</t>
        </is>
      </c>
      <c r="B86" s="5" t="n"/>
      <c r="C86" s="5" t="n"/>
      <c r="D86" s="5" t="n"/>
      <c r="E86" s="5" t="n"/>
      <c r="F86" s="5" t="n"/>
      <c r="G86" s="5" t="n"/>
      <c r="H86" s="5" t="n"/>
      <c r="I86" s="5" t="n"/>
    </row>
    <row r="87">
      <c r="A87" s="5" t="inlineStr">
        <is>
          <t>TSCĐ vô hình</t>
        </is>
      </c>
      <c r="B87" s="38">
        <f>IFERROR(B$32,"n/a")</f>
        <v/>
      </c>
      <c r="C87" s="38">
        <f>IFERROR(C$32,"n/a")</f>
        <v/>
      </c>
      <c r="D87" s="38">
        <f>IFERROR(D$32,"n/a")</f>
        <v/>
      </c>
      <c r="E87" s="38">
        <f>IFERROR(E$32,"n/a")</f>
        <v/>
      </c>
      <c r="F87" s="38">
        <f>IFERROR(F$32,"n/a")</f>
        <v/>
      </c>
      <c r="G87" s="38">
        <f>IFERROR(G$32,"n/a")</f>
        <v/>
      </c>
      <c r="H87" s="38">
        <f>IFERROR(H$32,"n/a")</f>
        <v/>
      </c>
      <c r="I87" s="38">
        <f>IFERROR(I$32,"n/a")</f>
        <v/>
      </c>
    </row>
    <row r="88">
      <c r="A88" s="5" t="inlineStr">
        <is>
          <t>Tài sản vô hình/Giá trị sổ sách</t>
        </is>
      </c>
      <c r="B88" s="37">
        <f>IFERROR(B$32/B$41,"n/a")</f>
        <v/>
      </c>
      <c r="C88" s="37">
        <f>IFERROR(C$32/C$41,"n/a")</f>
        <v/>
      </c>
      <c r="D88" s="37">
        <f>IFERROR(D$32/D$41,"n/a")</f>
        <v/>
      </c>
      <c r="E88" s="37">
        <f>IFERROR(E$32/E$41,"n/a")</f>
        <v/>
      </c>
      <c r="F88" s="37">
        <f>IFERROR(F$32/F$41,"n/a")</f>
        <v/>
      </c>
      <c r="G88" s="37">
        <f>IFERROR(G$32/G$41,"n/a")</f>
        <v/>
      </c>
      <c r="H88" s="37">
        <f>IFERROR(H$32/H$41,"n/a")</f>
        <v/>
      </c>
      <c r="I88" s="37">
        <f>IFERROR(I$32/I$41,"n/a")</f>
        <v/>
      </c>
    </row>
  </sheetData>
  <conditionalFormatting sqref="B8:I8">
    <cfRule type="cellIs" priority="11" operator="greaterThanOrEqual" dxfId="1">
      <formula>0.3</formula>
    </cfRule>
    <cfRule type="cellIs" priority="12" operator="lessThanOrEqual" dxfId="2">
      <formula>0.1</formula>
    </cfRule>
    <cfRule type="cellIs" priority="13" operator="between" dxfId="0">
      <formula>0.1</formula>
      <formula>0.3</formula>
    </cfRule>
  </conditionalFormatting>
  <conditionalFormatting sqref="B9:I9">
    <cfRule type="cellIs" priority="10" operator="greaterThanOrEqual" dxfId="1">
      <formula>0.1</formula>
    </cfRule>
  </conditionalFormatting>
  <conditionalFormatting sqref="B10:I10 B13:I13">
    <cfRule type="cellIs" priority="9" operator="lessThanOrEqual" dxfId="1">
      <formula>0.5</formula>
    </cfRule>
  </conditionalFormatting>
  <conditionalFormatting sqref="B16:I16">
    <cfRule type="cellIs" priority="7" operator="lessThanOrEqual" dxfId="1">
      <formula>0.3</formula>
    </cfRule>
    <cfRule type="cellIs" priority="8" operator="greaterThanOrEqual" dxfId="2">
      <formula>0.7</formula>
    </cfRule>
  </conditionalFormatting>
  <conditionalFormatting sqref="B21:I21">
    <cfRule type="cellIs" priority="5" operator="notBetween" dxfId="2">
      <formula>0.02</formula>
      <formula>0.3</formula>
    </cfRule>
    <cfRule type="cellIs" priority="6" operator="between" dxfId="1">
      <formula>0.02</formula>
      <formula>0.3</formula>
    </cfRule>
  </conditionalFormatting>
  <conditionalFormatting sqref="C2:I2">
    <cfRule type="cellIs" priority="17" operator="greaterThanOrEqual" dxfId="1">
      <formula>0.15/4</formula>
    </cfRule>
    <cfRule type="cellIs" priority="18" operator="lessThan" dxfId="2">
      <formula>0.15/4</formula>
    </cfRule>
  </conditionalFormatting>
  <conditionalFormatting sqref="C4:I4">
    <cfRule type="cellIs" priority="3" operator="lessThan" dxfId="4">
      <formula>0.1/4</formula>
    </cfRule>
    <cfRule type="cellIs" priority="4" operator="greaterThan" dxfId="3">
      <formula>0.15/4</formula>
    </cfRule>
  </conditionalFormatting>
  <conditionalFormatting sqref="C6:I6">
    <cfRule type="cellIs" priority="1" operator="lessThan" dxfId="4">
      <formula>0.1/4</formula>
    </cfRule>
    <cfRule type="cellIs" priority="2" operator="greaterThan" dxfId="3">
      <formula>0.15/4</formula>
    </cfRule>
  </conditionalFormatting>
  <conditionalFormatting sqref="F5:I5 F7:I7">
    <cfRule type="cellIs" priority="14" operator="lessThan" dxfId="2">
      <formula>0.1</formula>
    </cfRule>
    <cfRule type="cellIs" priority="15" operator="greaterThanOrEqual" dxfId="1">
      <formula>0.15</formula>
    </cfRule>
    <cfRule type="cellIs" priority="16" operator="between" dxfId="0">
      <formula>0.1</formula>
      <formula>0.15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2026-08-21T13:08:28Z</dcterms:created>
  <dcterms:modified xsi:type="dcterms:W3CDTF">2026-10-28T04:39:06Z</dcterms:modified>
  <cp:lastModifiedBy>Anh Thai</cp:lastModifiedBy>
</cp:coreProperties>
</file>
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0" yWindow="4785" windowWidth="12000" windowHeight="8115" tabRatio="600" firstSheet="4" activeTab="5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,##0;\(#,##0\);&quot;-&quot;"/>
    <numFmt numFmtId="165" formatCode="0.0%"/>
    <numFmt numFmtId="166" formatCode="#,##0;\(#,##0\);\-"/>
    <numFmt numFmtId="167" formatCode="0.00\x"/>
    <numFmt numFmtId="168" formatCode="_(* #,##0.00_);_(* \(#,##0.00\);_(* &quot;-&quot;_);_(@_)"/>
    <numFmt numFmtId="169" formatCode="_(* #,##0.000_);_(* \(#,##0.000\);_(* &quot;-&quot;_);_(@_)"/>
    <numFmt numFmtId="170" formatCode="_(&quot;$&quot;* #,##0.00_);_(&quot;$&quot;* \(#,##0.00\);_(&quot;$&quot;* &quot;-&quot;??_);_(@_)"/>
    <numFmt numFmtId="171" formatCode="#,##0;(#,##0);&quot;-&quot;"/>
  </numFmts>
  <fonts count="21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0" fillId="0" borderId="0"/>
    <xf numFmtId="170" fontId="10" fillId="0" borderId="0"/>
    <xf numFmtId="9" fontId="1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6" fillId="0" borderId="2" pivotButton="0" quotePrefix="0" xfId="0"/>
    <xf numFmtId="0" fontId="9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5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3" fillId="3" borderId="2" pivotButton="0" quotePrefix="0" xfId="0"/>
    <xf numFmtId="0" fontId="7" fillId="3" borderId="2" pivotButton="0" quotePrefix="0" xfId="0"/>
    <xf numFmtId="166" fontId="8" fillId="0" borderId="2" pivotButton="0" quotePrefix="0" xfId="0"/>
    <xf numFmtId="0" fontId="11" fillId="0" borderId="2" pivotButton="0" quotePrefix="0" xfId="0"/>
    <xf numFmtId="0" fontId="11" fillId="0" borderId="0" pivotButton="0" quotePrefix="0" xfId="0"/>
    <xf numFmtId="3" fontId="11" fillId="0" borderId="2" pivotButton="0" quotePrefix="0" xfId="0"/>
    <xf numFmtId="41" fontId="11" fillId="0" borderId="2" pivotButton="0" quotePrefix="0" xfId="0"/>
    <xf numFmtId="3" fontId="11" fillId="0" borderId="2" pivotButton="0" quotePrefix="0" xfId="1"/>
    <xf numFmtId="41" fontId="11" fillId="0" borderId="0" pivotButton="0" quotePrefix="0" xfId="0"/>
    <xf numFmtId="0" fontId="12" fillId="0" borderId="0" pivotButton="0" quotePrefix="0" xfId="0"/>
    <xf numFmtId="0" fontId="12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169" fontId="11" fillId="0" borderId="0" pivotButton="0" quotePrefix="0" xfId="0"/>
    <xf numFmtId="0" fontId="14" fillId="0" borderId="2" pivotButton="0" quotePrefix="0" xfId="0"/>
    <xf numFmtId="0" fontId="14" fillId="0" borderId="3" pivotButton="0" quotePrefix="0" xfId="0"/>
    <xf numFmtId="166" fontId="15" fillId="0" borderId="2" pivotButton="0" quotePrefix="0" xfId="0"/>
    <xf numFmtId="0" fontId="13" fillId="0" borderId="0" pivotButton="0" quotePrefix="0" xfId="0"/>
    <xf numFmtId="166" fontId="8" fillId="0" borderId="0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2"/>
    <xf numFmtId="0" fontId="17" fillId="0" borderId="0" pivotButton="0" quotePrefix="0" xfId="0"/>
    <xf numFmtId="3" fontId="18" fillId="0" borderId="0" pivotButton="0" quotePrefix="0" xfId="0"/>
    <xf numFmtId="0" fontId="18" fillId="0" borderId="0" pivotButton="0" quotePrefix="0" xfId="0"/>
    <xf numFmtId="9" fontId="18" fillId="0" borderId="0" pivotButton="0" quotePrefix="0" xfId="0"/>
    <xf numFmtId="9" fontId="17" fillId="0" borderId="0" pivotButton="0" quotePrefix="0" xfId="0"/>
    <xf numFmtId="0" fontId="19" fillId="5" borderId="4" applyAlignment="1" pivotButton="0" quotePrefix="0" xfId="0">
      <alignment horizontal="left"/>
    </xf>
    <xf numFmtId="0" fontId="19" fillId="5" borderId="4" applyAlignment="1" pivotButton="0" quotePrefix="0" xfId="0">
      <alignment horizontal="center"/>
    </xf>
    <xf numFmtId="0" fontId="20" fillId="0" borderId="4" pivotButton="0" quotePrefix="0" xfId="0"/>
    <xf numFmtId="171" fontId="20" fillId="0" borderId="4" pivotButton="0" quotePrefix="0" xfId="0"/>
    <xf numFmtId="165" fontId="5" fillId="4" borderId="2" pivotButton="0" quotePrefix="0" xfId="0"/>
    <xf numFmtId="166" fontId="8" fillId="0" borderId="2" pivotButton="0" quotePrefix="0" xfId="0"/>
    <xf numFmtId="166" fontId="15" fillId="0" borderId="2" pivotButton="0" quotePrefix="0" xfId="0"/>
    <xf numFmtId="166" fontId="16" fillId="0" borderId="2" pivotButton="0" quotePrefix="0" xfId="0"/>
    <xf numFmtId="166" fontId="8" fillId="0" borderId="0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69" fontId="11" fillId="0" borderId="0" pivotButton="0" quotePrefix="0" xfId="0"/>
    <xf numFmtId="41" fontId="11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41" fontId="11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22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DELL\Desktop\I\VN\&#273;c%20g&#7889;c\PNJ\PNJ_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21850</v>
          </cell>
          <cell r="E2">
            <v>32650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Hiệu quả thực hiện KH"/>
      <sheetName val="Số CH"/>
      <sheetName val="Chart"/>
      <sheetName val="Phân tích"/>
      <sheetName val="Chỉ số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  <c r="J1" s="50" t="inlineStr">
        <is>
          <t>2024-Q3</t>
        </is>
      </c>
      <c r="K1" s="50" t="inlineStr">
        <is>
          <t>2024-Q4</t>
        </is>
      </c>
      <c r="L1" s="50" t="inlineStr">
        <is>
          <t>2025-Q1</t>
        </is>
      </c>
      <c r="M1" s="50" t="inlineStr">
        <is>
          <t>2025-Q2</t>
        </is>
      </c>
      <c r="N1" s="50" t="inlineStr">
        <is>
          <t>2025-Q3</t>
        </is>
      </c>
      <c r="O1" s="50" t="inlineStr">
        <is>
          <t>2025-Q4</t>
        </is>
      </c>
      <c r="P1" s="50" t="inlineStr">
        <is>
          <t>2026-Q1</t>
        </is>
      </c>
      <c r="Q1" s="50" t="inlineStr">
        <is>
          <t>2026-Q2</t>
        </is>
      </c>
    </row>
    <row r="2">
      <c r="A2" s="51" t="inlineStr">
        <is>
          <t>TÀI SẢN NGẮN HẠN</t>
        </is>
      </c>
      <c r="B2" s="52" t="n">
        <v>5405256600641</v>
      </c>
      <c r="C2" s="52" t="n">
        <v>7333364485251</v>
      </c>
      <c r="D2" s="52" t="n">
        <v>7143929036497</v>
      </c>
      <c r="E2" s="52" t="n">
        <v>9292192238421</v>
      </c>
      <c r="F2" s="52" t="n">
        <v>11966357761798</v>
      </c>
      <c r="G2" s="52" t="n">
        <v>12958118192260</v>
      </c>
      <c r="H2" s="52" t="n">
        <v>15692597267632</v>
      </c>
      <c r="I2" s="52" t="n">
        <v>18614031193890</v>
      </c>
      <c r="J2" s="52" t="n">
        <v>13535308084055</v>
      </c>
      <c r="K2" s="52" t="n">
        <v>15692597267632</v>
      </c>
      <c r="L2" s="52" t="n">
        <v>15949659613642</v>
      </c>
      <c r="M2" s="52" t="n">
        <v>15713933648138</v>
      </c>
      <c r="N2" s="52" t="n">
        <v>15664103070660</v>
      </c>
      <c r="O2" s="52" t="n">
        <v>18614031193890</v>
      </c>
      <c r="P2" s="52" t="n">
        <v>18163447994797</v>
      </c>
      <c r="Q2" s="52" t="n">
        <v>19478579795452</v>
      </c>
    </row>
    <row r="3">
      <c r="A3" s="51" t="inlineStr">
        <is>
          <t>Tiền và tương đương tiền</t>
        </is>
      </c>
      <c r="B3" s="52" t="n">
        <v>206721179629</v>
      </c>
      <c r="C3" s="52" t="n">
        <v>95224439008</v>
      </c>
      <c r="D3" s="52" t="n">
        <v>422234781061</v>
      </c>
      <c r="E3" s="52" t="n">
        <v>355454838957</v>
      </c>
      <c r="F3" s="52" t="n">
        <v>879548130711</v>
      </c>
      <c r="G3" s="52" t="n">
        <v>896147917336</v>
      </c>
      <c r="H3" s="52" t="n">
        <v>1122712392130</v>
      </c>
      <c r="I3" s="52" t="n">
        <v>522025257031</v>
      </c>
      <c r="J3" s="52" t="n">
        <v>1396669666014</v>
      </c>
      <c r="K3" s="52" t="n">
        <v>1122712392130</v>
      </c>
      <c r="L3" s="52" t="n">
        <v>256848695849</v>
      </c>
      <c r="M3" s="52" t="n">
        <v>346404312952</v>
      </c>
      <c r="N3" s="52" t="n">
        <v>584695579192</v>
      </c>
      <c r="O3" s="52" t="n">
        <v>522025257031</v>
      </c>
      <c r="P3" s="52" t="n">
        <v>923543256525</v>
      </c>
      <c r="Q3" s="52" t="n">
        <v>608657296667</v>
      </c>
    </row>
    <row r="4">
      <c r="A4" s="51" t="inlineStr">
        <is>
          <t>Tiền</t>
        </is>
      </c>
      <c r="B4" s="52" t="n">
        <v>206721179629</v>
      </c>
      <c r="C4" s="52" t="n">
        <v>95224439008</v>
      </c>
      <c r="D4" s="52" t="n">
        <v>422234781061</v>
      </c>
      <c r="E4" s="52" t="n">
        <v>355454838957</v>
      </c>
      <c r="F4" s="52" t="n">
        <v>879548130711</v>
      </c>
      <c r="G4" s="52" t="n">
        <v>896147917336</v>
      </c>
      <c r="H4" s="52" t="n">
        <v>1022712392130</v>
      </c>
      <c r="I4" s="52" t="n">
        <v>438425257031</v>
      </c>
      <c r="J4" s="52" t="n">
        <v>996669666014</v>
      </c>
      <c r="K4" s="52" t="n">
        <v>1022712392130</v>
      </c>
      <c r="L4" s="52" t="n">
        <v>256848695849</v>
      </c>
      <c r="M4" s="52" t="n">
        <v>339404312952</v>
      </c>
      <c r="N4" s="52" t="n">
        <v>542695579192</v>
      </c>
      <c r="O4" s="52" t="n">
        <v>438425257031</v>
      </c>
      <c r="P4" s="52" t="n">
        <v>494094441452</v>
      </c>
      <c r="Q4" s="52" t="n">
        <v>599130683660</v>
      </c>
    </row>
    <row r="5">
      <c r="A5" s="51" t="inlineStr">
        <is>
          <t>Các khoản tương đương tiền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100000000000</v>
      </c>
      <c r="I5" s="52" t="n">
        <v>83600000000</v>
      </c>
      <c r="J5" s="52" t="n">
        <v>400000000000</v>
      </c>
      <c r="K5" s="52" t="n">
        <v>100000000000</v>
      </c>
      <c r="L5" s="52" t="n">
        <v>0</v>
      </c>
      <c r="M5" s="52" t="n">
        <v>7000000000</v>
      </c>
      <c r="N5" s="52" t="n">
        <v>42000000000</v>
      </c>
      <c r="O5" s="52" t="n">
        <v>83600000000</v>
      </c>
      <c r="P5" s="52" t="n">
        <v>429448815073</v>
      </c>
      <c r="Q5" s="52" t="n">
        <v>9526613007</v>
      </c>
    </row>
    <row r="6">
      <c r="A6" s="51" t="inlineStr">
        <is>
          <t>Đầu tư ngắn hạn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97918137408</v>
      </c>
      <c r="J6" s="52" t="n">
        <v>0</v>
      </c>
      <c r="K6" s="52" t="n">
        <v>0</v>
      </c>
      <c r="L6" s="52" t="n">
        <v>0</v>
      </c>
      <c r="M6" s="52" t="n">
        <v>98921673893</v>
      </c>
      <c r="N6" s="52" t="n">
        <v>99289134416</v>
      </c>
      <c r="O6" s="52" t="n">
        <v>97918137408</v>
      </c>
      <c r="P6" s="52" t="n">
        <v>99074794328</v>
      </c>
      <c r="Q6" s="52" t="n">
        <v>99074794328</v>
      </c>
    </row>
    <row r="7">
      <c r="A7" s="51" t="inlineStr">
        <is>
          <t>Đầu tư ngắn hạn</t>
        </is>
      </c>
      <c r="B7" s="52" t="n"/>
      <c r="C7" s="52" t="n"/>
      <c r="D7" s="52" t="n"/>
      <c r="E7" s="52" t="n"/>
      <c r="F7" s="52" t="n">
        <v>0</v>
      </c>
      <c r="G7" s="52" t="n">
        <v>0</v>
      </c>
      <c r="H7" s="52" t="n">
        <v>0</v>
      </c>
      <c r="I7" s="52" t="n">
        <v>97918137408</v>
      </c>
      <c r="J7" s="52" t="n"/>
      <c r="K7" s="52" t="n"/>
      <c r="L7" s="52" t="n"/>
      <c r="M7" s="52" t="n"/>
      <c r="N7" s="52" t="n"/>
      <c r="O7" s="52" t="n"/>
      <c r="P7" s="52" t="n"/>
      <c r="Q7" s="52" t="n"/>
    </row>
    <row r="8">
      <c r="A8" s="51" t="inlineStr">
        <is>
          <t>Dự phòng giảm giá</t>
        </is>
      </c>
      <c r="B8" s="52" t="n">
        <v>0</v>
      </c>
      <c r="C8" s="52" t="n">
        <v>0</v>
      </c>
      <c r="D8" s="52" t="n">
        <v>0</v>
      </c>
      <c r="E8" s="52" t="n">
        <v>0</v>
      </c>
      <c r="F8" s="52" t="n">
        <v>0</v>
      </c>
      <c r="G8" s="52" t="n">
        <v>0</v>
      </c>
      <c r="H8" s="52" t="n">
        <v>0</v>
      </c>
      <c r="I8" s="52" t="n">
        <v>0</v>
      </c>
      <c r="J8" s="52" t="n">
        <v>0</v>
      </c>
      <c r="K8" s="52" t="n">
        <v>0</v>
      </c>
      <c r="L8" s="52" t="n">
        <v>0</v>
      </c>
      <c r="M8" s="52" t="n">
        <v>0</v>
      </c>
      <c r="N8" s="52" t="n">
        <v>0</v>
      </c>
      <c r="O8" s="52" t="n">
        <v>0</v>
      </c>
      <c r="P8" s="52" t="n">
        <v>0</v>
      </c>
      <c r="Q8" s="52" t="n">
        <v>0</v>
      </c>
    </row>
    <row r="9">
      <c r="A9" s="51" t="inlineStr">
        <is>
          <t>Các khoản phải thu</t>
        </is>
      </c>
      <c r="B9" s="52" t="n">
        <v>155196257825</v>
      </c>
      <c r="C9" s="52" t="n">
        <v>129688313476</v>
      </c>
      <c r="D9" s="52" t="n">
        <v>98997286429</v>
      </c>
      <c r="E9" s="52" t="n">
        <v>111969758488</v>
      </c>
      <c r="F9" s="52" t="n">
        <v>300880402245</v>
      </c>
      <c r="G9" s="52" t="n">
        <v>215035937840</v>
      </c>
      <c r="H9" s="52" t="n">
        <v>401134922152</v>
      </c>
      <c r="I9" s="52" t="n">
        <v>153980309545</v>
      </c>
      <c r="J9" s="52" t="n">
        <v>278283783093</v>
      </c>
      <c r="K9" s="52" t="n">
        <v>401134922152</v>
      </c>
      <c r="L9" s="52" t="n">
        <v>304632445702</v>
      </c>
      <c r="M9" s="52" t="n">
        <v>166359422956</v>
      </c>
      <c r="N9" s="52" t="n">
        <v>259873714991</v>
      </c>
      <c r="O9" s="52" t="n">
        <v>153980309545</v>
      </c>
      <c r="P9" s="52" t="n">
        <v>147751795669</v>
      </c>
      <c r="Q9" s="52" t="n">
        <v>203761182255</v>
      </c>
    </row>
    <row r="10">
      <c r="A10" s="51" t="inlineStr">
        <is>
          <t>Phải thu khách hàng</t>
        </is>
      </c>
      <c r="B10" s="52" t="n">
        <v>57664060443</v>
      </c>
      <c r="C10" s="52" t="n">
        <v>48292876716</v>
      </c>
      <c r="D10" s="52" t="n">
        <v>67591685619</v>
      </c>
      <c r="E10" s="52" t="n">
        <v>59930655833</v>
      </c>
      <c r="F10" s="52" t="n">
        <v>56532707659</v>
      </c>
      <c r="G10" s="52" t="n">
        <v>69277567110</v>
      </c>
      <c r="H10" s="52" t="n">
        <v>70851635761</v>
      </c>
      <c r="I10" s="52" t="n">
        <v>48760415990</v>
      </c>
      <c r="J10" s="52" t="n">
        <v>124556827222</v>
      </c>
      <c r="K10" s="52" t="n">
        <v>70851635761</v>
      </c>
      <c r="L10" s="52" t="n">
        <v>104257111442</v>
      </c>
      <c r="M10" s="52" t="n">
        <v>55983103364</v>
      </c>
      <c r="N10" s="52" t="n">
        <v>106384593691</v>
      </c>
      <c r="O10" s="52" t="n">
        <v>48760415990</v>
      </c>
      <c r="P10" s="52" t="n">
        <v>70317151861</v>
      </c>
      <c r="Q10" s="52" t="n">
        <v>46832069007</v>
      </c>
    </row>
    <row r="11">
      <c r="A11" s="51" t="inlineStr">
        <is>
          <t>Trả trước người bán</t>
        </is>
      </c>
      <c r="B11" s="52" t="n">
        <v>57981679202</v>
      </c>
      <c r="C11" s="52" t="n">
        <v>74867455343</v>
      </c>
      <c r="D11" s="52" t="n">
        <v>20218946599</v>
      </c>
      <c r="E11" s="52" t="n">
        <v>30659175548</v>
      </c>
      <c r="F11" s="52" t="n">
        <v>68902837213</v>
      </c>
      <c r="G11" s="52" t="n">
        <v>27775617785</v>
      </c>
      <c r="H11" s="52" t="n">
        <v>253102611434</v>
      </c>
      <c r="I11" s="52" t="n">
        <v>38085152243</v>
      </c>
      <c r="J11" s="52" t="n">
        <v>93239686351</v>
      </c>
      <c r="K11" s="52" t="n">
        <v>253102611434</v>
      </c>
      <c r="L11" s="52" t="n">
        <v>117957363803</v>
      </c>
      <c r="M11" s="52" t="n">
        <v>52739479784</v>
      </c>
      <c r="N11" s="52" t="n">
        <v>58899696598</v>
      </c>
      <c r="O11" s="52" t="n">
        <v>38085152243</v>
      </c>
      <c r="P11" s="52" t="n">
        <v>31524838891</v>
      </c>
      <c r="Q11" s="52" t="n">
        <v>113056995549</v>
      </c>
    </row>
    <row r="12">
      <c r="A12" s="51" t="inlineStr">
        <is>
          <t>Phải thu nội bộ</t>
        </is>
      </c>
      <c r="B12" s="52" t="n">
        <v>0</v>
      </c>
      <c r="C12" s="52" t="n">
        <v>0</v>
      </c>
      <c r="D12" s="52" t="n">
        <v>0</v>
      </c>
      <c r="E12" s="52" t="n">
        <v>0</v>
      </c>
      <c r="F12" s="52" t="n">
        <v>0</v>
      </c>
      <c r="G12" s="52" t="n">
        <v>0</v>
      </c>
      <c r="H12" s="52" t="n">
        <v>0</v>
      </c>
      <c r="I12" s="52" t="n">
        <v>0</v>
      </c>
      <c r="J12" s="52" t="n">
        <v>0</v>
      </c>
      <c r="K12" s="52" t="n">
        <v>0</v>
      </c>
      <c r="L12" s="52" t="n">
        <v>0</v>
      </c>
      <c r="M12" s="52" t="n">
        <v>0</v>
      </c>
      <c r="N12" s="52" t="n">
        <v>0</v>
      </c>
      <c r="O12" s="52" t="n">
        <v>0</v>
      </c>
      <c r="P12" s="52" t="n">
        <v>0</v>
      </c>
      <c r="Q12" s="52" t="n">
        <v>0</v>
      </c>
    </row>
    <row r="13">
      <c r="A13" s="51" t="inlineStr">
        <is>
          <t>Phải thu hợp đồng xây dựng đang thực hiện</t>
        </is>
      </c>
      <c r="B13" s="52" t="n">
        <v>0</v>
      </c>
      <c r="C13" s="52" t="n">
        <v>0</v>
      </c>
      <c r="D13" s="52" t="n">
        <v>0</v>
      </c>
      <c r="E13" s="52" t="n">
        <v>0</v>
      </c>
      <c r="F13" s="52" t="n">
        <v>0</v>
      </c>
      <c r="G13" s="52" t="n">
        <v>0</v>
      </c>
      <c r="H13" s="52" t="n">
        <v>0</v>
      </c>
      <c r="I13" s="52" t="n">
        <v>0</v>
      </c>
      <c r="J13" s="52" t="n">
        <v>0</v>
      </c>
      <c r="K13" s="52" t="n">
        <v>0</v>
      </c>
      <c r="L13" s="52" t="n">
        <v>0</v>
      </c>
      <c r="M13" s="52" t="n">
        <v>0</v>
      </c>
      <c r="N13" s="52" t="n">
        <v>0</v>
      </c>
      <c r="O13" s="52" t="n">
        <v>0</v>
      </c>
      <c r="P13" s="52" t="n">
        <v>0</v>
      </c>
      <c r="Q13" s="52" t="n">
        <v>0</v>
      </c>
    </row>
    <row r="14">
      <c r="A14" s="51" t="inlineStr">
        <is>
          <t>Phải thu khác</t>
        </is>
      </c>
      <c r="B14" s="52" t="n">
        <v>39159008338</v>
      </c>
      <c r="C14" s="52" t="n">
        <v>5287941028</v>
      </c>
      <c r="D14" s="52" t="n">
        <v>12261206010</v>
      </c>
      <c r="E14" s="52" t="n">
        <v>22831538994</v>
      </c>
      <c r="F14" s="52" t="n">
        <v>37641170145</v>
      </c>
      <c r="G14" s="52" t="n">
        <v>32980198226</v>
      </c>
      <c r="H14" s="52" t="n">
        <v>64867442121</v>
      </c>
      <c r="I14" s="52" t="n">
        <v>90681158676</v>
      </c>
      <c r="J14" s="52" t="n">
        <v>28470072863</v>
      </c>
      <c r="K14" s="52" t="n">
        <v>64867442121</v>
      </c>
      <c r="L14" s="52" t="n">
        <v>70657918746</v>
      </c>
      <c r="M14" s="52" t="n">
        <v>86021100245</v>
      </c>
      <c r="N14" s="52" t="n">
        <v>82869872822</v>
      </c>
      <c r="O14" s="52" t="n">
        <v>90681158676</v>
      </c>
      <c r="P14" s="52" t="n">
        <v>77663271162</v>
      </c>
      <c r="Q14" s="52" t="n">
        <v>75756807090</v>
      </c>
    </row>
    <row r="15">
      <c r="A15" s="51" t="inlineStr">
        <is>
          <t>Dự phòng nợ khó đòi</t>
        </is>
      </c>
      <c r="B15" s="52" t="n">
        <v>0</v>
      </c>
      <c r="C15" s="52" t="n">
        <v>0</v>
      </c>
      <c r="D15" s="52" t="n">
        <v>-1202878846</v>
      </c>
      <c r="E15" s="52" t="n">
        <v>-2004798077</v>
      </c>
      <c r="F15" s="52" t="n">
        <v>-2862909308</v>
      </c>
      <c r="G15" s="52" t="n">
        <v>-5049680837</v>
      </c>
      <c r="H15" s="52" t="n">
        <v>-28518444279</v>
      </c>
      <c r="I15" s="52" t="n">
        <v>-31918617346</v>
      </c>
      <c r="J15" s="52" t="n">
        <v>-8345709869</v>
      </c>
      <c r="K15" s="52" t="n">
        <v>-28518444279</v>
      </c>
      <c r="L15" s="52" t="n">
        <v>-28518444279</v>
      </c>
      <c r="M15" s="52" t="n">
        <v>-28518444279</v>
      </c>
      <c r="N15" s="52" t="n">
        <v>-28531587387</v>
      </c>
      <c r="O15" s="52" t="n">
        <v>-31918617346</v>
      </c>
      <c r="P15" s="52" t="n">
        <v>-31918617346</v>
      </c>
      <c r="Q15" s="52" t="n">
        <v>-31918617346</v>
      </c>
    </row>
    <row r="16">
      <c r="A16" s="51" t="inlineStr">
        <is>
          <t>Hàng tồn kho, ròng</t>
        </is>
      </c>
      <c r="B16" s="52" t="n">
        <v>4968145942990</v>
      </c>
      <c r="C16" s="52" t="n">
        <v>7030420371216</v>
      </c>
      <c r="D16" s="52" t="n">
        <v>6545905987056</v>
      </c>
      <c r="E16" s="52" t="n">
        <v>8754741712359</v>
      </c>
      <c r="F16" s="52" t="n">
        <v>10506054932284</v>
      </c>
      <c r="G16" s="52" t="n">
        <v>10940937959289</v>
      </c>
      <c r="H16" s="52" t="n">
        <v>13015170477311</v>
      </c>
      <c r="I16" s="52" t="n">
        <v>15835334529837</v>
      </c>
      <c r="J16" s="52" t="n">
        <v>10801601688892</v>
      </c>
      <c r="K16" s="52" t="n">
        <v>13015170477311</v>
      </c>
      <c r="L16" s="52" t="n">
        <v>13647265729372</v>
      </c>
      <c r="M16" s="52" t="n">
        <v>13708719465746</v>
      </c>
      <c r="N16" s="52" t="n">
        <v>12448786823997</v>
      </c>
      <c r="O16" s="52" t="n">
        <v>15835334529837</v>
      </c>
      <c r="P16" s="52" t="n">
        <v>13419012225443</v>
      </c>
      <c r="Q16" s="52" t="n">
        <v>15186576809971</v>
      </c>
    </row>
    <row r="17">
      <c r="A17" s="51" t="inlineStr">
        <is>
          <t>Hàng tồn kho</t>
        </is>
      </c>
      <c r="B17" s="52" t="n">
        <v>4968145942990</v>
      </c>
      <c r="C17" s="52" t="n">
        <v>7030420371216</v>
      </c>
      <c r="D17" s="52" t="n">
        <v>6545905987056</v>
      </c>
      <c r="E17" s="52" t="n">
        <v>8754741712359</v>
      </c>
      <c r="F17" s="52" t="n">
        <v>10508065026916</v>
      </c>
      <c r="G17" s="52" t="n">
        <v>10944749006797</v>
      </c>
      <c r="H17" s="52" t="n">
        <v>13074586927914</v>
      </c>
      <c r="I17" s="52" t="n">
        <v>15881309718303</v>
      </c>
      <c r="J17" s="52" t="n">
        <v>10849406684029</v>
      </c>
      <c r="K17" s="52" t="n">
        <v>13074586927914</v>
      </c>
      <c r="L17" s="52" t="n">
        <v>13705778487258</v>
      </c>
      <c r="M17" s="52" t="n">
        <v>13753709950595</v>
      </c>
      <c r="N17" s="52" t="n">
        <v>12494991997766</v>
      </c>
      <c r="O17" s="52" t="n">
        <v>15881309718303</v>
      </c>
      <c r="P17" s="52" t="n">
        <v>13461111273984</v>
      </c>
      <c r="Q17" s="52" t="n">
        <v>16603412089455</v>
      </c>
    </row>
    <row r="18">
      <c r="A18" s="51" t="inlineStr">
        <is>
          <t>Dự phòng giảm giá hàng tồn kho</t>
        </is>
      </c>
      <c r="B18" s="52" t="n">
        <v>0</v>
      </c>
      <c r="C18" s="52" t="n">
        <v>0</v>
      </c>
      <c r="D18" s="52" t="n">
        <v>0</v>
      </c>
      <c r="E18" s="52" t="n">
        <v>0</v>
      </c>
      <c r="F18" s="52" t="n">
        <v>-2010094632</v>
      </c>
      <c r="G18" s="52" t="n">
        <v>-3811047508</v>
      </c>
      <c r="H18" s="52" t="n">
        <v>-59416450603</v>
      </c>
      <c r="I18" s="52" t="n">
        <v>-45975188466</v>
      </c>
      <c r="J18" s="52" t="n">
        <v>-47804995137</v>
      </c>
      <c r="K18" s="52" t="n">
        <v>-59416450603</v>
      </c>
      <c r="L18" s="52" t="n">
        <v>-58512757886</v>
      </c>
      <c r="M18" s="52" t="n">
        <v>-44990484849</v>
      </c>
      <c r="N18" s="52" t="n">
        <v>-46205173769</v>
      </c>
      <c r="O18" s="52" t="n">
        <v>-45975188466</v>
      </c>
      <c r="P18" s="52" t="n">
        <v>-42099048541</v>
      </c>
      <c r="Q18" s="52" t="n">
        <v>-1416835279484</v>
      </c>
    </row>
    <row r="19">
      <c r="A19" s="51" t="inlineStr">
        <is>
          <t>Tài sản lưu động khác</t>
        </is>
      </c>
      <c r="B19" s="52" t="n">
        <v>0</v>
      </c>
      <c r="C19" s="52" t="n">
        <v>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2" t="n">
        <v>0</v>
      </c>
      <c r="J19" s="52" t="n">
        <v>0</v>
      </c>
      <c r="K19" s="52" t="n">
        <v>0</v>
      </c>
      <c r="L19" s="52" t="n">
        <v>0</v>
      </c>
      <c r="M19" s="52" t="n">
        <v>0</v>
      </c>
      <c r="N19" s="52" t="n">
        <v>0</v>
      </c>
      <c r="O19" s="52" t="n">
        <v>0</v>
      </c>
      <c r="P19" s="52" t="n">
        <v>170838603</v>
      </c>
      <c r="Q19" s="52" t="n">
        <v>171335736</v>
      </c>
    </row>
    <row r="20">
      <c r="A20" s="51" t="inlineStr">
        <is>
          <t>Chi phí trả trước ngắn hạn</t>
        </is>
      </c>
      <c r="B20" s="52" t="n">
        <v>66191416708</v>
      </c>
      <c r="C20" s="52" t="n">
        <v>71633378895</v>
      </c>
      <c r="D20" s="52" t="n">
        <v>66112866470</v>
      </c>
      <c r="E20" s="52" t="n">
        <v>56716921380</v>
      </c>
      <c r="F20" s="52" t="n">
        <v>74007356286</v>
      </c>
      <c r="G20" s="52" t="n">
        <v>94051248427</v>
      </c>
      <c r="H20" s="52" t="n">
        <v>132726608716</v>
      </c>
      <c r="I20" s="52" t="n">
        <v>94862372660</v>
      </c>
      <c r="J20" s="52" t="n">
        <v>107433834921</v>
      </c>
      <c r="K20" s="52" t="n">
        <v>132726608716</v>
      </c>
      <c r="L20" s="52" t="n">
        <v>119723868238</v>
      </c>
      <c r="M20" s="52" t="n">
        <v>122958860744</v>
      </c>
      <c r="N20" s="52" t="n">
        <v>121247159338</v>
      </c>
      <c r="O20" s="52" t="n">
        <v>94862372660</v>
      </c>
      <c r="P20" s="52" t="n">
        <v>86102687044</v>
      </c>
      <c r="Q20" s="52" t="n">
        <v>85435422839</v>
      </c>
    </row>
    <row r="21">
      <c r="A21" s="51" t="inlineStr">
        <is>
          <t>Thuế GTGT được khấu trừ</t>
        </is>
      </c>
      <c r="B21" s="52" t="n">
        <v>625511019</v>
      </c>
      <c r="C21" s="52" t="n">
        <v>6306692920</v>
      </c>
      <c r="D21" s="52" t="n">
        <v>10670276957</v>
      </c>
      <c r="E21" s="52" t="n">
        <v>8705831517</v>
      </c>
      <c r="F21" s="52" t="n">
        <v>5866940272</v>
      </c>
      <c r="G21" s="52" t="n">
        <v>1845129368</v>
      </c>
      <c r="H21" s="52" t="n">
        <v>682867323</v>
      </c>
      <c r="I21" s="52" t="n">
        <v>234579085</v>
      </c>
      <c r="J21" s="52" t="n">
        <v>1149111135</v>
      </c>
      <c r="K21" s="52" t="n">
        <v>682867323</v>
      </c>
      <c r="L21" s="52" t="n">
        <v>463222626</v>
      </c>
      <c r="M21" s="52" t="n">
        <v>399911847</v>
      </c>
      <c r="N21" s="52" t="n">
        <v>318803713</v>
      </c>
      <c r="O21" s="52" t="n">
        <v>234579085</v>
      </c>
      <c r="P21" s="52" t="n">
        <v>447316184</v>
      </c>
      <c r="Q21" s="52" t="n">
        <v>638288200</v>
      </c>
    </row>
    <row r="22">
      <c r="A22" s="51" t="inlineStr">
        <is>
          <t>Phải thu thuế khác</t>
        </is>
      </c>
      <c r="B22" s="52" t="n">
        <v>8376292470</v>
      </c>
      <c r="C22" s="52" t="n">
        <v>91289736</v>
      </c>
      <c r="D22" s="52" t="n">
        <v>7838524</v>
      </c>
      <c r="E22" s="52" t="n">
        <v>4603175720</v>
      </c>
      <c r="F22" s="52" t="n">
        <v>0</v>
      </c>
      <c r="G22" s="52" t="n">
        <v>0</v>
      </c>
      <c r="H22" s="52" t="n">
        <v>0</v>
      </c>
      <c r="I22" s="52" t="n">
        <v>106008324</v>
      </c>
      <c r="J22" s="52" t="n">
        <v>0</v>
      </c>
      <c r="K22" s="52" t="n">
        <v>0</v>
      </c>
      <c r="L22" s="52" t="n">
        <v>0</v>
      </c>
      <c r="M22" s="52" t="n">
        <v>0</v>
      </c>
      <c r="N22" s="52" t="n">
        <v>2721855013</v>
      </c>
      <c r="O22" s="52" t="n">
        <v>106008324</v>
      </c>
      <c r="P22" s="52" t="n">
        <v>11499299</v>
      </c>
      <c r="Q22" s="52" t="n">
        <v>11499299</v>
      </c>
    </row>
    <row r="23">
      <c r="A23" s="51" t="inlineStr">
        <is>
          <t>Tài sản lưu động khác</t>
        </is>
      </c>
      <c r="B23" s="52" t="n"/>
      <c r="C23" s="52" t="n"/>
      <c r="D23" s="52" t="n"/>
      <c r="E23" s="52" t="n"/>
      <c r="F23" s="52" t="n">
        <v>0</v>
      </c>
      <c r="G23" s="52" t="n">
        <v>0</v>
      </c>
      <c r="H23" s="52" t="n">
        <v>0</v>
      </c>
      <c r="I23" s="52" t="n">
        <v>0</v>
      </c>
      <c r="J23" s="52" t="n"/>
      <c r="K23" s="52" t="n"/>
      <c r="L23" s="52" t="n"/>
      <c r="M23" s="52" t="n"/>
      <c r="N23" s="52" t="n"/>
      <c r="O23" s="52" t="n"/>
      <c r="P23" s="52" t="n"/>
      <c r="Q23" s="52" t="n"/>
    </row>
    <row r="24">
      <c r="A24" s="51" t="inlineStr">
        <is>
          <t>TÀI SẢN DÀI HẠN</t>
        </is>
      </c>
      <c r="B24" s="52" t="n">
        <v>1032638955963</v>
      </c>
      <c r="C24" s="52" t="n">
        <v>1269599936565</v>
      </c>
      <c r="D24" s="52" t="n">
        <v>1339217061954</v>
      </c>
      <c r="E24" s="52" t="n">
        <v>1326824308701</v>
      </c>
      <c r="F24" s="52" t="n">
        <v>1370766887448</v>
      </c>
      <c r="G24" s="52" t="n">
        <v>1469439823096</v>
      </c>
      <c r="H24" s="52" t="n">
        <v>1515133510053</v>
      </c>
      <c r="I24" s="52" t="n">
        <v>1549599053151</v>
      </c>
      <c r="J24" s="52" t="n">
        <v>1427177199972</v>
      </c>
      <c r="K24" s="52" t="n">
        <v>1515133510053</v>
      </c>
      <c r="L24" s="52" t="n">
        <v>1469657699207</v>
      </c>
      <c r="M24" s="52" t="n">
        <v>1439843389653</v>
      </c>
      <c r="N24" s="52" t="n">
        <v>1386604619560</v>
      </c>
      <c r="O24" s="52" t="n">
        <v>1549599053151</v>
      </c>
      <c r="P24" s="52" t="n">
        <v>1529337560992</v>
      </c>
      <c r="Q24" s="52" t="n">
        <v>2117254018864</v>
      </c>
    </row>
    <row r="25">
      <c r="A25" s="51" t="inlineStr">
        <is>
          <t>Phải thu dài hạn</t>
        </is>
      </c>
      <c r="B25" s="52" t="n">
        <v>57498444869</v>
      </c>
      <c r="C25" s="52" t="n">
        <v>70721623109</v>
      </c>
      <c r="D25" s="52" t="n">
        <v>77310617360</v>
      </c>
      <c r="E25" s="52" t="n">
        <v>84131506164</v>
      </c>
      <c r="F25" s="52" t="n">
        <v>93956493011</v>
      </c>
      <c r="G25" s="52" t="n">
        <v>104636239106</v>
      </c>
      <c r="H25" s="52" t="n">
        <v>115599492454</v>
      </c>
      <c r="I25" s="52" t="n">
        <v>121168536356</v>
      </c>
      <c r="J25" s="52" t="n">
        <v>113559945788</v>
      </c>
      <c r="K25" s="52" t="n">
        <v>115599492454</v>
      </c>
      <c r="L25" s="52" t="n">
        <v>118129206365</v>
      </c>
      <c r="M25" s="52" t="n">
        <v>117815539075</v>
      </c>
      <c r="N25" s="52" t="n">
        <v>118147518870</v>
      </c>
      <c r="O25" s="52" t="n">
        <v>121168536356</v>
      </c>
      <c r="P25" s="52" t="n">
        <v>120511022383</v>
      </c>
      <c r="Q25" s="52" t="n">
        <v>124008434823</v>
      </c>
    </row>
    <row r="26">
      <c r="A26" s="51" t="inlineStr">
        <is>
          <t>Phải thu khách hàng dài hạn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  <c r="J26" s="52" t="n">
        <v>0</v>
      </c>
      <c r="K26" s="52" t="n">
        <v>0</v>
      </c>
      <c r="L26" s="52" t="n">
        <v>0</v>
      </c>
      <c r="M26" s="52" t="n">
        <v>0</v>
      </c>
      <c r="N26" s="52" t="n">
        <v>0</v>
      </c>
      <c r="O26" s="52" t="n">
        <v>0</v>
      </c>
      <c r="P26" s="52" t="n">
        <v>0</v>
      </c>
      <c r="Q26" s="52" t="n">
        <v>0</v>
      </c>
    </row>
    <row r="27">
      <c r="A27" s="51" t="inlineStr">
        <is>
          <t>Phải thu nội bộ dài hạn</t>
        </is>
      </c>
      <c r="B27" s="52" t="n">
        <v>0</v>
      </c>
      <c r="C27" s="52" t="n">
        <v>0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2" t="n">
        <v>0</v>
      </c>
      <c r="J27" s="52" t="n">
        <v>0</v>
      </c>
      <c r="K27" s="52" t="n">
        <v>0</v>
      </c>
      <c r="L27" s="52" t="n">
        <v>0</v>
      </c>
      <c r="M27" s="52" t="n">
        <v>0</v>
      </c>
      <c r="N27" s="52" t="n">
        <v>0</v>
      </c>
      <c r="O27" s="52" t="n">
        <v>0</v>
      </c>
      <c r="P27" s="52" t="n">
        <v>0</v>
      </c>
      <c r="Q27" s="52" t="n">
        <v>0</v>
      </c>
    </row>
    <row r="28">
      <c r="A28" s="51" t="inlineStr">
        <is>
          <t>Phải thu dài hạn khác</t>
        </is>
      </c>
      <c r="B28" s="52" t="n">
        <v>57498444869</v>
      </c>
      <c r="C28" s="52" t="n">
        <v>70721623109</v>
      </c>
      <c r="D28" s="52" t="n">
        <v>77310617360</v>
      </c>
      <c r="E28" s="52" t="n">
        <v>84131506164</v>
      </c>
      <c r="F28" s="52" t="n">
        <v>93956493011</v>
      </c>
      <c r="G28" s="52" t="n">
        <v>104636239106</v>
      </c>
      <c r="H28" s="52" t="n">
        <v>115599492454</v>
      </c>
      <c r="I28" s="52" t="n">
        <v>121168536356</v>
      </c>
      <c r="J28" s="52" t="n">
        <v>113559945788</v>
      </c>
      <c r="K28" s="52" t="n">
        <v>115599492454</v>
      </c>
      <c r="L28" s="52" t="n">
        <v>118129206365</v>
      </c>
      <c r="M28" s="52" t="n">
        <v>117815539075</v>
      </c>
      <c r="N28" s="52" t="n">
        <v>118147518870</v>
      </c>
      <c r="O28" s="52" t="n">
        <v>121168536356</v>
      </c>
      <c r="P28" s="52" t="n">
        <v>120511022383</v>
      </c>
      <c r="Q28" s="52" t="n">
        <v>124008434823</v>
      </c>
    </row>
    <row r="29">
      <c r="A29" s="51" t="inlineStr">
        <is>
          <t>Dự phòng phải thu dài hạn</t>
        </is>
      </c>
      <c r="B29" s="52" t="n">
        <v>0</v>
      </c>
      <c r="C29" s="52" t="n">
        <v>0</v>
      </c>
      <c r="D29" s="52" t="n">
        <v>0</v>
      </c>
      <c r="E29" s="52" t="n">
        <v>0</v>
      </c>
      <c r="F29" s="52" t="n">
        <v>0</v>
      </c>
      <c r="G29" s="52" t="n">
        <v>0</v>
      </c>
      <c r="H29" s="52" t="n">
        <v>0</v>
      </c>
      <c r="I29" s="52" t="n">
        <v>0</v>
      </c>
      <c r="J29" s="52" t="n">
        <v>0</v>
      </c>
      <c r="K29" s="52" t="n">
        <v>0</v>
      </c>
      <c r="L29" s="52" t="n">
        <v>0</v>
      </c>
      <c r="M29" s="52" t="n">
        <v>0</v>
      </c>
      <c r="N29" s="52" t="n">
        <v>0</v>
      </c>
      <c r="O29" s="52" t="n">
        <v>0</v>
      </c>
      <c r="P29" s="52" t="n">
        <v>0</v>
      </c>
      <c r="Q29" s="52" t="n">
        <v>0</v>
      </c>
    </row>
    <row r="30">
      <c r="A30" s="51" t="inlineStr">
        <is>
          <t>Tài sản cố định</t>
        </is>
      </c>
      <c r="B30" s="52" t="n">
        <v>719287274744</v>
      </c>
      <c r="C30" s="52" t="n">
        <v>923870354474</v>
      </c>
      <c r="D30" s="52" t="n">
        <v>931617117533</v>
      </c>
      <c r="E30" s="52" t="n">
        <v>909985491983</v>
      </c>
      <c r="F30" s="52" t="n">
        <v>882432821075</v>
      </c>
      <c r="G30" s="52" t="n">
        <v>882715109732</v>
      </c>
      <c r="H30" s="52" t="n">
        <v>857118818527</v>
      </c>
      <c r="I30" s="52" t="n">
        <v>855770473476</v>
      </c>
      <c r="J30" s="52" t="n">
        <v>862234627072</v>
      </c>
      <c r="K30" s="52" t="n">
        <v>857118818527</v>
      </c>
      <c r="L30" s="52" t="n">
        <v>871957813290</v>
      </c>
      <c r="M30" s="52" t="n">
        <v>853355575866</v>
      </c>
      <c r="N30" s="52" t="n">
        <v>864837183955</v>
      </c>
      <c r="O30" s="52" t="n">
        <v>855770473476</v>
      </c>
      <c r="P30" s="52" t="n">
        <v>914701489275</v>
      </c>
      <c r="Q30" s="52" t="n">
        <v>919855138482</v>
      </c>
    </row>
    <row r="31">
      <c r="A31" s="51" t="inlineStr">
        <is>
          <t>GTCL TSCĐ hữu hình</t>
        </is>
      </c>
      <c r="B31" s="52" t="n">
        <v>225960569846</v>
      </c>
      <c r="C31" s="52" t="n">
        <v>263827234353</v>
      </c>
      <c r="D31" s="52" t="n">
        <v>281244232172</v>
      </c>
      <c r="E31" s="52" t="n">
        <v>259137188160</v>
      </c>
      <c r="F31" s="52" t="n">
        <v>239734551747</v>
      </c>
      <c r="G31" s="52" t="n">
        <v>256373758673</v>
      </c>
      <c r="H31" s="52" t="n">
        <v>248430247930</v>
      </c>
      <c r="I31" s="52" t="n">
        <v>236245161003</v>
      </c>
      <c r="J31" s="52" t="n">
        <v>249140405046</v>
      </c>
      <c r="K31" s="52" t="n">
        <v>248430247930</v>
      </c>
      <c r="L31" s="52" t="n">
        <v>267030503900</v>
      </c>
      <c r="M31" s="52" t="n">
        <v>252699361405</v>
      </c>
      <c r="N31" s="52" t="n">
        <v>242298081088</v>
      </c>
      <c r="O31" s="52" t="n">
        <v>236245161003</v>
      </c>
      <c r="P31" s="52" t="n">
        <v>246222148323</v>
      </c>
      <c r="Q31" s="52" t="n">
        <v>252907423029</v>
      </c>
    </row>
    <row r="32">
      <c r="A32" s="51" t="inlineStr">
        <is>
          <t>Nguyên giá TSCĐ hữu hình</t>
        </is>
      </c>
      <c r="B32" s="52" t="n">
        <v>454178423940</v>
      </c>
      <c r="C32" s="52" t="n">
        <v>534818699342</v>
      </c>
      <c r="D32" s="52" t="n">
        <v>600464186725</v>
      </c>
      <c r="E32" s="52" t="n">
        <v>633614629426</v>
      </c>
      <c r="F32" s="52" t="n">
        <v>672781337441</v>
      </c>
      <c r="G32" s="52" t="n">
        <v>747570855214</v>
      </c>
      <c r="H32" s="52" t="n">
        <v>796271142120</v>
      </c>
      <c r="I32" s="52" t="n">
        <v>845032678156</v>
      </c>
      <c r="J32" s="52" t="n">
        <v>783123886981</v>
      </c>
      <c r="K32" s="52" t="n">
        <v>796271142120</v>
      </c>
      <c r="L32" s="52" t="n">
        <v>831295971071</v>
      </c>
      <c r="M32" s="52" t="n">
        <v>833097801697</v>
      </c>
      <c r="N32" s="52" t="n">
        <v>839052084137</v>
      </c>
      <c r="O32" s="52" t="n">
        <v>845032678156</v>
      </c>
      <c r="P32" s="52" t="n">
        <v>870508552693</v>
      </c>
      <c r="Q32" s="52" t="n">
        <v>890202651648</v>
      </c>
    </row>
    <row r="33">
      <c r="A33" s="51" t="inlineStr">
        <is>
          <t>Khấu hao lũy kế TSCĐ hữu hình</t>
        </is>
      </c>
      <c r="B33" s="52" t="n">
        <v>-228217854094</v>
      </c>
      <c r="C33" s="52" t="n">
        <v>-270991464989</v>
      </c>
      <c r="D33" s="52" t="n">
        <v>-319219954553</v>
      </c>
      <c r="E33" s="52" t="n">
        <v>-374477441266</v>
      </c>
      <c r="F33" s="52" t="n">
        <v>-433046785694</v>
      </c>
      <c r="G33" s="52" t="n">
        <v>-491197096541</v>
      </c>
      <c r="H33" s="52" t="n">
        <v>-547840894190</v>
      </c>
      <c r="I33" s="52" t="n">
        <v>-608787517153</v>
      </c>
      <c r="J33" s="52" t="n">
        <v>-533983481935</v>
      </c>
      <c r="K33" s="52" t="n">
        <v>-547840894190</v>
      </c>
      <c r="L33" s="52" t="n">
        <v>-564265467171</v>
      </c>
      <c r="M33" s="52" t="n">
        <v>-580398440292</v>
      </c>
      <c r="N33" s="52" t="n">
        <v>-596754003049</v>
      </c>
      <c r="O33" s="52" t="n">
        <v>-608787517153</v>
      </c>
      <c r="P33" s="52" t="n">
        <v>-624286404370</v>
      </c>
      <c r="Q33" s="52" t="n">
        <v>-637295228619</v>
      </c>
    </row>
    <row r="34">
      <c r="A34" s="51" t="inlineStr">
        <is>
          <t>GTCL tài sản thuê tài chính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  <c r="J34" s="52" t="n">
        <v>0</v>
      </c>
      <c r="K34" s="52" t="n">
        <v>0</v>
      </c>
      <c r="L34" s="52" t="n">
        <v>0</v>
      </c>
      <c r="M34" s="52" t="n">
        <v>0</v>
      </c>
      <c r="N34" s="52" t="n">
        <v>0</v>
      </c>
      <c r="O34" s="52" t="n">
        <v>0</v>
      </c>
      <c r="P34" s="52" t="n">
        <v>0</v>
      </c>
      <c r="Q34" s="52" t="n">
        <v>0</v>
      </c>
    </row>
    <row r="35">
      <c r="A35" s="51" t="inlineStr">
        <is>
          <t>Nguyên giá tài sản thuê tài chính</t>
        </is>
      </c>
      <c r="B35" s="52" t="n">
        <v>0</v>
      </c>
      <c r="C35" s="52" t="n">
        <v>0</v>
      </c>
      <c r="D35" s="52" t="n">
        <v>0</v>
      </c>
      <c r="E35" s="52" t="n">
        <v>0</v>
      </c>
      <c r="F35" s="52" t="n">
        <v>0</v>
      </c>
      <c r="G35" s="52" t="n">
        <v>0</v>
      </c>
      <c r="H35" s="52" t="n">
        <v>0</v>
      </c>
      <c r="I35" s="52" t="n">
        <v>0</v>
      </c>
      <c r="J35" s="52" t="n">
        <v>0</v>
      </c>
      <c r="K35" s="52" t="n">
        <v>0</v>
      </c>
      <c r="L35" s="52" t="n">
        <v>0</v>
      </c>
      <c r="M35" s="52" t="n">
        <v>0</v>
      </c>
      <c r="N35" s="52" t="n">
        <v>0</v>
      </c>
      <c r="O35" s="52" t="n">
        <v>0</v>
      </c>
      <c r="P35" s="52" t="n">
        <v>0</v>
      </c>
      <c r="Q35" s="52" t="n">
        <v>0</v>
      </c>
    </row>
    <row r="36">
      <c r="A36" s="51" t="inlineStr">
        <is>
          <t>Khấu hao lũy kế tài sản thuê tài chính</t>
        </is>
      </c>
      <c r="B36" s="52" t="n">
        <v>0</v>
      </c>
      <c r="C36" s="52" t="n">
        <v>0</v>
      </c>
      <c r="D36" s="52" t="n">
        <v>0</v>
      </c>
      <c r="E36" s="52" t="n">
        <v>0</v>
      </c>
      <c r="F36" s="52" t="n">
        <v>0</v>
      </c>
      <c r="G36" s="52" t="n">
        <v>0</v>
      </c>
      <c r="H36" s="52" t="n">
        <v>0</v>
      </c>
      <c r="I36" s="52" t="n">
        <v>0</v>
      </c>
      <c r="J36" s="52" t="n">
        <v>0</v>
      </c>
      <c r="K36" s="52" t="n">
        <v>0</v>
      </c>
      <c r="L36" s="52" t="n">
        <v>0</v>
      </c>
      <c r="M36" s="52" t="n">
        <v>0</v>
      </c>
      <c r="N36" s="52" t="n">
        <v>0</v>
      </c>
      <c r="O36" s="52" t="n">
        <v>0</v>
      </c>
      <c r="P36" s="52" t="n">
        <v>0</v>
      </c>
      <c r="Q36" s="52" t="n">
        <v>0</v>
      </c>
    </row>
    <row r="37">
      <c r="A37" s="51" t="inlineStr">
        <is>
          <t>GTCL tài sản cố định vô hình</t>
        </is>
      </c>
      <c r="B37" s="52" t="n">
        <v>493326704898</v>
      </c>
      <c r="C37" s="52" t="n">
        <v>660043120121</v>
      </c>
      <c r="D37" s="52" t="n">
        <v>650372885361</v>
      </c>
      <c r="E37" s="52" t="n">
        <v>650848303823</v>
      </c>
      <c r="F37" s="52" t="n">
        <v>642698269328</v>
      </c>
      <c r="G37" s="52" t="n">
        <v>626341351059</v>
      </c>
      <c r="H37" s="52" t="n">
        <v>608688570597</v>
      </c>
      <c r="I37" s="52" t="n">
        <v>619525312473</v>
      </c>
      <c r="J37" s="52" t="n">
        <v>613094222026</v>
      </c>
      <c r="K37" s="52" t="n">
        <v>608688570597</v>
      </c>
      <c r="L37" s="52" t="n">
        <v>604927309390</v>
      </c>
      <c r="M37" s="52" t="n">
        <v>600656214461</v>
      </c>
      <c r="N37" s="52" t="n">
        <v>622539102867</v>
      </c>
      <c r="O37" s="52" t="n">
        <v>619525312473</v>
      </c>
      <c r="P37" s="52" t="n">
        <v>668479340952</v>
      </c>
      <c r="Q37" s="52" t="n">
        <v>666947715453</v>
      </c>
    </row>
    <row r="38">
      <c r="A38" s="51" t="inlineStr">
        <is>
          <t>Nguyên giá TSCĐ vô hình</t>
        </is>
      </c>
      <c r="B38" s="52" t="n">
        <v>499937407873</v>
      </c>
      <c r="C38" s="52" t="n">
        <v>679619883005</v>
      </c>
      <c r="D38" s="52" t="n">
        <v>683791142309</v>
      </c>
      <c r="E38" s="52" t="n">
        <v>697774918988</v>
      </c>
      <c r="F38" s="52" t="n">
        <v>707010800099</v>
      </c>
      <c r="G38" s="52" t="n">
        <v>708071904553</v>
      </c>
      <c r="H38" s="52" t="n">
        <v>708142194553</v>
      </c>
      <c r="I38" s="52" t="n">
        <v>734945157553</v>
      </c>
      <c r="J38" s="52" t="n">
        <v>708142194553</v>
      </c>
      <c r="K38" s="52" t="n">
        <v>708142194553</v>
      </c>
      <c r="L38" s="52" t="n">
        <v>708825666553</v>
      </c>
      <c r="M38" s="52" t="n">
        <v>708825666553</v>
      </c>
      <c r="N38" s="52" t="n">
        <v>734954066553</v>
      </c>
      <c r="O38" s="52" t="n">
        <v>734945157553</v>
      </c>
      <c r="P38" s="52" t="n">
        <v>786221455940</v>
      </c>
      <c r="Q38" s="52" t="n">
        <v>787210811474</v>
      </c>
    </row>
    <row r="39">
      <c r="A39" s="51" t="inlineStr">
        <is>
          <t>Khấu hao lũy kế TSCĐ vô hình</t>
        </is>
      </c>
      <c r="B39" s="52" t="n">
        <v>-6610702975</v>
      </c>
      <c r="C39" s="52" t="n">
        <v>-19576762884</v>
      </c>
      <c r="D39" s="52" t="n">
        <v>-33418256948</v>
      </c>
      <c r="E39" s="52" t="n">
        <v>-46926615165</v>
      </c>
      <c r="F39" s="52" t="n">
        <v>-64312530771</v>
      </c>
      <c r="G39" s="52" t="n">
        <v>-81730553494</v>
      </c>
      <c r="H39" s="52" t="n">
        <v>-99453623956</v>
      </c>
      <c r="I39" s="52" t="n">
        <v>-115419845080</v>
      </c>
      <c r="J39" s="52" t="n">
        <v>-95047972527</v>
      </c>
      <c r="K39" s="52" t="n">
        <v>-99453623956</v>
      </c>
      <c r="L39" s="52" t="n">
        <v>-103898357163</v>
      </c>
      <c r="M39" s="52" t="n">
        <v>-108169452092</v>
      </c>
      <c r="N39" s="52" t="n">
        <v>-112414963686</v>
      </c>
      <c r="O39" s="52" t="n">
        <v>-115419845080</v>
      </c>
      <c r="P39" s="52" t="n">
        <v>-117742114988</v>
      </c>
      <c r="Q39" s="52" t="n">
        <v>-120263096021</v>
      </c>
    </row>
    <row r="40">
      <c r="A40" s="51" t="inlineStr">
        <is>
          <t>Xây dựng cơ bản đang dang dở (trước 2015)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  <c r="J40" s="52" t="n">
        <v>0</v>
      </c>
      <c r="K40" s="52" t="n">
        <v>0</v>
      </c>
      <c r="L40" s="52" t="n">
        <v>0</v>
      </c>
      <c r="M40" s="52" t="n">
        <v>0</v>
      </c>
      <c r="N40" s="52" t="n">
        <v>0</v>
      </c>
      <c r="O40" s="52" t="n">
        <v>0</v>
      </c>
      <c r="P40" s="52" t="n">
        <v>0</v>
      </c>
      <c r="Q40" s="52" t="n">
        <v>0</v>
      </c>
    </row>
    <row r="41">
      <c r="A41" s="51" t="inlineStr">
        <is>
          <t>Giá trị ròng tài sản đầu tư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  <c r="J41" s="52" t="n">
        <v>0</v>
      </c>
      <c r="K41" s="52" t="n">
        <v>0</v>
      </c>
      <c r="L41" s="52" t="n">
        <v>0</v>
      </c>
      <c r="M41" s="52" t="n">
        <v>0</v>
      </c>
      <c r="N41" s="52" t="n">
        <v>0</v>
      </c>
      <c r="O41" s="52" t="n">
        <v>0</v>
      </c>
      <c r="P41" s="52" t="n">
        <v>0</v>
      </c>
      <c r="Q41" s="52" t="n">
        <v>0</v>
      </c>
    </row>
    <row r="42">
      <c r="A42" s="51" t="inlineStr">
        <is>
          <t>Nguyên giá tài sản đầu tư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0</v>
      </c>
      <c r="J42" s="52" t="n">
        <v>0</v>
      </c>
      <c r="K42" s="52" t="n">
        <v>0</v>
      </c>
      <c r="L42" s="52" t="n">
        <v>0</v>
      </c>
      <c r="M42" s="52" t="n">
        <v>0</v>
      </c>
      <c r="N42" s="52" t="n">
        <v>0</v>
      </c>
      <c r="O42" s="52" t="n">
        <v>0</v>
      </c>
      <c r="P42" s="52" t="n">
        <v>0</v>
      </c>
      <c r="Q42" s="52" t="n">
        <v>0</v>
      </c>
    </row>
    <row r="43">
      <c r="A43" s="51" t="inlineStr">
        <is>
          <t>Khấu hao lũy kế tài sản đầu tư</t>
        </is>
      </c>
      <c r="B43" s="52" t="n">
        <v>0</v>
      </c>
      <c r="C43" s="52" t="n">
        <v>0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2" t="n">
        <v>0</v>
      </c>
      <c r="J43" s="52" t="n">
        <v>0</v>
      </c>
      <c r="K43" s="52" t="n">
        <v>0</v>
      </c>
      <c r="L43" s="52" t="n">
        <v>0</v>
      </c>
      <c r="M43" s="52" t="n">
        <v>0</v>
      </c>
      <c r="N43" s="52" t="n">
        <v>0</v>
      </c>
      <c r="O43" s="52" t="n">
        <v>0</v>
      </c>
      <c r="P43" s="52" t="n">
        <v>0</v>
      </c>
      <c r="Q43" s="52" t="n">
        <v>0</v>
      </c>
    </row>
    <row r="44">
      <c r="A44" s="51" t="inlineStr">
        <is>
          <t>Đầu tư dài hạn</t>
        </is>
      </c>
      <c r="B44" s="52" t="n">
        <v>0</v>
      </c>
      <c r="C44" s="52" t="n">
        <v>0</v>
      </c>
      <c r="D44" s="52" t="n">
        <v>0</v>
      </c>
      <c r="E44" s="52" t="n">
        <v>0</v>
      </c>
      <c r="F44" s="52" t="n">
        <v>0</v>
      </c>
      <c r="G44" s="52" t="n">
        <v>3980000000</v>
      </c>
      <c r="H44" s="52" t="n">
        <v>3980000000</v>
      </c>
      <c r="I44" s="52" t="n">
        <v>5930000000</v>
      </c>
      <c r="J44" s="52" t="n">
        <v>3980000000</v>
      </c>
      <c r="K44" s="52" t="n">
        <v>3980000000</v>
      </c>
      <c r="L44" s="52" t="n">
        <v>3980000000</v>
      </c>
      <c r="M44" s="52" t="n">
        <v>5930000000</v>
      </c>
      <c r="N44" s="52" t="n">
        <v>5930000000</v>
      </c>
      <c r="O44" s="52" t="n">
        <v>5930000000</v>
      </c>
      <c r="P44" s="52" t="n">
        <v>5930000000</v>
      </c>
      <c r="Q44" s="52" t="n">
        <v>5930000000</v>
      </c>
    </row>
    <row r="45">
      <c r="A45" s="51" t="inlineStr">
        <is>
          <t>Đầu tư vào các công ty con</t>
        </is>
      </c>
      <c r="B45" s="52" t="n">
        <v>0</v>
      </c>
      <c r="C45" s="52" t="n">
        <v>0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2" t="n">
        <v>0</v>
      </c>
      <c r="J45" s="52" t="n">
        <v>0</v>
      </c>
      <c r="K45" s="52" t="n">
        <v>0</v>
      </c>
      <c r="L45" s="52" t="n">
        <v>0</v>
      </c>
      <c r="M45" s="52" t="n">
        <v>0</v>
      </c>
      <c r="N45" s="52" t="n">
        <v>0</v>
      </c>
      <c r="O45" s="52" t="n">
        <v>0</v>
      </c>
      <c r="P45" s="52" t="n">
        <v>0</v>
      </c>
      <c r="Q45" s="52" t="n">
        <v>0</v>
      </c>
    </row>
    <row r="46">
      <c r="A46" s="51" t="inlineStr">
        <is>
          <t>Đầu tư vào các công ty liên kết</t>
        </is>
      </c>
      <c r="B46" s="52" t="n">
        <v>0</v>
      </c>
      <c r="C46" s="52" t="n">
        <v>0</v>
      </c>
      <c r="D46" s="52" t="n">
        <v>0</v>
      </c>
      <c r="E46" s="52" t="n">
        <v>0</v>
      </c>
      <c r="F46" s="52" t="n">
        <v>0</v>
      </c>
      <c r="G46" s="52" t="n">
        <v>0</v>
      </c>
      <c r="H46" s="52" t="n">
        <v>0</v>
      </c>
      <c r="I46" s="52" t="n">
        <v>0</v>
      </c>
      <c r="J46" s="52" t="n">
        <v>0</v>
      </c>
      <c r="K46" s="52" t="n">
        <v>0</v>
      </c>
      <c r="L46" s="52" t="n">
        <v>0</v>
      </c>
      <c r="M46" s="52" t="n">
        <v>0</v>
      </c>
      <c r="N46" s="52" t="n">
        <v>0</v>
      </c>
      <c r="O46" s="52" t="n">
        <v>0</v>
      </c>
      <c r="P46" s="52" t="n">
        <v>0</v>
      </c>
      <c r="Q46" s="52" t="n">
        <v>0</v>
      </c>
    </row>
    <row r="47">
      <c r="A47" s="51" t="inlineStr">
        <is>
          <t>Đầu tư dài hạn khác</t>
        </is>
      </c>
      <c r="B47" s="52" t="n">
        <v>395271613400</v>
      </c>
      <c r="C47" s="52" t="n">
        <v>395271613400</v>
      </c>
      <c r="D47" s="52" t="n">
        <v>395271613400</v>
      </c>
      <c r="E47" s="52" t="n">
        <v>395271613400</v>
      </c>
      <c r="F47" s="52" t="n">
        <v>395271613400</v>
      </c>
      <c r="G47" s="52" t="n">
        <v>399251613400</v>
      </c>
      <c r="H47" s="52" t="n">
        <v>399251613400</v>
      </c>
      <c r="I47" s="52" t="n">
        <v>401201613400</v>
      </c>
      <c r="J47" s="52" t="n">
        <v>399251613400</v>
      </c>
      <c r="K47" s="52" t="n">
        <v>399251613400</v>
      </c>
      <c r="L47" s="52" t="n">
        <v>399251613400</v>
      </c>
      <c r="M47" s="52" t="n">
        <v>401201613400</v>
      </c>
      <c r="N47" s="52" t="n">
        <v>401201613400</v>
      </c>
      <c r="O47" s="52" t="n">
        <v>401201613400</v>
      </c>
      <c r="P47" s="52" t="n">
        <v>401201613400</v>
      </c>
      <c r="Q47" s="52" t="n">
        <v>401201613400</v>
      </c>
    </row>
    <row r="48">
      <c r="A48" s="51" t="inlineStr">
        <is>
          <t>Dự phòng giảm giá đầu tư dài hạn</t>
        </is>
      </c>
      <c r="B48" s="52" t="n">
        <v>-395271613400</v>
      </c>
      <c r="C48" s="52" t="n">
        <v>-395271613400</v>
      </c>
      <c r="D48" s="52" t="n">
        <v>-395271613400</v>
      </c>
      <c r="E48" s="52" t="n">
        <v>-395271613400</v>
      </c>
      <c r="F48" s="52" t="n">
        <v>-395271613400</v>
      </c>
      <c r="G48" s="52" t="n">
        <v>-395271613400</v>
      </c>
      <c r="H48" s="52" t="n">
        <v>-395271613400</v>
      </c>
      <c r="I48" s="52" t="n">
        <v>-395271613400</v>
      </c>
      <c r="J48" s="52" t="n">
        <v>-395271613400</v>
      </c>
      <c r="K48" s="52" t="n">
        <v>-395271613400</v>
      </c>
      <c r="L48" s="52" t="n">
        <v>-395271613400</v>
      </c>
      <c r="M48" s="52" t="n">
        <v>-395271613400</v>
      </c>
      <c r="N48" s="52" t="n">
        <v>-395271613400</v>
      </c>
      <c r="O48" s="52" t="n">
        <v>-395271613400</v>
      </c>
      <c r="P48" s="52" t="n">
        <v>-395271613400</v>
      </c>
      <c r="Q48" s="52" t="n">
        <v>-395271613400</v>
      </c>
    </row>
    <row r="49">
      <c r="A49" s="51" t="inlineStr">
        <is>
          <t>Lợi thế thương mại (trước 2015)</t>
        </is>
      </c>
      <c r="B49" s="52" t="n">
        <v>0</v>
      </c>
      <c r="C49" s="52" t="n">
        <v>0</v>
      </c>
      <c r="D49" s="52" t="n">
        <v>0</v>
      </c>
      <c r="E49" s="52" t="n">
        <v>0</v>
      </c>
      <c r="F49" s="52" t="n">
        <v>0</v>
      </c>
      <c r="G49" s="52" t="n">
        <v>0</v>
      </c>
      <c r="H49" s="52" t="n">
        <v>0</v>
      </c>
      <c r="I49" s="52" t="n">
        <v>0</v>
      </c>
      <c r="J49" s="52" t="n">
        <v>0</v>
      </c>
      <c r="K49" s="52" t="n">
        <v>0</v>
      </c>
      <c r="L49" s="52" t="n">
        <v>0</v>
      </c>
      <c r="M49" s="52" t="n">
        <v>0</v>
      </c>
      <c r="N49" s="52" t="n">
        <v>0</v>
      </c>
      <c r="O49" s="52" t="n">
        <v>0</v>
      </c>
      <c r="P49" s="52" t="n">
        <v>0</v>
      </c>
      <c r="Q49" s="52" t="n">
        <v>0</v>
      </c>
    </row>
    <row r="50">
      <c r="A50" s="51" t="inlineStr">
        <is>
          <t>Tài sản dài hạn khác</t>
        </is>
      </c>
      <c r="B50" s="52" t="n">
        <v>185030555196</v>
      </c>
      <c r="C50" s="52" t="n">
        <v>246550560548</v>
      </c>
      <c r="D50" s="52" t="n">
        <v>297285460058</v>
      </c>
      <c r="E50" s="52" t="n">
        <v>301911940704</v>
      </c>
      <c r="F50" s="52" t="n">
        <v>363550944173</v>
      </c>
      <c r="G50" s="52" t="n">
        <v>449008425848</v>
      </c>
      <c r="H50" s="52" t="n">
        <v>473732557913</v>
      </c>
      <c r="I50" s="52" t="n">
        <v>472022383285</v>
      </c>
      <c r="J50" s="52" t="n">
        <v>410351804419</v>
      </c>
      <c r="K50" s="52" t="n">
        <v>473732557913</v>
      </c>
      <c r="L50" s="52" t="n">
        <v>445182919148</v>
      </c>
      <c r="M50" s="52" t="n">
        <v>406807325748</v>
      </c>
      <c r="N50" s="52" t="n">
        <v>366950619371</v>
      </c>
      <c r="O50" s="52" t="n">
        <v>472022383285</v>
      </c>
      <c r="P50" s="52" t="n">
        <v>455838389300</v>
      </c>
      <c r="Q50" s="52" t="n">
        <v>1036364443459</v>
      </c>
    </row>
    <row r="51">
      <c r="A51" s="51" t="inlineStr">
        <is>
          <t>Trả trước dài hạn</t>
        </is>
      </c>
      <c r="B51" s="52" t="n">
        <v>99678730358</v>
      </c>
      <c r="C51" s="52" t="n">
        <v>158318980481</v>
      </c>
      <c r="D51" s="52" t="n">
        <v>206301766031</v>
      </c>
      <c r="E51" s="52" t="n">
        <v>201443147089</v>
      </c>
      <c r="F51" s="52" t="n">
        <v>243656590750</v>
      </c>
      <c r="G51" s="52" t="n">
        <v>329182091504</v>
      </c>
      <c r="H51" s="52" t="n">
        <v>276525499295</v>
      </c>
      <c r="I51" s="52" t="n">
        <v>144500376660</v>
      </c>
      <c r="J51" s="52" t="n">
        <v>280096384533</v>
      </c>
      <c r="K51" s="52" t="n">
        <v>276525499295</v>
      </c>
      <c r="L51" s="52" t="n">
        <v>248312003324</v>
      </c>
      <c r="M51" s="52" t="n">
        <v>206309098650</v>
      </c>
      <c r="N51" s="52" t="n">
        <v>166095473834</v>
      </c>
      <c r="O51" s="52" t="n">
        <v>144500376660</v>
      </c>
      <c r="P51" s="52" t="n">
        <v>128252539946</v>
      </c>
      <c r="Q51" s="52" t="n">
        <v>112252255928</v>
      </c>
    </row>
    <row r="52">
      <c r="A52" s="51" t="inlineStr">
        <is>
          <t>Thuế thu nhập hoãn lại</t>
        </is>
      </c>
      <c r="B52" s="52" t="n">
        <v>0</v>
      </c>
      <c r="C52" s="52" t="n">
        <v>0</v>
      </c>
      <c r="D52" s="52" t="n">
        <v>0</v>
      </c>
      <c r="E52" s="52" t="n">
        <v>0</v>
      </c>
      <c r="F52" s="52" t="n">
        <v>0</v>
      </c>
      <c r="G52" s="52" t="n">
        <v>0</v>
      </c>
      <c r="H52" s="52" t="n">
        <v>0</v>
      </c>
      <c r="I52" s="52" t="n">
        <v>0</v>
      </c>
      <c r="J52" s="52" t="n">
        <v>0</v>
      </c>
      <c r="K52" s="52" t="n">
        <v>0</v>
      </c>
      <c r="L52" s="52" t="n">
        <v>0</v>
      </c>
      <c r="M52" s="52" t="n">
        <v>0</v>
      </c>
      <c r="N52" s="52" t="n">
        <v>0</v>
      </c>
      <c r="O52" s="52" t="n">
        <v>0</v>
      </c>
      <c r="P52" s="52" t="n">
        <v>0</v>
      </c>
      <c r="Q52" s="52" t="n">
        <v>0</v>
      </c>
    </row>
    <row r="53">
      <c r="A53" s="51" t="inlineStr">
        <is>
          <t>Các tài sản dài hạn khác</t>
        </is>
      </c>
      <c r="B53" s="52" t="n">
        <v>0</v>
      </c>
      <c r="C53" s="52" t="n">
        <v>0</v>
      </c>
      <c r="D53" s="52" t="n">
        <v>0</v>
      </c>
      <c r="E53" s="52" t="n">
        <v>0</v>
      </c>
      <c r="F53" s="52" t="n">
        <v>0</v>
      </c>
      <c r="G53" s="52" t="n">
        <v>0</v>
      </c>
      <c r="H53" s="52" t="n">
        <v>0</v>
      </c>
      <c r="I53" s="52" t="n">
        <v>0</v>
      </c>
      <c r="J53" s="52" t="n">
        <v>0</v>
      </c>
      <c r="K53" s="52" t="n">
        <v>0</v>
      </c>
      <c r="L53" s="52" t="n">
        <v>0</v>
      </c>
      <c r="M53" s="52" t="n">
        <v>0</v>
      </c>
      <c r="N53" s="52" t="n">
        <v>0</v>
      </c>
      <c r="O53" s="52" t="n">
        <v>0</v>
      </c>
      <c r="P53" s="52" t="n">
        <v>0</v>
      </c>
      <c r="Q53" s="52" t="n">
        <v>0</v>
      </c>
    </row>
    <row r="54">
      <c r="A54" s="51" t="inlineStr">
        <is>
          <t>TỔNG CỘNG TÀI SẢN</t>
        </is>
      </c>
      <c r="B54" s="52" t="n">
        <v>6437895556604</v>
      </c>
      <c r="C54" s="52" t="n">
        <v>8602964421816</v>
      </c>
      <c r="D54" s="52" t="n">
        <v>8483146098451</v>
      </c>
      <c r="E54" s="52" t="n">
        <v>10619016547122</v>
      </c>
      <c r="F54" s="52" t="n">
        <v>13337124649246</v>
      </c>
      <c r="G54" s="52" t="n">
        <v>14427558015356</v>
      </c>
      <c r="H54" s="52" t="n">
        <v>17207730777685</v>
      </c>
      <c r="I54" s="52" t="n">
        <v>20163630247041</v>
      </c>
      <c r="J54" s="52" t="n">
        <v>14962485284027</v>
      </c>
      <c r="K54" s="52" t="n">
        <v>17207730777685</v>
      </c>
      <c r="L54" s="52" t="n">
        <v>17419317312849</v>
      </c>
      <c r="M54" s="52" t="n">
        <v>17153777037791</v>
      </c>
      <c r="N54" s="52" t="n">
        <v>17050707690220</v>
      </c>
      <c r="O54" s="52" t="n">
        <v>20163630247041</v>
      </c>
      <c r="P54" s="52" t="n">
        <v>19692785555789</v>
      </c>
      <c r="Q54" s="52" t="n">
        <v>21595833814316</v>
      </c>
    </row>
    <row r="55">
      <c r="A55" s="51" t="inlineStr">
        <is>
          <t>NỢ PHẢI TRẢ</t>
        </is>
      </c>
      <c r="B55" s="52" t="n">
        <v>2692822128700</v>
      </c>
      <c r="C55" s="52" t="n">
        <v>4025698610469</v>
      </c>
      <c r="D55" s="52" t="n">
        <v>3241284233443</v>
      </c>
      <c r="E55" s="52" t="n">
        <v>4606382566869</v>
      </c>
      <c r="F55" s="52" t="n">
        <v>4893029994396</v>
      </c>
      <c r="G55" s="52" t="n">
        <v>4621377351380</v>
      </c>
      <c r="H55" s="52" t="n">
        <v>5952424147163</v>
      </c>
      <c r="I55" s="52" t="n">
        <v>6888716787629</v>
      </c>
      <c r="J55" s="52" t="n">
        <v>4438053268724</v>
      </c>
      <c r="K55" s="52" t="n">
        <v>5952424147163</v>
      </c>
      <c r="L55" s="52" t="n">
        <v>5689025894402</v>
      </c>
      <c r="M55" s="52" t="n">
        <v>5184392368530</v>
      </c>
      <c r="N55" s="52" t="n">
        <v>5058685745602</v>
      </c>
      <c r="O55" s="52" t="n">
        <v>6888716787629</v>
      </c>
      <c r="P55" s="52" t="n">
        <v>5291615882033</v>
      </c>
      <c r="Q55" s="52" t="n">
        <v>8139302452850</v>
      </c>
    </row>
    <row r="56">
      <c r="A56" s="51" t="inlineStr">
        <is>
          <t>Nợ ngắn hạn</t>
        </is>
      </c>
      <c r="B56" s="52" t="n">
        <v>2677317785700</v>
      </c>
      <c r="C56" s="52" t="n">
        <v>4017860824469</v>
      </c>
      <c r="D56" s="52" t="n">
        <v>3231907356443</v>
      </c>
      <c r="E56" s="52" t="n">
        <v>4563002409508</v>
      </c>
      <c r="F56" s="52" t="n">
        <v>4883064421396</v>
      </c>
      <c r="G56" s="52" t="n">
        <v>4611956609380</v>
      </c>
      <c r="H56" s="52" t="n">
        <v>5941881733413</v>
      </c>
      <c r="I56" s="52" t="n">
        <v>6874318773629</v>
      </c>
      <c r="J56" s="52" t="n">
        <v>4428672526724</v>
      </c>
      <c r="K56" s="52" t="n">
        <v>5941881733413</v>
      </c>
      <c r="L56" s="52" t="n">
        <v>5678483480652</v>
      </c>
      <c r="M56" s="52" t="n">
        <v>5173829954780</v>
      </c>
      <c r="N56" s="52" t="n">
        <v>5046824044102</v>
      </c>
      <c r="O56" s="52" t="n">
        <v>6874318773629</v>
      </c>
      <c r="P56" s="52" t="n">
        <v>5277290943535</v>
      </c>
      <c r="Q56" s="52" t="n">
        <v>8127157340850</v>
      </c>
    </row>
    <row r="57">
      <c r="A57" s="51" t="inlineStr">
        <is>
          <t>Vay ngắn hạn</t>
        </is>
      </c>
      <c r="B57" s="52" t="n">
        <v>1558482498026</v>
      </c>
      <c r="C57" s="52" t="n">
        <v>2610902622222</v>
      </c>
      <c r="D57" s="52" t="n">
        <v>1839275064065</v>
      </c>
      <c r="E57" s="52" t="n">
        <v>2721930701144</v>
      </c>
      <c r="F57" s="52" t="n">
        <v>2683045875772</v>
      </c>
      <c r="G57" s="52" t="n">
        <v>2384288254693</v>
      </c>
      <c r="H57" s="52" t="n">
        <v>3341542016760</v>
      </c>
      <c r="I57" s="52" t="n">
        <v>4223385635653</v>
      </c>
      <c r="J57" s="52" t="n">
        <v>1470419844988</v>
      </c>
      <c r="K57" s="52" t="n">
        <v>3341542016760</v>
      </c>
      <c r="L57" s="52" t="n">
        <v>3488032587304</v>
      </c>
      <c r="M57" s="52" t="n">
        <v>3096292371490</v>
      </c>
      <c r="N57" s="52" t="n">
        <v>2332603024492</v>
      </c>
      <c r="O57" s="52" t="n">
        <v>4223385635653</v>
      </c>
      <c r="P57" s="52" t="n">
        <v>2893621845273</v>
      </c>
      <c r="Q57" s="52" t="n">
        <v>3989128051250</v>
      </c>
    </row>
    <row r="58">
      <c r="A58" s="51" t="inlineStr">
        <is>
          <t>Phải trả người bán</t>
        </is>
      </c>
      <c r="B58" s="52" t="n">
        <v>342676925196</v>
      </c>
      <c r="C58" s="52" t="n">
        <v>690808185195</v>
      </c>
      <c r="D58" s="52" t="n">
        <v>481588464720</v>
      </c>
      <c r="E58" s="52" t="n">
        <v>680447298103</v>
      </c>
      <c r="F58" s="52" t="n">
        <v>277212839495</v>
      </c>
      <c r="G58" s="52" t="n">
        <v>257304950807</v>
      </c>
      <c r="H58" s="52" t="n">
        <v>624291098148</v>
      </c>
      <c r="I58" s="52" t="n">
        <v>333861329514</v>
      </c>
      <c r="J58" s="52" t="n">
        <v>652908973354</v>
      </c>
      <c r="K58" s="52" t="n">
        <v>624291098148</v>
      </c>
      <c r="L58" s="52" t="n">
        <v>559298750005</v>
      </c>
      <c r="M58" s="52" t="n">
        <v>206132232648</v>
      </c>
      <c r="N58" s="52" t="n">
        <v>112776490287</v>
      </c>
      <c r="O58" s="52" t="n">
        <v>333861329514</v>
      </c>
      <c r="P58" s="52" t="n">
        <v>281696553533</v>
      </c>
      <c r="Q58" s="52" t="n">
        <v>180284997942</v>
      </c>
    </row>
    <row r="59">
      <c r="A59" s="51" t="inlineStr">
        <is>
          <t>Người mua trả tiền trước</t>
        </is>
      </c>
      <c r="B59" s="52" t="n">
        <v>82798544221</v>
      </c>
      <c r="C59" s="52" t="n">
        <v>95353052369</v>
      </c>
      <c r="D59" s="52" t="n">
        <v>157182968364</v>
      </c>
      <c r="E59" s="52" t="n">
        <v>156729112135</v>
      </c>
      <c r="F59" s="52" t="n">
        <v>222164283405</v>
      </c>
      <c r="G59" s="52" t="n">
        <v>215299493413</v>
      </c>
      <c r="H59" s="52" t="n">
        <v>188182044409</v>
      </c>
      <c r="I59" s="52" t="n">
        <v>182492529057</v>
      </c>
      <c r="J59" s="52" t="n">
        <v>170384977642</v>
      </c>
      <c r="K59" s="52" t="n">
        <v>188182044409</v>
      </c>
      <c r="L59" s="52" t="n">
        <v>143136652593</v>
      </c>
      <c r="M59" s="52" t="n">
        <v>133331530693</v>
      </c>
      <c r="N59" s="52" t="n">
        <v>127598662992</v>
      </c>
      <c r="O59" s="52" t="n">
        <v>182492529057</v>
      </c>
      <c r="P59" s="52" t="n">
        <v>142718937533</v>
      </c>
      <c r="Q59" s="52" t="n">
        <v>141459806387</v>
      </c>
    </row>
    <row r="60">
      <c r="A60" s="51" t="inlineStr">
        <is>
          <t>Thuế và các khoản phải trả Nhà nước</t>
        </is>
      </c>
      <c r="B60" s="52" t="n">
        <v>153579308096</v>
      </c>
      <c r="C60" s="52" t="n">
        <v>192682671178</v>
      </c>
      <c r="D60" s="52" t="n">
        <v>214710310923</v>
      </c>
      <c r="E60" s="52" t="n">
        <v>309500571902</v>
      </c>
      <c r="F60" s="52" t="n">
        <v>292985361927</v>
      </c>
      <c r="G60" s="52" t="n">
        <v>344258054659</v>
      </c>
      <c r="H60" s="52" t="n">
        <v>448697283312</v>
      </c>
      <c r="I60" s="52" t="n">
        <v>777717691575</v>
      </c>
      <c r="J60" s="52" t="n">
        <v>298681039604</v>
      </c>
      <c r="K60" s="52" t="n">
        <v>448697283312</v>
      </c>
      <c r="L60" s="52" t="n">
        <v>358046275587</v>
      </c>
      <c r="M60" s="52" t="n">
        <v>331216154470</v>
      </c>
      <c r="N60" s="52" t="n">
        <v>337294158072</v>
      </c>
      <c r="O60" s="52" t="n">
        <v>777717691575</v>
      </c>
      <c r="P60" s="52" t="n">
        <v>592358238712</v>
      </c>
      <c r="Q60" s="52" t="n">
        <v>634521584766</v>
      </c>
    </row>
    <row r="61">
      <c r="A61" s="51" t="inlineStr">
        <is>
          <t>Phải trả người lao động</t>
        </is>
      </c>
      <c r="B61" s="52" t="n">
        <v>228337052181</v>
      </c>
      <c r="C61" s="52" t="n">
        <v>222296091737</v>
      </c>
      <c r="D61" s="52" t="n">
        <v>290765645610</v>
      </c>
      <c r="E61" s="52" t="n">
        <v>385144216152</v>
      </c>
      <c r="F61" s="52" t="n">
        <v>534807250396</v>
      </c>
      <c r="G61" s="52" t="n">
        <v>673116492808</v>
      </c>
      <c r="H61" s="52" t="n">
        <v>596322426230</v>
      </c>
      <c r="I61" s="52" t="n">
        <v>569308694234</v>
      </c>
      <c r="J61" s="52" t="n">
        <v>812133158477</v>
      </c>
      <c r="K61" s="52" t="n">
        <v>596322426230</v>
      </c>
      <c r="L61" s="52" t="n">
        <v>485033158208</v>
      </c>
      <c r="M61" s="52" t="n">
        <v>669839622711</v>
      </c>
      <c r="N61" s="52" t="n">
        <v>822242886587</v>
      </c>
      <c r="O61" s="52" t="n">
        <v>569308694234</v>
      </c>
      <c r="P61" s="52" t="n">
        <v>692988649300</v>
      </c>
      <c r="Q61" s="52" t="n">
        <v>65781876478</v>
      </c>
    </row>
    <row r="62">
      <c r="A62" s="51" t="inlineStr">
        <is>
          <t>Chi phí phải trả</t>
        </is>
      </c>
      <c r="B62" s="52" t="n">
        <v>10833940595</v>
      </c>
      <c r="C62" s="52" t="n">
        <v>45877630688</v>
      </c>
      <c r="D62" s="52" t="n">
        <v>55520256916</v>
      </c>
      <c r="E62" s="52" t="n">
        <v>69534599697</v>
      </c>
      <c r="F62" s="52" t="n">
        <v>453432735944</v>
      </c>
      <c r="G62" s="52" t="n">
        <v>307718428978</v>
      </c>
      <c r="H62" s="52" t="n">
        <v>360040211420</v>
      </c>
      <c r="I62" s="52" t="n">
        <v>321827090456</v>
      </c>
      <c r="J62" s="52" t="n">
        <v>145001187040</v>
      </c>
      <c r="K62" s="52" t="n">
        <v>360040211420</v>
      </c>
      <c r="L62" s="52" t="n">
        <v>271492484536</v>
      </c>
      <c r="M62" s="52" t="n">
        <v>250170087995</v>
      </c>
      <c r="N62" s="52" t="n">
        <v>304484221282</v>
      </c>
      <c r="O62" s="52" t="n">
        <v>321827090456</v>
      </c>
      <c r="P62" s="52" t="n">
        <v>206153613745</v>
      </c>
      <c r="Q62" s="52" t="n">
        <v>164616794002</v>
      </c>
    </row>
    <row r="63">
      <c r="A63" s="51" t="inlineStr">
        <is>
          <t>Phải trả nội bộ</t>
        </is>
      </c>
      <c r="B63" s="52" t="n">
        <v>0</v>
      </c>
      <c r="C63" s="52" t="n">
        <v>0</v>
      </c>
      <c r="D63" s="52" t="n">
        <v>0</v>
      </c>
      <c r="E63" s="52" t="n">
        <v>0</v>
      </c>
      <c r="F63" s="52" t="n">
        <v>0</v>
      </c>
      <c r="G63" s="52" t="n">
        <v>0</v>
      </c>
      <c r="H63" s="52" t="n">
        <v>0</v>
      </c>
      <c r="I63" s="52" t="n">
        <v>0</v>
      </c>
      <c r="J63" s="52" t="n">
        <v>0</v>
      </c>
      <c r="K63" s="52" t="n">
        <v>0</v>
      </c>
      <c r="L63" s="52" t="n">
        <v>0</v>
      </c>
      <c r="M63" s="52" t="n">
        <v>0</v>
      </c>
      <c r="N63" s="52" t="n">
        <v>0</v>
      </c>
      <c r="O63" s="52" t="n">
        <v>0</v>
      </c>
      <c r="P63" s="52" t="n">
        <v>0</v>
      </c>
      <c r="Q63" s="52" t="n">
        <v>0</v>
      </c>
    </row>
    <row r="64">
      <c r="A64" s="51" t="inlineStr">
        <is>
          <t>Phải trả về xây dựng cơ bản</t>
        </is>
      </c>
      <c r="B64" s="52" t="n">
        <v>0</v>
      </c>
      <c r="C64" s="52" t="n">
        <v>0</v>
      </c>
      <c r="D64" s="52" t="n">
        <v>0</v>
      </c>
      <c r="E64" s="52" t="n">
        <v>0</v>
      </c>
      <c r="F64" s="52" t="n">
        <v>0</v>
      </c>
      <c r="G64" s="52" t="n">
        <v>0</v>
      </c>
      <c r="H64" s="52" t="n">
        <v>0</v>
      </c>
      <c r="I64" s="52" t="n">
        <v>0</v>
      </c>
      <c r="J64" s="52" t="n">
        <v>0</v>
      </c>
      <c r="K64" s="52" t="n">
        <v>0</v>
      </c>
      <c r="L64" s="52" t="n">
        <v>0</v>
      </c>
      <c r="M64" s="52" t="n">
        <v>0</v>
      </c>
      <c r="N64" s="52" t="n">
        <v>0</v>
      </c>
      <c r="O64" s="52" t="n">
        <v>0</v>
      </c>
      <c r="P64" s="52" t="n">
        <v>0</v>
      </c>
      <c r="Q64" s="52" t="n">
        <v>0</v>
      </c>
    </row>
    <row r="65">
      <c r="A65" s="51" t="inlineStr">
        <is>
          <t>Phải trả khác</t>
        </is>
      </c>
      <c r="B65" s="52" t="n">
        <v>237629562960</v>
      </c>
      <c r="C65" s="52" t="n">
        <v>69257739996</v>
      </c>
      <c r="D65" s="52" t="n">
        <v>76978636900</v>
      </c>
      <c r="E65" s="52" t="n">
        <v>83404423727</v>
      </c>
      <c r="F65" s="52" t="n">
        <v>227169093119</v>
      </c>
      <c r="G65" s="52" t="n">
        <v>228798913738</v>
      </c>
      <c r="H65" s="52" t="n">
        <v>106241642105</v>
      </c>
      <c r="I65" s="52" t="n">
        <v>103175435252</v>
      </c>
      <c r="J65" s="52" t="n">
        <v>598482032259</v>
      </c>
      <c r="K65" s="52" t="n">
        <v>106241642105</v>
      </c>
      <c r="L65" s="52" t="n">
        <v>106023347455</v>
      </c>
      <c r="M65" s="52" t="n">
        <v>118458975811</v>
      </c>
      <c r="N65" s="52" t="n">
        <v>646414796428</v>
      </c>
      <c r="O65" s="52" t="n">
        <v>103175435252</v>
      </c>
      <c r="P65" s="52" t="n">
        <v>93657157854</v>
      </c>
      <c r="Q65" s="52" t="n">
        <v>173301808359</v>
      </c>
    </row>
    <row r="66">
      <c r="A66" s="51" t="inlineStr">
        <is>
          <t>Dự phòng các khoản phải trả ngắn hạn</t>
        </is>
      </c>
      <c r="B66" s="52" t="n">
        <v>0</v>
      </c>
      <c r="C66" s="52" t="n">
        <v>0</v>
      </c>
      <c r="D66" s="52" t="n">
        <v>0</v>
      </c>
      <c r="E66" s="52" t="n">
        <v>30129306488</v>
      </c>
      <c r="F66" s="52" t="n">
        <v>30129306488</v>
      </c>
      <c r="G66" s="52" t="n">
        <v>29061192534</v>
      </c>
      <c r="H66" s="52" t="n">
        <v>26547708303</v>
      </c>
      <c r="I66" s="52" t="n">
        <v>26574672229</v>
      </c>
      <c r="J66" s="52" t="n">
        <v>29061192534</v>
      </c>
      <c r="K66" s="52" t="n">
        <v>26547708303</v>
      </c>
      <c r="L66" s="52" t="n">
        <v>26547708303</v>
      </c>
      <c r="M66" s="52" t="n">
        <v>26547708303</v>
      </c>
      <c r="N66" s="52" t="n">
        <v>26547708303</v>
      </c>
      <c r="O66" s="52" t="n">
        <v>26574672229</v>
      </c>
      <c r="P66" s="52" t="n">
        <v>26574672229</v>
      </c>
      <c r="Q66" s="52" t="n">
        <v>2293954850310</v>
      </c>
    </row>
    <row r="67">
      <c r="A67" s="51" t="inlineStr">
        <is>
          <t>Quỹ khen thưởng, phúc lợi</t>
        </is>
      </c>
      <c r="B67" s="52" t="n">
        <v>62979954425</v>
      </c>
      <c r="C67" s="52" t="n">
        <v>90682831084</v>
      </c>
      <c r="D67" s="52" t="n">
        <v>115886008945</v>
      </c>
      <c r="E67" s="52" t="n">
        <v>126182180160</v>
      </c>
      <c r="F67" s="52" t="n">
        <v>162117674850</v>
      </c>
      <c r="G67" s="52" t="n">
        <v>172110827750</v>
      </c>
      <c r="H67" s="52" t="n">
        <v>250017302726</v>
      </c>
      <c r="I67" s="52" t="n">
        <v>335975695659</v>
      </c>
      <c r="J67" s="52" t="n">
        <v>251600120826</v>
      </c>
      <c r="K67" s="52" t="n">
        <v>250017302726</v>
      </c>
      <c r="L67" s="52" t="n">
        <v>240872516661</v>
      </c>
      <c r="M67" s="52" t="n">
        <v>341841270659</v>
      </c>
      <c r="N67" s="52" t="n">
        <v>336862095659</v>
      </c>
      <c r="O67" s="52" t="n">
        <v>335975695659</v>
      </c>
      <c r="P67" s="52" t="n">
        <v>335829695659</v>
      </c>
      <c r="Q67" s="52" t="n">
        <v>473314195659</v>
      </c>
    </row>
    <row r="68">
      <c r="A68" s="51" t="inlineStr">
        <is>
          <t>Nợ dài hạn</t>
        </is>
      </c>
      <c r="B68" s="52" t="n">
        <v>15504343000</v>
      </c>
      <c r="C68" s="52" t="n">
        <v>7837786000</v>
      </c>
      <c r="D68" s="52" t="n">
        <v>9376877000</v>
      </c>
      <c r="E68" s="52" t="n">
        <v>43380157361</v>
      </c>
      <c r="F68" s="52" t="n">
        <v>9965573000</v>
      </c>
      <c r="G68" s="52" t="n">
        <v>9420742000</v>
      </c>
      <c r="H68" s="52" t="n">
        <v>10542413750</v>
      </c>
      <c r="I68" s="52" t="n">
        <v>14398014000</v>
      </c>
      <c r="J68" s="52" t="n">
        <v>9380742000</v>
      </c>
      <c r="K68" s="52" t="n">
        <v>10542413750</v>
      </c>
      <c r="L68" s="52" t="n">
        <v>10542413750</v>
      </c>
      <c r="M68" s="52" t="n">
        <v>10562413750</v>
      </c>
      <c r="N68" s="52" t="n">
        <v>11861701500</v>
      </c>
      <c r="O68" s="52" t="n">
        <v>14398014000</v>
      </c>
      <c r="P68" s="52" t="n">
        <v>14324938498</v>
      </c>
      <c r="Q68" s="52" t="n">
        <v>12145112000</v>
      </c>
    </row>
    <row r="69">
      <c r="A69" s="51" t="inlineStr">
        <is>
          <t>Phải trả nhà cung cấp dài hạn</t>
        </is>
      </c>
      <c r="B69" s="52" t="n">
        <v>0</v>
      </c>
      <c r="C69" s="52" t="n">
        <v>0</v>
      </c>
      <c r="D69" s="52" t="n">
        <v>0</v>
      </c>
      <c r="E69" s="52" t="n">
        <v>0</v>
      </c>
      <c r="F69" s="52" t="n">
        <v>0</v>
      </c>
      <c r="G69" s="52" t="n">
        <v>0</v>
      </c>
      <c r="H69" s="52" t="n">
        <v>0</v>
      </c>
      <c r="I69" s="52" t="n">
        <v>0</v>
      </c>
      <c r="J69" s="52" t="n">
        <v>0</v>
      </c>
      <c r="K69" s="52" t="n">
        <v>0</v>
      </c>
      <c r="L69" s="52" t="n">
        <v>0</v>
      </c>
      <c r="M69" s="52" t="n">
        <v>0</v>
      </c>
      <c r="N69" s="52" t="n">
        <v>0</v>
      </c>
      <c r="O69" s="52" t="n">
        <v>0</v>
      </c>
      <c r="P69" s="52" t="n">
        <v>0</v>
      </c>
      <c r="Q69" s="52" t="n">
        <v>0</v>
      </c>
    </row>
    <row r="70">
      <c r="A70" s="51" t="inlineStr">
        <is>
          <t>Phải trả nội bộ dài hạn</t>
        </is>
      </c>
      <c r="B70" s="52" t="n">
        <v>0</v>
      </c>
      <c r="C70" s="52" t="n">
        <v>0</v>
      </c>
      <c r="D70" s="52" t="n">
        <v>0</v>
      </c>
      <c r="E70" s="52" t="n">
        <v>0</v>
      </c>
      <c r="F70" s="52" t="n">
        <v>0</v>
      </c>
      <c r="G70" s="52" t="n">
        <v>0</v>
      </c>
      <c r="H70" s="52" t="n">
        <v>0</v>
      </c>
      <c r="I70" s="52" t="n">
        <v>0</v>
      </c>
      <c r="J70" s="52" t="n">
        <v>0</v>
      </c>
      <c r="K70" s="52" t="n">
        <v>0</v>
      </c>
      <c r="L70" s="52" t="n">
        <v>0</v>
      </c>
      <c r="M70" s="52" t="n">
        <v>0</v>
      </c>
      <c r="N70" s="52" t="n">
        <v>0</v>
      </c>
      <c r="O70" s="52" t="n">
        <v>0</v>
      </c>
      <c r="P70" s="52" t="n">
        <v>0</v>
      </c>
      <c r="Q70" s="52" t="n">
        <v>0</v>
      </c>
    </row>
    <row r="71">
      <c r="A71" s="51" t="inlineStr">
        <is>
          <t>Phải trả dài hạn khác</t>
        </is>
      </c>
      <c r="B71" s="52" t="n">
        <v>628026000</v>
      </c>
      <c r="C71" s="52" t="n">
        <v>476006000</v>
      </c>
      <c r="D71" s="52" t="n">
        <v>526168000</v>
      </c>
      <c r="E71" s="52" t="n">
        <v>518668000</v>
      </c>
      <c r="F71" s="52" t="n">
        <v>218668000</v>
      </c>
      <c r="G71" s="52" t="n">
        <v>218668000</v>
      </c>
      <c r="H71" s="52" t="n">
        <v>178668000</v>
      </c>
      <c r="I71" s="52" t="n">
        <v>1715384000</v>
      </c>
      <c r="J71" s="52" t="n">
        <v>178668000</v>
      </c>
      <c r="K71" s="52" t="n">
        <v>178668000</v>
      </c>
      <c r="L71" s="52" t="n">
        <v>178668000</v>
      </c>
      <c r="M71" s="52" t="n">
        <v>198668000</v>
      </c>
      <c r="N71" s="52" t="n">
        <v>1715384000</v>
      </c>
      <c r="O71" s="52" t="n">
        <v>1715384000</v>
      </c>
      <c r="P71" s="52" t="n">
        <v>1715384000</v>
      </c>
      <c r="Q71" s="52" t="n">
        <v>1745384000</v>
      </c>
    </row>
    <row r="72">
      <c r="A72" s="51" t="inlineStr">
        <is>
          <t>Vay dài hạn</t>
        </is>
      </c>
      <c r="B72" s="52" t="n">
        <v>7800000000</v>
      </c>
      <c r="C72" s="52" t="n">
        <v>3700000000</v>
      </c>
      <c r="D72" s="52" t="n">
        <v>0</v>
      </c>
      <c r="E72" s="52" t="n">
        <v>0</v>
      </c>
      <c r="F72" s="52" t="n">
        <v>0</v>
      </c>
      <c r="G72" s="52" t="n">
        <v>0</v>
      </c>
      <c r="H72" s="52" t="n">
        <v>0</v>
      </c>
      <c r="I72" s="52" t="n">
        <v>0</v>
      </c>
      <c r="J72" s="52" t="n">
        <v>0</v>
      </c>
      <c r="K72" s="52" t="n">
        <v>0</v>
      </c>
      <c r="L72" s="52" t="n">
        <v>0</v>
      </c>
      <c r="M72" s="52" t="n">
        <v>0</v>
      </c>
      <c r="N72" s="52" t="n">
        <v>0</v>
      </c>
      <c r="O72" s="52" t="n">
        <v>0</v>
      </c>
      <c r="P72" s="52" t="n">
        <v>0</v>
      </c>
      <c r="Q72" s="52" t="n">
        <v>0</v>
      </c>
    </row>
    <row r="73">
      <c r="A73" s="51" t="inlineStr">
        <is>
          <t>Thuế thu nhập hoãn lại</t>
        </is>
      </c>
      <c r="B73" s="52" t="n"/>
      <c r="C73" s="52" t="n"/>
      <c r="D73" s="52" t="n"/>
      <c r="E73" s="52" t="n"/>
      <c r="F73" s="52" t="n">
        <v>0</v>
      </c>
      <c r="G73" s="52" t="n">
        <v>0</v>
      </c>
      <c r="H73" s="52" t="n">
        <v>0</v>
      </c>
      <c r="I73" s="52" t="n">
        <v>0</v>
      </c>
      <c r="J73" s="52" t="n"/>
      <c r="K73" s="52" t="n"/>
      <c r="L73" s="52" t="n"/>
      <c r="M73" s="52" t="n"/>
      <c r="N73" s="52" t="n"/>
      <c r="O73" s="52" t="n"/>
      <c r="P73" s="52" t="n"/>
      <c r="Q73" s="52" t="n"/>
    </row>
    <row r="74">
      <c r="A74" s="51" t="inlineStr">
        <is>
          <t>Dự phòng trợ cấp thôi việc</t>
        </is>
      </c>
      <c r="B74" s="52" t="n">
        <v>0</v>
      </c>
      <c r="C74" s="52" t="n">
        <v>0</v>
      </c>
      <c r="D74" s="52" t="n">
        <v>0</v>
      </c>
      <c r="E74" s="52" t="n">
        <v>0</v>
      </c>
      <c r="F74" s="52" t="n">
        <v>0</v>
      </c>
      <c r="G74" s="52" t="n">
        <v>0</v>
      </c>
      <c r="H74" s="52" t="n">
        <v>0</v>
      </c>
      <c r="I74" s="52" t="n">
        <v>0</v>
      </c>
      <c r="J74" s="52" t="n">
        <v>0</v>
      </c>
      <c r="K74" s="52" t="n">
        <v>0</v>
      </c>
      <c r="L74" s="52" t="n">
        <v>0</v>
      </c>
      <c r="M74" s="52" t="n">
        <v>0</v>
      </c>
      <c r="N74" s="52" t="n">
        <v>0</v>
      </c>
      <c r="O74" s="52" t="n">
        <v>0</v>
      </c>
      <c r="P74" s="52" t="n">
        <v>0</v>
      </c>
      <c r="Q74" s="52" t="n">
        <v>0</v>
      </c>
    </row>
    <row r="75">
      <c r="A75" s="51" t="inlineStr">
        <is>
          <t>Dự phòng các khoản nợ dài hạn</t>
        </is>
      </c>
      <c r="B75" s="52" t="n">
        <v>7076317000</v>
      </c>
      <c r="C75" s="52" t="n">
        <v>3661780000</v>
      </c>
      <c r="D75" s="52" t="n">
        <v>8850709000</v>
      </c>
      <c r="E75" s="52" t="n">
        <v>42861489361</v>
      </c>
      <c r="F75" s="52" t="n">
        <v>9746905000</v>
      </c>
      <c r="G75" s="52" t="n">
        <v>9202074000</v>
      </c>
      <c r="H75" s="52" t="n">
        <v>10363745750</v>
      </c>
      <c r="I75" s="52" t="n">
        <v>12682630000</v>
      </c>
      <c r="J75" s="52" t="n">
        <v>9202074000</v>
      </c>
      <c r="K75" s="52" t="n">
        <v>10363745750</v>
      </c>
      <c r="L75" s="52" t="n">
        <v>10363745750</v>
      </c>
      <c r="M75" s="52" t="n">
        <v>10363745750</v>
      </c>
      <c r="N75" s="52" t="n">
        <v>10146317500</v>
      </c>
      <c r="O75" s="52" t="n">
        <v>12682630000</v>
      </c>
      <c r="P75" s="52" t="n">
        <v>12609554498</v>
      </c>
      <c r="Q75" s="52" t="n">
        <v>10399728000</v>
      </c>
    </row>
    <row r="76">
      <c r="A76" s="51" t="inlineStr">
        <is>
          <t>Doanh thu chưa thực hiện</t>
        </is>
      </c>
      <c r="B76" s="52" t="n">
        <v>0</v>
      </c>
      <c r="C76" s="52" t="n">
        <v>0</v>
      </c>
      <c r="D76" s="52" t="n">
        <v>0</v>
      </c>
      <c r="E76" s="52" t="n">
        <v>0</v>
      </c>
      <c r="F76" s="52" t="n">
        <v>0</v>
      </c>
      <c r="G76" s="52" t="n">
        <v>0</v>
      </c>
      <c r="H76" s="52" t="n">
        <v>0</v>
      </c>
      <c r="I76" s="52" t="n">
        <v>0</v>
      </c>
      <c r="J76" s="52" t="n">
        <v>0</v>
      </c>
      <c r="K76" s="52" t="n">
        <v>0</v>
      </c>
      <c r="L76" s="52" t="n">
        <v>0</v>
      </c>
      <c r="M76" s="52" t="n">
        <v>0</v>
      </c>
      <c r="N76" s="52" t="n">
        <v>0</v>
      </c>
      <c r="O76" s="52" t="n">
        <v>0</v>
      </c>
      <c r="P76" s="52" t="n">
        <v>0</v>
      </c>
      <c r="Q76" s="52" t="n">
        <v>0</v>
      </c>
    </row>
    <row r="77">
      <c r="A77" s="51" t="inlineStr">
        <is>
          <t>Quỹ phát triển khoa học công nghệ</t>
        </is>
      </c>
      <c r="B77" s="52" t="n">
        <v>0</v>
      </c>
      <c r="C77" s="52" t="n">
        <v>0</v>
      </c>
      <c r="D77" s="52" t="n">
        <v>0</v>
      </c>
      <c r="E77" s="52" t="n">
        <v>0</v>
      </c>
      <c r="F77" s="52" t="n">
        <v>0</v>
      </c>
      <c r="G77" s="52" t="n">
        <v>0</v>
      </c>
      <c r="H77" s="52" t="n">
        <v>0</v>
      </c>
      <c r="I77" s="52" t="n">
        <v>0</v>
      </c>
      <c r="J77" s="52" t="n">
        <v>0</v>
      </c>
      <c r="K77" s="52" t="n">
        <v>0</v>
      </c>
      <c r="L77" s="52" t="n">
        <v>0</v>
      </c>
      <c r="M77" s="52" t="n">
        <v>0</v>
      </c>
      <c r="N77" s="52" t="n">
        <v>0</v>
      </c>
      <c r="O77" s="52" t="n">
        <v>0</v>
      </c>
      <c r="P77" s="52" t="n">
        <v>0</v>
      </c>
      <c r="Q77" s="52" t="n">
        <v>0</v>
      </c>
    </row>
    <row r="78">
      <c r="A78" s="51" t="inlineStr">
        <is>
          <t>Vốn chủ sở hữu</t>
        </is>
      </c>
      <c r="B78" s="52" t="n">
        <v>3745073427904</v>
      </c>
      <c r="C78" s="52" t="n">
        <v>4577265811347</v>
      </c>
      <c r="D78" s="52" t="n">
        <v>5241861865008</v>
      </c>
      <c r="E78" s="52" t="n">
        <v>6012633980253</v>
      </c>
      <c r="F78" s="52" t="n">
        <v>8444094654850</v>
      </c>
      <c r="G78" s="52" t="n">
        <v>9806180663976</v>
      </c>
      <c r="H78" s="52" t="n">
        <v>11255306630522</v>
      </c>
      <c r="I78" s="52" t="n">
        <v>13274913459412</v>
      </c>
      <c r="J78" s="52" t="n">
        <v>10524432015303</v>
      </c>
      <c r="K78" s="52" t="n">
        <v>11255306630522</v>
      </c>
      <c r="L78" s="52" t="n">
        <v>11730291418447</v>
      </c>
      <c r="M78" s="52" t="n">
        <v>11969384669261</v>
      </c>
      <c r="N78" s="52" t="n">
        <v>11992021944618</v>
      </c>
      <c r="O78" s="52" t="n">
        <v>13274913459412</v>
      </c>
      <c r="P78" s="52" t="n">
        <v>14401169673756</v>
      </c>
      <c r="Q78" s="52" t="n">
        <v>13456531361466</v>
      </c>
    </row>
    <row r="79">
      <c r="A79" s="51" t="inlineStr">
        <is>
          <t>Vốn và các quỹ</t>
        </is>
      </c>
      <c r="B79" s="52" t="n">
        <v>3745073427904</v>
      </c>
      <c r="C79" s="52" t="n">
        <v>4577265811347</v>
      </c>
      <c r="D79" s="52" t="n">
        <v>5241861865008</v>
      </c>
      <c r="E79" s="52" t="n">
        <v>6012633980253</v>
      </c>
      <c r="F79" s="52" t="n">
        <v>8444094654850</v>
      </c>
      <c r="G79" s="52" t="n">
        <v>9806180663976</v>
      </c>
      <c r="H79" s="52" t="n">
        <v>11255306630522</v>
      </c>
      <c r="I79" s="52" t="n">
        <v>13274913459412</v>
      </c>
      <c r="J79" s="52" t="n">
        <v>10524432015303</v>
      </c>
      <c r="K79" s="52" t="n">
        <v>11255306630522</v>
      </c>
      <c r="L79" s="52" t="n">
        <v>11730291418447</v>
      </c>
      <c r="M79" s="52" t="n">
        <v>11969384669261</v>
      </c>
      <c r="N79" s="52" t="n">
        <v>11992021944618</v>
      </c>
      <c r="O79" s="52" t="n">
        <v>13274913459412</v>
      </c>
      <c r="P79" s="52" t="n">
        <v>14401169673756</v>
      </c>
      <c r="Q79" s="52" t="n">
        <v>13456531361466</v>
      </c>
    </row>
    <row r="80">
      <c r="A80" s="51" t="inlineStr">
        <is>
          <t>Vốn góp</t>
        </is>
      </c>
      <c r="B80" s="52" t="n">
        <v>1670029820000</v>
      </c>
      <c r="C80" s="52" t="n">
        <v>2252935850000</v>
      </c>
      <c r="D80" s="52" t="n">
        <v>2276123620000</v>
      </c>
      <c r="E80" s="52" t="n">
        <v>2276123620000</v>
      </c>
      <c r="F80" s="52" t="n">
        <v>2461716200000</v>
      </c>
      <c r="G80" s="52" t="n">
        <v>3281691880000</v>
      </c>
      <c r="H80" s="52" t="n">
        <v>3380747760000</v>
      </c>
      <c r="I80" s="52" t="n">
        <v>3413186660000</v>
      </c>
      <c r="J80" s="52" t="n">
        <v>3380747760000</v>
      </c>
      <c r="K80" s="52" t="n">
        <v>3380747760000</v>
      </c>
      <c r="L80" s="52" t="n">
        <v>3380747760000</v>
      </c>
      <c r="M80" s="52" t="n">
        <v>3380747760000</v>
      </c>
      <c r="N80" s="52" t="n">
        <v>3380747760000</v>
      </c>
      <c r="O80" s="52" t="n">
        <v>3413186660000</v>
      </c>
      <c r="P80" s="52" t="n">
        <v>3413186660000</v>
      </c>
      <c r="Q80" s="52" t="n">
        <v>5118915180000</v>
      </c>
    </row>
    <row r="81">
      <c r="A81" s="51" t="inlineStr">
        <is>
          <t>Thặng dư vốn cổ phần</t>
        </is>
      </c>
      <c r="B81" s="52" t="n">
        <v>925397862458</v>
      </c>
      <c r="C81" s="52" t="n">
        <v>968074112458</v>
      </c>
      <c r="D81" s="52" t="n">
        <v>991261882458</v>
      </c>
      <c r="E81" s="52" t="n">
        <v>991261882458</v>
      </c>
      <c r="F81" s="52" t="n">
        <v>2251376032458</v>
      </c>
      <c r="G81" s="52" t="n">
        <v>1851376032458</v>
      </c>
      <c r="H81" s="52" t="n">
        <v>1950309912458</v>
      </c>
      <c r="I81" s="52" t="n">
        <v>1982694812458</v>
      </c>
      <c r="J81" s="52" t="n">
        <v>1950309912458</v>
      </c>
      <c r="K81" s="52" t="n">
        <v>1950309912458</v>
      </c>
      <c r="L81" s="52" t="n">
        <v>1950309912458</v>
      </c>
      <c r="M81" s="52" t="n">
        <v>1950309912458</v>
      </c>
      <c r="N81" s="52" t="n">
        <v>1950309912458</v>
      </c>
      <c r="O81" s="52" t="n">
        <v>1982694812458</v>
      </c>
      <c r="P81" s="52" t="n">
        <v>1982694812458</v>
      </c>
      <c r="Q81" s="52" t="n">
        <v>276966292458</v>
      </c>
    </row>
    <row r="82">
      <c r="A82" s="51" t="inlineStr">
        <is>
          <t>Vốn khác</t>
        </is>
      </c>
      <c r="B82" s="52" t="n">
        <v>0</v>
      </c>
      <c r="C82" s="52" t="n">
        <v>0</v>
      </c>
      <c r="D82" s="52" t="n">
        <v>0</v>
      </c>
      <c r="E82" s="52" t="n">
        <v>0</v>
      </c>
      <c r="F82" s="52" t="n">
        <v>0</v>
      </c>
      <c r="G82" s="52" t="n">
        <v>0</v>
      </c>
      <c r="H82" s="52" t="n">
        <v>0</v>
      </c>
      <c r="I82" s="52" t="n">
        <v>0</v>
      </c>
      <c r="J82" s="52" t="n">
        <v>0</v>
      </c>
      <c r="K82" s="52" t="n">
        <v>0</v>
      </c>
      <c r="L82" s="52" t="n">
        <v>0</v>
      </c>
      <c r="M82" s="52" t="n">
        <v>0</v>
      </c>
      <c r="N82" s="52" t="n">
        <v>0</v>
      </c>
      <c r="O82" s="52" t="n">
        <v>0</v>
      </c>
      <c r="P82" s="52" t="n">
        <v>0</v>
      </c>
      <c r="Q82" s="52" t="n">
        <v>500000000000</v>
      </c>
    </row>
    <row r="83">
      <c r="A83" s="51" t="inlineStr">
        <is>
          <t>Cổ phiếu quỹ</t>
        </is>
      </c>
      <c r="B83" s="52" t="n">
        <v>-7090000</v>
      </c>
      <c r="C83" s="52" t="n">
        <v>-2101090000</v>
      </c>
      <c r="D83" s="52" t="n">
        <v>-3384090000</v>
      </c>
      <c r="E83" s="52" t="n">
        <v>-4908890000</v>
      </c>
      <c r="F83" s="52" t="n">
        <v>-3384090000</v>
      </c>
      <c r="G83" s="52" t="n">
        <v>-3384090000</v>
      </c>
      <c r="H83" s="52" t="n">
        <v>-3384090000</v>
      </c>
      <c r="I83" s="52" t="n">
        <v>-3384090000</v>
      </c>
      <c r="J83" s="52" t="n">
        <v>-3384090000</v>
      </c>
      <c r="K83" s="52" t="n">
        <v>-3384090000</v>
      </c>
      <c r="L83" s="52" t="n">
        <v>-3384090000</v>
      </c>
      <c r="M83" s="52" t="n">
        <v>-3384090000</v>
      </c>
      <c r="N83" s="52" t="n">
        <v>-3384090000</v>
      </c>
      <c r="O83" s="52" t="n">
        <v>-3384090000</v>
      </c>
      <c r="P83" s="52" t="n">
        <v>-3384090000</v>
      </c>
      <c r="Q83" s="52" t="n">
        <v>-3384090000</v>
      </c>
    </row>
    <row r="84">
      <c r="A84" s="51" t="inlineStr">
        <is>
          <t>Chênh lệch đánh giá lại tài sản</t>
        </is>
      </c>
      <c r="B84" s="52" t="n">
        <v>0</v>
      </c>
      <c r="C84" s="52" t="n">
        <v>0</v>
      </c>
      <c r="D84" s="52" t="n">
        <v>0</v>
      </c>
      <c r="E84" s="52" t="n">
        <v>0</v>
      </c>
      <c r="F84" s="52" t="n">
        <v>0</v>
      </c>
      <c r="G84" s="52" t="n">
        <v>0</v>
      </c>
      <c r="H84" s="52" t="n">
        <v>0</v>
      </c>
      <c r="I84" s="52" t="n">
        <v>0</v>
      </c>
      <c r="J84" s="52" t="n">
        <v>0</v>
      </c>
      <c r="K84" s="52" t="n">
        <v>0</v>
      </c>
      <c r="L84" s="52" t="n">
        <v>0</v>
      </c>
      <c r="M84" s="52" t="n">
        <v>0</v>
      </c>
      <c r="N84" s="52" t="n">
        <v>0</v>
      </c>
      <c r="O84" s="52" t="n">
        <v>0</v>
      </c>
      <c r="P84" s="52" t="n">
        <v>0</v>
      </c>
      <c r="Q84" s="52" t="n">
        <v>0</v>
      </c>
    </row>
    <row r="85">
      <c r="A85" s="51" t="inlineStr">
        <is>
          <t>Chênh lệch tỷ giá</t>
        </is>
      </c>
      <c r="B85" s="52" t="n">
        <v>0</v>
      </c>
      <c r="C85" s="52" t="n">
        <v>0</v>
      </c>
      <c r="D85" s="52" t="n">
        <v>0</v>
      </c>
      <c r="E85" s="52" t="n">
        <v>0</v>
      </c>
      <c r="F85" s="52" t="n">
        <v>0</v>
      </c>
      <c r="G85" s="52" t="n">
        <v>0</v>
      </c>
      <c r="H85" s="52" t="n">
        <v>0</v>
      </c>
      <c r="I85" s="52" t="n">
        <v>0</v>
      </c>
      <c r="J85" s="52" t="n">
        <v>0</v>
      </c>
      <c r="K85" s="52" t="n">
        <v>0</v>
      </c>
      <c r="L85" s="52" t="n">
        <v>0</v>
      </c>
      <c r="M85" s="52" t="n">
        <v>0</v>
      </c>
      <c r="N85" s="52" t="n">
        <v>0</v>
      </c>
      <c r="O85" s="52" t="n">
        <v>0</v>
      </c>
      <c r="P85" s="52" t="n">
        <v>0</v>
      </c>
      <c r="Q85" s="52" t="n">
        <v>0</v>
      </c>
    </row>
    <row r="86">
      <c r="A86" s="51" t="inlineStr">
        <is>
          <t>Quỹ đầu tư và phát triển</t>
        </is>
      </c>
      <c r="B86" s="52" t="n">
        <v>265087556918</v>
      </c>
      <c r="C86" s="52" t="n">
        <v>313083556918</v>
      </c>
      <c r="D86" s="52" t="n">
        <v>372779556918</v>
      </c>
      <c r="E86" s="52" t="n">
        <v>800503556918</v>
      </c>
      <c r="F86" s="52" t="n">
        <v>1212120556918</v>
      </c>
      <c r="G86" s="52" t="n">
        <v>1936397556918</v>
      </c>
      <c r="H86" s="52" t="n">
        <v>2626281556918</v>
      </c>
      <c r="I86" s="52" t="n">
        <v>3471447556918</v>
      </c>
      <c r="J86" s="52" t="n">
        <v>2626281556918</v>
      </c>
      <c r="K86" s="52" t="n">
        <v>2626281556918</v>
      </c>
      <c r="L86" s="52" t="n">
        <v>2626281556918</v>
      </c>
      <c r="M86" s="52" t="n">
        <v>3471447556918</v>
      </c>
      <c r="N86" s="52" t="n">
        <v>3471447556918</v>
      </c>
      <c r="O86" s="52" t="n">
        <v>3471447556918</v>
      </c>
      <c r="P86" s="52" t="n">
        <v>3471447556918</v>
      </c>
      <c r="Q86" s="52" t="n">
        <v>4602846556918</v>
      </c>
    </row>
    <row r="87">
      <c r="A87" s="51" t="inlineStr">
        <is>
          <t>Quỹ dự phòng tài chính</t>
        </is>
      </c>
      <c r="B87" s="52" t="n">
        <v>0</v>
      </c>
      <c r="C87" s="52" t="n">
        <v>0</v>
      </c>
      <c r="D87" s="52" t="n">
        <v>0</v>
      </c>
      <c r="E87" s="52" t="n">
        <v>0</v>
      </c>
      <c r="F87" s="52" t="n">
        <v>0</v>
      </c>
      <c r="G87" s="52" t="n">
        <v>0</v>
      </c>
      <c r="H87" s="52" t="n">
        <v>0</v>
      </c>
      <c r="I87" s="52" t="n">
        <v>0</v>
      </c>
      <c r="J87" s="52" t="n">
        <v>0</v>
      </c>
      <c r="K87" s="52" t="n">
        <v>0</v>
      </c>
      <c r="L87" s="52" t="n">
        <v>0</v>
      </c>
      <c r="M87" s="52" t="n">
        <v>0</v>
      </c>
      <c r="N87" s="52" t="n">
        <v>0</v>
      </c>
      <c r="O87" s="52" t="n">
        <v>0</v>
      </c>
      <c r="P87" s="52" t="n">
        <v>0</v>
      </c>
      <c r="Q87" s="52" t="n">
        <v>0</v>
      </c>
    </row>
    <row r="88">
      <c r="A88" s="51" t="inlineStr">
        <is>
          <t>Quỹ khác</t>
        </is>
      </c>
      <c r="B88" s="52" t="n">
        <v>0</v>
      </c>
      <c r="C88" s="52" t="n">
        <v>0</v>
      </c>
      <c r="D88" s="52" t="n">
        <v>0</v>
      </c>
      <c r="E88" s="52" t="n">
        <v>0</v>
      </c>
      <c r="F88" s="52" t="n">
        <v>0</v>
      </c>
      <c r="G88" s="52" t="n">
        <v>0</v>
      </c>
      <c r="H88" s="52" t="n">
        <v>0</v>
      </c>
      <c r="I88" s="52" t="n">
        <v>0</v>
      </c>
      <c r="J88" s="52" t="n">
        <v>0</v>
      </c>
      <c r="K88" s="52" t="n">
        <v>0</v>
      </c>
      <c r="L88" s="52" t="n">
        <v>0</v>
      </c>
      <c r="M88" s="52" t="n">
        <v>0</v>
      </c>
      <c r="N88" s="52" t="n">
        <v>0</v>
      </c>
      <c r="O88" s="52" t="n">
        <v>0</v>
      </c>
      <c r="P88" s="52" t="n">
        <v>0</v>
      </c>
      <c r="Q88" s="52" t="n">
        <v>0</v>
      </c>
    </row>
    <row r="89">
      <c r="A89" s="51" t="inlineStr">
        <is>
          <t>Lãi chưa phân phối</t>
        </is>
      </c>
      <c r="B89" s="52" t="n">
        <v>884565278528</v>
      </c>
      <c r="C89" s="52" t="n">
        <v>1045273381971</v>
      </c>
      <c r="D89" s="52" t="n">
        <v>1605080895632</v>
      </c>
      <c r="E89" s="52" t="n">
        <v>1949653810877</v>
      </c>
      <c r="F89" s="52" t="n">
        <v>2522265955474</v>
      </c>
      <c r="G89" s="52" t="n">
        <v>2740099284600</v>
      </c>
      <c r="H89" s="52" t="n">
        <v>3301351491146</v>
      </c>
      <c r="I89" s="52" t="n">
        <v>4410968520036</v>
      </c>
      <c r="J89" s="52" t="n">
        <v>2570476875927</v>
      </c>
      <c r="K89" s="52" t="n">
        <v>3301351491146</v>
      </c>
      <c r="L89" s="52" t="n">
        <v>3776336279071</v>
      </c>
      <c r="M89" s="52" t="n">
        <v>3170263529885</v>
      </c>
      <c r="N89" s="52" t="n">
        <v>3192900805242</v>
      </c>
      <c r="O89" s="52" t="n">
        <v>4410968520036</v>
      </c>
      <c r="P89" s="52" t="n">
        <v>5537224734380</v>
      </c>
      <c r="Q89" s="52" t="n">
        <v>2943831201908</v>
      </c>
    </row>
    <row r="90">
      <c r="A90" s="51" t="inlineStr">
        <is>
          <t>Quỹ hỗ trợ sắp xếp doanh nghiệp</t>
        </is>
      </c>
      <c r="B90" s="52" t="n">
        <v>0</v>
      </c>
      <c r="C90" s="52" t="n">
        <v>0</v>
      </c>
      <c r="D90" s="52" t="n">
        <v>0</v>
      </c>
      <c r="E90" s="52" t="n">
        <v>0</v>
      </c>
      <c r="F90" s="52" t="n">
        <v>0</v>
      </c>
      <c r="G90" s="52" t="n">
        <v>0</v>
      </c>
      <c r="H90" s="52" t="n">
        <v>0</v>
      </c>
      <c r="I90" s="52" t="n">
        <v>0</v>
      </c>
      <c r="J90" s="52" t="n">
        <v>0</v>
      </c>
      <c r="K90" s="52" t="n">
        <v>0</v>
      </c>
      <c r="L90" s="52" t="n">
        <v>0</v>
      </c>
      <c r="M90" s="52" t="n">
        <v>0</v>
      </c>
      <c r="N90" s="52" t="n">
        <v>0</v>
      </c>
      <c r="O90" s="52" t="n">
        <v>0</v>
      </c>
      <c r="P90" s="52" t="n">
        <v>0</v>
      </c>
      <c r="Q90" s="52" t="n">
        <v>0</v>
      </c>
    </row>
    <row r="91">
      <c r="A91" s="51" t="inlineStr">
        <is>
          <t>Vốn Ngân sách nhà nước và quỹ khác</t>
        </is>
      </c>
      <c r="B91" s="52" t="n">
        <v>0</v>
      </c>
      <c r="C91" s="52" t="n">
        <v>0</v>
      </c>
      <c r="D91" s="52" t="n">
        <v>0</v>
      </c>
      <c r="E91" s="52" t="n">
        <v>0</v>
      </c>
      <c r="F91" s="52" t="n">
        <v>0</v>
      </c>
      <c r="G91" s="52" t="n">
        <v>0</v>
      </c>
      <c r="H91" s="52" t="n">
        <v>0</v>
      </c>
      <c r="I91" s="52" t="n">
        <v>0</v>
      </c>
      <c r="J91" s="52" t="n">
        <v>0</v>
      </c>
      <c r="K91" s="52" t="n">
        <v>0</v>
      </c>
      <c r="L91" s="52" t="n">
        <v>0</v>
      </c>
      <c r="M91" s="52" t="n">
        <v>0</v>
      </c>
      <c r="N91" s="52" t="n">
        <v>0</v>
      </c>
      <c r="O91" s="52" t="n">
        <v>0</v>
      </c>
      <c r="P91" s="52" t="n">
        <v>0</v>
      </c>
      <c r="Q91" s="52" t="n">
        <v>0</v>
      </c>
    </row>
    <row r="92">
      <c r="A92" s="51" t="inlineStr">
        <is>
          <t>Quỹ khen thưởng, phúc lợi (trước 2010)</t>
        </is>
      </c>
      <c r="B92" s="52" t="n">
        <v>0</v>
      </c>
      <c r="C92" s="52" t="n">
        <v>0</v>
      </c>
      <c r="D92" s="52" t="n">
        <v>0</v>
      </c>
      <c r="E92" s="52" t="n">
        <v>0</v>
      </c>
      <c r="F92" s="52" t="n">
        <v>0</v>
      </c>
      <c r="G92" s="52" t="n">
        <v>0</v>
      </c>
      <c r="H92" s="52" t="n">
        <v>0</v>
      </c>
      <c r="I92" s="52" t="n">
        <v>0</v>
      </c>
      <c r="J92" s="52" t="n">
        <v>0</v>
      </c>
      <c r="K92" s="52" t="n">
        <v>0</v>
      </c>
      <c r="L92" s="52" t="n">
        <v>0</v>
      </c>
      <c r="M92" s="52" t="n">
        <v>0</v>
      </c>
      <c r="N92" s="52" t="n">
        <v>0</v>
      </c>
      <c r="O92" s="52" t="n">
        <v>0</v>
      </c>
      <c r="P92" s="52" t="n">
        <v>0</v>
      </c>
      <c r="Q92" s="52" t="n">
        <v>0</v>
      </c>
    </row>
    <row r="93">
      <c r="A93" s="51" t="inlineStr">
        <is>
          <t>Vốn ngân sách nhà nước và quỹ khác</t>
        </is>
      </c>
      <c r="B93" s="52" t="n">
        <v>0</v>
      </c>
      <c r="C93" s="52" t="n">
        <v>0</v>
      </c>
      <c r="D93" s="52" t="n">
        <v>0</v>
      </c>
      <c r="E93" s="52" t="n">
        <v>0</v>
      </c>
      <c r="F93" s="52" t="n">
        <v>0</v>
      </c>
      <c r="G93" s="52" t="n">
        <v>0</v>
      </c>
      <c r="H93" s="52" t="n">
        <v>0</v>
      </c>
      <c r="I93" s="52" t="n">
        <v>0</v>
      </c>
      <c r="J93" s="52" t="n">
        <v>0</v>
      </c>
      <c r="K93" s="52" t="n">
        <v>0</v>
      </c>
      <c r="L93" s="52" t="n">
        <v>0</v>
      </c>
      <c r="M93" s="52" t="n">
        <v>0</v>
      </c>
      <c r="N93" s="52" t="n">
        <v>0</v>
      </c>
      <c r="O93" s="52" t="n">
        <v>0</v>
      </c>
      <c r="P93" s="52" t="n">
        <v>0</v>
      </c>
      <c r="Q93" s="52" t="n">
        <v>0</v>
      </c>
    </row>
    <row r="94">
      <c r="A94" s="51" t="inlineStr">
        <is>
          <t>Lợi ích của cổ đông thiểu số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</v>
      </c>
      <c r="J94" s="52" t="n">
        <v>0</v>
      </c>
      <c r="K94" s="52" t="n">
        <v>0</v>
      </c>
      <c r="L94" s="52" t="n">
        <v>0</v>
      </c>
      <c r="M94" s="52" t="n">
        <v>0</v>
      </c>
      <c r="N94" s="52" t="n">
        <v>0</v>
      </c>
      <c r="O94" s="52" t="n">
        <v>0</v>
      </c>
      <c r="P94" s="52" t="n">
        <v>0</v>
      </c>
      <c r="Q94" s="52" t="n">
        <v>0</v>
      </c>
    </row>
    <row r="95">
      <c r="A95" s="51" t="inlineStr">
        <is>
          <t>Tổng cộng nguồn vốn</t>
        </is>
      </c>
      <c r="B95" s="52" t="n">
        <v>6437895556604</v>
      </c>
      <c r="C95" s="52" t="n">
        <v>8602964421816</v>
      </c>
      <c r="D95" s="52" t="n">
        <v>8483146098451</v>
      </c>
      <c r="E95" s="52" t="n">
        <v>10619016547122</v>
      </c>
      <c r="F95" s="52" t="n">
        <v>13337124649246</v>
      </c>
      <c r="G95" s="52" t="n">
        <v>14427558015356</v>
      </c>
      <c r="H95" s="52" t="n">
        <v>17207730777685</v>
      </c>
      <c r="I95" s="52" t="n">
        <v>20163630247041</v>
      </c>
      <c r="J95" s="52" t="n">
        <v>14962485284027</v>
      </c>
      <c r="K95" s="52" t="n">
        <v>17207730777685</v>
      </c>
      <c r="L95" s="52" t="n">
        <v>17419317312849</v>
      </c>
      <c r="M95" s="52" t="n">
        <v>17153777037791</v>
      </c>
      <c r="N95" s="52" t="n">
        <v>17050707690220</v>
      </c>
      <c r="O95" s="52" t="n">
        <v>20163630247041</v>
      </c>
      <c r="P95" s="52" t="n">
        <v>19692785555789</v>
      </c>
      <c r="Q95" s="52" t="n">
        <v>21595833814316</v>
      </c>
    </row>
    <row r="96">
      <c r="A96" s="51" t="inlineStr">
        <is>
          <t>Cổ phiếu ưu đãi</t>
        </is>
      </c>
      <c r="B96" s="52" t="n">
        <v>0</v>
      </c>
      <c r="C96" s="52" t="n">
        <v>0</v>
      </c>
      <c r="D96" s="52" t="n">
        <v>0</v>
      </c>
      <c r="E96" s="52" t="n">
        <v>0</v>
      </c>
      <c r="F96" s="52" t="n">
        <v>0</v>
      </c>
      <c r="G96" s="52" t="n">
        <v>0</v>
      </c>
      <c r="H96" s="52" t="n">
        <v>0</v>
      </c>
      <c r="I96" s="52" t="n">
        <v>0</v>
      </c>
      <c r="J96" s="52" t="n">
        <v>0</v>
      </c>
      <c r="K96" s="52" t="n">
        <v>0</v>
      </c>
      <c r="L96" s="52" t="n">
        <v>0</v>
      </c>
      <c r="M96" s="52" t="n">
        <v>0</v>
      </c>
      <c r="N96" s="52" t="n">
        <v>0</v>
      </c>
      <c r="O96" s="52" t="n">
        <v>0</v>
      </c>
      <c r="P96" s="52" t="n">
        <v>0</v>
      </c>
      <c r="Q96" s="52" t="n">
        <v>0</v>
      </c>
    </row>
    <row r="97">
      <c r="A97" s="51" t="inlineStr">
        <is>
          <t>Đầu tư nắm giữ đến ngày đáo hạn</t>
        </is>
      </c>
      <c r="B97" s="52" t="n">
        <v>0</v>
      </c>
      <c r="C97" s="52" t="n">
        <v>0</v>
      </c>
      <c r="D97" s="52" t="n">
        <v>0</v>
      </c>
      <c r="E97" s="52" t="n">
        <v>0</v>
      </c>
      <c r="F97" s="52" t="n">
        <v>0</v>
      </c>
      <c r="G97" s="52" t="n">
        <v>0</v>
      </c>
      <c r="H97" s="52" t="n">
        <v>0</v>
      </c>
      <c r="I97" s="52" t="n">
        <v>0</v>
      </c>
      <c r="J97" s="52" t="n">
        <v>0</v>
      </c>
      <c r="K97" s="52" t="n">
        <v>0</v>
      </c>
      <c r="L97" s="52" t="n">
        <v>0</v>
      </c>
      <c r="M97" s="52" t="n">
        <v>0</v>
      </c>
      <c r="N97" s="52" t="n">
        <v>0</v>
      </c>
      <c r="O97" s="52" t="n">
        <v>0</v>
      </c>
      <c r="P97" s="52" t="n">
        <v>0</v>
      </c>
      <c r="Q97" s="52" t="n">
        <v>0</v>
      </c>
    </row>
    <row r="98">
      <c r="A98" s="51" t="inlineStr">
        <is>
          <t>Vốn kinh doanh ở các đơn vị trực thuộc</t>
        </is>
      </c>
      <c r="B98" s="52" t="n">
        <v>0</v>
      </c>
      <c r="C98" s="52" t="n">
        <v>0</v>
      </c>
      <c r="D98" s="52" t="n">
        <v>0</v>
      </c>
      <c r="E98" s="52" t="n">
        <v>0</v>
      </c>
      <c r="F98" s="52" t="n">
        <v>0</v>
      </c>
      <c r="G98" s="52" t="n">
        <v>0</v>
      </c>
      <c r="H98" s="52" t="n">
        <v>0</v>
      </c>
      <c r="I98" s="52" t="n">
        <v>0</v>
      </c>
      <c r="J98" s="52" t="n">
        <v>0</v>
      </c>
      <c r="K98" s="52" t="n">
        <v>0</v>
      </c>
      <c r="L98" s="52" t="n">
        <v>0</v>
      </c>
      <c r="M98" s="52" t="n">
        <v>0</v>
      </c>
      <c r="N98" s="52" t="n">
        <v>0</v>
      </c>
      <c r="O98" s="52" t="n">
        <v>0</v>
      </c>
      <c r="P98" s="52" t="n">
        <v>0</v>
      </c>
      <c r="Q98" s="52" t="n">
        <v>0</v>
      </c>
    </row>
    <row r="99">
      <c r="A99" s="51" t="inlineStr">
        <is>
          <t>Tài sản thiếu cần xử lý</t>
        </is>
      </c>
      <c r="B99" s="52" t="n">
        <v>391509842</v>
      </c>
      <c r="C99" s="52" t="n">
        <v>1240040389</v>
      </c>
      <c r="D99" s="52" t="n">
        <v>128327047</v>
      </c>
      <c r="E99" s="52" t="n">
        <v>553186190</v>
      </c>
      <c r="F99" s="52" t="n">
        <v>666596536</v>
      </c>
      <c r="G99" s="52" t="n">
        <v>52235556</v>
      </c>
      <c r="H99" s="52" t="n">
        <v>831677115</v>
      </c>
      <c r="I99" s="52" t="n">
        <v>372199982</v>
      </c>
      <c r="J99" s="52" t="n">
        <v>362906526</v>
      </c>
      <c r="K99" s="52" t="n">
        <v>831677115</v>
      </c>
      <c r="L99" s="52" t="n">
        <v>278495990</v>
      </c>
      <c r="M99" s="52" t="n">
        <v>134183842</v>
      </c>
      <c r="N99" s="52" t="n">
        <v>251139267</v>
      </c>
      <c r="O99" s="52" t="n">
        <v>372199982</v>
      </c>
      <c r="P99" s="52" t="n">
        <v>165151101</v>
      </c>
      <c r="Q99" s="52" t="n">
        <v>33927955</v>
      </c>
    </row>
    <row r="100">
      <c r="A100" s="51" t="inlineStr">
        <is>
          <t>Phải thu cho vay ngắn hạn</t>
        </is>
      </c>
      <c r="B100" s="52" t="n">
        <v>0</v>
      </c>
      <c r="C100" s="52" t="n">
        <v>0</v>
      </c>
      <c r="D100" s="52" t="n">
        <v>0</v>
      </c>
      <c r="E100" s="52" t="n">
        <v>0</v>
      </c>
      <c r="F100" s="52" t="n">
        <v>140000000000</v>
      </c>
      <c r="G100" s="52" t="n">
        <v>90000000000</v>
      </c>
      <c r="H100" s="52" t="n">
        <v>40000000000</v>
      </c>
      <c r="I100" s="52" t="n">
        <v>8000000000</v>
      </c>
      <c r="J100" s="52" t="n">
        <v>40000000000</v>
      </c>
      <c r="K100" s="52" t="n">
        <v>40000000000</v>
      </c>
      <c r="L100" s="52" t="n">
        <v>40000000000</v>
      </c>
      <c r="M100" s="52" t="n">
        <v>0</v>
      </c>
      <c r="N100" s="52" t="n">
        <v>40000000000</v>
      </c>
      <c r="O100" s="52" t="n">
        <v>8000000000</v>
      </c>
      <c r="P100" s="52" t="n">
        <v>0</v>
      </c>
      <c r="Q100" s="52" t="n">
        <v>0</v>
      </c>
    </row>
    <row r="101">
      <c r="A101" s="51" t="inlineStr">
        <is>
          <t>Giao dịch mua bán lại trái phiếu Chính phủ</t>
        </is>
      </c>
      <c r="B101" s="52" t="n">
        <v>0</v>
      </c>
      <c r="C101" s="52" t="n">
        <v>0</v>
      </c>
      <c r="D101" s="52" t="n">
        <v>0</v>
      </c>
      <c r="E101" s="52" t="n">
        <v>0</v>
      </c>
      <c r="F101" s="52" t="n">
        <v>0</v>
      </c>
      <c r="G101" s="52" t="n">
        <v>0</v>
      </c>
      <c r="H101" s="52" t="n">
        <v>0</v>
      </c>
      <c r="I101" s="52" t="n">
        <v>0</v>
      </c>
      <c r="J101" s="52" t="n">
        <v>0</v>
      </c>
      <c r="K101" s="52" t="n">
        <v>0</v>
      </c>
      <c r="L101" s="52" t="n">
        <v>0</v>
      </c>
      <c r="M101" s="52" t="n">
        <v>0</v>
      </c>
      <c r="N101" s="52" t="n">
        <v>0</v>
      </c>
      <c r="O101" s="52" t="n">
        <v>0</v>
      </c>
      <c r="P101" s="52" t="n">
        <v>0</v>
      </c>
      <c r="Q101" s="52" t="n">
        <v>0</v>
      </c>
    </row>
    <row r="102">
      <c r="A102" s="51" t="inlineStr">
        <is>
          <t>Trả trước người bán dài hạn</t>
        </is>
      </c>
      <c r="B102" s="52" t="n">
        <v>0</v>
      </c>
      <c r="C102" s="52" t="n">
        <v>0</v>
      </c>
      <c r="D102" s="52" t="n">
        <v>0</v>
      </c>
      <c r="E102" s="52" t="n">
        <v>0</v>
      </c>
      <c r="F102" s="52" t="n">
        <v>0</v>
      </c>
      <c r="G102" s="52" t="n">
        <v>0</v>
      </c>
      <c r="H102" s="52" t="n">
        <v>0</v>
      </c>
      <c r="I102" s="52" t="n">
        <v>0</v>
      </c>
      <c r="J102" s="52" t="n">
        <v>0</v>
      </c>
      <c r="K102" s="52" t="n">
        <v>0</v>
      </c>
      <c r="L102" s="52" t="n">
        <v>0</v>
      </c>
      <c r="M102" s="52" t="n">
        <v>0</v>
      </c>
      <c r="N102" s="52" t="n">
        <v>0</v>
      </c>
      <c r="O102" s="52" t="n">
        <v>0</v>
      </c>
      <c r="P102" s="52" t="n">
        <v>0</v>
      </c>
      <c r="Q102" s="52" t="n">
        <v>0</v>
      </c>
    </row>
    <row r="103">
      <c r="A103" s="51" t="inlineStr">
        <is>
          <t>Phải thu cho vay dài hạn</t>
        </is>
      </c>
      <c r="B103" s="52" t="n">
        <v>0</v>
      </c>
      <c r="C103" s="52" t="n">
        <v>0</v>
      </c>
      <c r="D103" s="52" t="n">
        <v>0</v>
      </c>
      <c r="E103" s="52" t="n">
        <v>0</v>
      </c>
      <c r="F103" s="52" t="n">
        <v>0</v>
      </c>
      <c r="G103" s="52" t="n">
        <v>0</v>
      </c>
      <c r="H103" s="52" t="n">
        <v>0</v>
      </c>
      <c r="I103" s="52" t="n">
        <v>0</v>
      </c>
      <c r="J103" s="52" t="n">
        <v>0</v>
      </c>
      <c r="K103" s="52" t="n">
        <v>0</v>
      </c>
      <c r="L103" s="52" t="n">
        <v>0</v>
      </c>
      <c r="M103" s="52" t="n">
        <v>0</v>
      </c>
      <c r="N103" s="52" t="n">
        <v>0</v>
      </c>
      <c r="O103" s="52" t="n">
        <v>0</v>
      </c>
      <c r="P103" s="52" t="n">
        <v>0</v>
      </c>
      <c r="Q103" s="52" t="n">
        <v>0</v>
      </c>
    </row>
    <row r="104">
      <c r="A104" s="51" t="inlineStr">
        <is>
          <t>Tài sản dở dang dài hạn</t>
        </is>
      </c>
      <c r="B104" s="52" t="n">
        <v>70822681154</v>
      </c>
      <c r="C104" s="52" t="n">
        <v>28457398434</v>
      </c>
      <c r="D104" s="52" t="n">
        <v>33003867003</v>
      </c>
      <c r="E104" s="52" t="n">
        <v>30795369850</v>
      </c>
      <c r="F104" s="52" t="n">
        <v>30826629189</v>
      </c>
      <c r="G104" s="52" t="n">
        <v>29100048410</v>
      </c>
      <c r="H104" s="52" t="n">
        <v>64702641159</v>
      </c>
      <c r="I104" s="52" t="n">
        <v>94707660034</v>
      </c>
      <c r="J104" s="52" t="n">
        <v>37050822693</v>
      </c>
      <c r="K104" s="52" t="n">
        <v>64702641159</v>
      </c>
      <c r="L104" s="52" t="n">
        <v>30407760404</v>
      </c>
      <c r="M104" s="52" t="n">
        <v>55934948964</v>
      </c>
      <c r="N104" s="52" t="n">
        <v>30739297364</v>
      </c>
      <c r="O104" s="52" t="n">
        <v>94707660034</v>
      </c>
      <c r="P104" s="52" t="n">
        <v>32356660034</v>
      </c>
      <c r="Q104" s="52" t="n">
        <v>31096002100</v>
      </c>
    </row>
    <row r="105">
      <c r="A105" s="51" t="inlineStr">
        <is>
          <t>Chi phí sản xuất, kinh doanh dở dang dài hạn</t>
        </is>
      </c>
      <c r="B105" s="52" t="n">
        <v>0</v>
      </c>
      <c r="C105" s="52" t="n">
        <v>0</v>
      </c>
      <c r="D105" s="52" t="n">
        <v>0</v>
      </c>
      <c r="E105" s="52" t="n">
        <v>0</v>
      </c>
      <c r="F105" s="52" t="n">
        <v>0</v>
      </c>
      <c r="G105" s="52" t="n">
        <v>0</v>
      </c>
      <c r="H105" s="52" t="n">
        <v>0</v>
      </c>
      <c r="I105" s="52" t="n">
        <v>0</v>
      </c>
      <c r="J105" s="52" t="n">
        <v>0</v>
      </c>
      <c r="K105" s="52" t="n">
        <v>0</v>
      </c>
      <c r="L105" s="52" t="n">
        <v>0</v>
      </c>
      <c r="M105" s="52" t="n">
        <v>0</v>
      </c>
      <c r="N105" s="52" t="n">
        <v>0</v>
      </c>
      <c r="O105" s="52" t="n">
        <v>0</v>
      </c>
      <c r="P105" s="52" t="n">
        <v>0</v>
      </c>
      <c r="Q105" s="52" t="n">
        <v>0</v>
      </c>
    </row>
    <row r="106">
      <c r="A106" s="51" t="inlineStr">
        <is>
          <t>Đầu tư nắm giữ đến ngày đáo hạn</t>
        </is>
      </c>
      <c r="B106" s="52" t="n"/>
      <c r="C106" s="52" t="n"/>
      <c r="D106" s="52" t="n"/>
      <c r="E106" s="52" t="n"/>
      <c r="F106" s="52" t="n">
        <v>0</v>
      </c>
      <c r="G106" s="52" t="n">
        <v>0</v>
      </c>
      <c r="H106" s="52" t="n">
        <v>0</v>
      </c>
      <c r="I106" s="52" t="n">
        <v>0</v>
      </c>
      <c r="J106" s="52" t="n"/>
      <c r="K106" s="52" t="n"/>
      <c r="L106" s="52" t="n"/>
      <c r="M106" s="52" t="n"/>
      <c r="N106" s="52" t="n"/>
      <c r="O106" s="52" t="n"/>
      <c r="P106" s="52" t="n"/>
      <c r="Q106" s="52" t="n"/>
    </row>
    <row r="107">
      <c r="A107" s="51" t="inlineStr">
        <is>
          <t>Thiết bị, vật tư, phụ tùng thay thế dài hạn</t>
        </is>
      </c>
      <c r="B107" s="52" t="n">
        <v>0</v>
      </c>
      <c r="C107" s="52" t="n">
        <v>0</v>
      </c>
      <c r="D107" s="52" t="n">
        <v>0</v>
      </c>
      <c r="E107" s="52" t="n">
        <v>0</v>
      </c>
      <c r="F107" s="52" t="n">
        <v>0</v>
      </c>
      <c r="G107" s="52" t="n">
        <v>0</v>
      </c>
      <c r="H107" s="52" t="n">
        <v>0</v>
      </c>
      <c r="I107" s="52" t="n">
        <v>0</v>
      </c>
      <c r="J107" s="52" t="n">
        <v>0</v>
      </c>
      <c r="K107" s="52" t="n">
        <v>0</v>
      </c>
      <c r="L107" s="52" t="n">
        <v>0</v>
      </c>
      <c r="M107" s="52" t="n">
        <v>0</v>
      </c>
      <c r="N107" s="52" t="n">
        <v>0</v>
      </c>
      <c r="O107" s="52" t="n">
        <v>0</v>
      </c>
      <c r="P107" s="52" t="n">
        <v>0</v>
      </c>
      <c r="Q107" s="52" t="n">
        <v>0</v>
      </c>
    </row>
    <row r="108">
      <c r="A108" s="51" t="inlineStr">
        <is>
          <t>Doanh thu chưa thực hiện ngắn hạn</t>
        </is>
      </c>
      <c r="B108" s="52" t="n">
        <v>0</v>
      </c>
      <c r="C108" s="52" t="n">
        <v>0</v>
      </c>
      <c r="D108" s="52" t="n">
        <v>0</v>
      </c>
      <c r="E108" s="52" t="n">
        <v>0</v>
      </c>
      <c r="F108" s="52" t="n">
        <v>0</v>
      </c>
      <c r="G108" s="52" t="n">
        <v>0</v>
      </c>
      <c r="H108" s="52" t="n">
        <v>0</v>
      </c>
      <c r="I108" s="52" t="n">
        <v>0</v>
      </c>
      <c r="J108" s="52" t="n">
        <v>0</v>
      </c>
      <c r="K108" s="52" t="n">
        <v>0</v>
      </c>
      <c r="L108" s="52" t="n">
        <v>0</v>
      </c>
      <c r="M108" s="52" t="n">
        <v>0</v>
      </c>
      <c r="N108" s="52" t="n">
        <v>0</v>
      </c>
      <c r="O108" s="52" t="n">
        <v>0</v>
      </c>
      <c r="P108" s="52" t="n">
        <v>0</v>
      </c>
      <c r="Q108" s="52" t="n">
        <v>0</v>
      </c>
    </row>
    <row r="109">
      <c r="A109" s="51" t="inlineStr">
        <is>
          <t>Quỹ bình ổn giá</t>
        </is>
      </c>
      <c r="B109" s="52" t="n">
        <v>0</v>
      </c>
      <c r="C109" s="52" t="n">
        <v>0</v>
      </c>
      <c r="D109" s="52" t="n">
        <v>0</v>
      </c>
      <c r="E109" s="52" t="n">
        <v>0</v>
      </c>
      <c r="F109" s="52" t="n">
        <v>0</v>
      </c>
      <c r="G109" s="52" t="n">
        <v>0</v>
      </c>
      <c r="H109" s="52" t="n">
        <v>0</v>
      </c>
      <c r="I109" s="52" t="n">
        <v>0</v>
      </c>
      <c r="J109" s="52" t="n">
        <v>0</v>
      </c>
      <c r="K109" s="52" t="n">
        <v>0</v>
      </c>
      <c r="L109" s="52" t="n">
        <v>0</v>
      </c>
      <c r="M109" s="52" t="n">
        <v>0</v>
      </c>
      <c r="N109" s="52" t="n">
        <v>0</v>
      </c>
      <c r="O109" s="52" t="n">
        <v>0</v>
      </c>
      <c r="P109" s="52" t="n">
        <v>0</v>
      </c>
      <c r="Q109" s="52" t="n">
        <v>0</v>
      </c>
    </row>
    <row r="110">
      <c r="A110" s="51" t="inlineStr">
        <is>
          <t>Giao dịch mua bán lại trái phiếu chính phủ</t>
        </is>
      </c>
      <c r="B110" s="52" t="n">
        <v>0</v>
      </c>
      <c r="C110" s="52" t="n">
        <v>0</v>
      </c>
      <c r="D110" s="52" t="n">
        <v>0</v>
      </c>
      <c r="E110" s="52" t="n">
        <v>0</v>
      </c>
      <c r="F110" s="52" t="n">
        <v>0</v>
      </c>
      <c r="G110" s="52" t="n">
        <v>0</v>
      </c>
      <c r="H110" s="52" t="n">
        <v>0</v>
      </c>
      <c r="I110" s="52" t="n">
        <v>0</v>
      </c>
      <c r="J110" s="52" t="n">
        <v>0</v>
      </c>
      <c r="K110" s="52" t="n">
        <v>0</v>
      </c>
      <c r="L110" s="52" t="n">
        <v>0</v>
      </c>
      <c r="M110" s="52" t="n">
        <v>0</v>
      </c>
      <c r="N110" s="52" t="n">
        <v>0</v>
      </c>
      <c r="O110" s="52" t="n">
        <v>0</v>
      </c>
      <c r="P110" s="52" t="n">
        <v>0</v>
      </c>
      <c r="Q110" s="52" t="n">
        <v>0</v>
      </c>
    </row>
    <row r="111">
      <c r="A111" s="51" t="inlineStr">
        <is>
          <t>Người mua trả tiền trước dài hạn</t>
        </is>
      </c>
      <c r="B111" s="52" t="n">
        <v>0</v>
      </c>
      <c r="C111" s="52" t="n">
        <v>0</v>
      </c>
      <c r="D111" s="52" t="n">
        <v>0</v>
      </c>
      <c r="E111" s="52" t="n">
        <v>0</v>
      </c>
      <c r="F111" s="52" t="n">
        <v>0</v>
      </c>
      <c r="G111" s="52" t="n">
        <v>0</v>
      </c>
      <c r="H111" s="52" t="n">
        <v>0</v>
      </c>
      <c r="I111" s="52" t="n">
        <v>0</v>
      </c>
      <c r="J111" s="52" t="n">
        <v>0</v>
      </c>
      <c r="K111" s="52" t="n">
        <v>0</v>
      </c>
      <c r="L111" s="52" t="n">
        <v>0</v>
      </c>
      <c r="M111" s="52" t="n">
        <v>0</v>
      </c>
      <c r="N111" s="52" t="n">
        <v>0</v>
      </c>
      <c r="O111" s="52" t="n">
        <v>0</v>
      </c>
      <c r="P111" s="52" t="n">
        <v>0</v>
      </c>
      <c r="Q111" s="52" t="n">
        <v>0</v>
      </c>
    </row>
    <row r="112">
      <c r="A112" s="51" t="inlineStr">
        <is>
          <t>Chi phí phải trả dài hạn</t>
        </is>
      </c>
      <c r="B112" s="52" t="n">
        <v>0</v>
      </c>
      <c r="C112" s="52" t="n">
        <v>0</v>
      </c>
      <c r="D112" s="52" t="n">
        <v>0</v>
      </c>
      <c r="E112" s="52" t="n">
        <v>0</v>
      </c>
      <c r="F112" s="52" t="n">
        <v>0</v>
      </c>
      <c r="G112" s="52" t="n">
        <v>0</v>
      </c>
      <c r="H112" s="52" t="n">
        <v>0</v>
      </c>
      <c r="I112" s="52" t="n">
        <v>0</v>
      </c>
      <c r="J112" s="52" t="n">
        <v>0</v>
      </c>
      <c r="K112" s="52" t="n">
        <v>0</v>
      </c>
      <c r="L112" s="52" t="n">
        <v>0</v>
      </c>
      <c r="M112" s="52" t="n">
        <v>0</v>
      </c>
      <c r="N112" s="52" t="n">
        <v>0</v>
      </c>
      <c r="O112" s="52" t="n">
        <v>0</v>
      </c>
      <c r="P112" s="52" t="n">
        <v>0</v>
      </c>
      <c r="Q112" s="52" t="n">
        <v>0</v>
      </c>
    </row>
    <row r="113">
      <c r="A113" s="51" t="inlineStr">
        <is>
          <t>Phải trả nội bộ về vốn kinh doanh</t>
        </is>
      </c>
      <c r="B113" s="52" t="n">
        <v>0</v>
      </c>
      <c r="C113" s="52" t="n">
        <v>0</v>
      </c>
      <c r="D113" s="52" t="n">
        <v>0</v>
      </c>
      <c r="E113" s="52" t="n">
        <v>0</v>
      </c>
      <c r="F113" s="52" t="n">
        <v>0</v>
      </c>
      <c r="G113" s="52" t="n">
        <v>0</v>
      </c>
      <c r="H113" s="52" t="n">
        <v>0</v>
      </c>
      <c r="I113" s="52" t="n">
        <v>0</v>
      </c>
      <c r="J113" s="52" t="n">
        <v>0</v>
      </c>
      <c r="K113" s="52" t="n">
        <v>0</v>
      </c>
      <c r="L113" s="52" t="n">
        <v>0</v>
      </c>
      <c r="M113" s="52" t="n">
        <v>0</v>
      </c>
      <c r="N113" s="52" t="n">
        <v>0</v>
      </c>
      <c r="O113" s="52" t="n">
        <v>0</v>
      </c>
      <c r="P113" s="52" t="n">
        <v>0</v>
      </c>
      <c r="Q113" s="52" t="n">
        <v>0</v>
      </c>
    </row>
    <row r="114">
      <c r="A114" s="51" t="inlineStr">
        <is>
          <t>Trái phiếu chuyển đổi</t>
        </is>
      </c>
      <c r="B114" s="52" t="n">
        <v>0</v>
      </c>
      <c r="C114" s="52" t="n">
        <v>0</v>
      </c>
      <c r="D114" s="52" t="n">
        <v>0</v>
      </c>
      <c r="E114" s="52" t="n">
        <v>0</v>
      </c>
      <c r="F114" s="52" t="n">
        <v>0</v>
      </c>
      <c r="G114" s="52" t="n">
        <v>0</v>
      </c>
      <c r="H114" s="52" t="n">
        <v>0</v>
      </c>
      <c r="I114" s="52" t="n">
        <v>0</v>
      </c>
      <c r="J114" s="52" t="n">
        <v>0</v>
      </c>
      <c r="K114" s="52" t="n">
        <v>0</v>
      </c>
      <c r="L114" s="52" t="n">
        <v>0</v>
      </c>
      <c r="M114" s="52" t="n">
        <v>0</v>
      </c>
      <c r="N114" s="52" t="n">
        <v>0</v>
      </c>
      <c r="O114" s="52" t="n">
        <v>0</v>
      </c>
      <c r="P114" s="52" t="n">
        <v>0</v>
      </c>
      <c r="Q114" s="52" t="n">
        <v>0</v>
      </c>
    </row>
    <row r="115">
      <c r="A115" s="51" t="inlineStr">
        <is>
          <t>Cổ phiếu ưu đãi</t>
        </is>
      </c>
      <c r="B115" s="52" t="n"/>
      <c r="C115" s="52" t="n"/>
      <c r="D115" s="52" t="n"/>
      <c r="E115" s="52" t="n"/>
      <c r="F115" s="52" t="n">
        <v>0</v>
      </c>
      <c r="G115" s="52" t="n">
        <v>0</v>
      </c>
      <c r="H115" s="52" t="n">
        <v>0</v>
      </c>
      <c r="I115" s="52" t="n">
        <v>0</v>
      </c>
      <c r="J115" s="52" t="n"/>
      <c r="K115" s="52" t="n"/>
      <c r="L115" s="52" t="n"/>
      <c r="M115" s="52" t="n"/>
      <c r="N115" s="52" t="n"/>
      <c r="O115" s="52" t="n"/>
      <c r="P115" s="52" t="n"/>
      <c r="Q115" s="52" t="n"/>
    </row>
    <row r="116">
      <c r="A116" s="51" t="inlineStr">
        <is>
          <t>Cổ phiếu phổ thông</t>
        </is>
      </c>
      <c r="B116" s="52" t="n">
        <v>1670029820000</v>
      </c>
      <c r="C116" s="52" t="n">
        <v>2252935850000</v>
      </c>
      <c r="D116" s="52" t="n">
        <v>2276123620000</v>
      </c>
      <c r="E116" s="52" t="n">
        <v>2276123620000</v>
      </c>
      <c r="F116" s="52" t="n">
        <v>2461716200000</v>
      </c>
      <c r="G116" s="52" t="n">
        <v>3281691880000</v>
      </c>
      <c r="H116" s="52" t="n">
        <v>3380747760000</v>
      </c>
      <c r="I116" s="52" t="n">
        <v>3413186660000</v>
      </c>
      <c r="J116" s="52" t="n">
        <v>3380747760000</v>
      </c>
      <c r="K116" s="52" t="n">
        <v>3380747760000</v>
      </c>
      <c r="L116" s="52" t="n">
        <v>3380747760000</v>
      </c>
      <c r="M116" s="52" t="n">
        <v>3380747760000</v>
      </c>
      <c r="N116" s="52" t="n">
        <v>3380747760000</v>
      </c>
      <c r="O116" s="52" t="n">
        <v>3413186660000</v>
      </c>
      <c r="P116" s="52" t="n">
        <v>3413186660000</v>
      </c>
      <c r="Q116" s="52" t="n">
        <v>5118915180000</v>
      </c>
    </row>
    <row r="117">
      <c r="A117" s="51" t="inlineStr">
        <is>
          <t>Quyền chọn chuyển đổi trái phiếu</t>
        </is>
      </c>
      <c r="B117" s="52" t="n">
        <v>0</v>
      </c>
      <c r="C117" s="52" t="n">
        <v>0</v>
      </c>
      <c r="D117" s="52" t="n">
        <v>0</v>
      </c>
      <c r="E117" s="52" t="n">
        <v>0</v>
      </c>
      <c r="F117" s="52" t="n">
        <v>0</v>
      </c>
      <c r="G117" s="52" t="n">
        <v>0</v>
      </c>
      <c r="H117" s="52" t="n">
        <v>0</v>
      </c>
      <c r="I117" s="52" t="n">
        <v>0</v>
      </c>
      <c r="J117" s="52" t="n">
        <v>0</v>
      </c>
      <c r="K117" s="52" t="n">
        <v>0</v>
      </c>
      <c r="L117" s="52" t="n">
        <v>0</v>
      </c>
      <c r="M117" s="52" t="n">
        <v>0</v>
      </c>
      <c r="N117" s="52" t="n">
        <v>0</v>
      </c>
      <c r="O117" s="52" t="n">
        <v>0</v>
      </c>
      <c r="P117" s="52" t="n">
        <v>0</v>
      </c>
      <c r="Q117" s="52" t="n">
        <v>0</v>
      </c>
    </row>
    <row r="118">
      <c r="A118" s="51" t="inlineStr">
        <is>
          <t>LNST chưa phân phối lũy kế đến cuối kỳ trước</t>
        </is>
      </c>
      <c r="B118" s="52" t="n">
        <v>98780546381</v>
      </c>
      <c r="C118" s="52" t="n">
        <v>29482225528</v>
      </c>
      <c r="D118" s="52" t="n">
        <v>670845205971</v>
      </c>
      <c r="E118" s="52" t="n">
        <v>920611645232</v>
      </c>
      <c r="F118" s="52" t="n">
        <v>859175348677</v>
      </c>
      <c r="G118" s="52" t="n">
        <v>769000107465</v>
      </c>
      <c r="H118" s="52" t="n">
        <v>1188435208200</v>
      </c>
      <c r="I118" s="52" t="n">
        <v>1582471057146</v>
      </c>
      <c r="J118" s="52" t="n">
        <v>1188435208200</v>
      </c>
      <c r="K118" s="52" t="n">
        <v>1188435208200</v>
      </c>
      <c r="L118" s="52" t="n">
        <v>3098608360946</v>
      </c>
      <c r="M118" s="52" t="n">
        <v>2055538360946</v>
      </c>
      <c r="N118" s="52" t="n">
        <v>1582471057146</v>
      </c>
      <c r="O118" s="52" t="n">
        <v>1582471057146</v>
      </c>
      <c r="P118" s="52" t="n">
        <v>4069819413036</v>
      </c>
      <c r="Q118" s="52" t="n">
        <v>2215301413036</v>
      </c>
    </row>
    <row r="119">
      <c r="A119" s="51" t="inlineStr">
        <is>
          <t>LNST chưa phân phối kỳ này</t>
        </is>
      </c>
      <c r="B119" s="52" t="n">
        <v>785784732147</v>
      </c>
      <c r="C119" s="52" t="n">
        <v>1015791156443</v>
      </c>
      <c r="D119" s="52" t="n">
        <v>934235689661</v>
      </c>
      <c r="E119" s="52" t="n">
        <v>1029042165645</v>
      </c>
      <c r="F119" s="52" t="n">
        <v>1663090606797</v>
      </c>
      <c r="G119" s="52" t="n">
        <v>1971099177135</v>
      </c>
      <c r="H119" s="52" t="n">
        <v>2112916282946</v>
      </c>
      <c r="I119" s="52" t="n">
        <v>2828497462890</v>
      </c>
      <c r="J119" s="52" t="n">
        <v>1382041667727</v>
      </c>
      <c r="K119" s="52" t="n">
        <v>2112916282946</v>
      </c>
      <c r="L119" s="52" t="n">
        <v>677727918125</v>
      </c>
      <c r="M119" s="52" t="n">
        <v>1114725168939</v>
      </c>
      <c r="N119" s="52" t="n">
        <v>1610429748096</v>
      </c>
      <c r="O119" s="52" t="n">
        <v>2828497462890</v>
      </c>
      <c r="P119" s="52" t="n">
        <v>1467405321344</v>
      </c>
      <c r="Q119" s="52" t="n">
        <v>728529788872</v>
      </c>
    </row>
    <row r="120">
      <c r="A120" s="51" t="inlineStr">
        <is>
          <t>Xây dựng cơ bản đang dở dang</t>
        </is>
      </c>
      <c r="B120" s="52" t="n">
        <v>70822681154</v>
      </c>
      <c r="C120" s="52" t="n">
        <v>28457398434</v>
      </c>
      <c r="D120" s="52" t="n">
        <v>33003867003</v>
      </c>
      <c r="E120" s="52" t="n">
        <v>30795369850</v>
      </c>
      <c r="F120" s="52" t="n">
        <v>30826629189</v>
      </c>
      <c r="G120" s="52" t="n">
        <v>29100048410</v>
      </c>
      <c r="H120" s="52" t="n">
        <v>64702641159</v>
      </c>
      <c r="I120" s="52" t="n">
        <v>94707660034</v>
      </c>
      <c r="J120" s="52" t="n">
        <v>37050822693</v>
      </c>
      <c r="K120" s="52" t="n">
        <v>64702641159</v>
      </c>
      <c r="L120" s="52" t="n">
        <v>30407760404</v>
      </c>
      <c r="M120" s="52" t="n">
        <v>55934948964</v>
      </c>
      <c r="N120" s="52" t="n">
        <v>30739297364</v>
      </c>
      <c r="O120" s="52" t="n">
        <v>94707660034</v>
      </c>
      <c r="P120" s="52" t="n">
        <v>32356660034</v>
      </c>
      <c r="Q120" s="52" t="n">
        <v>31096002100</v>
      </c>
    </row>
    <row r="121">
      <c r="A121" s="51" t="inlineStr">
        <is>
          <t>Lợi thế thương mại</t>
        </is>
      </c>
      <c r="B121" s="52" t="n">
        <v>0</v>
      </c>
      <c r="C121" s="52" t="n">
        <v>0</v>
      </c>
      <c r="D121" s="52" t="n">
        <v>0</v>
      </c>
      <c r="E121" s="52" t="n">
        <v>0</v>
      </c>
      <c r="F121" s="52" t="n">
        <v>0</v>
      </c>
      <c r="G121" s="52" t="n">
        <v>0</v>
      </c>
      <c r="H121" s="52" t="n">
        <v>0</v>
      </c>
      <c r="I121" s="52" t="n">
        <v>0</v>
      </c>
      <c r="J121" s="52" t="n">
        <v>0</v>
      </c>
      <c r="K121" s="52" t="n">
        <v>0</v>
      </c>
      <c r="L121" s="52" t="n">
        <v>0</v>
      </c>
      <c r="M121" s="52" t="n">
        <v>0</v>
      </c>
      <c r="N121" s="52" t="n">
        <v>0</v>
      </c>
      <c r="O121" s="52" t="n">
        <v>0</v>
      </c>
      <c r="P121" s="52" t="n">
        <v>0</v>
      </c>
      <c r="Q121" s="52" t="n">
        <v>0</v>
      </c>
    </row>
    <row r="122">
      <c r="A122" s="51" t="inlineStr">
        <is>
          <t>Lợi ích cổ đông không kiểm soát</t>
        </is>
      </c>
      <c r="B122" s="52" t="n">
        <v>0</v>
      </c>
      <c r="C122" s="52" t="n">
        <v>0</v>
      </c>
      <c r="D122" s="52" t="n">
        <v>0</v>
      </c>
      <c r="E122" s="52" t="n">
        <v>0</v>
      </c>
      <c r="F122" s="52" t="n">
        <v>0</v>
      </c>
      <c r="G122" s="52" t="n">
        <v>0</v>
      </c>
      <c r="H122" s="52" t="n">
        <v>0</v>
      </c>
      <c r="I122" s="52" t="n">
        <v>0</v>
      </c>
      <c r="J122" s="52" t="n">
        <v>0</v>
      </c>
      <c r="K122" s="52" t="n">
        <v>0</v>
      </c>
      <c r="L122" s="52" t="n">
        <v>0</v>
      </c>
      <c r="M122" s="52" t="n">
        <v>0</v>
      </c>
      <c r="N122" s="52" t="n">
        <v>0</v>
      </c>
      <c r="O122" s="52" t="n">
        <v>0</v>
      </c>
      <c r="P122" s="52" t="n">
        <v>0</v>
      </c>
      <c r="Q122" s="52" t="n">
        <v>17356220182</v>
      </c>
    </row>
    <row r="123">
      <c r="A123" s="51" t="inlineStr">
        <is>
          <t>Nguồn kinh phí đã hình thành TSCĐ</t>
        </is>
      </c>
      <c r="B123" s="52" t="n">
        <v>0</v>
      </c>
      <c r="C123" s="52" t="n">
        <v>0</v>
      </c>
      <c r="D123" s="52" t="n">
        <v>0</v>
      </c>
      <c r="E123" s="52" t="n">
        <v>0</v>
      </c>
      <c r="F123" s="52" t="n">
        <v>0</v>
      </c>
      <c r="G123" s="52" t="n">
        <v>0</v>
      </c>
      <c r="H123" s="52" t="n">
        <v>0</v>
      </c>
      <c r="I123" s="52" t="n">
        <v>0</v>
      </c>
      <c r="J123" s="52" t="n">
        <v>0</v>
      </c>
      <c r="K123" s="52" t="n">
        <v>0</v>
      </c>
      <c r="L123" s="52" t="n">
        <v>0</v>
      </c>
      <c r="M123" s="52" t="n">
        <v>0</v>
      </c>
      <c r="N123" s="52" t="n">
        <v>0</v>
      </c>
      <c r="O123" s="52" t="n">
        <v>0</v>
      </c>
      <c r="P123" s="52" t="n">
        <v>0</v>
      </c>
      <c r="Q123" s="5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  <c r="J1" s="50" t="inlineStr">
        <is>
          <t>2024-Q3</t>
        </is>
      </c>
      <c r="K1" s="50" t="inlineStr">
        <is>
          <t>2024-Q4</t>
        </is>
      </c>
      <c r="L1" s="50" t="inlineStr">
        <is>
          <t>2025-Q1</t>
        </is>
      </c>
      <c r="M1" s="50" t="inlineStr">
        <is>
          <t>2025-Q2</t>
        </is>
      </c>
      <c r="N1" s="50" t="inlineStr">
        <is>
          <t>2025-Q3</t>
        </is>
      </c>
      <c r="O1" s="50" t="inlineStr">
        <is>
          <t>2025-Q4</t>
        </is>
      </c>
      <c r="P1" s="50" t="inlineStr">
        <is>
          <t>2026-Q1</t>
        </is>
      </c>
      <c r="Q1" s="50" t="inlineStr">
        <is>
          <t>2026-Q2</t>
        </is>
      </c>
    </row>
    <row r="2">
      <c r="A2" s="51" t="inlineStr">
        <is>
          <t>Doanh thu bán hàng và cung cấp dịch vụ</t>
        </is>
      </c>
      <c r="B2" s="52" t="n">
        <v>14678799605798</v>
      </c>
      <c r="C2" s="52" t="n">
        <v>17144251446632</v>
      </c>
      <c r="D2" s="52" t="n">
        <v>17681913026177</v>
      </c>
      <c r="E2" s="52" t="n">
        <v>19735646137250</v>
      </c>
      <c r="F2" s="52" t="n">
        <v>34211128942240</v>
      </c>
      <c r="G2" s="52" t="n">
        <v>33481608954953</v>
      </c>
      <c r="H2" s="52" t="n">
        <v>38232401184050</v>
      </c>
      <c r="I2" s="52" t="n">
        <v>35410589612616</v>
      </c>
      <c r="J2" s="52" t="n">
        <v>7225789054822</v>
      </c>
      <c r="K2" s="52" t="n">
        <v>8698354347717</v>
      </c>
      <c r="L2" s="52" t="n">
        <v>9759650683046</v>
      </c>
      <c r="M2" s="52" t="n">
        <v>7664650341452</v>
      </c>
      <c r="N2" s="52" t="n">
        <v>8235605818836</v>
      </c>
      <c r="O2" s="52" t="n">
        <v>9750682769282</v>
      </c>
      <c r="P2" s="52" t="n">
        <v>17366657543714</v>
      </c>
      <c r="Q2" s="52" t="n">
        <v>8564483128740</v>
      </c>
    </row>
    <row r="3">
      <c r="A3" s="51" t="inlineStr">
        <is>
          <t>Các khoản giảm trừ doanh thu</t>
        </is>
      </c>
      <c r="B3" s="52" t="n">
        <v>-107663860948</v>
      </c>
      <c r="C3" s="52" t="n">
        <v>-143570366109</v>
      </c>
      <c r="D3" s="52" t="n">
        <v>-171124375178</v>
      </c>
      <c r="E3" s="52" t="n">
        <v>-188587772416</v>
      </c>
      <c r="F3" s="52" t="n">
        <v>-334674383087</v>
      </c>
      <c r="G3" s="52" t="n">
        <v>-344679758524</v>
      </c>
      <c r="H3" s="52" t="n">
        <v>-409564012665</v>
      </c>
      <c r="I3" s="52" t="n">
        <v>-434546683224</v>
      </c>
      <c r="J3" s="52" t="n">
        <v>-96177851976</v>
      </c>
      <c r="K3" s="52" t="n">
        <v>-117666403375</v>
      </c>
      <c r="L3" s="52" t="n">
        <v>-124554268544</v>
      </c>
      <c r="M3" s="52" t="n">
        <v>-82200767315</v>
      </c>
      <c r="N3" s="52" t="n">
        <v>-100101386950</v>
      </c>
      <c r="O3" s="52" t="n">
        <v>-127690260415</v>
      </c>
      <c r="P3" s="52" t="n">
        <v>-121426544426</v>
      </c>
      <c r="Q3" s="52" t="n">
        <v>-100517281627</v>
      </c>
    </row>
    <row r="4">
      <c r="A4" s="51" t="inlineStr">
        <is>
          <t>Doanh thu thuần</t>
        </is>
      </c>
      <c r="B4" s="52" t="n">
        <v>14571135744850</v>
      </c>
      <c r="C4" s="52" t="n">
        <v>17000681080523</v>
      </c>
      <c r="D4" s="52" t="n">
        <v>17510788650999</v>
      </c>
      <c r="E4" s="52" t="n">
        <v>19547058364834</v>
      </c>
      <c r="F4" s="52" t="n">
        <v>33876454559153</v>
      </c>
      <c r="G4" s="52" t="n">
        <v>33136929196429</v>
      </c>
      <c r="H4" s="52" t="n">
        <v>37822837171385</v>
      </c>
      <c r="I4" s="52" t="n">
        <v>34976042929392</v>
      </c>
      <c r="J4" s="52" t="n">
        <v>7129611202846</v>
      </c>
      <c r="K4" s="52" t="n">
        <v>8580687944342</v>
      </c>
      <c r="L4" s="52" t="n">
        <v>9635096414502</v>
      </c>
      <c r="M4" s="52" t="n">
        <v>7582449574137</v>
      </c>
      <c r="N4" s="52" t="n">
        <v>8135504431886</v>
      </c>
      <c r="O4" s="52" t="n">
        <v>9622992508867</v>
      </c>
      <c r="P4" s="52" t="n">
        <v>17245230999288</v>
      </c>
      <c r="Q4" s="52" t="n">
        <v>8463965847113</v>
      </c>
    </row>
    <row r="5">
      <c r="A5" s="51" t="inlineStr">
        <is>
          <t>Giá vốn hàng bán</t>
        </is>
      </c>
      <c r="B5" s="52" t="n">
        <v>-11792052183391</v>
      </c>
      <c r="C5" s="52" t="n">
        <v>-13539967588262</v>
      </c>
      <c r="D5" s="52" t="n">
        <v>-14076055770112</v>
      </c>
      <c r="E5" s="52" t="n">
        <v>-15948760134458</v>
      </c>
      <c r="F5" s="52" t="n">
        <v>-27949348024381</v>
      </c>
      <c r="G5" s="52" t="n">
        <v>-27078338249235</v>
      </c>
      <c r="H5" s="52" t="n">
        <v>-31149334531193</v>
      </c>
      <c r="I5" s="52" t="n">
        <v>-27292194621378</v>
      </c>
      <c r="J5" s="52" t="n">
        <v>-5879029148365</v>
      </c>
      <c r="K5" s="52" t="n">
        <v>-6788226293053</v>
      </c>
      <c r="L5" s="52" t="n">
        <v>-7586766309432</v>
      </c>
      <c r="M5" s="52" t="n">
        <v>-5953476887712</v>
      </c>
      <c r="N5" s="52" t="n">
        <v>-6528295097135</v>
      </c>
      <c r="O5" s="52" t="n">
        <v>-7223656327099</v>
      </c>
      <c r="P5" s="52" t="n">
        <v>-13804325099087</v>
      </c>
      <c r="Q5" s="52" t="n">
        <v>-9130797397247</v>
      </c>
    </row>
    <row r="6">
      <c r="A6" s="51" t="inlineStr">
        <is>
          <t>Lợi nhuận gộp</t>
        </is>
      </c>
      <c r="B6" s="52" t="n">
        <v>2779083561459</v>
      </c>
      <c r="C6" s="52" t="n">
        <v>3460713492261</v>
      </c>
      <c r="D6" s="52" t="n">
        <v>3434732880887</v>
      </c>
      <c r="E6" s="52" t="n">
        <v>3598298230376</v>
      </c>
      <c r="F6" s="52" t="n">
        <v>5927106534772</v>
      </c>
      <c r="G6" s="52" t="n">
        <v>6058590947194</v>
      </c>
      <c r="H6" s="52" t="n">
        <v>6673502640192</v>
      </c>
      <c r="I6" s="52" t="n">
        <v>7683848308014</v>
      </c>
      <c r="J6" s="52" t="n">
        <v>1250582054481</v>
      </c>
      <c r="K6" s="52" t="n">
        <v>1792461651289</v>
      </c>
      <c r="L6" s="52" t="n">
        <v>2048330105070</v>
      </c>
      <c r="M6" s="52" t="n">
        <v>1628972686425</v>
      </c>
      <c r="N6" s="52" t="n">
        <v>1607209334751</v>
      </c>
      <c r="O6" s="52" t="n">
        <v>2399336181768</v>
      </c>
      <c r="P6" s="52" t="n">
        <v>3440905900201</v>
      </c>
      <c r="Q6" s="52" t="n">
        <v>-666831550134</v>
      </c>
    </row>
    <row r="7">
      <c r="A7" s="51" t="inlineStr">
        <is>
          <t>Doanh thu hoạt động tài chính</t>
        </is>
      </c>
      <c r="B7" s="52" t="n">
        <v>6846027091</v>
      </c>
      <c r="C7" s="52" t="n">
        <v>16820020734</v>
      </c>
      <c r="D7" s="52" t="n">
        <v>2368958316</v>
      </c>
      <c r="E7" s="52" t="n">
        <v>16326114795</v>
      </c>
      <c r="F7" s="52" t="n">
        <v>54036974170</v>
      </c>
      <c r="G7" s="52" t="n">
        <v>97825547538</v>
      </c>
      <c r="H7" s="52" t="n">
        <v>75567438524</v>
      </c>
      <c r="I7" s="52" t="n">
        <v>136303226388</v>
      </c>
      <c r="J7" s="52" t="n">
        <v>24894603085</v>
      </c>
      <c r="K7" s="52" t="n">
        <v>28464720237</v>
      </c>
      <c r="L7" s="52" t="n">
        <v>37651295970</v>
      </c>
      <c r="M7" s="52" t="n">
        <v>24247252211</v>
      </c>
      <c r="N7" s="52" t="n">
        <v>28316452524</v>
      </c>
      <c r="O7" s="52" t="n">
        <v>46088225683</v>
      </c>
      <c r="P7" s="52" t="n">
        <v>52416783827</v>
      </c>
      <c r="Q7" s="52" t="n">
        <v>-28651796771</v>
      </c>
    </row>
    <row r="8">
      <c r="A8" s="51" t="inlineStr">
        <is>
          <t>Chi phí tài chính</t>
        </is>
      </c>
      <c r="B8" s="52" t="n">
        <v>-66345864211</v>
      </c>
      <c r="C8" s="52" t="n">
        <v>-133678118497</v>
      </c>
      <c r="D8" s="52" t="n">
        <v>-161541087492</v>
      </c>
      <c r="E8" s="52" t="n">
        <v>-118252734395</v>
      </c>
      <c r="F8" s="52" t="n">
        <v>-141471203463</v>
      </c>
      <c r="G8" s="52" t="n">
        <v>-142580680640</v>
      </c>
      <c r="H8" s="52" t="n">
        <v>-93616780951</v>
      </c>
      <c r="I8" s="52" t="n">
        <v>-153168770819</v>
      </c>
      <c r="J8" s="52" t="n">
        <v>-12977217232</v>
      </c>
      <c r="K8" s="52" t="n">
        <v>-42880802744</v>
      </c>
      <c r="L8" s="52" t="n">
        <v>-37041222735</v>
      </c>
      <c r="M8" s="52" t="n">
        <v>-46383324153</v>
      </c>
      <c r="N8" s="52" t="n">
        <v>-30542311945</v>
      </c>
      <c r="O8" s="52" t="n">
        <v>-39201911986</v>
      </c>
      <c r="P8" s="52" t="n">
        <v>-55085199262</v>
      </c>
      <c r="Q8" s="52" t="n">
        <v>-61012258081</v>
      </c>
    </row>
    <row r="9">
      <c r="A9" s="51" t="inlineStr">
        <is>
          <t>Chi phí lãi vay</t>
        </is>
      </c>
      <c r="B9" s="52" t="n">
        <v>-61109039390</v>
      </c>
      <c r="C9" s="52" t="n">
        <v>-115367610418</v>
      </c>
      <c r="D9" s="52" t="n">
        <v>-154416694276</v>
      </c>
      <c r="E9" s="52" t="n">
        <v>-104380274160</v>
      </c>
      <c r="F9" s="52" t="n">
        <v>-94143431408</v>
      </c>
      <c r="G9" s="52" t="n">
        <v>-118568804103</v>
      </c>
      <c r="H9" s="52" t="n">
        <v>-46775305829</v>
      </c>
      <c r="I9" s="52" t="n">
        <v>-119082599327</v>
      </c>
      <c r="J9" s="52" t="n">
        <v>-6438807781</v>
      </c>
      <c r="K9" s="52" t="n">
        <v>-22299606340</v>
      </c>
      <c r="L9" s="52" t="n">
        <v>-28848391611</v>
      </c>
      <c r="M9" s="52" t="n">
        <v>-32672703171</v>
      </c>
      <c r="N9" s="52" t="n">
        <v>-24063535984</v>
      </c>
      <c r="O9" s="52" t="n">
        <v>-33497968561</v>
      </c>
      <c r="P9" s="52" t="n">
        <v>-50571525907</v>
      </c>
      <c r="Q9" s="52" t="n">
        <v>-56853927524</v>
      </c>
    </row>
    <row r="10">
      <c r="A10" s="51" t="inlineStr">
        <is>
          <t>Chi phí bán hàng</t>
        </is>
      </c>
      <c r="B10" s="52" t="n">
        <v>-1170069069426</v>
      </c>
      <c r="C10" s="52" t="n">
        <v>-1361807553507</v>
      </c>
      <c r="D10" s="52" t="n">
        <v>-1420855653447</v>
      </c>
      <c r="E10" s="52" t="n">
        <v>-1687654952494</v>
      </c>
      <c r="F10" s="52" t="n">
        <v>-2828208644376</v>
      </c>
      <c r="G10" s="52" t="n">
        <v>-2835769469802</v>
      </c>
      <c r="H10" s="52" t="n">
        <v>-3207574691174</v>
      </c>
      <c r="I10" s="52" t="n">
        <v>-3322701974507</v>
      </c>
      <c r="J10" s="52" t="n">
        <v>-766263429454</v>
      </c>
      <c r="K10" s="52" t="n">
        <v>-706245531150</v>
      </c>
      <c r="L10" s="52" t="n">
        <v>-1005693098938</v>
      </c>
      <c r="M10" s="52" t="n">
        <v>-855377092177</v>
      </c>
      <c r="N10" s="52" t="n">
        <v>-757519233823</v>
      </c>
      <c r="O10" s="52" t="n">
        <v>-704112549569</v>
      </c>
      <c r="P10" s="52" t="n">
        <v>-1352019120210</v>
      </c>
      <c r="Q10" s="52" t="n">
        <v>-226715965082</v>
      </c>
    </row>
    <row r="11">
      <c r="A11" s="51" t="inlineStr">
        <is>
          <t>Chi phí quản lý doanh nghiệp</t>
        </is>
      </c>
      <c r="B11" s="52" t="n">
        <v>-345868153940</v>
      </c>
      <c r="C11" s="52" t="n">
        <v>-475831697930</v>
      </c>
      <c r="D11" s="52" t="n">
        <v>-505572794605</v>
      </c>
      <c r="E11" s="52" t="n">
        <v>-501819303928</v>
      </c>
      <c r="F11" s="52" t="n">
        <v>-673996996684</v>
      </c>
      <c r="G11" s="52" t="n">
        <v>-693934934718</v>
      </c>
      <c r="H11" s="52" t="n">
        <v>-795749355922</v>
      </c>
      <c r="I11" s="52" t="n">
        <v>-824395851865</v>
      </c>
      <c r="J11" s="52" t="n">
        <v>-181399247814</v>
      </c>
      <c r="K11" s="52" t="n">
        <v>-208079390615</v>
      </c>
      <c r="L11" s="52" t="n">
        <v>-193730064073</v>
      </c>
      <c r="M11" s="52" t="n">
        <v>-203474925240</v>
      </c>
      <c r="N11" s="52" t="n">
        <v>-240445601201</v>
      </c>
      <c r="O11" s="52" t="n">
        <v>-186745261351</v>
      </c>
      <c r="P11" s="52" t="n">
        <v>-222121791475</v>
      </c>
      <c r="Q11" s="52" t="n">
        <v>-38196890403</v>
      </c>
    </row>
    <row r="12">
      <c r="A12" s="51" t="inlineStr">
        <is>
          <t>Lãi/(lỗ) từ hoạt động kinh doanh</t>
        </is>
      </c>
      <c r="B12" s="52" t="n">
        <v>1203646500973</v>
      </c>
      <c r="C12" s="52" t="n">
        <v>1506216143061</v>
      </c>
      <c r="D12" s="52" t="n">
        <v>1349132303659</v>
      </c>
      <c r="E12" s="52" t="n">
        <v>1306897354354</v>
      </c>
      <c r="F12" s="52" t="n">
        <v>2337466664419</v>
      </c>
      <c r="G12" s="52" t="n">
        <v>2484131409572</v>
      </c>
      <c r="H12" s="52" t="n">
        <v>2652129250669</v>
      </c>
      <c r="I12" s="52" t="n">
        <v>3519884937211</v>
      </c>
      <c r="J12" s="52" t="n">
        <v>314836763066</v>
      </c>
      <c r="K12" s="52" t="n">
        <v>863720647017</v>
      </c>
      <c r="L12" s="52" t="n">
        <v>849517015294</v>
      </c>
      <c r="M12" s="52" t="n">
        <v>547984597066</v>
      </c>
      <c r="N12" s="52" t="n">
        <v>607018640306</v>
      </c>
      <c r="O12" s="52" t="n">
        <v>1515364684545</v>
      </c>
      <c r="P12" s="52" t="n">
        <v>1864096573081</v>
      </c>
      <c r="Q12" s="52" t="n">
        <v>-1021408460471</v>
      </c>
    </row>
    <row r="13">
      <c r="A13" s="51" t="inlineStr">
        <is>
          <t>Thu nhập khác</t>
        </is>
      </c>
      <c r="B13" s="52" t="n">
        <v>4637809502</v>
      </c>
      <c r="C13" s="52" t="n">
        <v>4760923089</v>
      </c>
      <c r="D13" s="52" t="n">
        <v>5485848150</v>
      </c>
      <c r="E13" s="52" t="n">
        <v>8861354013</v>
      </c>
      <c r="F13" s="52" t="n">
        <v>8582642521</v>
      </c>
      <c r="G13" s="52" t="n">
        <v>11846230257</v>
      </c>
      <c r="H13" s="52" t="n">
        <v>10013781125</v>
      </c>
      <c r="I13" s="52" t="n">
        <v>41188910080</v>
      </c>
      <c r="J13" s="52" t="n">
        <v>4025704624</v>
      </c>
      <c r="K13" s="52" t="n">
        <v>1763875043</v>
      </c>
      <c r="L13" s="52" t="n">
        <v>5101406769</v>
      </c>
      <c r="M13" s="52" t="n">
        <v>3881275230</v>
      </c>
      <c r="N13" s="52" t="n">
        <v>21994473824</v>
      </c>
      <c r="O13" s="52" t="n">
        <v>10211754257</v>
      </c>
      <c r="P13" s="52" t="n">
        <v>3581632251</v>
      </c>
      <c r="Q13" s="52" t="n">
        <v>19910198560</v>
      </c>
    </row>
    <row r="14">
      <c r="A14" s="51" t="inlineStr">
        <is>
          <t>Chi phí khác</t>
        </is>
      </c>
      <c r="B14" s="52" t="n">
        <v>-2734037354</v>
      </c>
      <c r="C14" s="52" t="n">
        <v>-4264680599</v>
      </c>
      <c r="D14" s="52" t="n">
        <v>-8637683094</v>
      </c>
      <c r="E14" s="52" t="n">
        <v>-36528186336</v>
      </c>
      <c r="F14" s="52" t="n">
        <v>-33721752227</v>
      </c>
      <c r="G14" s="52" t="n">
        <v>-7217637455</v>
      </c>
      <c r="H14" s="52" t="n">
        <v>-11130582486</v>
      </c>
      <c r="I14" s="52" t="n">
        <v>-13234356500</v>
      </c>
      <c r="J14" s="52" t="n">
        <v>-843217720</v>
      </c>
      <c r="K14" s="52" t="n">
        <v>-1367830859</v>
      </c>
      <c r="L14" s="52" t="n">
        <v>-381163358</v>
      </c>
      <c r="M14" s="52" t="n">
        <v>-4473052728</v>
      </c>
      <c r="N14" s="52" t="n">
        <v>-3259932669</v>
      </c>
      <c r="O14" s="52" t="n">
        <v>-5120207745</v>
      </c>
      <c r="P14" s="52" t="n">
        <v>-2867586261</v>
      </c>
      <c r="Q14" s="52" t="n">
        <v>-1057252923</v>
      </c>
    </row>
    <row r="15">
      <c r="A15" s="51" t="inlineStr">
        <is>
          <t>Thu nhập khác, ròng</t>
        </is>
      </c>
      <c r="B15" s="52" t="n">
        <v>1903772148</v>
      </c>
      <c r="C15" s="52" t="n">
        <v>496242490</v>
      </c>
      <c r="D15" s="52" t="n">
        <v>-3151834944</v>
      </c>
      <c r="E15" s="52" t="n">
        <v>-27666832323</v>
      </c>
      <c r="F15" s="52" t="n">
        <v>-25139109706</v>
      </c>
      <c r="G15" s="52" t="n">
        <v>4628592802</v>
      </c>
      <c r="H15" s="52" t="n">
        <v>-1116801361</v>
      </c>
      <c r="I15" s="52" t="n">
        <v>27954553580</v>
      </c>
      <c r="J15" s="52" t="n">
        <v>3182486904</v>
      </c>
      <c r="K15" s="52" t="n">
        <v>396044184</v>
      </c>
      <c r="L15" s="52" t="n">
        <v>4720243411</v>
      </c>
      <c r="M15" s="52" t="n">
        <v>-591777498</v>
      </c>
      <c r="N15" s="52" t="n">
        <v>18734541155</v>
      </c>
      <c r="O15" s="52" t="n">
        <v>5091546512</v>
      </c>
      <c r="P15" s="52" t="n">
        <v>714045990</v>
      </c>
      <c r="Q15" s="52" t="n">
        <v>18852945637</v>
      </c>
    </row>
    <row r="16">
      <c r="A16" s="51" t="inlineStr">
        <is>
          <t>Lãi/(lỗ) từ công ty liên doanh</t>
        </is>
      </c>
      <c r="B16" s="52" t="n">
        <v>0</v>
      </c>
      <c r="C16" s="52" t="n">
        <v>0</v>
      </c>
      <c r="D16" s="52" t="n">
        <v>0</v>
      </c>
      <c r="E16" s="52" t="n">
        <v>0</v>
      </c>
      <c r="F16" s="52" t="n">
        <v>0</v>
      </c>
      <c r="G16" s="52" t="n">
        <v>0</v>
      </c>
      <c r="H16" s="52" t="n">
        <v>0</v>
      </c>
      <c r="I16" s="52" t="n">
        <v>0</v>
      </c>
      <c r="J16" s="52" t="n">
        <v>0</v>
      </c>
      <c r="K16" s="52" t="n">
        <v>0</v>
      </c>
      <c r="L16" s="52" t="n">
        <v>0</v>
      </c>
      <c r="M16" s="52" t="n">
        <v>0</v>
      </c>
      <c r="N16" s="52" t="n">
        <v>0</v>
      </c>
      <c r="O16" s="52" t="n">
        <v>0</v>
      </c>
      <c r="P16" s="52" t="n">
        <v>0</v>
      </c>
      <c r="Q16" s="52" t="n">
        <v>0</v>
      </c>
    </row>
    <row r="17">
      <c r="A17" s="51" t="inlineStr">
        <is>
          <t>Lãi/(lỗ) trước thuế</t>
        </is>
      </c>
      <c r="B17" s="52" t="n">
        <v>1205550273121</v>
      </c>
      <c r="C17" s="52" t="n">
        <v>1506712385551</v>
      </c>
      <c r="D17" s="52" t="n">
        <v>1345980468715</v>
      </c>
      <c r="E17" s="52" t="n">
        <v>1279230522031</v>
      </c>
      <c r="F17" s="52" t="n">
        <v>2312327554713</v>
      </c>
      <c r="G17" s="52" t="n">
        <v>2488760002374</v>
      </c>
      <c r="H17" s="52" t="n">
        <v>2651012449308</v>
      </c>
      <c r="I17" s="52" t="n">
        <v>3547839490791</v>
      </c>
      <c r="J17" s="52" t="n">
        <v>318019249970</v>
      </c>
      <c r="K17" s="52" t="n">
        <v>864116691201</v>
      </c>
      <c r="L17" s="52" t="n">
        <v>854237258705</v>
      </c>
      <c r="M17" s="52" t="n">
        <v>547392819568</v>
      </c>
      <c r="N17" s="52" t="n">
        <v>625753181461</v>
      </c>
      <c r="O17" s="52" t="n">
        <v>1520456231057</v>
      </c>
      <c r="P17" s="52" t="n">
        <v>1864810619071</v>
      </c>
      <c r="Q17" s="52" t="n">
        <v>-1002555514834</v>
      </c>
    </row>
    <row r="18">
      <c r="A18" s="51" t="inlineStr">
        <is>
          <t>Thuế thu nhập doanh nghiệp - hiện thời</t>
        </is>
      </c>
      <c r="B18" s="52" t="n">
        <v>-249485408708</v>
      </c>
      <c r="C18" s="52" t="n">
        <v>-315667183537</v>
      </c>
      <c r="D18" s="52" t="n">
        <v>-279422477414</v>
      </c>
      <c r="E18" s="52" t="n">
        <v>-259673455974</v>
      </c>
      <c r="F18" s="52" t="n">
        <v>-521061271124</v>
      </c>
      <c r="G18" s="52" t="n">
        <v>-517592806160</v>
      </c>
      <c r="H18" s="52" t="n">
        <v>-615476890636</v>
      </c>
      <c r="I18" s="52" t="n">
        <v>-849656975908</v>
      </c>
      <c r="J18" s="52" t="n">
        <v>-102557681117</v>
      </c>
      <c r="K18" s="52" t="n">
        <v>-200193714714</v>
      </c>
      <c r="L18" s="52" t="n">
        <v>-176173197786</v>
      </c>
      <c r="M18" s="52" t="n">
        <v>-114022880028</v>
      </c>
      <c r="N18" s="52" t="n">
        <v>-130405520743</v>
      </c>
      <c r="O18" s="52" t="n">
        <v>-429055377351</v>
      </c>
      <c r="P18" s="52" t="n">
        <v>-397469140456</v>
      </c>
      <c r="Q18" s="52" t="n">
        <v>-332990135633</v>
      </c>
    </row>
    <row r="19">
      <c r="A19" s="51" t="inlineStr">
        <is>
          <t>Thuế thu nhập doanh nghiệp - hoãn lại</t>
        </is>
      </c>
      <c r="B19" s="52" t="n">
        <v>3858482734</v>
      </c>
      <c r="C19" s="52" t="n">
        <v>2879755229</v>
      </c>
      <c r="D19" s="52" t="n">
        <v>2752113960</v>
      </c>
      <c r="E19" s="52" t="n">
        <v>9485099588</v>
      </c>
      <c r="F19" s="52" t="n">
        <v>19425559808</v>
      </c>
      <c r="G19" s="52" t="n">
        <v>-68019079</v>
      </c>
      <c r="H19" s="52" t="n">
        <v>77380724274</v>
      </c>
      <c r="I19" s="52" t="n">
        <v>130314948007</v>
      </c>
      <c r="J19" s="52" t="n">
        <v>373615835</v>
      </c>
      <c r="K19" s="52" t="n">
        <v>66951638732</v>
      </c>
      <c r="L19" s="52" t="n">
        <v>-336142794</v>
      </c>
      <c r="M19" s="52" t="n">
        <v>3627311274</v>
      </c>
      <c r="N19" s="52" t="n">
        <v>356918439</v>
      </c>
      <c r="O19" s="52" t="n">
        <v>126666861088</v>
      </c>
      <c r="P19" s="52" t="n">
        <v>63842729</v>
      </c>
      <c r="Q19" s="52" t="n">
        <v>596526338177</v>
      </c>
    </row>
    <row r="20">
      <c r="A20" s="51" t="inlineStr">
        <is>
          <t>Chi phí thuế thu nhập doanh nghiệp</t>
        </is>
      </c>
      <c r="B20" s="52" t="n">
        <v>-245626925974</v>
      </c>
      <c r="C20" s="52" t="n">
        <v>-312787428308</v>
      </c>
      <c r="D20" s="52" t="n">
        <v>-276670363454</v>
      </c>
      <c r="E20" s="52" t="n">
        <v>-250188356386</v>
      </c>
      <c r="F20" s="52" t="n">
        <v>-501635711316</v>
      </c>
      <c r="G20" s="52" t="n">
        <v>-517660825239</v>
      </c>
      <c r="H20" s="52" t="n">
        <v>-538096166362</v>
      </c>
      <c r="I20" s="52" t="n">
        <v>-719342027901</v>
      </c>
      <c r="J20" s="52" t="n">
        <v>-102184065282</v>
      </c>
      <c r="K20" s="52" t="n">
        <v>-133242075982</v>
      </c>
      <c r="L20" s="52" t="n">
        <v>-176509340580</v>
      </c>
      <c r="M20" s="52" t="n">
        <v>-110395568754</v>
      </c>
      <c r="N20" s="52" t="n">
        <v>-130048602304</v>
      </c>
      <c r="O20" s="52" t="n">
        <v>-302388516263</v>
      </c>
      <c r="P20" s="52" t="n">
        <v>-397405297727</v>
      </c>
      <c r="Q20" s="52" t="n">
        <v>263536202544</v>
      </c>
    </row>
    <row r="21">
      <c r="A21" s="51" t="inlineStr">
        <is>
          <t>Lãi/(lỗ) thuần sau thuế</t>
        </is>
      </c>
      <c r="B21" s="52" t="n">
        <v>959923347147</v>
      </c>
      <c r="C21" s="52" t="n">
        <v>1193924957243</v>
      </c>
      <c r="D21" s="52" t="n">
        <v>1069310105261</v>
      </c>
      <c r="E21" s="52" t="n">
        <v>1029042165645</v>
      </c>
      <c r="F21" s="52" t="n">
        <v>1810691843397</v>
      </c>
      <c r="G21" s="52" t="n">
        <v>1971099177135</v>
      </c>
      <c r="H21" s="52" t="n">
        <v>2112916282946</v>
      </c>
      <c r="I21" s="52" t="n">
        <v>2828497462890</v>
      </c>
      <c r="J21" s="52" t="n">
        <v>215835184688</v>
      </c>
      <c r="K21" s="52" t="n">
        <v>730874615219</v>
      </c>
      <c r="L21" s="52" t="n">
        <v>677727918125</v>
      </c>
      <c r="M21" s="52" t="n">
        <v>436997250814</v>
      </c>
      <c r="N21" s="52" t="n">
        <v>495704579157</v>
      </c>
      <c r="O21" s="52" t="n">
        <v>1218067714794</v>
      </c>
      <c r="P21" s="52" t="n">
        <v>1467405321344</v>
      </c>
      <c r="Q21" s="52" t="n">
        <v>-739019312290</v>
      </c>
    </row>
    <row r="22">
      <c r="A22" s="51" t="inlineStr">
        <is>
          <t>Lợi ích của cổ đông thiểu số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  <c r="J22" s="52" t="n">
        <v>0</v>
      </c>
      <c r="K22" s="52" t="n">
        <v>0</v>
      </c>
      <c r="L22" s="52" t="n">
        <v>0</v>
      </c>
      <c r="M22" s="52" t="n">
        <v>0</v>
      </c>
      <c r="N22" s="52" t="n">
        <v>0</v>
      </c>
      <c r="O22" s="52" t="n">
        <v>0</v>
      </c>
      <c r="P22" s="52" t="n">
        <v>0</v>
      </c>
      <c r="Q22" s="52" t="n">
        <v>-143779818</v>
      </c>
    </row>
    <row r="23">
      <c r="A23" s="51" t="inlineStr">
        <is>
          <t>Lợi nhuận của Cổ đông của Công ty mẹ</t>
        </is>
      </c>
      <c r="B23" s="52" t="n">
        <v>959923347147</v>
      </c>
      <c r="C23" s="52" t="n">
        <v>1193924957243</v>
      </c>
      <c r="D23" s="52" t="n">
        <v>1069310105261</v>
      </c>
      <c r="E23" s="52" t="n">
        <v>1029042165645</v>
      </c>
      <c r="F23" s="52" t="n">
        <v>1810691843397</v>
      </c>
      <c r="G23" s="52" t="n">
        <v>1971099177135</v>
      </c>
      <c r="H23" s="52" t="n">
        <v>2112916282946</v>
      </c>
      <c r="I23" s="52" t="n">
        <v>2828497462890</v>
      </c>
      <c r="J23" s="52" t="n">
        <v>215835184688</v>
      </c>
      <c r="K23" s="52" t="n">
        <v>730874615219</v>
      </c>
      <c r="L23" s="52" t="n">
        <v>677727918125</v>
      </c>
      <c r="M23" s="52" t="n">
        <v>436997250814</v>
      </c>
      <c r="N23" s="52" t="n">
        <v>495704579157</v>
      </c>
      <c r="O23" s="52" t="n">
        <v>1218067714794</v>
      </c>
      <c r="P23" s="52" t="n">
        <v>1467405321344</v>
      </c>
      <c r="Q23" s="52" t="n">
        <v>-738875532472</v>
      </c>
    </row>
    <row r="24">
      <c r="A24" s="51" t="inlineStr">
        <is>
          <t>Lãi cơ bản trên cổ phiếu (VND)</t>
        </is>
      </c>
      <c r="B24" s="52" t="n">
        <v>6481</v>
      </c>
      <c r="C24" s="52" t="n">
        <v>4896</v>
      </c>
      <c r="D24" s="52" t="n">
        <v>4308</v>
      </c>
      <c r="E24" s="52" t="n">
        <v>4197</v>
      </c>
      <c r="F24" s="52" t="n">
        <v>5350</v>
      </c>
      <c r="G24" s="52" t="n">
        <v>5436</v>
      </c>
      <c r="H24" s="52" t="n">
        <v>5713</v>
      </c>
      <c r="I24" s="52" t="n">
        <v>7652</v>
      </c>
      <c r="J24" s="52" t="n">
        <v>645</v>
      </c>
      <c r="K24" s="52" t="n">
        <v>1864</v>
      </c>
      <c r="L24" s="52" t="n">
        <v>1845</v>
      </c>
      <c r="M24" s="52" t="n">
        <v>1236</v>
      </c>
      <c r="N24" s="52" t="n">
        <v>1370</v>
      </c>
      <c r="O24" s="52" t="n">
        <v>3201</v>
      </c>
      <c r="P24" s="52" t="n">
        <v>4017</v>
      </c>
      <c r="Q24" s="52" t="n">
        <v>-2631</v>
      </c>
    </row>
    <row r="25">
      <c r="A25" s="51" t="inlineStr">
        <is>
          <t>Lãi trên cổ phiếu pha loãng (VND)</t>
        </is>
      </c>
      <c r="B25" s="52" t="n">
        <v>0</v>
      </c>
      <c r="C25" s="52" t="n">
        <v>4896</v>
      </c>
      <c r="D25" s="52" t="n">
        <v>4308</v>
      </c>
      <c r="E25" s="52" t="n">
        <v>4197</v>
      </c>
      <c r="F25" s="52" t="n">
        <v>0</v>
      </c>
      <c r="G25" s="52" t="n">
        <v>5436</v>
      </c>
      <c r="H25" s="52" t="n">
        <v>5713</v>
      </c>
      <c r="I25" s="52" t="n">
        <v>7652</v>
      </c>
      <c r="J25" s="52" t="n">
        <v>0</v>
      </c>
      <c r="K25" s="52" t="n">
        <v>0</v>
      </c>
      <c r="L25" s="52" t="n">
        <v>0</v>
      </c>
      <c r="M25" s="52" t="n">
        <v>1236</v>
      </c>
      <c r="N25" s="52" t="n">
        <v>0</v>
      </c>
      <c r="O25" s="52" t="n">
        <v>0</v>
      </c>
      <c r="P25" s="52" t="n">
        <v>0</v>
      </c>
      <c r="Q25" s="52" t="n">
        <v>0</v>
      </c>
    </row>
    <row r="26">
      <c r="A26" s="51" t="inlineStr">
        <is>
          <t>Lãi/(lỗ) từ công ty liên doanh (từ năm 2015)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  <c r="J26" s="52" t="n">
        <v>0</v>
      </c>
      <c r="K26" s="52" t="n">
        <v>0</v>
      </c>
      <c r="L26" s="52" t="n">
        <v>0</v>
      </c>
      <c r="M26" s="52" t="n">
        <v>0</v>
      </c>
      <c r="N26" s="52" t="n">
        <v>0</v>
      </c>
      <c r="O26" s="52" t="n">
        <v>0</v>
      </c>
      <c r="P26" s="52" t="n">
        <v>0</v>
      </c>
      <c r="Q26" s="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  <c r="J1" s="50" t="inlineStr">
        <is>
          <t>2024-Q3</t>
        </is>
      </c>
      <c r="K1" s="50" t="inlineStr">
        <is>
          <t>2024-Q4</t>
        </is>
      </c>
      <c r="L1" s="50" t="inlineStr">
        <is>
          <t>2025-Q1</t>
        </is>
      </c>
      <c r="M1" s="50" t="inlineStr">
        <is>
          <t>2025-Q2</t>
        </is>
      </c>
      <c r="N1" s="50" t="inlineStr">
        <is>
          <t>2025-Q3</t>
        </is>
      </c>
      <c r="O1" s="50" t="inlineStr">
        <is>
          <t>2025-Q4</t>
        </is>
      </c>
      <c r="P1" s="50" t="inlineStr">
        <is>
          <t>2026-Q1</t>
        </is>
      </c>
      <c r="Q1" s="50" t="inlineStr">
        <is>
          <t>2026-Q2</t>
        </is>
      </c>
    </row>
    <row r="2">
      <c r="A2" s="51" t="inlineStr">
        <is>
          <t>Lợi nhuận/(lỗ) trước thuế</t>
        </is>
      </c>
      <c r="B2" s="52" t="n">
        <v>1205550273121</v>
      </c>
      <c r="C2" s="52" t="n">
        <v>1506712385551</v>
      </c>
      <c r="D2" s="52" t="n">
        <v>1345980468715</v>
      </c>
      <c r="E2" s="52" t="n">
        <v>1279230522031</v>
      </c>
      <c r="F2" s="52" t="n">
        <v>2312327554713</v>
      </c>
      <c r="G2" s="52" t="n">
        <v>2488760002374</v>
      </c>
      <c r="H2" s="52" t="n">
        <v>2651012449308</v>
      </c>
      <c r="I2" s="52" t="n">
        <v>3547839490791</v>
      </c>
      <c r="J2" s="52" t="n">
        <v>318019249970</v>
      </c>
      <c r="K2" s="52" t="n">
        <v>864116691201</v>
      </c>
      <c r="L2" s="52" t="n">
        <v>854237258705</v>
      </c>
      <c r="M2" s="52" t="n">
        <v>547392819568</v>
      </c>
      <c r="N2" s="52" t="n">
        <v>625753181461</v>
      </c>
      <c r="O2" s="52" t="n">
        <v>1520456231057</v>
      </c>
      <c r="P2" s="52" t="n">
        <v>1864810619071</v>
      </c>
      <c r="Q2" s="52" t="n">
        <v>-1002555514834</v>
      </c>
    </row>
    <row r="3">
      <c r="A3" s="51" t="inlineStr">
        <is>
          <t>Khấu hao TSCĐ và BĐSĐT</t>
        </is>
      </c>
      <c r="B3" s="52" t="n">
        <v>42101648087</v>
      </c>
      <c r="C3" s="52" t="n">
        <v>61066130585</v>
      </c>
      <c r="D3" s="52" t="n">
        <v>72154867041</v>
      </c>
      <c r="E3" s="52" t="n">
        <v>75118429219</v>
      </c>
      <c r="F3" s="52" t="n">
        <v>79516376971</v>
      </c>
      <c r="G3" s="52" t="n">
        <v>81257091304</v>
      </c>
      <c r="H3" s="52" t="n">
        <v>80821846271</v>
      </c>
      <c r="I3" s="52" t="n">
        <v>85291458403</v>
      </c>
      <c r="J3" s="52" t="n">
        <v>20042779427</v>
      </c>
      <c r="K3" s="52" t="n">
        <v>20381735643</v>
      </c>
      <c r="L3" s="52" t="n">
        <v>22196706619</v>
      </c>
      <c r="M3" s="52" t="n">
        <v>21536874400</v>
      </c>
      <c r="N3" s="52" t="n">
        <v>21021081735</v>
      </c>
      <c r="O3" s="52" t="n">
        <v>20536795649</v>
      </c>
      <c r="P3" s="52" t="n">
        <v>18518277954</v>
      </c>
      <c r="Q3" s="52" t="n">
        <v>18961959338</v>
      </c>
    </row>
    <row r="4">
      <c r="A4" s="51" t="inlineStr">
        <is>
          <t>Chi phí dự phòng</t>
        </is>
      </c>
      <c r="B4" s="52" t="n">
        <v>0</v>
      </c>
      <c r="C4" s="52" t="n">
        <v>-3414537000</v>
      </c>
      <c r="D4" s="52" t="n">
        <v>6391807846</v>
      </c>
      <c r="E4" s="52" t="n">
        <v>64942006080</v>
      </c>
      <c r="F4" s="52" t="n">
        <v>2868205863</v>
      </c>
      <c r="G4" s="52" t="n">
        <v>2374779451</v>
      </c>
      <c r="H4" s="52" t="n">
        <v>77722354056</v>
      </c>
      <c r="I4" s="52" t="n">
        <v>-7695240894</v>
      </c>
      <c r="J4" s="52" t="n">
        <v>6380258406</v>
      </c>
      <c r="K4" s="52" t="n">
        <v>30432377395</v>
      </c>
      <c r="L4" s="52" t="n">
        <v>-903692717</v>
      </c>
      <c r="M4" s="52" t="n">
        <v>-7385664894</v>
      </c>
      <c r="N4" s="52" t="n">
        <v>-5126204365</v>
      </c>
      <c r="O4" s="52" t="n">
        <v>5720321082</v>
      </c>
      <c r="P4" s="52" t="n">
        <v>-3949215427</v>
      </c>
      <c r="Q4" s="52" t="n">
        <v>2671197738793</v>
      </c>
    </row>
    <row r="5">
      <c r="A5" s="51" t="inlineStr">
        <is>
          <t>Lãi/lỗ chênh lệch tỷ giá hối đoái do đánh giá lại các khoản mục tiền tệ có gốc ngoại tệ</t>
        </is>
      </c>
      <c r="B5" s="52" t="n">
        <v>-169041343</v>
      </c>
      <c r="C5" s="52" t="n">
        <v>-1242529054</v>
      </c>
      <c r="D5" s="52" t="n">
        <v>177425063</v>
      </c>
      <c r="E5" s="52" t="n">
        <v>2504365377</v>
      </c>
      <c r="F5" s="52" t="n">
        <v>-8239903282</v>
      </c>
      <c r="G5" s="52" t="n">
        <v>-1611805757</v>
      </c>
      <c r="H5" s="52" t="n">
        <v>140360327</v>
      </c>
      <c r="I5" s="52" t="n">
        <v>-2434348570</v>
      </c>
      <c r="J5" s="52" t="n">
        <v>917038623</v>
      </c>
      <c r="K5" s="52" t="n">
        <v>549042768</v>
      </c>
      <c r="L5" s="52" t="n">
        <v>-1061047483</v>
      </c>
      <c r="M5" s="52" t="n">
        <v>-838658117</v>
      </c>
      <c r="N5" s="52" t="n">
        <v>1505334971</v>
      </c>
      <c r="O5" s="52" t="n">
        <v>-2039977941</v>
      </c>
      <c r="P5" s="52" t="n">
        <v>-2187343</v>
      </c>
      <c r="Q5" s="52" t="n">
        <v>35131536</v>
      </c>
    </row>
    <row r="6">
      <c r="A6" s="51" t="inlineStr">
        <is>
          <t>Lãi/(lỗ) từ thanh lý tài sản cố định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  <c r="J6" s="52" t="n">
        <v>0</v>
      </c>
      <c r="K6" s="52" t="n">
        <v>0</v>
      </c>
      <c r="L6" s="52" t="n">
        <v>0</v>
      </c>
      <c r="M6" s="52" t="n">
        <v>0</v>
      </c>
      <c r="N6" s="52" t="n">
        <v>0</v>
      </c>
      <c r="O6" s="52" t="n">
        <v>0</v>
      </c>
      <c r="P6" s="52" t="n">
        <v>0</v>
      </c>
      <c r="Q6" s="52" t="n">
        <v>0</v>
      </c>
    </row>
    <row r="7">
      <c r="A7" s="51" t="inlineStr">
        <is>
          <t>(Lãi)/lỗ từ hoạt động đầu tư</t>
        </is>
      </c>
      <c r="B7" s="52" t="n">
        <v>-7406944577</v>
      </c>
      <c r="C7" s="52" t="n">
        <v>-1456968019</v>
      </c>
      <c r="D7" s="52" t="n">
        <v>1237319162</v>
      </c>
      <c r="E7" s="52" t="n">
        <v>-3225478644</v>
      </c>
      <c r="F7" s="52" t="n">
        <v>-21327686776</v>
      </c>
      <c r="G7" s="52" t="n">
        <v>-79561268312</v>
      </c>
      <c r="H7" s="52" t="n">
        <v>-47046699012</v>
      </c>
      <c r="I7" s="52" t="n">
        <v>-110244947701</v>
      </c>
      <c r="J7" s="52" t="n">
        <v>-5251469580</v>
      </c>
      <c r="K7" s="52" t="n">
        <v>-26204259443</v>
      </c>
      <c r="L7" s="52" t="n">
        <v>-28318857249</v>
      </c>
      <c r="M7" s="52" t="n">
        <v>-14347632727</v>
      </c>
      <c r="N7" s="52" t="n">
        <v>-25115163203</v>
      </c>
      <c r="O7" s="52" t="n">
        <v>-42463294522</v>
      </c>
      <c r="P7" s="52" t="n">
        <v>-42831359789</v>
      </c>
      <c r="Q7" s="52" t="n">
        <v>25367024738</v>
      </c>
    </row>
    <row r="8">
      <c r="A8" s="51" t="inlineStr">
        <is>
          <t>Chi phí lãi vay</t>
        </is>
      </c>
      <c r="B8" s="52" t="n">
        <v>61109042390</v>
      </c>
      <c r="C8" s="52" t="n">
        <v>115367610418</v>
      </c>
      <c r="D8" s="52" t="n">
        <v>154416694276</v>
      </c>
      <c r="E8" s="52" t="n">
        <v>104380274160</v>
      </c>
      <c r="F8" s="52" t="n">
        <v>94421152974</v>
      </c>
      <c r="G8" s="52" t="n">
        <v>118568804103</v>
      </c>
      <c r="H8" s="52" t="n">
        <v>46775305829</v>
      </c>
      <c r="I8" s="52" t="n">
        <v>119082599327</v>
      </c>
      <c r="J8" s="52" t="n">
        <v>6438807781</v>
      </c>
      <c r="K8" s="52" t="n">
        <v>22299606340</v>
      </c>
      <c r="L8" s="52" t="n">
        <v>28848391611</v>
      </c>
      <c r="M8" s="52" t="n">
        <v>32672703171</v>
      </c>
      <c r="N8" s="52" t="n">
        <v>24063535984</v>
      </c>
      <c r="O8" s="52" t="n">
        <v>33497968561</v>
      </c>
      <c r="P8" s="52" t="n">
        <v>50571525907</v>
      </c>
      <c r="Q8" s="52" t="n">
        <v>56853927524</v>
      </c>
    </row>
    <row r="9">
      <c r="A9" s="51" t="inlineStr">
        <is>
          <t>Thu lãi và cổ tức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51" t="inlineStr">
        <is>
          <t>Lợi nhuận/(lỗ) từ hoạt động kinh doanh trước những thay đổi vốn lưu động</t>
        </is>
      </c>
      <c r="B10" s="52" t="n">
        <v>1301184977678</v>
      </c>
      <c r="C10" s="52" t="n">
        <v>1677032092481</v>
      </c>
      <c r="D10" s="52" t="n">
        <v>1580358582103</v>
      </c>
      <c r="E10" s="52" t="n">
        <v>1522950118223</v>
      </c>
      <c r="F10" s="52" t="n">
        <v>2459565700463</v>
      </c>
      <c r="G10" s="52" t="n">
        <v>2609787603163</v>
      </c>
      <c r="H10" s="52" t="n">
        <v>2809425616779</v>
      </c>
      <c r="I10" s="52" t="n">
        <v>3631839011356</v>
      </c>
      <c r="J10" s="52" t="n">
        <v>346546664627</v>
      </c>
      <c r="K10" s="52" t="n">
        <v>911575193904</v>
      </c>
      <c r="L10" s="52" t="n">
        <v>874998759486</v>
      </c>
      <c r="M10" s="52" t="n">
        <v>579030441401</v>
      </c>
      <c r="N10" s="52" t="n">
        <v>642101766583</v>
      </c>
      <c r="O10" s="52" t="n">
        <v>1535708043886</v>
      </c>
      <c r="P10" s="52" t="n">
        <v>1887117660373</v>
      </c>
      <c r="Q10" s="52" t="n">
        <v>1769860267095</v>
      </c>
    </row>
    <row r="11">
      <c r="A11" s="51" t="inlineStr">
        <is>
          <t>(Tăng)/giảm các khoản phải thu</t>
        </is>
      </c>
      <c r="B11" s="52" t="n">
        <v>-86037746014</v>
      </c>
      <c r="C11" s="52" t="n">
        <v>12888586942</v>
      </c>
      <c r="D11" s="52" t="n">
        <v>17322807863</v>
      </c>
      <c r="E11" s="52" t="n">
        <v>-23111709097</v>
      </c>
      <c r="F11" s="52" t="n">
        <v>-52151674870</v>
      </c>
      <c r="G11" s="52" t="n">
        <v>39100711762</v>
      </c>
      <c r="H11" s="52" t="n">
        <v>-261742771385</v>
      </c>
      <c r="I11" s="52" t="n">
        <v>235691148778</v>
      </c>
      <c r="J11" s="52" t="n">
        <v>-79665892558</v>
      </c>
      <c r="K11" s="52" t="n">
        <v>-140267237683</v>
      </c>
      <c r="L11" s="52" t="n">
        <v>94192407236</v>
      </c>
      <c r="M11" s="52" t="n">
        <v>109276110403</v>
      </c>
      <c r="N11" s="52" t="n">
        <v>-64205154963</v>
      </c>
      <c r="O11" s="52" t="n">
        <v>96427786102</v>
      </c>
      <c r="P11" s="52" t="n">
        <v>-49803118650</v>
      </c>
      <c r="Q11" s="52" t="n">
        <v>-60341880860</v>
      </c>
    </row>
    <row r="12">
      <c r="A12" s="51" t="inlineStr">
        <is>
          <t>(Tăng)/giảm hàng tồn kho</t>
        </is>
      </c>
      <c r="B12" s="52" t="n">
        <v>-1566186716366</v>
      </c>
      <c r="C12" s="52" t="n">
        <v>-2062274428226</v>
      </c>
      <c r="D12" s="52" t="n">
        <v>484514384160</v>
      </c>
      <c r="E12" s="52" t="n">
        <v>-2208835725303</v>
      </c>
      <c r="F12" s="52" t="n">
        <v>-1753323314557</v>
      </c>
      <c r="G12" s="52" t="n">
        <v>-436683979881</v>
      </c>
      <c r="H12" s="52" t="n">
        <v>-2129837921117</v>
      </c>
      <c r="I12" s="52" t="n">
        <v>-2806722790389</v>
      </c>
      <c r="J12" s="52" t="n">
        <v>-1094975965705</v>
      </c>
      <c r="K12" s="52" t="n">
        <v>-2225180243885</v>
      </c>
      <c r="L12" s="52" t="n">
        <v>-631191559344</v>
      </c>
      <c r="M12" s="52" t="n">
        <v>-54068071480</v>
      </c>
      <c r="N12" s="52" t="n">
        <v>1264854560972</v>
      </c>
      <c r="O12" s="52" t="n">
        <v>-3386317720537</v>
      </c>
      <c r="P12" s="52" t="n">
        <v>2420198444319</v>
      </c>
      <c r="Q12" s="52" t="n">
        <v>-2173591971738</v>
      </c>
    </row>
    <row r="13">
      <c r="A13" s="51" t="inlineStr">
        <is>
          <t>Tăng/(giảm) các khoản phải trả</t>
        </is>
      </c>
      <c r="B13" s="52" t="n">
        <v>412203203546</v>
      </c>
      <c r="C13" s="52" t="n">
        <v>199226464534</v>
      </c>
      <c r="D13" s="52" t="n">
        <v>-99651505808</v>
      </c>
      <c r="E13" s="52" t="n">
        <v>354804359041</v>
      </c>
      <c r="F13" s="52" t="n">
        <v>76506711125</v>
      </c>
      <c r="G13" s="52" t="n">
        <v>92449328770</v>
      </c>
      <c r="H13" s="52" t="n">
        <v>273559805376</v>
      </c>
      <c r="I13" s="52" t="n">
        <v>-369026498161</v>
      </c>
      <c r="J13" s="52" t="n">
        <v>474266842052</v>
      </c>
      <c r="K13" s="52" t="n">
        <v>8092632104</v>
      </c>
      <c r="L13" s="52" t="n">
        <v>-207454890349</v>
      </c>
      <c r="M13" s="52" t="n">
        <v>-329568580575</v>
      </c>
      <c r="N13" s="52" t="n">
        <v>37369383510</v>
      </c>
      <c r="O13" s="52" t="n">
        <v>130627589253</v>
      </c>
      <c r="P13" s="52" t="n">
        <v>-59653053842</v>
      </c>
      <c r="Q13" s="52" t="n">
        <v>-910114273243</v>
      </c>
    </row>
    <row r="14">
      <c r="A14" s="51" t="inlineStr">
        <is>
          <t>(Tăng)/giảm chi phí trả trước</t>
        </is>
      </c>
      <c r="B14" s="52" t="n">
        <v>-44784289702</v>
      </c>
      <c r="C14" s="52" t="n">
        <v>-62082212310</v>
      </c>
      <c r="D14" s="52" t="n">
        <v>-42462273125</v>
      </c>
      <c r="E14" s="52" t="n">
        <v>14254564032</v>
      </c>
      <c r="F14" s="52" t="n">
        <v>-59503878567</v>
      </c>
      <c r="G14" s="52" t="n">
        <v>-103556391934</v>
      </c>
      <c r="H14" s="52" t="n">
        <v>13981231920</v>
      </c>
      <c r="I14" s="52" t="n">
        <v>169889358691</v>
      </c>
      <c r="J14" s="52" t="n">
        <v>-12607128690</v>
      </c>
      <c r="K14" s="52" t="n">
        <v>-21721888557</v>
      </c>
      <c r="L14" s="52" t="n">
        <v>41216236449</v>
      </c>
      <c r="M14" s="52" t="n">
        <v>38767912168</v>
      </c>
      <c r="N14" s="52" t="n">
        <v>41925326222</v>
      </c>
      <c r="O14" s="52" t="n">
        <v>47979883852</v>
      </c>
      <c r="P14" s="52" t="n">
        <v>24972122330</v>
      </c>
      <c r="Q14" s="52" t="n">
        <v>16702948223</v>
      </c>
    </row>
    <row r="15">
      <c r="A15" s="51" t="inlineStr">
        <is>
          <t>Tiền lãi vay đã trả</t>
        </is>
      </c>
      <c r="B15" s="52" t="n">
        <v>-60443657529</v>
      </c>
      <c r="C15" s="52" t="n">
        <v>-114016876155</v>
      </c>
      <c r="D15" s="52" t="n">
        <v>-155543069575</v>
      </c>
      <c r="E15" s="52" t="n">
        <v>-105200568547</v>
      </c>
      <c r="F15" s="52" t="n">
        <v>-90657750651</v>
      </c>
      <c r="G15" s="52" t="n">
        <v>-122841644646</v>
      </c>
      <c r="H15" s="52" t="n">
        <v>-46067825009</v>
      </c>
      <c r="I15" s="52" t="n">
        <v>-117889071318</v>
      </c>
      <c r="J15" s="52" t="n">
        <v>-5797057452</v>
      </c>
      <c r="K15" s="52" t="n">
        <v>-20301348662</v>
      </c>
      <c r="L15" s="52" t="n">
        <v>-28319619183</v>
      </c>
      <c r="M15" s="52" t="n">
        <v>-33768429038</v>
      </c>
      <c r="N15" s="52" t="n">
        <v>-23411292380</v>
      </c>
      <c r="O15" s="52" t="n">
        <v>-32389730717</v>
      </c>
      <c r="P15" s="52" t="n">
        <v>-51487757778</v>
      </c>
      <c r="Q15" s="52" t="n">
        <v>-56548743521</v>
      </c>
    </row>
    <row r="16">
      <c r="A16" s="51" t="inlineStr">
        <is>
          <t>Thuế thu nhập doanh nghiệp đã nộp</t>
        </is>
      </c>
      <c r="B16" s="52" t="n">
        <v>-231958086112</v>
      </c>
      <c r="C16" s="52" t="n">
        <v>-291572199831</v>
      </c>
      <c r="D16" s="52" t="n">
        <v>-253134374354</v>
      </c>
      <c r="E16" s="52" t="n">
        <v>-234058441077</v>
      </c>
      <c r="F16" s="52" t="n">
        <v>-464338080937</v>
      </c>
      <c r="G16" s="52" t="n">
        <v>-466349274224</v>
      </c>
      <c r="H16" s="52" t="n">
        <v>-555484436785</v>
      </c>
      <c r="I16" s="52" t="n">
        <v>-607285010641</v>
      </c>
      <c r="J16" s="52" t="n">
        <v>-83741265585</v>
      </c>
      <c r="K16" s="52" t="n">
        <v>-86066136147</v>
      </c>
      <c r="L16" s="52" t="n">
        <v>-368459435459</v>
      </c>
      <c r="M16" s="52" t="n">
        <v>-80186435560</v>
      </c>
      <c r="N16" s="52" t="n">
        <v>-71109293548</v>
      </c>
      <c r="O16" s="52" t="n">
        <v>-87529846074</v>
      </c>
      <c r="P16" s="52" t="n">
        <v>-611849044775</v>
      </c>
      <c r="Q16" s="52" t="n">
        <v>-149164506776</v>
      </c>
    </row>
    <row r="17">
      <c r="A17" s="51" t="inlineStr">
        <is>
          <t>Tiền thu khác từ hoạt động kinh doanh</t>
        </is>
      </c>
      <c r="B17" s="52" t="n">
        <v>0</v>
      </c>
      <c r="C17" s="52" t="n">
        <v>0</v>
      </c>
      <c r="D17" s="52" t="n">
        <v>0</v>
      </c>
      <c r="E17" s="52" t="n">
        <v>0</v>
      </c>
      <c r="F17" s="52" t="n">
        <v>0</v>
      </c>
      <c r="G17" s="52" t="n">
        <v>0</v>
      </c>
      <c r="H17" s="52" t="n">
        <v>0</v>
      </c>
      <c r="I17" s="52" t="n">
        <v>0</v>
      </c>
      <c r="J17" s="52" t="n">
        <v>0</v>
      </c>
      <c r="K17" s="52" t="n">
        <v>0</v>
      </c>
      <c r="L17" s="52" t="n">
        <v>0</v>
      </c>
      <c r="M17" s="52" t="n">
        <v>0</v>
      </c>
      <c r="N17" s="52" t="n">
        <v>0</v>
      </c>
      <c r="O17" s="52" t="n">
        <v>0</v>
      </c>
      <c r="P17" s="52" t="n">
        <v>0</v>
      </c>
      <c r="Q17" s="52" t="n">
        <v>0</v>
      </c>
    </row>
    <row r="18">
      <c r="A18" s="51" t="inlineStr">
        <is>
          <t>Tiền chi khác cho hoạt động kinh doanh</t>
        </is>
      </c>
      <c r="B18" s="52" t="n">
        <v>-26117591079</v>
      </c>
      <c r="C18" s="52" t="n">
        <v>-20293123341</v>
      </c>
      <c r="D18" s="52" t="n">
        <v>-34492822139</v>
      </c>
      <c r="E18" s="52" t="n">
        <v>-43169828785</v>
      </c>
      <c r="F18" s="52" t="n">
        <v>-15516505310</v>
      </c>
      <c r="G18" s="52" t="n">
        <v>-104164881917</v>
      </c>
      <c r="H18" s="52" t="n">
        <v>-20648525024</v>
      </c>
      <c r="I18" s="52" t="n">
        <v>-19687607067</v>
      </c>
      <c r="J18" s="52" t="n">
        <v>-3585871699</v>
      </c>
      <c r="K18" s="52" t="n">
        <v>548303600</v>
      </c>
      <c r="L18" s="52" t="n">
        <v>-10171748882</v>
      </c>
      <c r="M18" s="52" t="n">
        <v>-3650283185</v>
      </c>
      <c r="N18" s="52" t="n">
        <v>-4979175000</v>
      </c>
      <c r="O18" s="52" t="n">
        <v>-886400000</v>
      </c>
      <c r="P18" s="52" t="n">
        <v>-544993906</v>
      </c>
      <c r="Q18" s="52" t="n">
        <v>-3541506094</v>
      </c>
    </row>
    <row r="19">
      <c r="A19" s="51" t="inlineStr">
        <is>
          <t>Lưu chuyển tiền tệ ròng từ các hoạt động sản xuất kinh doanh</t>
        </is>
      </c>
      <c r="B19" s="52" t="n">
        <v>-302139905578</v>
      </c>
      <c r="C19" s="52" t="n">
        <v>-661091695906</v>
      </c>
      <c r="D19" s="52" t="n">
        <v>1496911729125</v>
      </c>
      <c r="E19" s="52" t="n">
        <v>-722367231513</v>
      </c>
      <c r="F19" s="52" t="n">
        <v>100581206696</v>
      </c>
      <c r="G19" s="52" t="n">
        <v>1507741471093</v>
      </c>
      <c r="H19" s="52" t="n">
        <v>83185174755</v>
      </c>
      <c r="I19" s="52" t="n">
        <v>18890403841</v>
      </c>
      <c r="J19" s="52" t="n">
        <v>-459559675010</v>
      </c>
      <c r="K19" s="52" t="n">
        <v>-1573320725326</v>
      </c>
      <c r="L19" s="52" t="n">
        <v>-235189850046</v>
      </c>
      <c r="M19" s="52" t="n">
        <v>126910990241</v>
      </c>
      <c r="N19" s="52" t="n">
        <v>1822178660873</v>
      </c>
      <c r="O19" s="52" t="n">
        <v>-1695009397227</v>
      </c>
      <c r="P19" s="52" t="n">
        <v>3557793601151</v>
      </c>
      <c r="Q19" s="52" t="n">
        <v>-1566739666914</v>
      </c>
    </row>
    <row r="20">
      <c r="A20" s="51" t="inlineStr">
        <is>
          <t>Tiền chi để mua sắm, xây dựng TSCĐ và các tài sản dài hạn khác</t>
        </is>
      </c>
      <c r="B20" s="52" t="n">
        <v>-336378415370</v>
      </c>
      <c r="C20" s="52" t="n">
        <v>-223765922597</v>
      </c>
      <c r="D20" s="52" t="n">
        <v>-85433646180</v>
      </c>
      <c r="E20" s="52" t="n">
        <v>-61304197645</v>
      </c>
      <c r="F20" s="52" t="n">
        <v>-52384601566</v>
      </c>
      <c r="G20" s="52" t="n">
        <v>-83115434103</v>
      </c>
      <c r="H20" s="52" t="n">
        <v>-90406299690</v>
      </c>
      <c r="I20" s="52" t="n">
        <v>-115542827250</v>
      </c>
      <c r="J20" s="52" t="n">
        <v>-19623882392</v>
      </c>
      <c r="K20" s="52" t="n">
        <v>-50265953419</v>
      </c>
      <c r="L20" s="52" t="n">
        <v>-3854068827</v>
      </c>
      <c r="M20" s="52" t="n">
        <v>-37879520259</v>
      </c>
      <c r="N20" s="52" t="n">
        <v>-7407292629</v>
      </c>
      <c r="O20" s="52" t="n">
        <v>-66401945535</v>
      </c>
      <c r="P20" s="52" t="n">
        <v>-14779883537</v>
      </c>
      <c r="Q20" s="52" t="n">
        <v>-23216117689</v>
      </c>
    </row>
    <row r="21">
      <c r="A21" s="51" t="inlineStr">
        <is>
          <t>Tiền thu từ thanh lý, nhượng bán TSCĐ và các tài sản dài hạn khác</t>
        </is>
      </c>
      <c r="B21" s="52" t="n">
        <v>1075665048</v>
      </c>
      <c r="C21" s="52" t="n">
        <v>1774979478</v>
      </c>
      <c r="D21" s="52" t="n">
        <v>792669960</v>
      </c>
      <c r="E21" s="52" t="n">
        <v>12869426085</v>
      </c>
      <c r="F21" s="52" t="n">
        <v>1498185785</v>
      </c>
      <c r="G21" s="52" t="n">
        <v>2289295529</v>
      </c>
      <c r="H21" s="52" t="n">
        <v>3181818</v>
      </c>
      <c r="I21" s="52" t="n">
        <v>3636364</v>
      </c>
      <c r="J21" s="52" t="n">
        <v>-48157964</v>
      </c>
      <c r="K21" s="52" t="n">
        <v>0</v>
      </c>
      <c r="L21" s="52" t="n">
        <v>0</v>
      </c>
      <c r="M21" s="52" t="n">
        <v>0</v>
      </c>
      <c r="N21" s="52" t="n">
        <v>0</v>
      </c>
      <c r="O21" s="52" t="n">
        <v>3636364</v>
      </c>
      <c r="P21" s="52" t="n">
        <v>0</v>
      </c>
      <c r="Q21" s="52" t="n">
        <v>0</v>
      </c>
    </row>
    <row r="22">
      <c r="A22" s="51" t="inlineStr">
        <is>
          <t>Tiền chi cho vay, mua các công cụ nợ của đơn vị khác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-540000000000</v>
      </c>
      <c r="G22" s="52" t="n">
        <v>-2240100000000</v>
      </c>
      <c r="H22" s="52" t="n">
        <v>-1120070000000</v>
      </c>
      <c r="I22" s="52" t="n">
        <v>-4067400000000</v>
      </c>
      <c r="J22" s="52" t="n">
        <v>-1050000000000</v>
      </c>
      <c r="K22" s="52" t="n">
        <v>-70000000000</v>
      </c>
      <c r="L22" s="52" t="n">
        <v>-1550555651855</v>
      </c>
      <c r="M22" s="52" t="n">
        <v>-69614348145</v>
      </c>
      <c r="N22" s="52" t="n">
        <v>-2016830000000</v>
      </c>
      <c r="O22" s="52" t="n">
        <v>-430400000000</v>
      </c>
      <c r="P22" s="52" t="n">
        <v>-2994000000000</v>
      </c>
      <c r="Q22" s="52" t="n">
        <v>-304648880000</v>
      </c>
    </row>
    <row r="23">
      <c r="A23" s="51" t="inlineStr">
        <is>
          <t>Tiền thu hồi cho vay, bán lại các công cụ nợ của đơn vị khác</t>
        </is>
      </c>
      <c r="B23" s="52" t="n">
        <v>160065000000</v>
      </c>
      <c r="C23" s="52" t="n">
        <v>0</v>
      </c>
      <c r="D23" s="52" t="n">
        <v>0</v>
      </c>
      <c r="E23" s="52" t="n">
        <v>0</v>
      </c>
      <c r="F23" s="52" t="n">
        <v>200000000000</v>
      </c>
      <c r="G23" s="52" t="n">
        <v>1680000000000</v>
      </c>
      <c r="H23" s="52" t="n">
        <v>960000000000</v>
      </c>
      <c r="I23" s="52" t="n">
        <v>3210000000000</v>
      </c>
      <c r="J23" s="52" t="n">
        <v>100000000000</v>
      </c>
      <c r="K23" s="52" t="n">
        <v>0</v>
      </c>
      <c r="L23" s="52" t="n">
        <v>950000000000</v>
      </c>
      <c r="M23" s="52" t="n">
        <v>460170000000</v>
      </c>
      <c r="N23" s="52" t="n">
        <v>1099830000000</v>
      </c>
      <c r="O23" s="52" t="n">
        <v>700000000000</v>
      </c>
      <c r="P23" s="52" t="n">
        <v>1470000000000</v>
      </c>
      <c r="Q23" s="52" t="n">
        <v>452467000000</v>
      </c>
    </row>
    <row r="24">
      <c r="A24" s="51" t="inlineStr">
        <is>
          <t>Tiền chi đầu tư góp vốn vào đơn vị khác</t>
        </is>
      </c>
      <c r="B24" s="52" t="n">
        <v>0</v>
      </c>
      <c r="C24" s="52" t="n">
        <v>0</v>
      </c>
      <c r="D24" s="52" t="n">
        <v>0</v>
      </c>
      <c r="E24" s="52" t="n">
        <v>0</v>
      </c>
      <c r="F24" s="52" t="n">
        <v>0</v>
      </c>
      <c r="G24" s="52" t="n">
        <v>-3980000000</v>
      </c>
      <c r="H24" s="52" t="n">
        <v>0</v>
      </c>
      <c r="I24" s="52" t="n">
        <v>-1950000000</v>
      </c>
      <c r="J24" s="52" t="n">
        <v>0</v>
      </c>
      <c r="K24" s="52" t="n">
        <v>0</v>
      </c>
      <c r="L24" s="52" t="n">
        <v>0</v>
      </c>
      <c r="M24" s="52" t="n">
        <v>-1950000000</v>
      </c>
      <c r="N24" s="52" t="n">
        <v>0</v>
      </c>
      <c r="O24" s="52" t="n">
        <v>0</v>
      </c>
      <c r="P24" s="52" t="n">
        <v>0</v>
      </c>
      <c r="Q24" s="52" t="n">
        <v>0</v>
      </c>
    </row>
    <row r="25">
      <c r="A25" s="51" t="inlineStr">
        <is>
          <t>Tiền thu hồi đầu tư góp vốn vào đơn vị khác</t>
        </is>
      </c>
      <c r="B25" s="52" t="n">
        <v>0</v>
      </c>
      <c r="C25" s="52" t="n">
        <v>0</v>
      </c>
      <c r="D25" s="52" t="n">
        <v>0</v>
      </c>
      <c r="E25" s="52" t="n">
        <v>0</v>
      </c>
      <c r="F25" s="52" t="n">
        <v>0</v>
      </c>
      <c r="G25" s="52" t="n">
        <v>0</v>
      </c>
      <c r="H25" s="52" t="n">
        <v>0</v>
      </c>
      <c r="I25" s="52" t="n">
        <v>0</v>
      </c>
      <c r="J25" s="52" t="n">
        <v>0</v>
      </c>
      <c r="K25" s="52" t="n">
        <v>0</v>
      </c>
      <c r="L25" s="52" t="n">
        <v>0</v>
      </c>
      <c r="M25" s="52" t="n">
        <v>0</v>
      </c>
      <c r="N25" s="52" t="n">
        <v>0</v>
      </c>
      <c r="O25" s="52" t="n">
        <v>0</v>
      </c>
      <c r="P25" s="52" t="n">
        <v>0</v>
      </c>
      <c r="Q25" s="52" t="n">
        <v>0</v>
      </c>
    </row>
    <row r="26">
      <c r="A26" s="51" t="inlineStr">
        <is>
          <t>Tiền thu lãi cho vay, cổ tức và lợi nhuận được chia</t>
        </is>
      </c>
      <c r="B26" s="52" t="n">
        <v>6331279529</v>
      </c>
      <c r="C26" s="52" t="n">
        <v>163983543</v>
      </c>
      <c r="D26" s="52" t="n">
        <v>251771651</v>
      </c>
      <c r="E26" s="52" t="n">
        <v>267480935</v>
      </c>
      <c r="F26" s="52" t="n">
        <v>20219137155</v>
      </c>
      <c r="G26" s="52" t="n">
        <v>66432820820</v>
      </c>
      <c r="H26" s="52" t="n">
        <v>39436141188</v>
      </c>
      <c r="I26" s="52" t="n">
        <v>81101160826</v>
      </c>
      <c r="J26" s="52" t="n">
        <v>4196227073</v>
      </c>
      <c r="K26" s="52" t="n">
        <v>19519565605</v>
      </c>
      <c r="L26" s="52" t="n">
        <v>29358112143</v>
      </c>
      <c r="M26" s="52" t="n">
        <v>2697852460</v>
      </c>
      <c r="N26" s="52" t="n">
        <v>38662389233</v>
      </c>
      <c r="O26" s="52" t="n">
        <v>10382806990</v>
      </c>
      <c r="P26" s="52" t="n">
        <v>50783637215</v>
      </c>
      <c r="Q26" s="52" t="n">
        <v>14988333230</v>
      </c>
    </row>
    <row r="27">
      <c r="A27" s="51" t="inlineStr">
        <is>
          <t>Lưu chuyển tiền thuần từ hoạt động đầu tư</t>
        </is>
      </c>
      <c r="B27" s="52" t="n">
        <v>-168906470793</v>
      </c>
      <c r="C27" s="52" t="n">
        <v>-221826959576</v>
      </c>
      <c r="D27" s="52" t="n">
        <v>-84389204569</v>
      </c>
      <c r="E27" s="52" t="n">
        <v>-48167290625</v>
      </c>
      <c r="F27" s="52" t="n">
        <v>-370667278626</v>
      </c>
      <c r="G27" s="52" t="n">
        <v>-578473317754</v>
      </c>
      <c r="H27" s="52" t="n">
        <v>-211036976684</v>
      </c>
      <c r="I27" s="52" t="n">
        <v>-893788030060</v>
      </c>
      <c r="J27" s="52" t="n">
        <v>-965475813283</v>
      </c>
      <c r="K27" s="52" t="n">
        <v>-100746387814</v>
      </c>
      <c r="L27" s="52" t="n">
        <v>-575051608539</v>
      </c>
      <c r="M27" s="52" t="n">
        <v>353423984056</v>
      </c>
      <c r="N27" s="52" t="n">
        <v>-885744903396</v>
      </c>
      <c r="O27" s="52" t="n">
        <v>213584497819</v>
      </c>
      <c r="P27" s="52" t="n">
        <v>-1487996246322</v>
      </c>
      <c r="Q27" s="52" t="n">
        <v>139590335541</v>
      </c>
    </row>
    <row r="28">
      <c r="A28" s="51" t="inlineStr">
        <is>
          <t>Tiền thu từ phát hành cổ phiếu, nhận vốn góp của chủ sở hữu</t>
        </is>
      </c>
      <c r="B28" s="52" t="n">
        <v>97273160000</v>
      </c>
      <c r="C28" s="52" t="n">
        <v>68932500000</v>
      </c>
      <c r="D28" s="52" t="n">
        <v>46375540000</v>
      </c>
      <c r="E28" s="52" t="n">
        <v>0</v>
      </c>
      <c r="F28" s="52" t="n">
        <v>1447231530000</v>
      </c>
      <c r="G28" s="52" t="n">
        <v>0</v>
      </c>
      <c r="H28" s="52" t="n">
        <v>67243920000</v>
      </c>
      <c r="I28" s="52" t="n">
        <v>64823800000</v>
      </c>
      <c r="J28" s="52" t="n">
        <v>66857920000</v>
      </c>
      <c r="K28" s="52" t="n">
        <v>0</v>
      </c>
      <c r="L28" s="52" t="n">
        <v>0</v>
      </c>
      <c r="M28" s="52" t="n">
        <v>0</v>
      </c>
      <c r="N28" s="52" t="n">
        <v>64877800000</v>
      </c>
      <c r="O28" s="52" t="n">
        <v>-54000000</v>
      </c>
      <c r="P28" s="52" t="n">
        <v>0</v>
      </c>
      <c r="Q28" s="52" t="n">
        <v>17500000000</v>
      </c>
    </row>
    <row r="29">
      <c r="A29" s="51" t="inlineStr">
        <is>
          <t>Tiền chi trả vốn góp cho các chủ sở hữu, mua lại cổ phiếu của doanh nghiệp đã phát hành</t>
        </is>
      </c>
      <c r="B29" s="52" t="n">
        <v>0</v>
      </c>
      <c r="C29" s="52" t="n">
        <v>-2094000000</v>
      </c>
      <c r="D29" s="52" t="n">
        <v>-1283000000</v>
      </c>
      <c r="E29" s="52" t="n">
        <v>-1524800000</v>
      </c>
      <c r="F29" s="52" t="n">
        <v>0</v>
      </c>
      <c r="G29" s="52" t="n">
        <v>0</v>
      </c>
      <c r="H29" s="52" t="n">
        <v>0</v>
      </c>
      <c r="I29" s="52" t="n">
        <v>0</v>
      </c>
      <c r="J29" s="52" t="n">
        <v>0</v>
      </c>
      <c r="K29" s="52" t="n">
        <v>0</v>
      </c>
      <c r="L29" s="52" t="n">
        <v>0</v>
      </c>
      <c r="M29" s="52" t="n">
        <v>0</v>
      </c>
      <c r="N29" s="52" t="n">
        <v>0</v>
      </c>
      <c r="O29" s="52" t="n">
        <v>0</v>
      </c>
      <c r="P29" s="52" t="n">
        <v>0</v>
      </c>
      <c r="Q29" s="52" t="n">
        <v>0</v>
      </c>
    </row>
    <row r="30">
      <c r="A30" s="51" t="inlineStr">
        <is>
          <t>Tiền thu được các khoản đi vay</t>
        </is>
      </c>
      <c r="B30" s="52" t="n">
        <v>4320772043080</v>
      </c>
      <c r="C30" s="52" t="n">
        <v>5435682129077</v>
      </c>
      <c r="D30" s="52" t="n">
        <v>7432783338336</v>
      </c>
      <c r="E30" s="52" t="n">
        <v>7758858344889</v>
      </c>
      <c r="F30" s="52" t="n">
        <v>6261254967206</v>
      </c>
      <c r="G30" s="52" t="n">
        <v>8159472964689</v>
      </c>
      <c r="H30" s="52" t="n">
        <v>6788859495016</v>
      </c>
      <c r="I30" s="52" t="n">
        <v>9817871495359</v>
      </c>
      <c r="J30" s="52" t="n">
        <v>1478563482967</v>
      </c>
      <c r="K30" s="52" t="n">
        <v>2964215858851</v>
      </c>
      <c r="L30" s="52" t="n">
        <v>2183431447192</v>
      </c>
      <c r="M30" s="52" t="n">
        <v>2635277189042</v>
      </c>
      <c r="N30" s="52" t="n">
        <v>1951671758875</v>
      </c>
      <c r="O30" s="52" t="n">
        <v>3047491100250</v>
      </c>
      <c r="P30" s="52" t="n">
        <v>2509869140915</v>
      </c>
      <c r="Q30" s="52" t="n">
        <v>5309409232299</v>
      </c>
    </row>
    <row r="31">
      <c r="A31" s="51" t="inlineStr">
        <is>
          <t>Tiền trả nợ gốc vay</t>
        </is>
      </c>
      <c r="B31" s="52" t="n">
        <v>-3647003259254</v>
      </c>
      <c r="C31" s="52" t="n">
        <v>-4387362004881</v>
      </c>
      <c r="D31" s="52" t="n">
        <v>-8208110896493</v>
      </c>
      <c r="E31" s="52" t="n">
        <v>-6876202707810</v>
      </c>
      <c r="F31" s="52" t="n">
        <v>-6300139792578</v>
      </c>
      <c r="G31" s="52" t="n">
        <v>-8458230585768</v>
      </c>
      <c r="H31" s="52" t="n">
        <v>-5831605732949</v>
      </c>
      <c r="I31" s="52" t="n">
        <v>-8936027876466</v>
      </c>
      <c r="J31" s="52" t="n">
        <v>-267777824371</v>
      </c>
      <c r="K31" s="52" t="n">
        <v>-1093093687079</v>
      </c>
      <c r="L31" s="52" t="n">
        <v>-2036940876648</v>
      </c>
      <c r="M31" s="52" t="n">
        <v>-3027017404856</v>
      </c>
      <c r="N31" s="52" t="n">
        <v>-2715361105873</v>
      </c>
      <c r="O31" s="52" t="n">
        <v>-1156708489089</v>
      </c>
      <c r="P31" s="52" t="n">
        <v>-3839632931295</v>
      </c>
      <c r="Q31" s="52" t="n">
        <v>-4213903026322</v>
      </c>
    </row>
    <row r="32">
      <c r="A32" s="51" t="inlineStr">
        <is>
          <t>Tiền trả nợ gốc thuê tài chính</t>
        </is>
      </c>
      <c r="B32" s="52" t="n">
        <v>0</v>
      </c>
      <c r="C32" s="52" t="n">
        <v>0</v>
      </c>
      <c r="D32" s="52" t="n">
        <v>0</v>
      </c>
      <c r="E32" s="52" t="n">
        <v>0</v>
      </c>
      <c r="F32" s="52" t="n">
        <v>0</v>
      </c>
      <c r="G32" s="52" t="n">
        <v>0</v>
      </c>
      <c r="H32" s="52" t="n">
        <v>0</v>
      </c>
      <c r="I32" s="52" t="n">
        <v>0</v>
      </c>
      <c r="J32" s="52" t="n">
        <v>0</v>
      </c>
      <c r="K32" s="52" t="n">
        <v>0</v>
      </c>
      <c r="L32" s="52" t="n">
        <v>0</v>
      </c>
      <c r="M32" s="52" t="n">
        <v>0</v>
      </c>
      <c r="N32" s="52" t="n">
        <v>0</v>
      </c>
      <c r="O32" s="52" t="n">
        <v>0</v>
      </c>
      <c r="P32" s="52" t="n">
        <v>0</v>
      </c>
      <c r="Q32" s="52" t="n">
        <v>0</v>
      </c>
    </row>
    <row r="33">
      <c r="A33" s="51" t="inlineStr">
        <is>
          <t>Cổ tức, lợi nhuận đã trả cho chủ sở hữu</t>
        </is>
      </c>
      <c r="B33" s="52" t="n">
        <v>-268371812300</v>
      </c>
      <c r="C33" s="52" t="n">
        <v>-343875424770</v>
      </c>
      <c r="D33" s="52" t="n">
        <v>-355099739283</v>
      </c>
      <c r="E33" s="52" t="n">
        <v>-177376257045</v>
      </c>
      <c r="F33" s="52" t="n">
        <v>-616671158340</v>
      </c>
      <c r="G33" s="52" t="n">
        <v>-615443389700</v>
      </c>
      <c r="H33" s="52" t="n">
        <v>-671681829760</v>
      </c>
      <c r="I33" s="52" t="n">
        <v>-673692457830</v>
      </c>
      <c r="J33" s="52" t="n">
        <v>0</v>
      </c>
      <c r="K33" s="52" t="n">
        <v>-471584526700</v>
      </c>
      <c r="L33" s="52" t="n">
        <v>-202112808240</v>
      </c>
      <c r="M33" s="52" t="n">
        <v>0</v>
      </c>
      <c r="N33" s="52" t="n">
        <v>0</v>
      </c>
      <c r="O33" s="52" t="n">
        <v>-471579649590</v>
      </c>
      <c r="P33" s="52" t="n">
        <v>-339129068520</v>
      </c>
      <c r="Q33" s="52" t="n">
        <v>-898204000</v>
      </c>
    </row>
    <row r="34">
      <c r="A34" s="51" t="inlineStr">
        <is>
          <t>Tiền lãi đã nhận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  <c r="J34" s="52" t="n">
        <v>0</v>
      </c>
      <c r="K34" s="52" t="n">
        <v>0</v>
      </c>
      <c r="L34" s="52" t="n">
        <v>0</v>
      </c>
      <c r="M34" s="52" t="n">
        <v>0</v>
      </c>
      <c r="N34" s="52" t="n">
        <v>0</v>
      </c>
      <c r="O34" s="52" t="n">
        <v>0</v>
      </c>
      <c r="P34" s="52" t="n">
        <v>0</v>
      </c>
      <c r="Q34" s="52" t="n">
        <v>0</v>
      </c>
    </row>
    <row r="35">
      <c r="A35" s="51" t="inlineStr">
        <is>
          <t>Lưu chuyển tiền thuần từ hoạt động tài chính</t>
        </is>
      </c>
      <c r="B35" s="52" t="n">
        <v>502670131526</v>
      </c>
      <c r="C35" s="52" t="n">
        <v>771283199426</v>
      </c>
      <c r="D35" s="52" t="n">
        <v>-1085334757440</v>
      </c>
      <c r="E35" s="52" t="n">
        <v>703754580034</v>
      </c>
      <c r="F35" s="52" t="n">
        <v>791675546288</v>
      </c>
      <c r="G35" s="52" t="n">
        <v>-914201010779</v>
      </c>
      <c r="H35" s="52" t="n">
        <v>352815852307</v>
      </c>
      <c r="I35" s="52" t="n">
        <v>272974961063</v>
      </c>
      <c r="J35" s="52" t="n">
        <v>1277643578596</v>
      </c>
      <c r="K35" s="52" t="n">
        <v>1399537645072</v>
      </c>
      <c r="L35" s="52" t="n">
        <v>-55622237696</v>
      </c>
      <c r="M35" s="52" t="n">
        <v>-391740215814</v>
      </c>
      <c r="N35" s="52" t="n">
        <v>-698811546998</v>
      </c>
      <c r="O35" s="52" t="n">
        <v>1419148961571</v>
      </c>
      <c r="P35" s="52" t="n">
        <v>-1668892858900</v>
      </c>
      <c r="Q35" s="52" t="n">
        <v>1112108001977</v>
      </c>
    </row>
    <row r="36">
      <c r="A36" s="51" t="inlineStr">
        <is>
          <t>Lưu chuyển tiền thuần trong kỳ</t>
        </is>
      </c>
      <c r="B36" s="52" t="n">
        <v>31623755155</v>
      </c>
      <c r="C36" s="52" t="n">
        <v>-111635456056</v>
      </c>
      <c r="D36" s="52" t="n">
        <v>327187767116</v>
      </c>
      <c r="E36" s="52" t="n">
        <v>-66779942104</v>
      </c>
      <c r="F36" s="52" t="n">
        <v>521589474358</v>
      </c>
      <c r="G36" s="52" t="n">
        <v>15067142560</v>
      </c>
      <c r="H36" s="52" t="n">
        <v>224964050378</v>
      </c>
      <c r="I36" s="52" t="n">
        <v>-601922665156</v>
      </c>
      <c r="J36" s="52" t="n">
        <v>-147391909697</v>
      </c>
      <c r="K36" s="52" t="n">
        <v>-274529468068</v>
      </c>
      <c r="L36" s="52" t="n">
        <v>-865863696281</v>
      </c>
      <c r="M36" s="52" t="n">
        <v>88594758483</v>
      </c>
      <c r="N36" s="52" t="n">
        <v>237622210479</v>
      </c>
      <c r="O36" s="52" t="n">
        <v>-62275937837</v>
      </c>
      <c r="P36" s="52" t="n">
        <v>400904495929</v>
      </c>
      <c r="Q36" s="52" t="n">
        <v>-315041329396</v>
      </c>
    </row>
    <row r="37">
      <c r="A37" s="51" t="inlineStr">
        <is>
          <t>Tiền và tương đương tiền đầu kỳ</t>
        </is>
      </c>
      <c r="B37" s="52" t="n">
        <v>175208552187</v>
      </c>
      <c r="C37" s="52" t="n">
        <v>206721179629</v>
      </c>
      <c r="D37" s="52" t="n">
        <v>95224439008</v>
      </c>
      <c r="E37" s="52" t="n">
        <v>422234781061</v>
      </c>
      <c r="F37" s="52" t="n">
        <v>355454838957</v>
      </c>
      <c r="G37" s="52" t="n">
        <v>879548130711</v>
      </c>
      <c r="H37" s="52" t="n">
        <v>896147917336</v>
      </c>
      <c r="I37" s="52" t="n">
        <v>1122712392130</v>
      </c>
      <c r="J37" s="52" t="n">
        <v>1544061575711</v>
      </c>
      <c r="K37" s="52" t="n">
        <v>1396669666014</v>
      </c>
      <c r="L37" s="52" t="n">
        <v>1122712392130</v>
      </c>
      <c r="M37" s="52" t="n">
        <v>256848695849</v>
      </c>
      <c r="N37" s="52" t="n">
        <v>346404312952</v>
      </c>
      <c r="O37" s="52" t="n">
        <v>584695579192</v>
      </c>
      <c r="P37" s="52" t="n">
        <v>522302784849</v>
      </c>
      <c r="Q37" s="52" t="n">
        <v>923543256525</v>
      </c>
    </row>
    <row r="38">
      <c r="A38" s="51" t="inlineStr">
        <is>
          <t>Ảnh hưởng của thay đổi tỷ giá hối đoái quy đổi ngoại tệ</t>
        </is>
      </c>
      <c r="B38" s="52" t="n">
        <v>-111127713</v>
      </c>
      <c r="C38" s="52" t="n">
        <v>138715435</v>
      </c>
      <c r="D38" s="52" t="n">
        <v>-177425063</v>
      </c>
      <c r="E38" s="52" t="n">
        <v>0</v>
      </c>
      <c r="F38" s="52" t="n">
        <v>2503817396</v>
      </c>
      <c r="G38" s="52" t="n">
        <v>1532644065</v>
      </c>
      <c r="H38" s="52" t="n">
        <v>1600424416</v>
      </c>
      <c r="I38" s="52" t="n">
        <v>1235530057</v>
      </c>
      <c r="J38" s="52" t="n">
        <v>0</v>
      </c>
      <c r="K38" s="52" t="n">
        <v>572194184</v>
      </c>
      <c r="L38" s="52" t="n">
        <v>0</v>
      </c>
      <c r="M38" s="52" t="n">
        <v>960858620</v>
      </c>
      <c r="N38" s="52" t="n">
        <v>669055761</v>
      </c>
      <c r="O38" s="52" t="n">
        <v>-394384324</v>
      </c>
      <c r="P38" s="52" t="n">
        <v>335975747</v>
      </c>
      <c r="Q38" s="52" t="n">
        <v>155369538</v>
      </c>
    </row>
    <row r="39">
      <c r="A39" s="51" t="inlineStr">
        <is>
          <t>Tiền và tương đương tiền cuối kỳ</t>
        </is>
      </c>
      <c r="B39" s="52" t="n">
        <v>206721179629</v>
      </c>
      <c r="C39" s="52" t="n">
        <v>95224439008</v>
      </c>
      <c r="D39" s="52" t="n">
        <v>422234781061</v>
      </c>
      <c r="E39" s="52" t="n">
        <v>355454838957</v>
      </c>
      <c r="F39" s="52" t="n">
        <v>879548130711</v>
      </c>
      <c r="G39" s="52" t="n">
        <v>896147917336</v>
      </c>
      <c r="H39" s="52" t="n">
        <v>1122712392130</v>
      </c>
      <c r="I39" s="52" t="n">
        <v>522025257031</v>
      </c>
      <c r="J39" s="52" t="n">
        <v>1396669666014</v>
      </c>
      <c r="K39" s="52" t="n">
        <v>1122712392130</v>
      </c>
      <c r="L39" s="52" t="n">
        <v>256848695849</v>
      </c>
      <c r="M39" s="52" t="n">
        <v>346404312952</v>
      </c>
      <c r="N39" s="52" t="n">
        <v>584695579192</v>
      </c>
      <c r="O39" s="52" t="n">
        <v>522025257031</v>
      </c>
      <c r="P39" s="52" t="n">
        <v>923543256525</v>
      </c>
      <c r="Q39" s="52" t="n">
        <v>608657296667</v>
      </c>
    </row>
    <row r="40">
      <c r="A40" s="51" t="inlineStr">
        <is>
          <t>Phân bổ lợi thế thương mại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  <c r="J40" s="52" t="n">
        <v>0</v>
      </c>
      <c r="K40" s="52" t="n">
        <v>0</v>
      </c>
      <c r="L40" s="52" t="n">
        <v>0</v>
      </c>
      <c r="M40" s="52" t="n">
        <v>0</v>
      </c>
      <c r="N40" s="52" t="n">
        <v>0</v>
      </c>
      <c r="O40" s="52" t="n">
        <v>0</v>
      </c>
      <c r="P40" s="52" t="n">
        <v>0</v>
      </c>
      <c r="Q40" s="52" t="n">
        <v>0</v>
      </c>
    </row>
    <row r="41">
      <c r="A41" s="51" t="inlineStr">
        <is>
          <t>Các khoản điều chỉnh khác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  <c r="J41" s="52" t="n">
        <v>0</v>
      </c>
      <c r="K41" s="52" t="n">
        <v>0</v>
      </c>
      <c r="L41" s="52" t="n">
        <v>0</v>
      </c>
      <c r="M41" s="52" t="n">
        <v>0</v>
      </c>
      <c r="N41" s="52" t="n">
        <v>0</v>
      </c>
      <c r="O41" s="52" t="n">
        <v>0</v>
      </c>
      <c r="P41" s="52" t="n">
        <v>0</v>
      </c>
      <c r="Q41" s="52" t="n">
        <v>0</v>
      </c>
    </row>
    <row r="42">
      <c r="A42" s="51" t="inlineStr">
        <is>
          <t>(Tăng)/giảm chứng khoán kinh doanh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-97918137408</v>
      </c>
      <c r="J42" s="52" t="n">
        <v>0</v>
      </c>
      <c r="K42" s="52" t="n">
        <v>0</v>
      </c>
      <c r="L42" s="52" t="n">
        <v>0</v>
      </c>
      <c r="M42" s="52" t="n">
        <v>-98921673893</v>
      </c>
      <c r="N42" s="52" t="n">
        <v>-367460523</v>
      </c>
      <c r="O42" s="52" t="n">
        <v>1370997008</v>
      </c>
      <c r="P42" s="52" t="n">
        <v>-1156656920</v>
      </c>
      <c r="Q42" s="5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topLeftCell="C37" workbookViewId="0">
      <selection activeCell="A50" sqref="A50:XFD50"/>
    </sheetView>
  </sheetViews>
  <sheetFormatPr baseColWidth="8" defaultRowHeight="14.25"/>
  <cols>
    <col width="38.375" customWidth="1" min="1" max="1"/>
    <col width="18.25" customWidth="1" min="2" max="8"/>
    <col width="20.5" bestFit="1" customWidth="1" min="9" max="11"/>
  </cols>
  <sheetData>
    <row r="1">
      <c r="A1" s="14" t="inlineStr">
        <is>
          <t>Chỉ tiêu</t>
        </is>
      </c>
      <c r="B1" s="15">
        <f>balance_sheet!B1</f>
        <v/>
      </c>
      <c r="C1" s="15">
        <f>balance_sheet!C1</f>
        <v/>
      </c>
      <c r="D1" s="15">
        <f>balance_sheet!D1</f>
        <v/>
      </c>
      <c r="E1" s="15">
        <f>balance_sheet!E1</f>
        <v/>
      </c>
      <c r="F1" s="15">
        <f>balance_sheet!F1</f>
        <v/>
      </c>
      <c r="G1" s="15">
        <f>balance_sheet!G1</f>
        <v/>
      </c>
      <c r="H1" s="15">
        <f>balance_sheet!H1</f>
        <v/>
      </c>
      <c r="I1" s="15">
        <f>balance_sheet!I1</f>
        <v/>
      </c>
      <c r="J1" s="15" t="n">
        <v>2026</v>
      </c>
      <c r="K1" s="15" t="n">
        <v>2027</v>
      </c>
    </row>
    <row r="2">
      <c r="A2" s="14" t="inlineStr">
        <is>
          <t>ROE (LNST CĐ Cty mẹ / VCSH bình quân)</t>
        </is>
      </c>
      <c r="B2" s="16" t="inlineStr">
        <is>
          <t>n/a</t>
        </is>
      </c>
      <c r="C2" s="53">
        <f>IFERROR(C$52/((C$39+B$39)/2),"n/a")</f>
        <v/>
      </c>
      <c r="D2" s="53">
        <f>IFERROR(D$52/((D$39+C$39)/2),"n/a")</f>
        <v/>
      </c>
      <c r="E2" s="53">
        <f>IFERROR(E$52/((E$39+D$39)/2),"n/a")</f>
        <v/>
      </c>
      <c r="F2" s="53">
        <f>IFERROR(F$52/((F$39+E$39)/2),"n/a")</f>
        <v/>
      </c>
      <c r="G2" s="53">
        <f>IFERROR(G$52/((G$39+F$39)/2),"n/a")</f>
        <v/>
      </c>
      <c r="H2" s="53">
        <f>IFERROR(H$52/((H$39+G$39)/2),"n/a")</f>
        <v/>
      </c>
      <c r="I2" s="53">
        <f>IFERROR(I$52/((I$39+H$39)/2),"n/a")</f>
        <v/>
      </c>
      <c r="J2" s="53">
        <f>IFERROR(J$52/((J$39+I$39)/2),"n/a")</f>
        <v/>
      </c>
      <c r="K2" s="53">
        <f>IFERROR(K$52/((K$39+J$39)/2),"n/a")</f>
        <v/>
      </c>
    </row>
    <row r="3">
      <c r="A3" s="14" t="inlineStr">
        <is>
          <t>ROA (LNST / Tổng tài sản bình quân)</t>
        </is>
      </c>
      <c r="B3" s="16" t="inlineStr">
        <is>
          <t>n/a</t>
        </is>
      </c>
      <c r="C3" s="53">
        <f>IFERROR(C$51/((C$31+B$31)/2),"n/a")</f>
        <v/>
      </c>
      <c r="D3" s="53">
        <f>IFERROR(D$51/((D$31+C$31)/2),"n/a")</f>
        <v/>
      </c>
      <c r="E3" s="53">
        <f>IFERROR(E$51/((E$31+D$31)/2),"n/a")</f>
        <v/>
      </c>
      <c r="F3" s="53">
        <f>IFERROR(F$51/((F$31+E$31)/2),"n/a")</f>
        <v/>
      </c>
      <c r="G3" s="53">
        <f>IFERROR(G$51/((G$31+F$31)/2),"n/a")</f>
        <v/>
      </c>
      <c r="H3" s="53">
        <f>IFERROR(H$51/((H$31+G$31)/2),"n/a")</f>
        <v/>
      </c>
      <c r="I3" s="53">
        <f>IFERROR(I$51/((I$31+H$31)/2),"n/a")</f>
        <v/>
      </c>
    </row>
    <row r="4">
      <c r="A4" s="14" t="inlineStr">
        <is>
          <t>Tăng trưởng LN Cổ đông Cty mẹ</t>
        </is>
      </c>
      <c r="B4" s="16" t="inlineStr">
        <is>
          <t>n/a</t>
        </is>
      </c>
      <c r="C4" s="53">
        <f>IFERROR((C$52-B$52)/ABS(B$52),"n/a")</f>
        <v/>
      </c>
      <c r="D4" s="53">
        <f>IFERROR((D$52-C$52)/ABS(C$52),"n/a")</f>
        <v/>
      </c>
      <c r="E4" s="53">
        <f>IFERROR((E$52-D$52)/ABS(D$52),"n/a")</f>
        <v/>
      </c>
      <c r="F4" s="53">
        <f>IFERROR((F$52-E$52)/ABS(E$52),"n/a")</f>
        <v/>
      </c>
      <c r="G4" s="53">
        <f>IFERROR((G$52-F$52)/ABS(F$52),"n/a")</f>
        <v/>
      </c>
      <c r="H4" s="53">
        <f>IFERROR((H$52-G$52)/ABS(G$52),"n/a")</f>
        <v/>
      </c>
      <c r="I4" s="53">
        <f>IFERROR((I$52-H$52)/ABS(H$52),"n/a")</f>
        <v/>
      </c>
      <c r="J4" s="53">
        <f>IFERROR((J$52-I$52)/ABS(I$52),"n/a")</f>
        <v/>
      </c>
      <c r="K4" s="53">
        <f>IFERROR((K$52-J$52)/ABS(J$52),"n/a")</f>
        <v/>
      </c>
    </row>
    <row r="5">
      <c r="A5" s="14" t="inlineStr">
        <is>
          <t>Tăng trưởng Doanh thu thuần</t>
        </is>
      </c>
      <c r="B5" s="16" t="inlineStr">
        <is>
          <t>n/a</t>
        </is>
      </c>
      <c r="C5" s="53">
        <f>IFERROR((C$43-B$43)/ABS(B$43),"n/a")</f>
        <v/>
      </c>
      <c r="D5" s="53">
        <f>IFERROR((D$43-C$43)/ABS(C$43),"n/a")</f>
        <v/>
      </c>
      <c r="E5" s="53">
        <f>IFERROR((E$43-D$43)/ABS(D$43),"n/a")</f>
        <v/>
      </c>
      <c r="F5" s="53">
        <f>IFERROR((F$43-E$43)/ABS(E$43),"n/a")</f>
        <v/>
      </c>
      <c r="G5" s="53">
        <f>IFERROR((G$43-F$43)/ABS(F$43),"n/a")</f>
        <v/>
      </c>
      <c r="H5" s="53">
        <f>IFERROR((H$43-G$43)/ABS(G$43),"n/a")</f>
        <v/>
      </c>
      <c r="I5" s="53">
        <f>IFERROR((I$43-H$43)/ABS(H$43),"n/a")</f>
        <v/>
      </c>
      <c r="J5" s="53">
        <f>IFERROR((J$43-I$43)/ABS(I$43),"n/a")</f>
        <v/>
      </c>
      <c r="K5" s="53">
        <f>IFERROR((K$43-J$43)/ABS(J$43),"n/a")</f>
        <v/>
      </c>
    </row>
    <row r="6">
      <c r="A6" s="14" t="inlineStr">
        <is>
          <t>Biên lợi nhuận gộp</t>
        </is>
      </c>
      <c r="B6" s="53">
        <f>IFERROR(B$45/B$43,"n/a")</f>
        <v/>
      </c>
      <c r="C6" s="53">
        <f>IFERROR(C$45/C$43,"n/a")</f>
        <v/>
      </c>
      <c r="D6" s="53">
        <f>IFERROR(D$45/D$43,"n/a")</f>
        <v/>
      </c>
      <c r="E6" s="53">
        <f>IFERROR(E$45/E$43,"n/a")</f>
        <v/>
      </c>
      <c r="F6" s="53">
        <f>IFERROR(F$45/F$43,"n/a")</f>
        <v/>
      </c>
      <c r="G6" s="53">
        <f>IFERROR(G$45/G$43,"n/a")</f>
        <v/>
      </c>
      <c r="H6" s="53">
        <f>IFERROR(H$45/H$43,"n/a")</f>
        <v/>
      </c>
      <c r="I6" s="53">
        <f>IFERROR(I$45/I$43,"n/a")</f>
        <v/>
      </c>
    </row>
    <row r="7">
      <c r="A7" s="14" t="inlineStr">
        <is>
          <t>Biên lợi nhuận ròng</t>
        </is>
      </c>
      <c r="B7" s="53">
        <f>IFERROR(B$52/B$43,"n/a")</f>
        <v/>
      </c>
      <c r="C7" s="53">
        <f>IFERROR(C$52/C$43,"n/a")</f>
        <v/>
      </c>
      <c r="D7" s="53">
        <f>IFERROR(D$52/D$43,"n/a")</f>
        <v/>
      </c>
      <c r="E7" s="53">
        <f>IFERROR(E$52/E$43,"n/a")</f>
        <v/>
      </c>
      <c r="F7" s="53">
        <f>IFERROR(F$52/F$43,"n/a")</f>
        <v/>
      </c>
      <c r="G7" s="53">
        <f>IFERROR(G$52/G$43,"n/a")</f>
        <v/>
      </c>
      <c r="H7" s="53">
        <f>IFERROR(H$52/H$43,"n/a")</f>
        <v/>
      </c>
      <c r="I7" s="53">
        <f>IFERROR(I$52/I$43,"n/a")</f>
        <v/>
      </c>
      <c r="J7" s="53">
        <f>IFERROR(J$52/J$43,"n/a")</f>
        <v/>
      </c>
      <c r="K7" s="53">
        <f>IFERROR(K$52/K$43,"n/a")</f>
        <v/>
      </c>
    </row>
    <row r="8">
      <c r="A8" s="14" t="inlineStr">
        <is>
          <t>D/E (Nợ vay / Vốn chủ sở hữu)</t>
        </is>
      </c>
      <c r="B8" s="18">
        <f>IFERROR((B$34+B$36)/B$39,"n/a")</f>
        <v/>
      </c>
      <c r="C8" s="18">
        <f>IFERROR((C$34+C$36)/C$39,"n/a")</f>
        <v/>
      </c>
      <c r="D8" s="18">
        <f>IFERROR((D$34+D$36)/D$39,"n/a")</f>
        <v/>
      </c>
      <c r="E8" s="18">
        <f>IFERROR((E$34+E$36)/E$39,"n/a")</f>
        <v/>
      </c>
      <c r="F8" s="18">
        <f>IFERROR((F$34+F$36)/F$39,"n/a")</f>
        <v/>
      </c>
      <c r="G8" s="18">
        <f>IFERROR((G$34+G$36)/G$39,"n/a")</f>
        <v/>
      </c>
      <c r="H8" s="18">
        <f>IFERROR((H$34+H$36)/H$39,"n/a")</f>
        <v/>
      </c>
      <c r="I8" s="18">
        <f>IFERROR((I$34+I$36)/I$39,"n/a")</f>
        <v/>
      </c>
    </row>
    <row r="9">
      <c r="A9" s="19" t="inlineStr">
        <is>
          <t xml:space="preserve">     - Nợ vay dài hạn/Vốn chủ sở hữu</t>
        </is>
      </c>
      <c r="B9" s="18">
        <f>IFERROR(B$36/B$39,"n/a")</f>
        <v/>
      </c>
      <c r="C9" s="18">
        <f>IFERROR(C$36/C$39,"n/a")</f>
        <v/>
      </c>
      <c r="D9" s="18">
        <f>IFERROR(D$36/D$39,"n/a")</f>
        <v/>
      </c>
      <c r="E9" s="18">
        <f>IFERROR(E$36/E$39,"n/a")</f>
        <v/>
      </c>
      <c r="F9" s="18">
        <f>IFERROR(F$36/F$39,"n/a")</f>
        <v/>
      </c>
      <c r="G9" s="18">
        <f>IFERROR(G$36/G$39,"n/a")</f>
        <v/>
      </c>
      <c r="H9" s="18">
        <f>IFERROR(H$36/H$39,"n/a")</f>
        <v/>
      </c>
      <c r="I9" s="18">
        <f>IFERROR(I$36/I$39,"n/a")</f>
        <v/>
      </c>
    </row>
    <row r="10">
      <c r="A10" s="19" t="inlineStr">
        <is>
          <t xml:space="preserve">     - Nợ vay ngắn hạn/Vốn chủ sở hữu</t>
        </is>
      </c>
      <c r="B10" s="18">
        <f>IFERROR(B$34/B$39,"n/a")</f>
        <v/>
      </c>
      <c r="C10" s="18">
        <f>IFERROR(C$34/C$39,"n/a")</f>
        <v/>
      </c>
      <c r="D10" s="18">
        <f>IFERROR(D$34/D$39,"n/a")</f>
        <v/>
      </c>
      <c r="E10" s="18">
        <f>IFERROR(E$34/E$39,"n/a")</f>
        <v/>
      </c>
      <c r="F10" s="18">
        <f>IFERROR(F$34/F$39,"n/a")</f>
        <v/>
      </c>
      <c r="G10" s="18">
        <f>IFERROR(G$34/G$39,"n/a")</f>
        <v/>
      </c>
      <c r="H10" s="18">
        <f>IFERROR(H$34/H$39,"n/a")</f>
        <v/>
      </c>
      <c r="I10" s="18">
        <f>IFERROR(I$34/I$39,"n/a")</f>
        <v/>
      </c>
    </row>
    <row r="11">
      <c r="A11" s="14" t="inlineStr">
        <is>
          <t>Nợ phải trả/Vốn chủ sở hữu</t>
        </is>
      </c>
      <c r="B11" s="18">
        <f>IFERROR(B$38/B$39,"n/a")</f>
        <v/>
      </c>
      <c r="C11" s="18">
        <f>IFERROR(C$38/C$39,"n/a")</f>
        <v/>
      </c>
      <c r="D11" s="18">
        <f>IFERROR(D$38/D$39,"n/a")</f>
        <v/>
      </c>
      <c r="E11" s="18">
        <f>IFERROR(E$38/E$39,"n/a")</f>
        <v/>
      </c>
      <c r="F11" s="18">
        <f>IFERROR(F$38/F$39,"n/a")</f>
        <v/>
      </c>
      <c r="G11" s="18">
        <f>IFERROR(G$38/G$39,"n/a")</f>
        <v/>
      </c>
      <c r="H11" s="18">
        <f>IFERROR(H$38/H$39,"n/a")</f>
        <v/>
      </c>
      <c r="I11" s="18">
        <f>IFERROR(I$38/I$39,"n/a")</f>
        <v/>
      </c>
    </row>
    <row r="12">
      <c r="A12" s="19" t="inlineStr">
        <is>
          <t xml:space="preserve">     - Nợ dài hạn/Vốn chủ sở hữu</t>
        </is>
      </c>
      <c r="B12" s="18">
        <f>IFERROR(B$37/B$39,"n/a")</f>
        <v/>
      </c>
      <c r="C12" s="18">
        <f>IFERROR(C$37/C$39,"n/a")</f>
        <v/>
      </c>
      <c r="D12" s="18">
        <f>IFERROR(D$37/D$39,"n/a")</f>
        <v/>
      </c>
      <c r="E12" s="18">
        <f>IFERROR(E$37/E$39,"n/a")</f>
        <v/>
      </c>
      <c r="F12" s="18">
        <f>IFERROR(F$37/F$39,"n/a")</f>
        <v/>
      </c>
      <c r="G12" s="18">
        <f>IFERROR(G$37/G$39,"n/a")</f>
        <v/>
      </c>
      <c r="H12" s="18">
        <f>IFERROR(H$37/H$39,"n/a")</f>
        <v/>
      </c>
      <c r="I12" s="18">
        <f>IFERROR(I$37/I$39,"n/a")</f>
        <v/>
      </c>
    </row>
    <row r="13">
      <c r="A13" s="19" t="inlineStr">
        <is>
          <t xml:space="preserve">     - Nợ ngắn hạn/Vốn chủ sở hữu</t>
        </is>
      </c>
      <c r="B13" s="18">
        <f>IFERROR(B$35/B$39,"n/a")</f>
        <v/>
      </c>
      <c r="C13" s="18">
        <f>IFERROR(C$35/C$39,"n/a")</f>
        <v/>
      </c>
      <c r="D13" s="18">
        <f>IFERROR(D$35/D$39,"n/a")</f>
        <v/>
      </c>
      <c r="E13" s="18">
        <f>IFERROR(E$35/E$39,"n/a")</f>
        <v/>
      </c>
      <c r="F13" s="18">
        <f>IFERROR(F$35/F$39,"n/a")</f>
        <v/>
      </c>
      <c r="G13" s="18">
        <f>IFERROR(G$35/G$39,"n/a")</f>
        <v/>
      </c>
      <c r="H13" s="18">
        <f>IFERROR(H$35/H$39,"n/a")</f>
        <v/>
      </c>
      <c r="I13" s="18">
        <f>IFERROR(I$35/I$39,"n/a")</f>
        <v/>
      </c>
    </row>
    <row r="14">
      <c r="A14" s="14" t="inlineStr">
        <is>
          <t>Chi phí bán hàng, quản lý/LN gộp</t>
        </is>
      </c>
      <c r="B14" s="53">
        <f>IFERROR((ABS(B$46)+ABS(B$47))/B$45,"n/a")</f>
        <v/>
      </c>
      <c r="C14" s="53">
        <f>IFERROR((ABS(C$46)+ABS(C$47))/C$45,"n/a")</f>
        <v/>
      </c>
      <c r="D14" s="53">
        <f>IFERROR((ABS(D$46)+ABS(D$47))/D$45,"n/a")</f>
        <v/>
      </c>
      <c r="E14" s="53">
        <f>IFERROR((ABS(E$46)+ABS(E$47))/E$45,"n/a")</f>
        <v/>
      </c>
      <c r="F14" s="53">
        <f>IFERROR((ABS(F$46)+ABS(F$47))/F$45,"n/a")</f>
        <v/>
      </c>
      <c r="G14" s="53">
        <f>IFERROR((ABS(G$46)+ABS(G$47))/G$45,"n/a")</f>
        <v/>
      </c>
      <c r="H14" s="53">
        <f>IFERROR((ABS(H$46)+ABS(H$47))/H$45,"n/a")</f>
        <v/>
      </c>
      <c r="I14" s="53">
        <f>IFERROR((ABS(I$46)+ABS(I$47))/I$45,"n/a")</f>
        <v/>
      </c>
    </row>
    <row r="15">
      <c r="A15" s="14" t="inlineStr">
        <is>
          <t>Chi phí lãi vay/LN từ hoạt động kinh doanh</t>
        </is>
      </c>
      <c r="B15" s="53">
        <f>IFERROR(ABS(B$49)/B$48,"n/a")</f>
        <v/>
      </c>
      <c r="C15" s="53">
        <f>IFERROR(ABS(C$49)/C$48,"n/a")</f>
        <v/>
      </c>
      <c r="D15" s="53">
        <f>IFERROR(ABS(D$49)/D$48,"n/a")</f>
        <v/>
      </c>
      <c r="E15" s="53">
        <f>IFERROR(ABS(E$49)/E$48,"n/a")</f>
        <v/>
      </c>
      <c r="F15" s="53">
        <f>IFERROR(ABS(F$49)/F$48,"n/a")</f>
        <v/>
      </c>
      <c r="G15" s="53">
        <f>IFERROR(ABS(G$49)/G$48,"n/a")</f>
        <v/>
      </c>
      <c r="H15" s="53">
        <f>IFERROR(ABS(H$49)/H$48,"n/a")</f>
        <v/>
      </c>
      <c r="I15" s="53">
        <f>IFERROR(ABS(I$49)/I$48,"n/a")</f>
        <v/>
      </c>
    </row>
    <row r="16">
      <c r="A16" s="14" t="inlineStr">
        <is>
          <t>Số ngày phải trả (DPO)</t>
        </is>
      </c>
      <c r="B16" s="20" t="inlineStr">
        <is>
          <t>n/a</t>
        </is>
      </c>
      <c r="C16" s="21">
        <f>IFERROR(((C$33+B$33)/2)/ABS(C$44)*365,"n/a")</f>
        <v/>
      </c>
      <c r="D16" s="21">
        <f>IFERROR(((D$33+C$33)/2)/ABS(D$44)*365,"n/a")</f>
        <v/>
      </c>
      <c r="E16" s="21">
        <f>IFERROR(((E$33+D$33)/2)/ABS(E$44)*365,"n/a")</f>
        <v/>
      </c>
      <c r="F16" s="21">
        <f>IFERROR(((F$33+E$33)/2)/ABS(F$44)*365,"n/a")</f>
        <v/>
      </c>
      <c r="G16" s="21">
        <f>IFERROR(((G$33+F$33)/2)/ABS(G$44)*365,"n/a")</f>
        <v/>
      </c>
      <c r="H16" s="21">
        <f>IFERROR(((H$33+G$33)/2)/ABS(H$44)*365,"n/a")</f>
        <v/>
      </c>
      <c r="I16" s="21">
        <f>IFERROR(((I$33+H$33)/2)/ABS(I$44)*365,"n/a")</f>
        <v/>
      </c>
    </row>
    <row r="17">
      <c r="A17" s="14" t="inlineStr">
        <is>
          <t>Số ngày phải thu (DSO)</t>
        </is>
      </c>
      <c r="B17" s="20" t="inlineStr">
        <is>
          <t>n/a</t>
        </is>
      </c>
      <c r="C17" s="21">
        <f>IFERROR(((C$27+B$27)/2)/C$43*365,"n/a")</f>
        <v/>
      </c>
      <c r="D17" s="21">
        <f>IFERROR(((D$27+C$27)/2)/D$43*365,"n/a")</f>
        <v/>
      </c>
      <c r="E17" s="21">
        <f>IFERROR(((E$27+D$27)/2)/E$43*365,"n/a")</f>
        <v/>
      </c>
      <c r="F17" s="21">
        <f>IFERROR(((F$27+E$27)/2)/F$43*365,"n/a")</f>
        <v/>
      </c>
      <c r="G17" s="21">
        <f>IFERROR(((G$27+F$27)/2)/G$43*365,"n/a")</f>
        <v/>
      </c>
      <c r="H17" s="21">
        <f>IFERROR(((H$27+G$27)/2)/H$43*365,"n/a")</f>
        <v/>
      </c>
      <c r="I17" s="21">
        <f>IFERROR(((I$27+H$27)/2)/I$43*365,"n/a")</f>
        <v/>
      </c>
    </row>
    <row r="18">
      <c r="A18" s="14" t="inlineStr">
        <is>
          <t>Số ngày tồn kho (DIO)</t>
        </is>
      </c>
      <c r="B18" s="20" t="inlineStr">
        <is>
          <t>n/a</t>
        </is>
      </c>
      <c r="C18" s="21">
        <f>IFERROR(((C$28+B$28)/2)/ABS(C$44)*365,"n/a")</f>
        <v/>
      </c>
      <c r="D18" s="21">
        <f>IFERROR(((D$28+C$28)/2)/ABS(D$44)*365,"n/a")</f>
        <v/>
      </c>
      <c r="E18" s="21">
        <f>IFERROR(((E$28+D$28)/2)/ABS(E$44)*365,"n/a")</f>
        <v/>
      </c>
      <c r="F18" s="21">
        <f>IFERROR(((F$28+E$28)/2)/ABS(F$44)*365,"n/a")</f>
        <v/>
      </c>
      <c r="G18" s="21">
        <f>IFERROR(((G$28+F$28)/2)/ABS(G$44)*365,"n/a")</f>
        <v/>
      </c>
      <c r="H18" s="21">
        <f>IFERROR(((H$28+G$28)/2)/ABS(H$44)*365,"n/a")</f>
        <v/>
      </c>
      <c r="I18" s="21">
        <f>IFERROR(((I$28+H$28)/2)/ABS(I$44)*365,"n/a")</f>
        <v/>
      </c>
    </row>
    <row r="19">
      <c r="A19" s="14" t="inlineStr">
        <is>
          <t>Tiền và tương đương tiền/Tài sản</t>
        </is>
      </c>
      <c r="B19" s="53">
        <f>IFERROR(B$26/B$31,"n/a")</f>
        <v/>
      </c>
      <c r="C19" s="53">
        <f>IFERROR(C$26/C$31,"n/a")</f>
        <v/>
      </c>
      <c r="D19" s="53">
        <f>IFERROR(D$26/D$31,"n/a")</f>
        <v/>
      </c>
      <c r="E19" s="53">
        <f>IFERROR(E$26/E$31,"n/a")</f>
        <v/>
      </c>
      <c r="F19" s="53">
        <f>IFERROR(F$26/F$31,"n/a")</f>
        <v/>
      </c>
      <c r="G19" s="53">
        <f>IFERROR(G$26/G$31,"n/a")</f>
        <v/>
      </c>
      <c r="H19" s="53">
        <f>IFERROR(H$26/H$31,"n/a")</f>
        <v/>
      </c>
      <c r="I19" s="53">
        <f>IFERROR(I$26/I$31,"n/a")</f>
        <v/>
      </c>
    </row>
    <row r="20">
      <c r="A20" s="14" t="inlineStr">
        <is>
          <t>Hàng tồn kho/Tài sản</t>
        </is>
      </c>
      <c r="B20" s="53">
        <f>IFERROR(B$28/B$31,"n/a")</f>
        <v/>
      </c>
      <c r="C20" s="53">
        <f>IFERROR(C$28/C$31,"n/a")</f>
        <v/>
      </c>
      <c r="D20" s="53">
        <f>IFERROR(D$28/D$31,"n/a")</f>
        <v/>
      </c>
      <c r="E20" s="53">
        <f>IFERROR(E$28/E$31,"n/a")</f>
        <v/>
      </c>
      <c r="F20" s="53">
        <f>IFERROR(F$28/F$31,"n/a")</f>
        <v/>
      </c>
      <c r="G20" s="53">
        <f>IFERROR(G$28/G$31,"n/a")</f>
        <v/>
      </c>
      <c r="H20" s="53">
        <f>IFERROR(H$28/H$31,"n/a")</f>
        <v/>
      </c>
      <c r="I20" s="53">
        <f>IFERROR(I$28/I$31,"n/a")</f>
        <v/>
      </c>
    </row>
    <row r="22">
      <c r="A22" s="22" t="inlineStr">
        <is>
          <t>II. DỮ LIỆU TRÍCH XUẤT (tự động dò theo tên khoản mục)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>
      <c r="A23" s="5" t="inlineStr">
        <is>
          <t>Khoản mục</t>
        </is>
      </c>
      <c r="B23" s="6">
        <f>balance_sheet!B1</f>
        <v/>
      </c>
      <c r="C23" s="6">
        <f>balance_sheet!C1</f>
        <v/>
      </c>
      <c r="D23" s="6">
        <f>balance_sheet!D1</f>
        <v/>
      </c>
      <c r="E23" s="6">
        <f>balance_sheet!E1</f>
        <v/>
      </c>
      <c r="F23" s="6">
        <f>balance_sheet!F1</f>
        <v/>
      </c>
      <c r="G23" s="6">
        <f>balance_sheet!G1</f>
        <v/>
      </c>
      <c r="H23" s="6">
        <f>balance_sheet!H1</f>
        <v/>
      </c>
      <c r="I23" s="6">
        <f>balance_sheet!I1</f>
        <v/>
      </c>
    </row>
    <row r="24">
      <c r="A24" s="36" t="inlineStr">
        <is>
          <t>CĐKT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36" t="inlineStr">
        <is>
          <t>Tài sản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7" t="inlineStr">
        <is>
          <t>Tiền và tương đương tiền</t>
        </is>
      </c>
      <c r="B26" s="54">
        <f>IFERROR(INDEX(balance_sheet!$B:$I,MATCH("Tiền và tương đương tiền",balance_sheet!$A:$A,0),MATCH(B$23,balance_sheet!$B$1:$I$1,0)),"")</f>
        <v/>
      </c>
      <c r="C26" s="54">
        <f>IFERROR(INDEX(balance_sheet!$B:$I,MATCH("Tiền và tương đương tiền",balance_sheet!$A:$A,0),MATCH(C$23,balance_sheet!$B$1:$I$1,0)),"")</f>
        <v/>
      </c>
      <c r="D26" s="54">
        <f>IFERROR(INDEX(balance_sheet!$B:$I,MATCH("Tiền và tương đương tiền",balance_sheet!$A:$A,0),MATCH(D$23,balance_sheet!$B$1:$I$1,0)),"")</f>
        <v/>
      </c>
      <c r="E26" s="54">
        <f>IFERROR(INDEX(balance_sheet!$B:$I,MATCH("Tiền và tương đương tiền",balance_sheet!$A:$A,0),MATCH(E$23,balance_sheet!$B$1:$I$1,0)),"")</f>
        <v/>
      </c>
      <c r="F26" s="54">
        <f>IFERROR(INDEX(balance_sheet!$B:$I,MATCH("Tiền và tương đương tiền",balance_sheet!$A:$A,0),MATCH(F$23,balance_sheet!$B$1:$I$1,0)),"")</f>
        <v/>
      </c>
      <c r="G26" s="54">
        <f>IFERROR(INDEX(balance_sheet!$B:$I,MATCH("Tiền và tương đương tiền",balance_sheet!$A:$A,0),MATCH(G$23,balance_sheet!$B$1:$I$1,0)),"")</f>
        <v/>
      </c>
      <c r="H26" s="54">
        <f>IFERROR(INDEX(balance_sheet!$B:$I,MATCH("Tiền và tương đương tiền",balance_sheet!$A:$A,0),MATCH(H$23,balance_sheet!$B$1:$I$1,0)),"")</f>
        <v/>
      </c>
      <c r="I26" s="54">
        <f>IFERROR(INDEX(balance_sheet!$B:$I,MATCH("Tiền và tương đương tiền",balance_sheet!$A:$A,0),MATCH(I$23,balance_sheet!$B$1:$I$1,0)),"")</f>
        <v/>
      </c>
    </row>
    <row r="27">
      <c r="A27" s="7" t="inlineStr">
        <is>
          <t>Phải thu khách hàng</t>
        </is>
      </c>
      <c r="B27" s="54">
        <f>IFERROR(INDEX(balance_sheet!$B:$I,MATCH("Phải thu khách hàng",balance_sheet!$A:$A,0),MATCH(B$23,balance_sheet!$B$1:$I$1,0)),"")</f>
        <v/>
      </c>
      <c r="C27" s="54">
        <f>IFERROR(INDEX(balance_sheet!$B:$I,MATCH("Phải thu khách hàng",balance_sheet!$A:$A,0),MATCH(C$23,balance_sheet!$B$1:$I$1,0)),"")</f>
        <v/>
      </c>
      <c r="D27" s="54">
        <f>IFERROR(INDEX(balance_sheet!$B:$I,MATCH("Phải thu khách hàng",balance_sheet!$A:$A,0),MATCH(D$23,balance_sheet!$B$1:$I$1,0)),"")</f>
        <v/>
      </c>
      <c r="E27" s="54">
        <f>IFERROR(INDEX(balance_sheet!$B:$I,MATCH("Phải thu khách hàng",balance_sheet!$A:$A,0),MATCH(E$23,balance_sheet!$B$1:$I$1,0)),"")</f>
        <v/>
      </c>
      <c r="F27" s="54">
        <f>IFERROR(INDEX(balance_sheet!$B:$I,MATCH("Phải thu khách hàng",balance_sheet!$A:$A,0),MATCH(F$23,balance_sheet!$B$1:$I$1,0)),"")</f>
        <v/>
      </c>
      <c r="G27" s="54">
        <f>IFERROR(INDEX(balance_sheet!$B:$I,MATCH("Phải thu khách hàng",balance_sheet!$A:$A,0),MATCH(G$23,balance_sheet!$B$1:$I$1,0)),"")</f>
        <v/>
      </c>
      <c r="H27" s="54">
        <f>IFERROR(INDEX(balance_sheet!$B:$I,MATCH("Phải thu khách hàng",balance_sheet!$A:$A,0),MATCH(H$23,balance_sheet!$B$1:$I$1,0)),"")</f>
        <v/>
      </c>
      <c r="I27" s="54">
        <f>IFERROR(INDEX(balance_sheet!$B:$I,MATCH("Phải thu khách hàng",balance_sheet!$A:$A,0),MATCH(I$23,balance_sheet!$B$1:$I$1,0)),"")</f>
        <v/>
      </c>
    </row>
    <row r="28">
      <c r="A28" s="7" t="inlineStr">
        <is>
          <t>Hàng tồn kho, ròng</t>
        </is>
      </c>
      <c r="B28" s="54">
        <f>IFERROR(INDEX(balance_sheet!$B:$I,MATCH("Hàng tồn kho, ròng",balance_sheet!$A:$A,0),MATCH(B$23,balance_sheet!$B$1:$I$1,0)),"")</f>
        <v/>
      </c>
      <c r="C28" s="54">
        <f>IFERROR(INDEX(balance_sheet!$B:$I,MATCH("Hàng tồn kho, ròng",balance_sheet!$A:$A,0),MATCH(C$23,balance_sheet!$B$1:$I$1,0)),"")</f>
        <v/>
      </c>
      <c r="D28" s="54">
        <f>IFERROR(INDEX(balance_sheet!$B:$I,MATCH("Hàng tồn kho, ròng",balance_sheet!$A:$A,0),MATCH(D$23,balance_sheet!$B$1:$I$1,0)),"")</f>
        <v/>
      </c>
      <c r="E28" s="54">
        <f>IFERROR(INDEX(balance_sheet!$B:$I,MATCH("Hàng tồn kho, ròng",balance_sheet!$A:$A,0),MATCH(E$23,balance_sheet!$B$1:$I$1,0)),"")</f>
        <v/>
      </c>
      <c r="F28" s="54">
        <f>IFERROR(INDEX(balance_sheet!$B:$I,MATCH("Hàng tồn kho, ròng",balance_sheet!$A:$A,0),MATCH(F$23,balance_sheet!$B$1:$I$1,0)),"")</f>
        <v/>
      </c>
      <c r="G28" s="54">
        <f>IFERROR(INDEX(balance_sheet!$B:$I,MATCH("Hàng tồn kho, ròng",balance_sheet!$A:$A,0),MATCH(G$23,balance_sheet!$B$1:$I$1,0)),"")</f>
        <v/>
      </c>
      <c r="H28" s="54">
        <f>IFERROR(INDEX(balance_sheet!$B:$I,MATCH("Hàng tồn kho, ròng",balance_sheet!$A:$A,0),MATCH(H$23,balance_sheet!$B$1:$I$1,0)),"")</f>
        <v/>
      </c>
      <c r="I28" s="54">
        <f>IFERROR(INDEX(balance_sheet!$B:$I,MATCH("Hàng tồn kho, ròng",balance_sheet!$A:$A,0),MATCH(I$23,balance_sheet!$B$1:$I$1,0)),"")</f>
        <v/>
      </c>
    </row>
    <row r="29">
      <c r="A29" s="7" t="inlineStr">
        <is>
          <t>TÀI SẢN NGẮN HẠN</t>
        </is>
      </c>
      <c r="B29" s="54">
        <f>IFERROR(INDEX(balance_sheet!$B:$I,MATCH("TÀI SẢN NGẮN HẠN",balance_sheet!$A:$A,0),MATCH(B$23,balance_sheet!$B$1:$I$1,0)),"")</f>
        <v/>
      </c>
      <c r="C29" s="54">
        <f>IFERROR(INDEX(balance_sheet!$B:$I,MATCH("TÀI SẢN NGẮN HẠN",balance_sheet!$A:$A,0),MATCH(C$23,balance_sheet!$B$1:$I$1,0)),"")</f>
        <v/>
      </c>
      <c r="D29" s="54">
        <f>IFERROR(INDEX(balance_sheet!$B:$I,MATCH("TÀI SẢN NGẮN HẠN",balance_sheet!$A:$A,0),MATCH(D$23,balance_sheet!$B$1:$I$1,0)),"")</f>
        <v/>
      </c>
      <c r="E29" s="54">
        <f>IFERROR(INDEX(balance_sheet!$B:$I,MATCH("TÀI SẢN NGẮN HẠN",balance_sheet!$A:$A,0),MATCH(E$23,balance_sheet!$B$1:$I$1,0)),"")</f>
        <v/>
      </c>
      <c r="F29" s="54">
        <f>IFERROR(INDEX(balance_sheet!$B:$I,MATCH("TÀI SẢN NGẮN HẠN",balance_sheet!$A:$A,0),MATCH(F$23,balance_sheet!$B$1:$I$1,0)),"")</f>
        <v/>
      </c>
      <c r="G29" s="54">
        <f>IFERROR(INDEX(balance_sheet!$B:$I,MATCH("TÀI SẢN NGẮN HẠN",balance_sheet!$A:$A,0),MATCH(G$23,balance_sheet!$B$1:$I$1,0)),"")</f>
        <v/>
      </c>
      <c r="H29" s="54">
        <f>IFERROR(INDEX(balance_sheet!$B:$I,MATCH("TÀI SẢN NGẮN HẠN",balance_sheet!$A:$A,0),MATCH(H$23,balance_sheet!$B$1:$I$1,0)),"")</f>
        <v/>
      </c>
      <c r="I29" s="54">
        <f>IFERROR(INDEX(balance_sheet!$B:$I,MATCH("TÀI SẢN NGẮN HẠN",balance_sheet!$A:$A,0),MATCH(I$23,balance_sheet!$B$1:$I$1,0)),"")</f>
        <v/>
      </c>
    </row>
    <row r="30">
      <c r="A30" s="7" t="inlineStr">
        <is>
          <t>GTCL tài sản cố định vô hình</t>
        </is>
      </c>
      <c r="B30" s="54">
        <f>IFERROR(INDEX(balance_sheet!$B:$I,MATCH("GTCL tài sản cố định vô hình",balance_sheet!$A:$A,0),MATCH(B$23,balance_sheet!$B$1:$I$1,0)),"")</f>
        <v/>
      </c>
      <c r="C30" s="54">
        <f>IFERROR(INDEX(balance_sheet!$B:$I,MATCH("GTCL tài sản cố định vô hình",balance_sheet!$A:$A,0),MATCH(C$23,balance_sheet!$B$1:$I$1,0)),"")</f>
        <v/>
      </c>
      <c r="D30" s="54">
        <f>IFERROR(INDEX(balance_sheet!$B:$I,MATCH("GTCL tài sản cố định vô hình",balance_sheet!$A:$A,0),MATCH(D$23,balance_sheet!$B$1:$I$1,0)),"")</f>
        <v/>
      </c>
      <c r="E30" s="54">
        <f>IFERROR(INDEX(balance_sheet!$B:$I,MATCH("GTCL tài sản cố định vô hình",balance_sheet!$A:$A,0),MATCH(E$23,balance_sheet!$B$1:$I$1,0)),"")</f>
        <v/>
      </c>
      <c r="F30" s="54">
        <f>IFERROR(INDEX(balance_sheet!$B:$I,MATCH("GTCL tài sản cố định vô hình",balance_sheet!$A:$A,0),MATCH(F$23,balance_sheet!$B$1:$I$1,0)),"")</f>
        <v/>
      </c>
      <c r="G30" s="54">
        <f>IFERROR(INDEX(balance_sheet!$B:$I,MATCH("GTCL tài sản cố định vô hình",balance_sheet!$A:$A,0),MATCH(G$23,balance_sheet!$B$1:$I$1,0)),"")</f>
        <v/>
      </c>
      <c r="H30" s="54">
        <f>IFERROR(INDEX(balance_sheet!$B:$I,MATCH("GTCL tài sản cố định vô hình",balance_sheet!$A:$A,0),MATCH(H$23,balance_sheet!$B$1:$I$1,0)),"")</f>
        <v/>
      </c>
      <c r="I30" s="54">
        <f>IFERROR(INDEX(balance_sheet!$B:$I,MATCH("GTCL tài sản cố định vô hình",balance_sheet!$A:$A,0),MATCH(I$23,balance_sheet!$B$1:$I$1,0)),"")</f>
        <v/>
      </c>
    </row>
    <row r="31">
      <c r="A31" s="7" t="inlineStr">
        <is>
          <t>TỔNG CỘNG TÀI SẢN</t>
        </is>
      </c>
      <c r="B31" s="54">
        <f>IFERROR(INDEX(balance_sheet!$B:$I,MATCH("TỔNG CỘNG TÀI SẢN",balance_sheet!$A:$A,0),MATCH(B$23,balance_sheet!$B$1:$I$1,0)),"")</f>
        <v/>
      </c>
      <c r="C31" s="54">
        <f>IFERROR(INDEX(balance_sheet!$B:$I,MATCH("TỔNG CỘNG TÀI SẢN",balance_sheet!$A:$A,0),MATCH(C$23,balance_sheet!$B$1:$I$1,0)),"")</f>
        <v/>
      </c>
      <c r="D31" s="54">
        <f>IFERROR(INDEX(balance_sheet!$B:$I,MATCH("TỔNG CỘNG TÀI SẢN",balance_sheet!$A:$A,0),MATCH(D$23,balance_sheet!$B$1:$I$1,0)),"")</f>
        <v/>
      </c>
      <c r="E31" s="54">
        <f>IFERROR(INDEX(balance_sheet!$B:$I,MATCH("TỔNG CỘNG TÀI SẢN",balance_sheet!$A:$A,0),MATCH(E$23,balance_sheet!$B$1:$I$1,0)),"")</f>
        <v/>
      </c>
      <c r="F31" s="54">
        <f>IFERROR(INDEX(balance_sheet!$B:$I,MATCH("TỔNG CỘNG TÀI SẢN",balance_sheet!$A:$A,0),MATCH(F$23,balance_sheet!$B$1:$I$1,0)),"")</f>
        <v/>
      </c>
      <c r="G31" s="54">
        <f>IFERROR(INDEX(balance_sheet!$B:$I,MATCH("TỔNG CỘNG TÀI SẢN",balance_sheet!$A:$A,0),MATCH(G$23,balance_sheet!$B$1:$I$1,0)),"")</f>
        <v/>
      </c>
      <c r="H31" s="54">
        <f>IFERROR(INDEX(balance_sheet!$B:$I,MATCH("TỔNG CỘNG TÀI SẢN",balance_sheet!$A:$A,0),MATCH(H$23,balance_sheet!$B$1:$I$1,0)),"")</f>
        <v/>
      </c>
      <c r="I31" s="54">
        <f>IFERROR(INDEX(balance_sheet!$B:$I,MATCH("TỔNG CỘNG TÀI SẢN",balance_sheet!$A:$A,0),MATCH(I$23,balance_sheet!$B$1:$I$1,0)),"")</f>
        <v/>
      </c>
    </row>
    <row r="32">
      <c r="A32" s="36" t="inlineStr">
        <is>
          <t>Nguồn vốn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7" t="inlineStr">
        <is>
          <t>Phải trả người bán</t>
        </is>
      </c>
      <c r="B33" s="54">
        <f>IFERROR(INDEX(balance_sheet!$B:$I,MATCH("Phải trả người bán",balance_sheet!$A:$A,0),MATCH(B$23,balance_sheet!$B$1:$I$1,0)),"")</f>
        <v/>
      </c>
      <c r="C33" s="54">
        <f>IFERROR(INDEX(balance_sheet!$B:$I,MATCH("Phải trả người bán",balance_sheet!$A:$A,0),MATCH(C$23,balance_sheet!$B$1:$I$1,0)),"")</f>
        <v/>
      </c>
      <c r="D33" s="54">
        <f>IFERROR(INDEX(balance_sheet!$B:$I,MATCH("Phải trả người bán",balance_sheet!$A:$A,0),MATCH(D$23,balance_sheet!$B$1:$I$1,0)),"")</f>
        <v/>
      </c>
      <c r="E33" s="54">
        <f>IFERROR(INDEX(balance_sheet!$B:$I,MATCH("Phải trả người bán",balance_sheet!$A:$A,0),MATCH(E$23,balance_sheet!$B$1:$I$1,0)),"")</f>
        <v/>
      </c>
      <c r="F33" s="54">
        <f>IFERROR(INDEX(balance_sheet!$B:$I,MATCH("Phải trả người bán",balance_sheet!$A:$A,0),MATCH(F$23,balance_sheet!$B$1:$I$1,0)),"")</f>
        <v/>
      </c>
      <c r="G33" s="54">
        <f>IFERROR(INDEX(balance_sheet!$B:$I,MATCH("Phải trả người bán",balance_sheet!$A:$A,0),MATCH(G$23,balance_sheet!$B$1:$I$1,0)),"")</f>
        <v/>
      </c>
      <c r="H33" s="54">
        <f>IFERROR(INDEX(balance_sheet!$B:$I,MATCH("Phải trả người bán",balance_sheet!$A:$A,0),MATCH(H$23,balance_sheet!$B$1:$I$1,0)),"")</f>
        <v/>
      </c>
      <c r="I33" s="54">
        <f>IFERROR(INDEX(balance_sheet!$B:$I,MATCH("Phải trả người bán",balance_sheet!$A:$A,0),MATCH(I$23,balance_sheet!$B$1:$I$1,0)),"")</f>
        <v/>
      </c>
    </row>
    <row r="34">
      <c r="A34" s="7" t="inlineStr">
        <is>
          <t>Vay ngắn hạn</t>
        </is>
      </c>
      <c r="B34" s="54">
        <f>IFERROR(INDEX(balance_sheet!$B:$I,MATCH("Vay ngắn hạn",balance_sheet!$A:$A,0),MATCH(B$23,balance_sheet!$B$1:$I$1,0)),"")</f>
        <v/>
      </c>
      <c r="C34" s="54">
        <f>IFERROR(INDEX(balance_sheet!$B:$I,MATCH("Vay ngắn hạn",balance_sheet!$A:$A,0),MATCH(C$23,balance_sheet!$B$1:$I$1,0)),"")</f>
        <v/>
      </c>
      <c r="D34" s="54">
        <f>IFERROR(INDEX(balance_sheet!$B:$I,MATCH("Vay ngắn hạn",balance_sheet!$A:$A,0),MATCH(D$23,balance_sheet!$B$1:$I$1,0)),"")</f>
        <v/>
      </c>
      <c r="E34" s="54">
        <f>IFERROR(INDEX(balance_sheet!$B:$I,MATCH("Vay ngắn hạn",balance_sheet!$A:$A,0),MATCH(E$23,balance_sheet!$B$1:$I$1,0)),"")</f>
        <v/>
      </c>
      <c r="F34" s="54">
        <f>IFERROR(INDEX(balance_sheet!$B:$I,MATCH("Vay ngắn hạn",balance_sheet!$A:$A,0),MATCH(F$23,balance_sheet!$B$1:$I$1,0)),"")</f>
        <v/>
      </c>
      <c r="G34" s="54">
        <f>IFERROR(INDEX(balance_sheet!$B:$I,MATCH("Vay ngắn hạn",balance_sheet!$A:$A,0),MATCH(G$23,balance_sheet!$B$1:$I$1,0)),"")</f>
        <v/>
      </c>
      <c r="H34" s="54">
        <f>IFERROR(INDEX(balance_sheet!$B:$I,MATCH("Vay ngắn hạn",balance_sheet!$A:$A,0),MATCH(H$23,balance_sheet!$B$1:$I$1,0)),"")</f>
        <v/>
      </c>
      <c r="I34" s="54">
        <f>IFERROR(INDEX(balance_sheet!$B:$I,MATCH("Vay ngắn hạn",balance_sheet!$A:$A,0),MATCH(I$23,balance_sheet!$B$1:$I$1,0)),"")</f>
        <v/>
      </c>
    </row>
    <row r="35">
      <c r="A35" s="7" t="inlineStr">
        <is>
          <t>Nợ ngắn hạn</t>
        </is>
      </c>
      <c r="B35" s="54">
        <f>IFERROR(INDEX(balance_sheet!$B:$I,MATCH("Nợ ngắn hạn",balance_sheet!$A:$A,0),MATCH(B$23,balance_sheet!$B$1:$I$1,0)),"")</f>
        <v/>
      </c>
      <c r="C35" s="54">
        <f>IFERROR(INDEX(balance_sheet!$B:$I,MATCH("Nợ ngắn hạn",balance_sheet!$A:$A,0),MATCH(C$23,balance_sheet!$B$1:$I$1,0)),"")</f>
        <v/>
      </c>
      <c r="D35" s="54">
        <f>IFERROR(INDEX(balance_sheet!$B:$I,MATCH("Nợ ngắn hạn",balance_sheet!$A:$A,0),MATCH(D$23,balance_sheet!$B$1:$I$1,0)),"")</f>
        <v/>
      </c>
      <c r="E35" s="54">
        <f>IFERROR(INDEX(balance_sheet!$B:$I,MATCH("Nợ ngắn hạn",balance_sheet!$A:$A,0),MATCH(E$23,balance_sheet!$B$1:$I$1,0)),"")</f>
        <v/>
      </c>
      <c r="F35" s="54">
        <f>IFERROR(INDEX(balance_sheet!$B:$I,MATCH("Nợ ngắn hạn",balance_sheet!$A:$A,0),MATCH(F$23,balance_sheet!$B$1:$I$1,0)),"")</f>
        <v/>
      </c>
      <c r="G35" s="54">
        <f>IFERROR(INDEX(balance_sheet!$B:$I,MATCH("Nợ ngắn hạn",balance_sheet!$A:$A,0),MATCH(G$23,balance_sheet!$B$1:$I$1,0)),"")</f>
        <v/>
      </c>
      <c r="H35" s="54">
        <f>IFERROR(INDEX(balance_sheet!$B:$I,MATCH("Nợ ngắn hạn",balance_sheet!$A:$A,0),MATCH(H$23,balance_sheet!$B$1:$I$1,0)),"")</f>
        <v/>
      </c>
      <c r="I35" s="54">
        <f>IFERROR(INDEX(balance_sheet!$B:$I,MATCH("Nợ ngắn hạn",balance_sheet!$A:$A,0),MATCH(I$23,balance_sheet!$B$1:$I$1,0)),"")</f>
        <v/>
      </c>
    </row>
    <row r="36">
      <c r="A36" s="7" t="inlineStr">
        <is>
          <t>Vay dài hạn</t>
        </is>
      </c>
      <c r="B36" s="54">
        <f>IFERROR(INDEX(balance_sheet!$B:$I,MATCH("Vay dài hạn",balance_sheet!$A:$A,0),MATCH(B$23,balance_sheet!$B$1:$I$1,0)),"")</f>
        <v/>
      </c>
      <c r="C36" s="54">
        <f>IFERROR(INDEX(balance_sheet!$B:$I,MATCH("Vay dài hạn",balance_sheet!$A:$A,0),MATCH(C$23,balance_sheet!$B$1:$I$1,0)),"")</f>
        <v/>
      </c>
      <c r="D36" s="54">
        <f>IFERROR(INDEX(balance_sheet!$B:$I,MATCH("Vay dài hạn",balance_sheet!$A:$A,0),MATCH(D$23,balance_sheet!$B$1:$I$1,0)),"")</f>
        <v/>
      </c>
      <c r="E36" s="54">
        <f>IFERROR(INDEX(balance_sheet!$B:$I,MATCH("Vay dài hạn",balance_sheet!$A:$A,0),MATCH(E$23,balance_sheet!$B$1:$I$1,0)),"")</f>
        <v/>
      </c>
      <c r="F36" s="54">
        <f>IFERROR(INDEX(balance_sheet!$B:$I,MATCH("Vay dài hạn",balance_sheet!$A:$A,0),MATCH(F$23,balance_sheet!$B$1:$I$1,0)),"")</f>
        <v/>
      </c>
      <c r="G36" s="54">
        <f>IFERROR(INDEX(balance_sheet!$B:$I,MATCH("Vay dài hạn",balance_sheet!$A:$A,0),MATCH(G$23,balance_sheet!$B$1:$I$1,0)),"")</f>
        <v/>
      </c>
      <c r="H36" s="54">
        <f>IFERROR(INDEX(balance_sheet!$B:$I,MATCH("Vay dài hạn",balance_sheet!$A:$A,0),MATCH(H$23,balance_sheet!$B$1:$I$1,0)),"")</f>
        <v/>
      </c>
      <c r="I36" s="54">
        <f>IFERROR(INDEX(balance_sheet!$B:$I,MATCH("Vay dài hạn",balance_sheet!$A:$A,0),MATCH(I$23,balance_sheet!$B$1:$I$1,0)),"")</f>
        <v/>
      </c>
    </row>
    <row r="37">
      <c r="A37" s="7" t="inlineStr">
        <is>
          <t>Nợ dài hạn</t>
        </is>
      </c>
      <c r="B37" s="54">
        <f>IFERROR(INDEX(balance_sheet!$B:$I,MATCH("Nợ dài hạn",balance_sheet!$A:$A,0),MATCH(B$23,balance_sheet!$B$1:$I$1,0)),"")</f>
        <v/>
      </c>
      <c r="C37" s="54">
        <f>IFERROR(INDEX(balance_sheet!$B:$I,MATCH("Nợ dài hạn",balance_sheet!$A:$A,0),MATCH(C$23,balance_sheet!$B$1:$I$1,0)),"")</f>
        <v/>
      </c>
      <c r="D37" s="54">
        <f>IFERROR(INDEX(balance_sheet!$B:$I,MATCH("Nợ dài hạn",balance_sheet!$A:$A,0),MATCH(D$23,balance_sheet!$B$1:$I$1,0)),"")</f>
        <v/>
      </c>
      <c r="E37" s="54">
        <f>IFERROR(INDEX(balance_sheet!$B:$I,MATCH("Nợ dài hạn",balance_sheet!$A:$A,0),MATCH(E$23,balance_sheet!$B$1:$I$1,0)),"")</f>
        <v/>
      </c>
      <c r="F37" s="54">
        <f>IFERROR(INDEX(balance_sheet!$B:$I,MATCH("Nợ dài hạn",balance_sheet!$A:$A,0),MATCH(F$23,balance_sheet!$B$1:$I$1,0)),"")</f>
        <v/>
      </c>
      <c r="G37" s="54">
        <f>IFERROR(INDEX(balance_sheet!$B:$I,MATCH("Nợ dài hạn",balance_sheet!$A:$A,0),MATCH(G$23,balance_sheet!$B$1:$I$1,0)),"")</f>
        <v/>
      </c>
      <c r="H37" s="54">
        <f>IFERROR(INDEX(balance_sheet!$B:$I,MATCH("Nợ dài hạn",balance_sheet!$A:$A,0),MATCH(H$23,balance_sheet!$B$1:$I$1,0)),"")</f>
        <v/>
      </c>
      <c r="I37" s="54">
        <f>IFERROR(INDEX(balance_sheet!$B:$I,MATCH("Nợ dài hạn",balance_sheet!$A:$A,0),MATCH(I$23,balance_sheet!$B$1:$I$1,0)),"")</f>
        <v/>
      </c>
    </row>
    <row r="38">
      <c r="A38" s="7" t="inlineStr">
        <is>
          <t>NỢ PHẢI TRẢ</t>
        </is>
      </c>
      <c r="B38" s="54">
        <f>IFERROR(INDEX(balance_sheet!$B:$I,MATCH("NỢ PHẢI TRẢ",balance_sheet!$A:$A,0),MATCH(B$23,balance_sheet!$B$1:$I$1,0)),"")</f>
        <v/>
      </c>
      <c r="C38" s="54">
        <f>IFERROR(INDEX(balance_sheet!$B:$I,MATCH("NỢ PHẢI TRẢ",balance_sheet!$A:$A,0),MATCH(C$23,balance_sheet!$B$1:$I$1,0)),"")</f>
        <v/>
      </c>
      <c r="D38" s="54">
        <f>IFERROR(INDEX(balance_sheet!$B:$I,MATCH("NỢ PHẢI TRẢ",balance_sheet!$A:$A,0),MATCH(D$23,balance_sheet!$B$1:$I$1,0)),"")</f>
        <v/>
      </c>
      <c r="E38" s="54">
        <f>IFERROR(INDEX(balance_sheet!$B:$I,MATCH("NỢ PHẢI TRẢ",balance_sheet!$A:$A,0),MATCH(E$23,balance_sheet!$B$1:$I$1,0)),"")</f>
        <v/>
      </c>
      <c r="F38" s="54">
        <f>IFERROR(INDEX(balance_sheet!$B:$I,MATCH("NỢ PHẢI TRẢ",balance_sheet!$A:$A,0),MATCH(F$23,balance_sheet!$B$1:$I$1,0)),"")</f>
        <v/>
      </c>
      <c r="G38" s="54">
        <f>IFERROR(INDEX(balance_sheet!$B:$I,MATCH("NỢ PHẢI TRẢ",balance_sheet!$A:$A,0),MATCH(G$23,balance_sheet!$B$1:$I$1,0)),"")</f>
        <v/>
      </c>
      <c r="H38" s="54">
        <f>IFERROR(INDEX(balance_sheet!$B:$I,MATCH("NỢ PHẢI TRẢ",balance_sheet!$A:$A,0),MATCH(H$23,balance_sheet!$B$1:$I$1,0)),"")</f>
        <v/>
      </c>
      <c r="I38" s="54">
        <f>IFERROR(INDEX(balance_sheet!$B:$I,MATCH("NỢ PHẢI TRẢ",balance_sheet!$A:$A,0),MATCH(I$23,balance_sheet!$B$1:$I$1,0)),"")</f>
        <v/>
      </c>
    </row>
    <row r="39" ht="15" customFormat="1" customHeight="1" s="39">
      <c r="A39" s="5" t="inlineStr">
        <is>
          <t>Vốn chủ sở hữu</t>
        </is>
      </c>
      <c r="B39" s="55">
        <f>IFERROR(INDEX(balance_sheet!$B:$I,MATCH("Vốn chủ sở hữu",balance_sheet!$A:$A,0),MATCH(B$23,balance_sheet!$B$1:$I$1,0)),"")</f>
        <v/>
      </c>
      <c r="C39" s="55">
        <f>IFERROR(INDEX(balance_sheet!$B:$I,MATCH("Vốn chủ sở hữu",balance_sheet!$A:$A,0),MATCH(C$23,balance_sheet!$B$1:$I$1,0)),"")</f>
        <v/>
      </c>
      <c r="D39" s="55">
        <f>IFERROR(INDEX(balance_sheet!$B:$I,MATCH("Vốn chủ sở hữu",balance_sheet!$A:$A,0),MATCH(D$23,balance_sheet!$B$1:$I$1,0)),"")</f>
        <v/>
      </c>
      <c r="E39" s="55">
        <f>IFERROR(INDEX(balance_sheet!$B:$I,MATCH("Vốn chủ sở hữu",balance_sheet!$A:$A,0),MATCH(E$23,balance_sheet!$B$1:$I$1,0)),"")</f>
        <v/>
      </c>
      <c r="F39" s="55">
        <f>IFERROR(INDEX(balance_sheet!$B:$I,MATCH("Vốn chủ sở hữu",balance_sheet!$A:$A,0),MATCH(F$23,balance_sheet!$B$1:$I$1,0)),"")</f>
        <v/>
      </c>
      <c r="G39" s="55">
        <f>IFERROR(INDEX(balance_sheet!$B:$I,MATCH("Vốn chủ sở hữu",balance_sheet!$A:$A,0),MATCH(G$23,balance_sheet!$B$1:$I$1,0)),"")</f>
        <v/>
      </c>
      <c r="H39" s="55">
        <f>IFERROR(INDEX(balance_sheet!$B:$I,MATCH("Vốn chủ sở hữu",balance_sheet!$A:$A,0),MATCH(H$23,balance_sheet!$B$1:$I$1,0)),"")</f>
        <v/>
      </c>
      <c r="I39" s="55">
        <f>IFERROR(INDEX(balance_sheet!$B:$I,MATCH("Vốn chủ sở hữu",balance_sheet!$A:$A,0),MATCH(I$23,balance_sheet!$B$1:$I$1,0)),"")</f>
        <v/>
      </c>
      <c r="J39" s="55">
        <f>I39+0.65*J52</f>
        <v/>
      </c>
      <c r="K39" s="55">
        <f>J39+0.65*K52</f>
        <v/>
      </c>
    </row>
    <row r="40">
      <c r="A40" s="41" t="inlineStr">
        <is>
          <t>Tăng VCSH/LN cổ đông cty mẹ</t>
        </is>
      </c>
      <c r="B40" s="56" t="n"/>
      <c r="C40" s="43">
        <f>(C39-B39)/C52</f>
        <v/>
      </c>
      <c r="D40" s="43">
        <f>(D39-C39)/D52</f>
        <v/>
      </c>
      <c r="E40" s="43">
        <f>(E39-D39)/E52</f>
        <v/>
      </c>
      <c r="F40" s="43">
        <f>(F39-E39)/F52</f>
        <v/>
      </c>
      <c r="G40" s="43">
        <f>(G39-F39)/G52</f>
        <v/>
      </c>
      <c r="H40" s="43">
        <f>(H39-G39)/H52</f>
        <v/>
      </c>
      <c r="I40" s="43">
        <f>(I39-H39)/I52</f>
        <v/>
      </c>
      <c r="J40" s="57" t="n"/>
      <c r="K40" s="57" t="n"/>
    </row>
    <row r="41">
      <c r="A41" s="7" t="inlineStr">
        <is>
          <t>Lợi ích của cổ đông thiểu số</t>
        </is>
      </c>
      <c r="B41" s="54">
        <f>IFERROR(INDEX(balance_sheet!$B:$I,MATCH("Lợi ích của cổ đông thiểu số",balance_sheet!$A:$A,0),MATCH(B$23,balance_sheet!$B$1:$I$1,0)),"")</f>
        <v/>
      </c>
      <c r="C41" s="54">
        <f>IFERROR(INDEX(balance_sheet!$B:$I,MATCH("Lợi ích của cổ đông thiểu số",balance_sheet!$A:$A,0),MATCH(C$23,balance_sheet!$B$1:$I$1,0)),"")</f>
        <v/>
      </c>
      <c r="D41" s="54">
        <f>IFERROR(INDEX(balance_sheet!$B:$I,MATCH("Lợi ích của cổ đông thiểu số",balance_sheet!$A:$A,0),MATCH(D$23,balance_sheet!$B$1:$I$1,0)),"")</f>
        <v/>
      </c>
      <c r="E41" s="54">
        <f>IFERROR(INDEX(balance_sheet!$B:$I,MATCH("Lợi ích của cổ đông thiểu số",balance_sheet!$A:$A,0),MATCH(E$23,balance_sheet!$B$1:$I$1,0)),"")</f>
        <v/>
      </c>
      <c r="F41" s="54">
        <f>IFERROR(INDEX(balance_sheet!$B:$I,MATCH("Lợi ích của cổ đông thiểu số",balance_sheet!$A:$A,0),MATCH(F$23,balance_sheet!$B$1:$I$1,0)),"")</f>
        <v/>
      </c>
      <c r="G41" s="54">
        <f>IFERROR(INDEX(balance_sheet!$B:$I,MATCH("Lợi ích của cổ đông thiểu số",balance_sheet!$A:$A,0),MATCH(G$23,balance_sheet!$B$1:$I$1,0)),"")</f>
        <v/>
      </c>
      <c r="H41" s="54">
        <f>IFERROR(INDEX(balance_sheet!$B:$I,MATCH("Lợi ích của cổ đông thiểu số",balance_sheet!$A:$A,0),MATCH(H$23,balance_sheet!$B$1:$I$1,0)),"")</f>
        <v/>
      </c>
      <c r="I41" s="54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37" t="inlineStr">
        <is>
          <t>Kết quả hoạt động kinh doanh</t>
        </is>
      </c>
    </row>
    <row r="43" ht="15" customFormat="1" customHeight="1" s="39">
      <c r="A43" s="5" t="inlineStr">
        <is>
          <t>Doanh thu thuần</t>
        </is>
      </c>
      <c r="B43" s="55">
        <f>IFERROR(INDEX(income_statement!$B:$I,MATCH("Doanh thu thuần",income_statement!$A:$A,0),MATCH(B$23,income_statement!$B$1:$I$1,0)),"")</f>
        <v/>
      </c>
      <c r="C43" s="55">
        <f>IFERROR(INDEX(income_statement!$B:$I,MATCH("Doanh thu thuần",income_statement!$A:$A,0),MATCH(C$23,income_statement!$B$1:$I$1,0)),"")</f>
        <v/>
      </c>
      <c r="D43" s="55">
        <f>IFERROR(INDEX(income_statement!$B:$I,MATCH("Doanh thu thuần",income_statement!$A:$A,0),MATCH(D$23,income_statement!$B$1:$I$1,0)),"")</f>
        <v/>
      </c>
      <c r="E43" s="55">
        <f>IFERROR(INDEX(income_statement!$B:$I,MATCH("Doanh thu thuần",income_statement!$A:$A,0),MATCH(E$23,income_statement!$B$1:$I$1,0)),"")</f>
        <v/>
      </c>
      <c r="F43" s="55">
        <f>IFERROR(INDEX(income_statement!$B:$I,MATCH("Doanh thu thuần",income_statement!$A:$A,0),MATCH(F$23,income_statement!$B$1:$I$1,0)),"")</f>
        <v/>
      </c>
      <c r="G43" s="55">
        <f>IFERROR(INDEX(income_statement!$B:$I,MATCH("Doanh thu thuần",income_statement!$A:$A,0),MATCH(G$23,income_statement!$B$1:$I$1,0)),"")</f>
        <v/>
      </c>
      <c r="H43" s="55">
        <f>IFERROR(INDEX(income_statement!$B:$I,MATCH("Doanh thu thuần",income_statement!$A:$A,0),MATCH(H$23,income_statement!$B$1:$I$1,0)),"")</f>
        <v/>
      </c>
      <c r="I43" s="55">
        <f>IFERROR(INDEX(income_statement!$B:$I,MATCH("Doanh thu thuần",income_statement!$A:$A,0),MATCH(I$23,income_statement!$B$1:$I$1,0)),"")</f>
        <v/>
      </c>
      <c r="J43" s="55" t="n">
        <v>35676000000000</v>
      </c>
      <c r="K43" s="55" t="n">
        <v>35676000000000</v>
      </c>
    </row>
    <row r="44">
      <c r="A44" s="7" t="inlineStr">
        <is>
          <t>Giá vốn hàng bán</t>
        </is>
      </c>
      <c r="B44" s="54">
        <f>IFERROR(INDEX(income_statement!$B:$I,MATCH("Giá vốn hàng bán",income_statement!$A:$A,0),MATCH(B$23,income_statement!$B$1:$I$1,0)),"")</f>
        <v/>
      </c>
      <c r="C44" s="54">
        <f>IFERROR(INDEX(income_statement!$B:$I,MATCH("Giá vốn hàng bán",income_statement!$A:$A,0),MATCH(C$23,income_statement!$B$1:$I$1,0)),"")</f>
        <v/>
      </c>
      <c r="D44" s="54">
        <f>IFERROR(INDEX(income_statement!$B:$I,MATCH("Giá vốn hàng bán",income_statement!$A:$A,0),MATCH(D$23,income_statement!$B$1:$I$1,0)),"")</f>
        <v/>
      </c>
      <c r="E44" s="54">
        <f>IFERROR(INDEX(income_statement!$B:$I,MATCH("Giá vốn hàng bán",income_statement!$A:$A,0),MATCH(E$23,income_statement!$B$1:$I$1,0)),"")</f>
        <v/>
      </c>
      <c r="F44" s="54">
        <f>IFERROR(INDEX(income_statement!$B:$I,MATCH("Giá vốn hàng bán",income_statement!$A:$A,0),MATCH(F$23,income_statement!$B$1:$I$1,0)),"")</f>
        <v/>
      </c>
      <c r="G44" s="54">
        <f>IFERROR(INDEX(income_statement!$B:$I,MATCH("Giá vốn hàng bán",income_statement!$A:$A,0),MATCH(G$23,income_statement!$B$1:$I$1,0)),"")</f>
        <v/>
      </c>
      <c r="H44" s="54">
        <f>IFERROR(INDEX(income_statement!$B:$I,MATCH("Giá vốn hàng bán",income_statement!$A:$A,0),MATCH(H$23,income_statement!$B$1:$I$1,0)),"")</f>
        <v/>
      </c>
      <c r="I44" s="54">
        <f>IFERROR(INDEX(income_statement!$B:$I,MATCH("Giá vốn hàng bán",income_statement!$A:$A,0),MATCH(I$23,income_statement!$B$1:$I$1,0)),"")</f>
        <v/>
      </c>
    </row>
    <row r="45" ht="15" customFormat="1" customHeight="1" s="39">
      <c r="A45" s="5" t="inlineStr">
        <is>
          <t>Lợi nhuận gộp</t>
        </is>
      </c>
      <c r="B45" s="55">
        <f>IFERROR(INDEX(income_statement!$B:$I,MATCH("Lợi nhuận gộp",income_statement!$A:$A,0),MATCH(B$23,income_statement!$B$1:$I$1,0)),"")</f>
        <v/>
      </c>
      <c r="C45" s="55">
        <f>IFERROR(INDEX(income_statement!$B:$I,MATCH("Lợi nhuận gộp",income_statement!$A:$A,0),MATCH(C$23,income_statement!$B$1:$I$1,0)),"")</f>
        <v/>
      </c>
      <c r="D45" s="55">
        <f>IFERROR(INDEX(income_statement!$B:$I,MATCH("Lợi nhuận gộp",income_statement!$A:$A,0),MATCH(D$23,income_statement!$B$1:$I$1,0)),"")</f>
        <v/>
      </c>
      <c r="E45" s="55">
        <f>IFERROR(INDEX(income_statement!$B:$I,MATCH("Lợi nhuận gộp",income_statement!$A:$A,0),MATCH(E$23,income_statement!$B$1:$I$1,0)),"")</f>
        <v/>
      </c>
      <c r="F45" s="55">
        <f>IFERROR(INDEX(income_statement!$B:$I,MATCH("Lợi nhuận gộp",income_statement!$A:$A,0),MATCH(F$23,income_statement!$B$1:$I$1,0)),"")</f>
        <v/>
      </c>
      <c r="G45" s="55">
        <f>IFERROR(INDEX(income_statement!$B:$I,MATCH("Lợi nhuận gộp",income_statement!$A:$A,0),MATCH(G$23,income_statement!$B$1:$I$1,0)),"")</f>
        <v/>
      </c>
      <c r="H45" s="55">
        <f>IFERROR(INDEX(income_statement!$B:$I,MATCH("Lợi nhuận gộp",income_statement!$A:$A,0),MATCH(H$23,income_statement!$B$1:$I$1,0)),"")</f>
        <v/>
      </c>
      <c r="I45" s="55">
        <f>IFERROR(INDEX(income_statement!$B:$I,MATCH("Lợi nhuận gộp",income_statement!$A:$A,0),MATCH(I$23,income_statement!$B$1:$I$1,0)),"")</f>
        <v/>
      </c>
      <c r="J45" s="55" t="n">
        <v>9486000000000</v>
      </c>
    </row>
    <row r="46">
      <c r="A46" s="7" t="inlineStr">
        <is>
          <t>Chi phí bán hàng</t>
        </is>
      </c>
      <c r="B46" s="54">
        <f>IFERROR(INDEX(income_statement!$B:$I,MATCH("Chi phí bán hàng",income_statement!$A:$A,0),MATCH(B$23,income_statement!$B$1:$I$1,0)),"")</f>
        <v/>
      </c>
      <c r="C46" s="54">
        <f>IFERROR(INDEX(income_statement!$B:$I,MATCH("Chi phí bán hàng",income_statement!$A:$A,0),MATCH(C$23,income_statement!$B$1:$I$1,0)),"")</f>
        <v/>
      </c>
      <c r="D46" s="54">
        <f>IFERROR(INDEX(income_statement!$B:$I,MATCH("Chi phí bán hàng",income_statement!$A:$A,0),MATCH(D$23,income_statement!$B$1:$I$1,0)),"")</f>
        <v/>
      </c>
      <c r="E46" s="54">
        <f>IFERROR(INDEX(income_statement!$B:$I,MATCH("Chi phí bán hàng",income_statement!$A:$A,0),MATCH(E$23,income_statement!$B$1:$I$1,0)),"")</f>
        <v/>
      </c>
      <c r="F46" s="54">
        <f>IFERROR(INDEX(income_statement!$B:$I,MATCH("Chi phí bán hàng",income_statement!$A:$A,0),MATCH(F$23,income_statement!$B$1:$I$1,0)),"")</f>
        <v/>
      </c>
      <c r="G46" s="54">
        <f>IFERROR(INDEX(income_statement!$B:$I,MATCH("Chi phí bán hàng",income_statement!$A:$A,0),MATCH(G$23,income_statement!$B$1:$I$1,0)),"")</f>
        <v/>
      </c>
      <c r="H46" s="54">
        <f>IFERROR(INDEX(income_statement!$B:$I,MATCH("Chi phí bán hàng",income_statement!$A:$A,0),MATCH(H$23,income_statement!$B$1:$I$1,0)),"")</f>
        <v/>
      </c>
      <c r="I46" s="54">
        <f>IFERROR(INDEX(income_statement!$B:$I,MATCH("Chi phí bán hàng",income_statement!$A:$A,0),MATCH(I$23,income_statement!$B$1:$I$1,0)),"")</f>
        <v/>
      </c>
    </row>
    <row r="47">
      <c r="A47" s="7" t="inlineStr">
        <is>
          <t>Chi phí quản lý doanh nghiệp</t>
        </is>
      </c>
      <c r="B47" s="54">
        <f>IFERROR(INDEX(income_statement!$B:$I,MATCH("Chi phí quản lý doanh nghiệp",income_statement!$A:$A,0),MATCH(B$23,income_statement!$B$1:$I$1,0)),"")</f>
        <v/>
      </c>
      <c r="C47" s="54">
        <f>IFERROR(INDEX(income_statement!$B:$I,MATCH("Chi phí quản lý doanh nghiệp",income_statement!$A:$A,0),MATCH(C$23,income_statement!$B$1:$I$1,0)),"")</f>
        <v/>
      </c>
      <c r="D47" s="54">
        <f>IFERROR(INDEX(income_statement!$B:$I,MATCH("Chi phí quản lý doanh nghiệp",income_statement!$A:$A,0),MATCH(D$23,income_statement!$B$1:$I$1,0)),"")</f>
        <v/>
      </c>
      <c r="E47" s="54">
        <f>IFERROR(INDEX(income_statement!$B:$I,MATCH("Chi phí quản lý doanh nghiệp",income_statement!$A:$A,0),MATCH(E$23,income_statement!$B$1:$I$1,0)),"")</f>
        <v/>
      </c>
      <c r="F47" s="54">
        <f>IFERROR(INDEX(income_statement!$B:$I,MATCH("Chi phí quản lý doanh nghiệp",income_statement!$A:$A,0),MATCH(F$23,income_statement!$B$1:$I$1,0)),"")</f>
        <v/>
      </c>
      <c r="G47" s="54">
        <f>IFERROR(INDEX(income_statement!$B:$I,MATCH("Chi phí quản lý doanh nghiệp",income_statement!$A:$A,0),MATCH(G$23,income_statement!$B$1:$I$1,0)),"")</f>
        <v/>
      </c>
      <c r="H47" s="54">
        <f>IFERROR(INDEX(income_statement!$B:$I,MATCH("Chi phí quản lý doanh nghiệp",income_statement!$A:$A,0),MATCH(H$23,income_statement!$B$1:$I$1,0)),"")</f>
        <v/>
      </c>
      <c r="I47" s="54">
        <f>IFERROR(INDEX(income_statement!$B:$I,MATCH("Chi phí quản lý doanh nghiệp",income_statement!$A:$A,0),MATCH(I$23,income_statement!$B$1:$I$1,0)),"")</f>
        <v/>
      </c>
    </row>
    <row r="48">
      <c r="A48" s="7" t="inlineStr">
        <is>
          <t>Lãi/(lỗ) từ hoạt động kinh doanh</t>
        </is>
      </c>
      <c r="B48" s="54">
        <f>IFERROR(INDEX(income_statement!$B:$I,MATCH("Lãi/(lỗ) từ hoạt động kinh doanh",income_statement!$A:$A,0),MATCH(B$23,income_statement!$B$1:$I$1,0)),"")</f>
        <v/>
      </c>
      <c r="C48" s="54">
        <f>IFERROR(INDEX(income_statement!$B:$I,MATCH("Lãi/(lỗ) từ hoạt động kinh doanh",income_statement!$A:$A,0),MATCH(C$23,income_statement!$B$1:$I$1,0)),"")</f>
        <v/>
      </c>
      <c r="D48" s="54">
        <f>IFERROR(INDEX(income_statement!$B:$I,MATCH("Lãi/(lỗ) từ hoạt động kinh doanh",income_statement!$A:$A,0),MATCH(D$23,income_statement!$B$1:$I$1,0)),"")</f>
        <v/>
      </c>
      <c r="E48" s="54">
        <f>IFERROR(INDEX(income_statement!$B:$I,MATCH("Lãi/(lỗ) từ hoạt động kinh doanh",income_statement!$A:$A,0),MATCH(E$23,income_statement!$B$1:$I$1,0)),"")</f>
        <v/>
      </c>
      <c r="F48" s="54">
        <f>IFERROR(INDEX(income_statement!$B:$I,MATCH("Lãi/(lỗ) từ hoạt động kinh doanh",income_statement!$A:$A,0),MATCH(F$23,income_statement!$B$1:$I$1,0)),"")</f>
        <v/>
      </c>
      <c r="G48" s="54">
        <f>IFERROR(INDEX(income_statement!$B:$I,MATCH("Lãi/(lỗ) từ hoạt động kinh doanh",income_statement!$A:$A,0),MATCH(G$23,income_statement!$B$1:$I$1,0)),"")</f>
        <v/>
      </c>
      <c r="H48" s="54">
        <f>IFERROR(INDEX(income_statement!$B:$I,MATCH("Lãi/(lỗ) từ hoạt động kinh doanh",income_statement!$A:$A,0),MATCH(H$23,income_statement!$B$1:$I$1,0)),"")</f>
        <v/>
      </c>
      <c r="I48" s="54">
        <f>IFERROR(INDEX(income_statement!$B:$I,MATCH("Lãi/(lỗ) từ hoạt động kinh doanh",income_statement!$A:$A,0),MATCH(I$23,income_statement!$B$1:$I$1,0)),"")</f>
        <v/>
      </c>
    </row>
    <row r="49">
      <c r="A49" s="7" t="inlineStr">
        <is>
          <t>Chi phí lãi vay</t>
        </is>
      </c>
      <c r="B49" s="54">
        <f>IFERROR(INDEX(income_statement!$B:$I,MATCH("Chi phí lãi vay",income_statement!$A:$A,0),MATCH(B$23,income_statement!$B$1:$I$1,0)),"")</f>
        <v/>
      </c>
      <c r="C49" s="54">
        <f>IFERROR(INDEX(income_statement!$B:$I,MATCH("Chi phí lãi vay",income_statement!$A:$A,0),MATCH(C$23,income_statement!$B$1:$I$1,0)),"")</f>
        <v/>
      </c>
      <c r="D49" s="54">
        <f>IFERROR(INDEX(income_statement!$B:$I,MATCH("Chi phí lãi vay",income_statement!$A:$A,0),MATCH(D$23,income_statement!$B$1:$I$1,0)),"")</f>
        <v/>
      </c>
      <c r="E49" s="54">
        <f>IFERROR(INDEX(income_statement!$B:$I,MATCH("Chi phí lãi vay",income_statement!$A:$A,0),MATCH(E$23,income_statement!$B$1:$I$1,0)),"")</f>
        <v/>
      </c>
      <c r="F49" s="54">
        <f>IFERROR(INDEX(income_statement!$B:$I,MATCH("Chi phí lãi vay",income_statement!$A:$A,0),MATCH(F$23,income_statement!$B$1:$I$1,0)),"")</f>
        <v/>
      </c>
      <c r="G49" s="54">
        <f>IFERROR(INDEX(income_statement!$B:$I,MATCH("Chi phí lãi vay",income_statement!$A:$A,0),MATCH(G$23,income_statement!$B$1:$I$1,0)),"")</f>
        <v/>
      </c>
      <c r="H49" s="54">
        <f>IFERROR(INDEX(income_statement!$B:$I,MATCH("Chi phí lãi vay",income_statement!$A:$A,0),MATCH(H$23,income_statement!$B$1:$I$1,0)),"")</f>
        <v/>
      </c>
      <c r="I49" s="54">
        <f>IFERROR(INDEX(income_statement!$B:$I,MATCH("Chi phí lãi vay",income_statement!$A:$A,0),MATCH(I$23,income_statement!$B$1:$I$1,0)),"")</f>
        <v/>
      </c>
    </row>
    <row r="50">
      <c r="A50" s="7" t="inlineStr">
        <is>
          <t>Lãi/(lỗ) trước thuế</t>
        </is>
      </c>
      <c r="B50" s="55">
        <f>IFERROR(INDEX(income_statement!$B:$I,MATCH("Lãi/(lỗ) trước thuế",income_statement!$A:$A,0),MATCH(B$23,income_statement!$B$1:$I$1,0)),"")</f>
        <v/>
      </c>
      <c r="C50" s="55">
        <f>IFERROR(INDEX(income_statement!$B:$I,MATCH("Lãi/(lỗ) trước thuế",income_statement!$A:$A,0),MATCH(C$23,income_statement!$B$1:$I$1,0)),"")</f>
        <v/>
      </c>
      <c r="D50" s="55">
        <f>IFERROR(INDEX(income_statement!$B:$I,MATCH("Lãi/(lỗ) trước thuế",income_statement!$A:$A,0),MATCH(D$23,income_statement!$B$1:$I$1,0)),"")</f>
        <v/>
      </c>
      <c r="E50" s="55">
        <f>IFERROR(INDEX(income_statement!$B:$I,MATCH("Lãi/(lỗ) trước thuế",income_statement!$A:$A,0),MATCH(E$23,income_statement!$B$1:$I$1,0)),"")</f>
        <v/>
      </c>
      <c r="F50" s="55">
        <f>IFERROR(INDEX(income_statement!$B:$I,MATCH("Lãi/(lỗ) trước thuế",income_statement!$A:$A,0),MATCH(F$23,income_statement!$B$1:$I$1,0)),"")</f>
        <v/>
      </c>
      <c r="G50" s="55">
        <f>IFERROR(INDEX(income_statement!$B:$I,MATCH("Lãi/(lỗ) trước thuế",income_statement!$A:$A,0),MATCH(G$23,income_statement!$B$1:$I$1,0)),"")</f>
        <v/>
      </c>
      <c r="H50" s="55">
        <f>IFERROR(INDEX(income_statement!$B:$I,MATCH("Lãi/(lỗ) trước thuế",income_statement!$A:$A,0),MATCH(H$23,income_statement!$B$1:$I$1,0)),"")</f>
        <v/>
      </c>
      <c r="I50" s="55">
        <f>IFERROR(INDEX(income_statement!$B:$I,MATCH("Lãi/(lỗ) trước thuế",income_statement!$A:$A,0),MATCH(I$23,income_statement!$B$1:$I$1,0)),"")</f>
        <v/>
      </c>
    </row>
    <row r="51" ht="15" customFormat="1" customHeight="1" s="39">
      <c r="A51" s="5" t="inlineStr">
        <is>
          <t>Lãi/(lỗ) thuần sau thuế</t>
        </is>
      </c>
      <c r="B51" s="55">
        <f>IFERROR(INDEX(income_statement!$B:$I,MATCH("Lãi/(lỗ) thuần sau thuế",income_statement!$A:$A,0),MATCH(B$23,income_statement!$B$1:$I$1,0)),"")</f>
        <v/>
      </c>
      <c r="C51" s="55">
        <f>IFERROR(INDEX(income_statement!$B:$I,MATCH("Lãi/(lỗ) thuần sau thuế",income_statement!$A:$A,0),MATCH(C$23,income_statement!$B$1:$I$1,0)),"")</f>
        <v/>
      </c>
      <c r="D51" s="55">
        <f>IFERROR(INDEX(income_statement!$B:$I,MATCH("Lãi/(lỗ) thuần sau thuế",income_statement!$A:$A,0),MATCH(D$23,income_statement!$B$1:$I$1,0)),"")</f>
        <v/>
      </c>
      <c r="E51" s="55">
        <f>IFERROR(INDEX(income_statement!$B:$I,MATCH("Lãi/(lỗ) thuần sau thuế",income_statement!$A:$A,0),MATCH(E$23,income_statement!$B$1:$I$1,0)),"")</f>
        <v/>
      </c>
      <c r="F51" s="55">
        <f>IFERROR(INDEX(income_statement!$B:$I,MATCH("Lãi/(lỗ) thuần sau thuế",income_statement!$A:$A,0),MATCH(F$23,income_statement!$B$1:$I$1,0)),"")</f>
        <v/>
      </c>
      <c r="G51" s="55">
        <f>IFERROR(INDEX(income_statement!$B:$I,MATCH("Lãi/(lỗ) thuần sau thuế",income_statement!$A:$A,0),MATCH(G$23,income_statement!$B$1:$I$1,0)),"")</f>
        <v/>
      </c>
      <c r="H51" s="55">
        <f>IFERROR(INDEX(income_statement!$B:$I,MATCH("Lãi/(lỗ) thuần sau thuế",income_statement!$A:$A,0),MATCH(H$23,income_statement!$B$1:$I$1,0)),"")</f>
        <v/>
      </c>
      <c r="I51" s="55">
        <f>IFERROR(INDEX(income_statement!$B:$I,MATCH("Lãi/(lỗ) thuần sau thuế",income_statement!$A:$A,0),MATCH(I$23,income_statement!$B$1:$I$1,0)),"")</f>
        <v/>
      </c>
      <c r="J51" s="55" t="n">
        <v>1500000000000</v>
      </c>
    </row>
    <row r="52" ht="15" customFormat="1" customHeight="1" s="39">
      <c r="A52" s="5" t="inlineStr">
        <is>
          <t>Lợi nhuận của Cổ đông của Công ty mẹ</t>
        </is>
      </c>
      <c r="B52" s="55">
        <f>IFERROR(INDEX(income_statement!$B:$I,MATCH("Lợi nhuận của Cổ đông của Công ty mẹ",income_statement!$A:$A,0),MATCH(B$23,income_statement!$B$1:$I$1,0)),"")</f>
        <v/>
      </c>
      <c r="C52" s="55">
        <f>IFERROR(INDEX(income_statement!$B:$I,MATCH("Lợi nhuận của Cổ đông của Công ty mẹ",income_statement!$A:$A,0),MATCH(C$23,income_statement!$B$1:$I$1,0)),"")</f>
        <v/>
      </c>
      <c r="D52" s="55">
        <f>IFERROR(INDEX(income_statement!$B:$I,MATCH("Lợi nhuận của Cổ đông của Công ty mẹ",income_statement!$A:$A,0),MATCH(D$23,income_statement!$B$1:$I$1,0)),"")</f>
        <v/>
      </c>
      <c r="E52" s="55">
        <f>IFERROR(INDEX(income_statement!$B:$I,MATCH("Lợi nhuận của Cổ đông của Công ty mẹ",income_statement!$A:$A,0),MATCH(E$23,income_statement!$B$1:$I$1,0)),"")</f>
        <v/>
      </c>
      <c r="F52" s="55">
        <f>IFERROR(INDEX(income_statement!$B:$I,MATCH("Lợi nhuận của Cổ đông của Công ty mẹ",income_statement!$A:$A,0),MATCH(F$23,income_statement!$B$1:$I$1,0)),"")</f>
        <v/>
      </c>
      <c r="G52" s="55">
        <f>IFERROR(INDEX(income_statement!$B:$I,MATCH("Lợi nhuận của Cổ đông của Công ty mẹ",income_statement!$A:$A,0),MATCH(G$23,income_statement!$B$1:$I$1,0)),"")</f>
        <v/>
      </c>
      <c r="H52" s="55">
        <f>IFERROR(INDEX(income_statement!$B:$I,MATCH("Lợi nhuận của Cổ đông của Công ty mẹ",income_statement!$A:$A,0),MATCH(H$23,income_statement!$B$1:$I$1,0)),"")</f>
        <v/>
      </c>
      <c r="I52" s="55">
        <f>IFERROR(INDEX(income_statement!$B:$I,MATCH("Lợi nhuận của Cổ đông của Công ty mẹ",income_statement!$A:$A,0),MATCH(I$23,income_statement!$B$1:$I$1,0)),"")</f>
        <v/>
      </c>
      <c r="J52" s="55" t="n">
        <v>1500000000000</v>
      </c>
      <c r="K52" s="55" t="n">
        <v>2828497462890</v>
      </c>
    </row>
    <row r="53">
      <c r="A53" s="37" t="inlineStr">
        <is>
          <t>Lưu chuyển tiền tệ</t>
        </is>
      </c>
    </row>
    <row r="54">
      <c r="A54" s="7" t="inlineStr">
        <is>
          <t>Khấu hao TSCĐ và BĐSĐT</t>
        </is>
      </c>
      <c r="B54" s="54">
        <f>IFERROR(INDEX(cash_flow!$B:$I,MATCH("Khấu hao TSCĐ và BĐSĐT",cash_flow!$A:$A,0),MATCH(B$23,cash_flow!$B$1:$I$1,0)),"")</f>
        <v/>
      </c>
      <c r="C54" s="54">
        <f>IFERROR(INDEX(cash_flow!$B:$I,MATCH("Khấu hao TSCĐ và BĐSĐT",cash_flow!$A:$A,0),MATCH(C$23,cash_flow!$B$1:$I$1,0)),"")</f>
        <v/>
      </c>
      <c r="D54" s="54">
        <f>IFERROR(INDEX(cash_flow!$B:$I,MATCH("Khấu hao TSCĐ và BĐSĐT",cash_flow!$A:$A,0),MATCH(D$23,cash_flow!$B$1:$I$1,0)),"")</f>
        <v/>
      </c>
      <c r="E54" s="54">
        <f>IFERROR(INDEX(cash_flow!$B:$I,MATCH("Khấu hao TSCĐ và BĐSĐT",cash_flow!$A:$A,0),MATCH(E$23,cash_flow!$B$1:$I$1,0)),"")</f>
        <v/>
      </c>
      <c r="F54" s="54">
        <f>IFERROR(INDEX(cash_flow!$B:$I,MATCH("Khấu hao TSCĐ và BĐSĐT",cash_flow!$A:$A,0),MATCH(F$23,cash_flow!$B$1:$I$1,0)),"")</f>
        <v/>
      </c>
      <c r="G54" s="54">
        <f>IFERROR(INDEX(cash_flow!$B:$I,MATCH("Khấu hao TSCĐ và BĐSĐT",cash_flow!$A:$A,0),MATCH(G$23,cash_flow!$B$1:$I$1,0)),"")</f>
        <v/>
      </c>
      <c r="H54" s="54">
        <f>IFERROR(INDEX(cash_flow!$B:$I,MATCH("Khấu hao TSCĐ và BĐSĐT",cash_flow!$A:$A,0),MATCH(H$23,cash_flow!$B$1:$I$1,0)),"")</f>
        <v/>
      </c>
      <c r="I54" s="54">
        <f>IFERROR(INDEX(cash_flow!$B:$I,MATCH("Khấu hao TSCĐ và BĐSĐT",cash_flow!$A:$A,0),MATCH(I$23,cash_flow!$B$1:$I$1,0)),"")</f>
        <v/>
      </c>
    </row>
    <row r="55">
      <c r="A55" s="7" t="inlineStr">
        <is>
          <t>Tiền chi để mua sắm, xây dựng TSCĐ và các tài sản dài hạn khác</t>
        </is>
      </c>
      <c r="B55" s="54">
        <f>IFERROR(INDEX(cash_flow!$B:$I,MATCH("Tiền chi để mua sắm, xây dựng TSCĐ và các tài sản dài hạn khác",cash_flow!$A:$A,0),MATCH(B$23,cash_flow!$B$1:$I$1,0)),"")</f>
        <v/>
      </c>
      <c r="C55" s="54">
        <f>IFERROR(INDEX(cash_flow!$B:$I,MATCH("Tiền chi để mua sắm, xây dựng TSCĐ và các tài sản dài hạn khác",cash_flow!$A:$A,0),MATCH(C$23,cash_flow!$B$1:$I$1,0)),"")</f>
        <v/>
      </c>
      <c r="D55" s="54">
        <f>IFERROR(INDEX(cash_flow!$B:$I,MATCH("Tiền chi để mua sắm, xây dựng TSCĐ và các tài sản dài hạn khác",cash_flow!$A:$A,0),MATCH(D$23,cash_flow!$B$1:$I$1,0)),"")</f>
        <v/>
      </c>
      <c r="E55" s="54">
        <f>IFERROR(INDEX(cash_flow!$B:$I,MATCH("Tiền chi để mua sắm, xây dựng TSCĐ và các tài sản dài hạn khác",cash_flow!$A:$A,0),MATCH(E$23,cash_flow!$B$1:$I$1,0)),"")</f>
        <v/>
      </c>
      <c r="F55" s="54">
        <f>IFERROR(INDEX(cash_flow!$B:$I,MATCH("Tiền chi để mua sắm, xây dựng TSCĐ và các tài sản dài hạn khác",cash_flow!$A:$A,0),MATCH(F$23,cash_flow!$B$1:$I$1,0)),"")</f>
        <v/>
      </c>
      <c r="G55" s="54">
        <f>IFERROR(INDEX(cash_flow!$B:$I,MATCH("Tiền chi để mua sắm, xây dựng TSCĐ và các tài sản dài hạn khác",cash_flow!$A:$A,0),MATCH(G$23,cash_flow!$B$1:$I$1,0)),"")</f>
        <v/>
      </c>
      <c r="H55" s="54">
        <f>IFERROR(INDEX(cash_flow!$B:$I,MATCH("Tiền chi để mua sắm, xây dựng TSCĐ và các tài sản dài hạn khác",cash_flow!$A:$A,0),MATCH(H$23,cash_flow!$B$1:$I$1,0)),"")</f>
        <v/>
      </c>
      <c r="I55" s="54">
        <f>IFERROR(INDEX(cash_flow!$B:$I,MATCH("Tiền chi để mua sắm, xây dựng TSCĐ và các tài sản dài hạn khác",cash_flow!$A:$A,0),MATCH(I$23,cash_flow!$B$1:$I$1,0)),"")</f>
        <v/>
      </c>
    </row>
    <row r="56">
      <c r="A56" s="7" t="inlineStr">
        <is>
          <t>Lưu chuyển tiền tệ ròng từ các hoạt động sản xuất kinh doanh</t>
        </is>
      </c>
      <c r="B56" s="54">
        <f>IFERROR(INDEX(cash_flow!$B:$I,MATCH("Lưu chuyển tiền tệ ròng từ các hoạt động sản xuất kinh doanh",cash_flow!$A:$A,0),MATCH(B$23,cash_flow!$B$1:$I$1,0)),"")</f>
        <v/>
      </c>
      <c r="C56" s="54">
        <f>IFERROR(INDEX(cash_flow!$B:$I,MATCH("Lưu chuyển tiền tệ ròng từ các hoạt động sản xuất kinh doanh",cash_flow!$A:$A,0),MATCH(C$23,cash_flow!$B$1:$I$1,0)),"")</f>
        <v/>
      </c>
      <c r="D56" s="54">
        <f>IFERROR(INDEX(cash_flow!$B:$I,MATCH("Lưu chuyển tiền tệ ròng từ các hoạt động sản xuất kinh doanh",cash_flow!$A:$A,0),MATCH(D$23,cash_flow!$B$1:$I$1,0)),"")</f>
        <v/>
      </c>
      <c r="E56" s="54">
        <f>IFERROR(INDEX(cash_flow!$B:$I,MATCH("Lưu chuyển tiền tệ ròng từ các hoạt động sản xuất kinh doanh",cash_flow!$A:$A,0),MATCH(E$23,cash_flow!$B$1:$I$1,0)),"")</f>
        <v/>
      </c>
      <c r="F56" s="54">
        <f>IFERROR(INDEX(cash_flow!$B:$I,MATCH("Lưu chuyển tiền tệ ròng từ các hoạt động sản xuất kinh doanh",cash_flow!$A:$A,0),MATCH(F$23,cash_flow!$B$1:$I$1,0)),"")</f>
        <v/>
      </c>
      <c r="G56" s="54">
        <f>IFERROR(INDEX(cash_flow!$B:$I,MATCH("Lưu chuyển tiền tệ ròng từ các hoạt động sản xuất kinh doanh",cash_flow!$A:$A,0),MATCH(G$23,cash_flow!$B$1:$I$1,0)),"")</f>
        <v/>
      </c>
      <c r="H56" s="54">
        <f>IFERROR(INDEX(cash_flow!$B:$I,MATCH("Lưu chuyển tiền tệ ròng từ các hoạt động sản xuất kinh doanh",cash_flow!$A:$A,0),MATCH(H$23,cash_flow!$B$1:$I$1,0)),"")</f>
        <v/>
      </c>
      <c r="I56" s="54">
        <f>IFERROR(INDEX(cash_flow!$B:$I,MATCH("Lưu chuyển tiền tệ ròng từ các hoạt động sản xuất kinh doanh",cash_flow!$A:$A,0),MATCH(I$23,cash_flow!$B$1:$I$1,0)),"")</f>
        <v/>
      </c>
    </row>
    <row r="60">
      <c r="A60" s="8" t="inlineStr">
        <is>
          <t>CHỈ SỐ THÊM</t>
        </is>
      </c>
      <c r="B60" s="6" t="n">
        <v>2018</v>
      </c>
      <c r="C60" s="6" t="n">
        <v>2019</v>
      </c>
      <c r="D60" s="6" t="n">
        <v>2020</v>
      </c>
      <c r="E60" s="6" t="n">
        <v>2021</v>
      </c>
      <c r="F60" s="6" t="n">
        <v>2022</v>
      </c>
      <c r="G60" s="6" t="n">
        <v>2023</v>
      </c>
      <c r="H60" s="6" t="n">
        <v>2024</v>
      </c>
      <c r="I60" s="6" t="n">
        <v>2025</v>
      </c>
    </row>
    <row r="61">
      <c r="A61" s="8" t="inlineStr">
        <is>
          <t>Khả năng sinh lời &amp; hiệu quả sử dụng vốn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inlineStr">
        <is>
          <t>ROCE</t>
        </is>
      </c>
      <c r="B62" s="58">
        <f>IFERROR(B$64/(B$31-B$35),"n/a")</f>
        <v/>
      </c>
      <c r="C62" s="58">
        <f>IFERROR(C$64/(C$31-C$35),"n/a")</f>
        <v/>
      </c>
      <c r="D62" s="58">
        <f>IFERROR(D$64/(D$31-D$35),"n/a")</f>
        <v/>
      </c>
      <c r="E62" s="58">
        <f>IFERROR(E$64/(E$31-E$35),"n/a")</f>
        <v/>
      </c>
      <c r="F62" s="58">
        <f>IFERROR(F$64/(F$31-F$35),"n/a")</f>
        <v/>
      </c>
      <c r="G62" s="58">
        <f>IFERROR(G$64/(G$31-G$35),"n/a")</f>
        <v/>
      </c>
      <c r="H62" s="58">
        <f>IFERROR(H$64/(H$31-H$35),"n/a")</f>
        <v/>
      </c>
      <c r="I62" s="58">
        <f>IFERROR(I$64/(I$31-I$35),"n/a")</f>
        <v/>
      </c>
    </row>
    <row r="63">
      <c r="A63" s="9" t="inlineStr">
        <is>
          <t>CROIC</t>
        </is>
      </c>
      <c r="B63" s="58">
        <f>IFERROR(B$68/(B$31-B$35),"n/a")</f>
        <v/>
      </c>
      <c r="C63" s="58">
        <f>IFERROR(C$68/(C$31-C$35),"n/a")</f>
        <v/>
      </c>
      <c r="D63" s="58">
        <f>IFERROR(D$68/(D$31-D$35),"n/a")</f>
        <v/>
      </c>
      <c r="E63" s="58">
        <f>IFERROR(E$68/(E$31-E$35),"n/a")</f>
        <v/>
      </c>
      <c r="F63" s="58">
        <f>IFERROR(F$68/(F$31-F$35),"n/a")</f>
        <v/>
      </c>
      <c r="G63" s="58">
        <f>IFERROR(G$68/(G$31-G$35),"n/a")</f>
        <v/>
      </c>
      <c r="H63" s="58">
        <f>IFERROR(H$68/(H$31-H$35),"n/a")</f>
        <v/>
      </c>
      <c r="I63" s="58">
        <f>IFERROR(I$68/(I$31-I$35),"n/a")</f>
        <v/>
      </c>
    </row>
    <row r="64">
      <c r="A64" s="9" t="inlineStr">
        <is>
          <t>EBIT</t>
        </is>
      </c>
      <c r="B64" s="59">
        <f>IFERROR(B$48+ABS(B$49),"n/a")</f>
        <v/>
      </c>
      <c r="C64" s="59">
        <f>IFERROR(C$48+ABS(C$49),"n/a")</f>
        <v/>
      </c>
      <c r="D64" s="59">
        <f>IFERROR(D$48+ABS(D$49),"n/a")</f>
        <v/>
      </c>
      <c r="E64" s="59">
        <f>IFERROR(E$48+ABS(E$49),"n/a")</f>
        <v/>
      </c>
      <c r="F64" s="59">
        <f>IFERROR(F$48+ABS(F$49),"n/a")</f>
        <v/>
      </c>
      <c r="G64" s="59">
        <f>IFERROR(G$48+ABS(G$49),"n/a")</f>
        <v/>
      </c>
      <c r="H64" s="59">
        <f>IFERROR(H$48+ABS(H$49),"n/a")</f>
        <v/>
      </c>
      <c r="I64" s="59">
        <f>IFERROR(I$48+ABS(I$49),"n/a")</f>
        <v/>
      </c>
    </row>
    <row r="65">
      <c r="A65" s="9" t="inlineStr">
        <is>
          <t>EBIT/DT</t>
        </is>
      </c>
      <c r="B65" s="58">
        <f>IFERROR(B$64/B$43,"n/a")</f>
        <v/>
      </c>
      <c r="C65" s="58">
        <f>IFERROR(C$64/C$43,"n/a")</f>
        <v/>
      </c>
      <c r="D65" s="58">
        <f>IFERROR(D$64/D$43,"n/a")</f>
        <v/>
      </c>
      <c r="E65" s="58">
        <f>IFERROR(E$64/E$43,"n/a")</f>
        <v/>
      </c>
      <c r="F65" s="58">
        <f>IFERROR(F$64/F$43,"n/a")</f>
        <v/>
      </c>
      <c r="G65" s="58">
        <f>IFERROR(G$64/G$43,"n/a")</f>
        <v/>
      </c>
      <c r="H65" s="58">
        <f>IFERROR(H$64/H$43,"n/a")</f>
        <v/>
      </c>
      <c r="I65" s="58">
        <f>IFERROR(I$64/I$43,"n/a")</f>
        <v/>
      </c>
    </row>
    <row r="66">
      <c r="A66" s="9" t="inlineStr">
        <is>
          <t>DT/TS</t>
        </is>
      </c>
      <c r="B66" s="58">
        <f>IFERROR(B$43/B$31,"n/a")</f>
        <v/>
      </c>
      <c r="C66" s="58">
        <f>IFERROR(C$43/C$31,"n/a")</f>
        <v/>
      </c>
      <c r="D66" s="58">
        <f>IFERROR(D$43/D$31,"n/a")</f>
        <v/>
      </c>
      <c r="E66" s="58">
        <f>IFERROR(E$43/E$31,"n/a")</f>
        <v/>
      </c>
      <c r="F66" s="58">
        <f>IFERROR(F$43/F$31,"n/a")</f>
        <v/>
      </c>
      <c r="G66" s="58">
        <f>IFERROR(G$43/G$31,"n/a")</f>
        <v/>
      </c>
      <c r="H66" s="58">
        <f>IFERROR(H$43/H$31,"n/a")</f>
        <v/>
      </c>
      <c r="I66" s="58">
        <f>IFERROR(I$43/I$31,"n/a")</f>
        <v/>
      </c>
    </row>
    <row r="67">
      <c r="A67" s="8" t="inlineStr">
        <is>
          <t>Dòng tiền &amp; tái đầu tư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inlineStr">
        <is>
          <t>FCF</t>
        </is>
      </c>
      <c r="B68" s="59">
        <f>IFERROR(B$56-ABS(B$55),"n/a")</f>
        <v/>
      </c>
      <c r="C68" s="59">
        <f>IFERROR(C$56-ABS(C$55),"n/a")</f>
        <v/>
      </c>
      <c r="D68" s="59">
        <f>IFERROR(D$56-ABS(D$55),"n/a")</f>
        <v/>
      </c>
      <c r="E68" s="59">
        <f>IFERROR(E$56-ABS(E$55),"n/a")</f>
        <v/>
      </c>
      <c r="F68" s="59">
        <f>IFERROR(F$56-ABS(F$55),"n/a")</f>
        <v/>
      </c>
      <c r="G68" s="59">
        <f>IFERROR(G$56-ABS(G$55),"n/a")</f>
        <v/>
      </c>
      <c r="H68" s="59">
        <f>IFERROR(H$56-ABS(H$55),"n/a")</f>
        <v/>
      </c>
      <c r="I68" s="59">
        <f>IFERROR(I$56-ABS(I$55),"n/a")</f>
        <v/>
      </c>
    </row>
    <row r="69">
      <c r="A69" s="9" t="inlineStr">
        <is>
          <t>FCF/DT</t>
        </is>
      </c>
      <c r="B69" s="58">
        <f>IFERROR(B$68/B$43,"n/a")</f>
        <v/>
      </c>
      <c r="C69" s="58">
        <f>IFERROR(C$68/C$43,"n/a")</f>
        <v/>
      </c>
      <c r="D69" s="58">
        <f>IFERROR(D$68/D$43,"n/a")</f>
        <v/>
      </c>
      <c r="E69" s="58">
        <f>IFERROR(E$68/E$43,"n/a")</f>
        <v/>
      </c>
      <c r="F69" s="58">
        <f>IFERROR(F$68/F$43,"n/a")</f>
        <v/>
      </c>
      <c r="G69" s="58">
        <f>IFERROR(G$68/G$43,"n/a")</f>
        <v/>
      </c>
      <c r="H69" s="58">
        <f>IFERROR(H$68/H$43,"n/a")</f>
        <v/>
      </c>
      <c r="I69" s="58">
        <f>IFERROR(I$68/I$43,"n/a")</f>
        <v/>
      </c>
    </row>
    <row r="70">
      <c r="A70" s="9" t="inlineStr">
        <is>
          <t>FCF/Nợ ngắn hạn</t>
        </is>
      </c>
      <c r="B70" s="58">
        <f>IFERROR(B$68/B$35,"n/a")</f>
        <v/>
      </c>
      <c r="C70" s="58">
        <f>IFERROR(C$68/C$35,"n/a")</f>
        <v/>
      </c>
      <c r="D70" s="58">
        <f>IFERROR(D$68/D$35,"n/a")</f>
        <v/>
      </c>
      <c r="E70" s="58">
        <f>IFERROR(E$68/E$35,"n/a")</f>
        <v/>
      </c>
      <c r="F70" s="58">
        <f>IFERROR(F$68/F$35,"n/a")</f>
        <v/>
      </c>
      <c r="G70" s="58">
        <f>IFERROR(G$68/G$35,"n/a")</f>
        <v/>
      </c>
      <c r="H70" s="58">
        <f>IFERROR(H$68/H$35,"n/a")</f>
        <v/>
      </c>
      <c r="I70" s="58">
        <f>IFERROR(I$68/I$35,"n/a")</f>
        <v/>
      </c>
    </row>
    <row r="71">
      <c r="A71" s="9" t="inlineStr">
        <is>
          <t>Capex</t>
        </is>
      </c>
      <c r="B71" s="59">
        <f>IFERROR(ABS(B$55),"n/a")</f>
        <v/>
      </c>
      <c r="C71" s="59">
        <f>IFERROR(ABS(C$55),"n/a")</f>
        <v/>
      </c>
      <c r="D71" s="59">
        <f>IFERROR(ABS(D$55),"n/a")</f>
        <v/>
      </c>
      <c r="E71" s="59">
        <f>IFERROR(ABS(E$55),"n/a")</f>
        <v/>
      </c>
      <c r="F71" s="59">
        <f>IFERROR(ABS(F$55),"n/a")</f>
        <v/>
      </c>
      <c r="G71" s="59">
        <f>IFERROR(ABS(G$55),"n/a")</f>
        <v/>
      </c>
      <c r="H71" s="59">
        <f>IFERROR(ABS(H$55),"n/a")</f>
        <v/>
      </c>
      <c r="I71" s="59">
        <f>IFERROR(ABS(I$55),"n/a")</f>
        <v/>
      </c>
    </row>
    <row r="72">
      <c r="A72" s="9" t="inlineStr">
        <is>
          <t>Capex/TS</t>
        </is>
      </c>
      <c r="B72" s="58">
        <f>IFERROR(B$71/B$31,"n/a")</f>
        <v/>
      </c>
      <c r="C72" s="58">
        <f>IFERROR(C$71/C$31,"n/a")</f>
        <v/>
      </c>
      <c r="D72" s="58">
        <f>IFERROR(D$71/D$31,"n/a")</f>
        <v/>
      </c>
      <c r="E72" s="58">
        <f>IFERROR(E$71/E$31,"n/a")</f>
        <v/>
      </c>
      <c r="F72" s="58">
        <f>IFERROR(F$71/F$31,"n/a")</f>
        <v/>
      </c>
      <c r="G72" s="58">
        <f>IFERROR(G$71/G$31,"n/a")</f>
        <v/>
      </c>
      <c r="H72" s="58">
        <f>IFERROR(H$71/H$31,"n/a")</f>
        <v/>
      </c>
      <c r="I72" s="58">
        <f>IFERROR(I$71/I$31,"n/a")</f>
        <v/>
      </c>
    </row>
    <row r="73">
      <c r="A73" s="9" t="inlineStr">
        <is>
          <t>Capex/LNST</t>
        </is>
      </c>
      <c r="B73" s="58">
        <f>IFERROR(B$71/ABS(B$51),"n/a")</f>
        <v/>
      </c>
      <c r="C73" s="58">
        <f>IFERROR(C$71/ABS(C$51),"n/a")</f>
        <v/>
      </c>
      <c r="D73" s="58">
        <f>IFERROR(D$71/ABS(D$51),"n/a")</f>
        <v/>
      </c>
      <c r="E73" s="58">
        <f>IFERROR(E$71/ABS(E$51),"n/a")</f>
        <v/>
      </c>
      <c r="F73" s="58">
        <f>IFERROR(F$71/ABS(F$51),"n/a")</f>
        <v/>
      </c>
      <c r="G73" s="58">
        <f>IFERROR(G$71/ABS(G$51),"n/a")</f>
        <v/>
      </c>
      <c r="H73" s="58">
        <f>IFERROR(H$71/ABS(H$51),"n/a")</f>
        <v/>
      </c>
      <c r="I73" s="58">
        <f>IFERROR(I$71/ABS(I$51),"n/a")</f>
        <v/>
      </c>
    </row>
    <row r="74">
      <c r="A74" s="9" t="inlineStr">
        <is>
          <t>Chi phí khấu hao/Lợi nhuận gộp</t>
        </is>
      </c>
      <c r="B74" s="58">
        <f>IFERROR(ABS(B$54)/B$45,"n/a")</f>
        <v/>
      </c>
      <c r="C74" s="58">
        <f>IFERROR(ABS(C$54)/C$45,"n/a")</f>
        <v/>
      </c>
      <c r="D74" s="58">
        <f>IFERROR(ABS(D$54)/D$45,"n/a")</f>
        <v/>
      </c>
      <c r="E74" s="58">
        <f>IFERROR(ABS(E$54)/E$45,"n/a")</f>
        <v/>
      </c>
      <c r="F74" s="58">
        <f>IFERROR(ABS(F$54)/F$45,"n/a")</f>
        <v/>
      </c>
      <c r="G74" s="58">
        <f>IFERROR(ABS(G$54)/G$45,"n/a")</f>
        <v/>
      </c>
      <c r="H74" s="58">
        <f>IFERROR(ABS(H$54)/H$45,"n/a")</f>
        <v/>
      </c>
      <c r="I74" s="58">
        <f>IFERROR(ABS(I$54)/I$45,"n/a")</f>
        <v/>
      </c>
    </row>
    <row r="75">
      <c r="A75" s="9" t="inlineStr">
        <is>
          <t>EBIT/Chi phí lãi vay</t>
        </is>
      </c>
      <c r="B75" s="60">
        <f>IFERROR(B$64/ABS(B$49),"n/a")</f>
        <v/>
      </c>
      <c r="C75" s="60">
        <f>IFERROR(C$64/ABS(C$49),"n/a")</f>
        <v/>
      </c>
      <c r="D75" s="60">
        <f>IFERROR(D$64/ABS(D$49),"n/a")</f>
        <v/>
      </c>
      <c r="E75" s="60">
        <f>IFERROR(E$64/ABS(E$49),"n/a")</f>
        <v/>
      </c>
      <c r="F75" s="60">
        <f>IFERROR(F$64/ABS(F$49),"n/a")</f>
        <v/>
      </c>
      <c r="G75" s="60">
        <f>IFERROR(G$64/ABS(G$49),"n/a")</f>
        <v/>
      </c>
      <c r="H75" s="60">
        <f>IFERROR(H$64/ABS(H$49),"n/a")</f>
        <v/>
      </c>
      <c r="I75" s="60">
        <f>IFERROR(I$64/ABS(I$49),"n/a")</f>
        <v/>
      </c>
    </row>
    <row r="76">
      <c r="A76" s="8" t="inlineStr">
        <is>
          <t>Vốn lưu động &amp; hiệu quả hoạt động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inlineStr">
        <is>
          <t>Vòng quay tiền mặt</t>
        </is>
      </c>
      <c r="B77" s="13">
        <f>IFERROR(B$17+B$18-B$16,"n/a")</f>
        <v/>
      </c>
      <c r="C77" s="13">
        <f>IFERROR(C$17+C$18-C$16,"n/a")</f>
        <v/>
      </c>
      <c r="D77" s="13">
        <f>IFERROR(D$17+D$18-D$16,"n/a")</f>
        <v/>
      </c>
      <c r="E77" s="13">
        <f>IFERROR(E$17+E$18-E$16,"n/a")</f>
        <v/>
      </c>
      <c r="F77" s="13">
        <f>IFERROR(F$17+F$18-F$16,"n/a")</f>
        <v/>
      </c>
      <c r="G77" s="13">
        <f>IFERROR(G$17+G$18-G$16,"n/a")</f>
        <v/>
      </c>
      <c r="H77" s="13">
        <f>IFERROR(H$17+H$18-H$16,"n/a")</f>
        <v/>
      </c>
      <c r="I77" s="13">
        <f>IFERROR(I$17+I$18-I$16,"n/a")</f>
        <v/>
      </c>
    </row>
    <row r="78">
      <c r="A78" s="9" t="inlineStr">
        <is>
          <t>HTK/DT</t>
        </is>
      </c>
      <c r="B78" s="58">
        <f>IFERROR(B$28/B$43,"n/a")</f>
        <v/>
      </c>
      <c r="C78" s="58">
        <f>IFERROR(C$28/C$43,"n/a")</f>
        <v/>
      </c>
      <c r="D78" s="58">
        <f>IFERROR(D$28/D$43,"n/a")</f>
        <v/>
      </c>
      <c r="E78" s="58">
        <f>IFERROR(E$28/E$43,"n/a")</f>
        <v/>
      </c>
      <c r="F78" s="58">
        <f>IFERROR(F$28/F$43,"n/a")</f>
        <v/>
      </c>
      <c r="G78" s="58">
        <f>IFERROR(G$28/G$43,"n/a")</f>
        <v/>
      </c>
      <c r="H78" s="58">
        <f>IFERROR(H$28/H$43,"n/a")</f>
        <v/>
      </c>
      <c r="I78" s="58">
        <f>IFERROR(I$28/I$43,"n/a")</f>
        <v/>
      </c>
    </row>
    <row r="79">
      <c r="A79" s="9" t="inlineStr">
        <is>
          <t>HTK/TS</t>
        </is>
      </c>
      <c r="B79" s="58">
        <f>IFERROR(B$28/B$31,"n/a")</f>
        <v/>
      </c>
      <c r="C79" s="58">
        <f>IFERROR(C$28/C$31,"n/a")</f>
        <v/>
      </c>
      <c r="D79" s="58">
        <f>IFERROR(D$28/D$31,"n/a")</f>
        <v/>
      </c>
      <c r="E79" s="58">
        <f>IFERROR(E$28/E$31,"n/a")</f>
        <v/>
      </c>
      <c r="F79" s="58">
        <f>IFERROR(F$28/F$31,"n/a")</f>
        <v/>
      </c>
      <c r="G79" s="58">
        <f>IFERROR(G$28/G$31,"n/a")</f>
        <v/>
      </c>
      <c r="H79" s="58">
        <f>IFERROR(H$28/H$31,"n/a")</f>
        <v/>
      </c>
      <c r="I79" s="58">
        <f>IFERROR(I$28/I$31,"n/a")</f>
        <v/>
      </c>
    </row>
    <row r="80">
      <c r="A80" s="9" t="inlineStr">
        <is>
          <t>DT/TS</t>
        </is>
      </c>
      <c r="B80" s="58">
        <f>IFERROR(B$43/B$31,"n/a")</f>
        <v/>
      </c>
      <c r="C80" s="58">
        <f>IFERROR(C$43/C$31,"n/a")</f>
        <v/>
      </c>
      <c r="D80" s="58">
        <f>IFERROR(D$43/D$31,"n/a")</f>
        <v/>
      </c>
      <c r="E80" s="58">
        <f>IFERROR(E$43/E$31,"n/a")</f>
        <v/>
      </c>
      <c r="F80" s="58">
        <f>IFERROR(F$43/F$31,"n/a")</f>
        <v/>
      </c>
      <c r="G80" s="58">
        <f>IFERROR(G$43/G$31,"n/a")</f>
        <v/>
      </c>
      <c r="H80" s="58">
        <f>IFERROR(H$43/H$31,"n/a")</f>
        <v/>
      </c>
      <c r="I80" s="58">
        <f>IFERROR(I$43/I$31,"n/a")</f>
        <v/>
      </c>
    </row>
    <row r="81">
      <c r="A81" s="8" t="inlineStr">
        <is>
          <t>Khả năng thanh toán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inlineStr">
        <is>
          <t>(TS ngắn hạn − HTK)/Nợ ngắn hạn</t>
        </is>
      </c>
      <c r="B82" s="60">
        <f>IFERROR((B$29-B$28)/B$35,"n/a")</f>
        <v/>
      </c>
      <c r="C82" s="60">
        <f>IFERROR((C$29-C$28)/C$35,"n/a")</f>
        <v/>
      </c>
      <c r="D82" s="60">
        <f>IFERROR((D$29-D$28)/D$35,"n/a")</f>
        <v/>
      </c>
      <c r="E82" s="60">
        <f>IFERROR((E$29-E$28)/E$35,"n/a")</f>
        <v/>
      </c>
      <c r="F82" s="60">
        <f>IFERROR((F$29-F$28)/F$35,"n/a")</f>
        <v/>
      </c>
      <c r="G82" s="60">
        <f>IFERROR((G$29-G$28)/G$35,"n/a")</f>
        <v/>
      </c>
      <c r="H82" s="60">
        <f>IFERROR((H$29-H$28)/H$35,"n/a")</f>
        <v/>
      </c>
      <c r="I82" s="60">
        <f>IFERROR((I$29-I$28)/I$35,"n/a")</f>
        <v/>
      </c>
    </row>
    <row r="83">
      <c r="A83" s="9" t="inlineStr">
        <is>
          <t>TS ngắn hạn/Nợ ngắn hạn</t>
        </is>
      </c>
      <c r="B83" s="60">
        <f>IFERROR(B$29/B$35,"n/a")</f>
        <v/>
      </c>
      <c r="C83" s="60">
        <f>IFERROR(C$29/C$35,"n/a")</f>
        <v/>
      </c>
      <c r="D83" s="60">
        <f>IFERROR(D$29/D$35,"n/a")</f>
        <v/>
      </c>
      <c r="E83" s="60">
        <f>IFERROR(E$29/E$35,"n/a")</f>
        <v/>
      </c>
      <c r="F83" s="60">
        <f>IFERROR(F$29/F$35,"n/a")</f>
        <v/>
      </c>
      <c r="G83" s="60">
        <f>IFERROR(G$29/G$35,"n/a")</f>
        <v/>
      </c>
      <c r="H83" s="60">
        <f>IFERROR(H$29/H$35,"n/a")</f>
        <v/>
      </c>
      <c r="I83" s="60">
        <f>IFERROR(I$29/I$35,"n/a")</f>
        <v/>
      </c>
    </row>
    <row r="84">
      <c r="A84" s="8" t="inlineStr">
        <is>
          <t>Tài sản &amp; cơ cấu tài sản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inlineStr">
        <is>
          <t>TSCĐ vô hình</t>
        </is>
      </c>
      <c r="B85" s="59">
        <f>IFERROR(B$30,"n/a")</f>
        <v/>
      </c>
      <c r="C85" s="59">
        <f>IFERROR(C$30,"n/a")</f>
        <v/>
      </c>
      <c r="D85" s="59">
        <f>IFERROR(D$30,"n/a")</f>
        <v/>
      </c>
      <c r="E85" s="59">
        <f>IFERROR(E$30,"n/a")</f>
        <v/>
      </c>
      <c r="F85" s="59">
        <f>IFERROR(F$30,"n/a")</f>
        <v/>
      </c>
      <c r="G85" s="59">
        <f>IFERROR(G$30,"n/a")</f>
        <v/>
      </c>
      <c r="H85" s="59">
        <f>IFERROR(H$30,"n/a")</f>
        <v/>
      </c>
      <c r="I85" s="59">
        <f>IFERROR(I$30,"n/a")</f>
        <v/>
      </c>
    </row>
    <row r="86">
      <c r="A86" s="9" t="inlineStr">
        <is>
          <t>Tài sản vô hình/Giá trị sổ sách</t>
        </is>
      </c>
      <c r="B86" s="58">
        <f>IFERROR(B$30/B$39,"n/a")</f>
        <v/>
      </c>
      <c r="C86" s="58">
        <f>IFERROR(C$30/C$39,"n/a")</f>
        <v/>
      </c>
      <c r="D86" s="58">
        <f>IFERROR(D$30/D$39,"n/a")</f>
        <v/>
      </c>
      <c r="E86" s="58">
        <f>IFERROR(E$30/E$39,"n/a")</f>
        <v/>
      </c>
      <c r="F86" s="58">
        <f>IFERROR(F$30/F$39,"n/a")</f>
        <v/>
      </c>
      <c r="G86" s="58">
        <f>IFERROR(G$30/G$39,"n/a")</f>
        <v/>
      </c>
      <c r="H86" s="58">
        <f>IFERROR(H$30/H$39,"n/a")</f>
        <v/>
      </c>
      <c r="I86" s="58">
        <f>IFERROR(I$30/I$39,"n/a")</f>
        <v/>
      </c>
    </row>
  </sheetData>
  <conditionalFormatting sqref="B6:I6">
    <cfRule type="cellIs" priority="8" operator="greaterThanOrEqual" dxfId="4">
      <formula>0.3</formula>
    </cfRule>
    <cfRule type="cellIs" priority="9" operator="lessThanOrEqual" dxfId="7">
      <formula>0.1</formula>
    </cfRule>
    <cfRule type="cellIs" priority="10" operator="between" dxfId="5">
      <formula>0.1</formula>
      <formula>0.3</formula>
    </cfRule>
  </conditionalFormatting>
  <conditionalFormatting sqref="B8:I8 B11:I11">
    <cfRule type="cellIs" priority="6" operator="lessThanOrEqual" dxfId="4">
      <formula>0.5</formula>
    </cfRule>
  </conditionalFormatting>
  <conditionalFormatting sqref="B14:I14">
    <cfRule type="cellIs" priority="4" operator="lessThanOrEqual" dxfId="4">
      <formula>0.3</formula>
    </cfRule>
    <cfRule type="cellIs" priority="5" operator="greaterThanOrEqual" dxfId="7">
      <formula>0.7</formula>
    </cfRule>
  </conditionalFormatting>
  <conditionalFormatting sqref="B19:I19">
    <cfRule type="cellIs" priority="2" operator="notBetween" dxfId="7">
      <formula>0.02</formula>
      <formula>0.3</formula>
    </cfRule>
    <cfRule type="cellIs" priority="3" operator="between" dxfId="4">
      <formula>0.02</formula>
      <formula>0.3</formula>
    </cfRule>
  </conditionalFormatting>
  <conditionalFormatting sqref="B2:K2">
    <cfRule type="cellIs" priority="14" operator="greaterThanOrEqual" dxfId="4">
      <formula>0.15</formula>
    </cfRule>
    <cfRule type="cellIs" priority="15" operator="lessThan" dxfId="7">
      <formula>0.15</formula>
    </cfRule>
  </conditionalFormatting>
  <conditionalFormatting sqref="B4:K5">
    <cfRule type="cellIs" priority="11" operator="lessThan" dxfId="7">
      <formula>0.1</formula>
    </cfRule>
    <cfRule type="cellIs" priority="12" operator="greaterThanOrEqual" dxfId="4">
      <formula>0.15</formula>
    </cfRule>
    <cfRule type="cellIs" priority="13" operator="between" dxfId="5">
      <formula>0.1</formula>
      <formula>0.15</formula>
    </cfRule>
  </conditionalFormatting>
  <conditionalFormatting sqref="B7:K7">
    <cfRule type="cellIs" priority="7" operator="greaterThanOrEqual" dxfId="4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C16" sqref="C16"/>
    </sheetView>
  </sheetViews>
  <sheetFormatPr baseColWidth="8" defaultColWidth="9" defaultRowHeight="12.75"/>
  <cols>
    <col width="14" bestFit="1" customWidth="1" style="26" min="1" max="1"/>
    <col width="18" bestFit="1" customWidth="1" style="26" min="2" max="2"/>
    <col width="19" bestFit="1" customWidth="1" style="26" min="3" max="10"/>
    <col width="8.125" bestFit="1" customWidth="1" style="26" min="11" max="18"/>
    <col width="9" customWidth="1" style="26" min="19" max="16384"/>
  </cols>
  <sheetData>
    <row r="1">
      <c r="A1" s="25" t="n"/>
      <c r="B1" s="25" t="inlineStr">
        <is>
          <t>Q4/2025</t>
        </is>
      </c>
      <c r="C1" s="25" t="inlineStr">
        <is>
          <t>Q1/2026</t>
        </is>
      </c>
      <c r="D1" s="25" t="inlineStr">
        <is>
          <t>Q2/2026</t>
        </is>
      </c>
      <c r="E1" s="25" t="inlineStr">
        <is>
          <t>Q3/2026</t>
        </is>
      </c>
      <c r="F1" s="25" t="inlineStr">
        <is>
          <t>Q4/2026</t>
        </is>
      </c>
      <c r="G1" s="25" t="inlineStr">
        <is>
          <t>Q1/2027</t>
        </is>
      </c>
      <c r="H1" s="25" t="inlineStr">
        <is>
          <t>Q2/2027</t>
        </is>
      </c>
      <c r="I1" s="25" t="inlineStr">
        <is>
          <t>Q3/2027</t>
        </is>
      </c>
      <c r="J1" s="25" t="inlineStr">
        <is>
          <t>Q4/2027</t>
        </is>
      </c>
    </row>
    <row r="2">
      <c r="A2" s="25" t="inlineStr">
        <is>
          <t>Số CP</t>
        </is>
      </c>
      <c r="B2" s="27" t="n">
        <v>511721959</v>
      </c>
      <c r="C2" s="27" t="n">
        <v>511721959</v>
      </c>
      <c r="D2" s="27" t="n">
        <v>511721959</v>
      </c>
      <c r="E2" s="27" t="n">
        <v>511721959</v>
      </c>
      <c r="F2" s="27" t="n">
        <v>511721959</v>
      </c>
      <c r="G2" s="27" t="n">
        <v>511721959</v>
      </c>
      <c r="H2" s="27" t="n">
        <v>511721959</v>
      </c>
      <c r="I2" s="27" t="n">
        <v>511721959</v>
      </c>
      <c r="J2" s="27" t="n">
        <v>511721959</v>
      </c>
    </row>
    <row r="3">
      <c r="A3" s="25" t="inlineStr">
        <is>
          <t>Thị giá</t>
        </is>
      </c>
      <c r="B3" s="27">
        <f>[1]Sheet1!$E$2</f>
        <v/>
      </c>
      <c r="C3" s="27">
        <f>[1]Sheet1!$E$2</f>
        <v/>
      </c>
      <c r="D3" s="27">
        <f>[1]Sheet1!$E$2</f>
        <v/>
      </c>
      <c r="E3" s="27">
        <f>[1]Sheet1!$E$2</f>
        <v/>
      </c>
      <c r="F3" s="27">
        <f>[1]Sheet1!$E$2</f>
        <v/>
      </c>
      <c r="G3" s="27">
        <f>[1]Sheet1!$E$2</f>
        <v/>
      </c>
      <c r="H3" s="27">
        <f>[1]Sheet1!$E$2</f>
        <v/>
      </c>
      <c r="I3" s="27">
        <f>[1]Sheet1!$E$2</f>
        <v/>
      </c>
      <c r="J3" s="27">
        <f>[1]Sheet1!$E$2</f>
        <v/>
      </c>
    </row>
    <row r="4">
      <c r="A4" s="25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  <c r="G4" s="27">
        <f>G2*G3</f>
        <v/>
      </c>
      <c r="H4" s="27">
        <f>H2*H3</f>
        <v/>
      </c>
      <c r="I4" s="27">
        <f>I2*I3</f>
        <v/>
      </c>
      <c r="J4" s="27">
        <f>J2*J3</f>
        <v/>
      </c>
    </row>
    <row r="5">
      <c r="G5" s="27" t="n"/>
      <c r="H5" s="27" t="n"/>
      <c r="I5" s="27" t="n"/>
      <c r="J5" s="27" t="n"/>
      <c r="K5" s="61" t="n"/>
    </row>
    <row r="6">
      <c r="A6" s="25" t="inlineStr">
        <is>
          <t>VCSH</t>
        </is>
      </c>
      <c r="B6" s="25" t="n"/>
      <c r="C6" s="62" t="n">
        <v>14401000000000</v>
      </c>
      <c r="D6" s="62" t="n">
        <v>13913000000000</v>
      </c>
      <c r="E6" s="62">
        <f>$D$6*(($F$6/$D$6)^(1/2))</f>
        <v/>
      </c>
      <c r="F6" s="29">
        <f>chi_so_tai_chinh!J39</f>
        <v/>
      </c>
      <c r="G6" s="62">
        <f>$F$6*((J6/$F$6)^(1/4))</f>
        <v/>
      </c>
      <c r="H6" s="62">
        <f>$F$6*((J6/$F$6)^(2/4))</f>
        <v/>
      </c>
      <c r="I6" s="62">
        <f>$F$6*((J6/$F$6)^(3/4))</f>
        <v/>
      </c>
      <c r="J6" s="29">
        <f>chi_so_tai_chinh!K39</f>
        <v/>
      </c>
    </row>
    <row r="7">
      <c r="A7" s="25" t="inlineStr">
        <is>
          <t>LICĐKKS</t>
        </is>
      </c>
      <c r="B7" s="25" t="n"/>
      <c r="C7" s="62" t="n">
        <v>0</v>
      </c>
      <c r="D7" s="62" t="n">
        <v>0</v>
      </c>
      <c r="E7" s="62" t="n">
        <v>0</v>
      </c>
      <c r="F7" s="62" t="n">
        <v>0</v>
      </c>
      <c r="G7" s="62" t="n">
        <v>0</v>
      </c>
      <c r="H7" s="62" t="n">
        <v>0</v>
      </c>
      <c r="I7" s="62" t="n">
        <v>0</v>
      </c>
      <c r="J7" s="62">
        <f>[2]CĐKT!J135*1000000000</f>
        <v/>
      </c>
    </row>
    <row r="8">
      <c r="A8" s="25" t="inlineStr">
        <is>
          <t>BV</t>
        </is>
      </c>
      <c r="B8" s="25" t="n"/>
      <c r="C8" s="62">
        <f>C6-C7</f>
        <v/>
      </c>
      <c r="D8" s="62">
        <f>D6-D7</f>
        <v/>
      </c>
      <c r="E8" s="62">
        <f>E6-E7</f>
        <v/>
      </c>
      <c r="F8" s="62">
        <f>F6-F7</f>
        <v/>
      </c>
      <c r="G8" s="62">
        <f>G6-G7</f>
        <v/>
      </c>
      <c r="H8" s="62">
        <f>H6-H7</f>
        <v/>
      </c>
      <c r="I8" s="62">
        <f>I6-I7</f>
        <v/>
      </c>
      <c r="J8" s="62">
        <f>J6-J7</f>
        <v/>
      </c>
    </row>
    <row r="9">
      <c r="A9" s="32" t="inlineStr">
        <is>
          <t>BVPS</t>
        </is>
      </c>
      <c r="B9" s="32" t="n"/>
      <c r="C9" s="63">
        <f>C8/C2</f>
        <v/>
      </c>
      <c r="D9" s="63">
        <f>D8/D2</f>
        <v/>
      </c>
      <c r="E9" s="63">
        <f>E8/E2</f>
        <v/>
      </c>
      <c r="F9" s="63">
        <f>F8/F2</f>
        <v/>
      </c>
      <c r="G9" s="63">
        <f>G8/G2</f>
        <v/>
      </c>
      <c r="H9" s="63">
        <f>H8/H2</f>
        <v/>
      </c>
      <c r="I9" s="63">
        <f>I8/I2</f>
        <v/>
      </c>
      <c r="J9" s="63">
        <f>J8/J2</f>
        <v/>
      </c>
      <c r="K9" s="31" t="n"/>
      <c r="L9" s="31" t="n"/>
      <c r="M9" s="31" t="n"/>
      <c r="N9" s="31" t="n"/>
      <c r="O9" s="31" t="n"/>
      <c r="P9" s="31" t="n"/>
      <c r="Q9" s="31" t="n"/>
      <c r="R9" s="31" t="n"/>
    </row>
    <row r="10">
      <c r="A10" s="32" t="inlineStr">
        <is>
          <t>PB</t>
        </is>
      </c>
      <c r="B10" s="32" t="n"/>
      <c r="C10" s="64">
        <f>C3/C9</f>
        <v/>
      </c>
      <c r="D10" s="64">
        <f>D3/D9</f>
        <v/>
      </c>
      <c r="E10" s="64">
        <f>E3/E9</f>
        <v/>
      </c>
      <c r="F10" s="64">
        <f>F3/F9</f>
        <v/>
      </c>
      <c r="G10" s="64">
        <f>G3/G9</f>
        <v/>
      </c>
      <c r="H10" s="64">
        <f>H3/H9</f>
        <v/>
      </c>
      <c r="I10" s="64">
        <f>I3/I9</f>
        <v/>
      </c>
      <c r="J10" s="64">
        <f>J3/J9</f>
        <v/>
      </c>
      <c r="K10" s="31" t="n"/>
      <c r="L10" s="31" t="n"/>
      <c r="M10" s="31" t="n"/>
      <c r="N10" s="31" t="n"/>
      <c r="O10" s="31" t="n"/>
      <c r="P10" s="31" t="n"/>
      <c r="Q10" s="31" t="n"/>
      <c r="R10" s="31" t="n"/>
    </row>
    <row r="11">
      <c r="C11" s="65" t="n"/>
      <c r="D11" s="65" t="n"/>
      <c r="E11" s="65" t="n"/>
      <c r="F11" s="65" t="n"/>
      <c r="I11" s="31" t="n"/>
      <c r="J11" s="31" t="n"/>
    </row>
    <row r="12">
      <c r="A12" s="25" t="inlineStr">
        <is>
          <t>Trailing Earning</t>
        </is>
      </c>
      <c r="B12" s="62" t="n">
        <v>2828000000000</v>
      </c>
      <c r="C12" s="62">
        <f>$B$12*(($F$12/$B$12)^(1/4))</f>
        <v/>
      </c>
      <c r="D12" s="62">
        <f>$B$12*(($F$12/$B$12)^(2/4))</f>
        <v/>
      </c>
      <c r="E12" s="62">
        <f>$B$12*(($F$12/$B$12)^(3/4))</f>
        <v/>
      </c>
      <c r="F12" s="62" t="n">
        <v>3139080000000</v>
      </c>
      <c r="G12" s="62">
        <f>$F$12*(($J$12/$F$12)^(1/4))</f>
        <v/>
      </c>
      <c r="H12" s="62">
        <f>$F$12*(($J$12/$F$12)^(2/4))</f>
        <v/>
      </c>
      <c r="I12" s="62">
        <f>$F$12*(($J$12/$F$12)^(3/4))</f>
        <v/>
      </c>
      <c r="J12" s="62">
        <f>chi_so_tai_chinh!K52</f>
        <v/>
      </c>
    </row>
    <row r="13">
      <c r="A13" s="32" t="inlineStr">
        <is>
          <t>EPS</t>
        </is>
      </c>
      <c r="B13" s="63">
        <f>B12/B2</f>
        <v/>
      </c>
      <c r="C13" s="63">
        <f>C12/C2</f>
        <v/>
      </c>
      <c r="D13" s="63">
        <f>D12/D2</f>
        <v/>
      </c>
      <c r="E13" s="63">
        <f>E12/E2</f>
        <v/>
      </c>
      <c r="F13" s="63">
        <f>F12/F2</f>
        <v/>
      </c>
      <c r="G13" s="63">
        <f>G12/G2</f>
        <v/>
      </c>
      <c r="H13" s="63">
        <f>H12/H2</f>
        <v/>
      </c>
      <c r="I13" s="63">
        <f>I12/I2</f>
        <v/>
      </c>
      <c r="J13" s="63">
        <f>J12/J2</f>
        <v/>
      </c>
    </row>
    <row r="14">
      <c r="A14" s="32" t="inlineStr">
        <is>
          <t>PE</t>
        </is>
      </c>
      <c r="B14" s="64">
        <f>B3/B13</f>
        <v/>
      </c>
      <c r="C14" s="64">
        <f>C3/C13</f>
        <v/>
      </c>
      <c r="D14" s="64">
        <f>D3/D13</f>
        <v/>
      </c>
      <c r="E14" s="64">
        <f>E3/E13</f>
        <v/>
      </c>
      <c r="F14" s="64">
        <f>F3/F13</f>
        <v/>
      </c>
      <c r="G14" s="64">
        <f>G3/G13</f>
        <v/>
      </c>
      <c r="H14" s="64">
        <f>H3/H13</f>
        <v/>
      </c>
      <c r="I14" s="64">
        <f>I3/I13</f>
        <v/>
      </c>
      <c r="J14" s="64">
        <f>J3/J13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tabSelected="1" workbookViewId="0">
      <selection activeCell="A20" sqref="A20:XFD23"/>
    </sheetView>
  </sheetViews>
  <sheetFormatPr baseColWidth="8" defaultRowHeight="14.25"/>
  <cols>
    <col width="25.375" bestFit="1" customWidth="1" min="1" max="1"/>
    <col width="17.125" bestFit="1" customWidth="1" min="2" max="5"/>
  </cols>
  <sheetData>
    <row r="1" ht="15" customHeight="1">
      <c r="A1" s="44" t="n"/>
      <c r="B1" s="44" t="n">
        <v>2022</v>
      </c>
      <c r="C1" s="44" t="n">
        <v>2023</v>
      </c>
      <c r="D1" s="44" t="n">
        <v>2024</v>
      </c>
      <c r="E1" s="44" t="n">
        <v>2025</v>
      </c>
    </row>
    <row r="2" ht="15.75" customHeight="1">
      <c r="A2" s="44" t="inlineStr">
        <is>
          <t>Doanh thu kế hoạch</t>
        </is>
      </c>
      <c r="B2" s="45" t="n">
        <v>25834930000000</v>
      </c>
      <c r="C2" s="45" t="n">
        <v>35597952000000</v>
      </c>
      <c r="D2" s="45" t="n">
        <v>37147627000000</v>
      </c>
      <c r="E2" s="45" t="n">
        <v>31606954000000</v>
      </c>
    </row>
    <row r="3" ht="15.75" customHeight="1">
      <c r="A3" s="44" t="inlineStr">
        <is>
          <t>DT thực hiện</t>
        </is>
      </c>
      <c r="B3" s="45">
        <f>chi_so_tai_chinh!F43</f>
        <v/>
      </c>
      <c r="C3" s="45">
        <f>chi_so_tai_chinh!G43</f>
        <v/>
      </c>
      <c r="D3" s="45">
        <f>chi_so_tai_chinh!H43</f>
        <v/>
      </c>
      <c r="E3" s="45">
        <f>chi_so_tai_chinh!I43</f>
        <v/>
      </c>
    </row>
    <row r="4" ht="15.75" customHeight="1">
      <c r="A4" s="46" t="inlineStr">
        <is>
          <t>%thực hiện</t>
        </is>
      </c>
      <c r="B4" s="47">
        <f>B3/B2</f>
        <v/>
      </c>
      <c r="C4" s="47">
        <f>C3/C2</f>
        <v/>
      </c>
      <c r="D4" s="47">
        <f>D3/D2</f>
        <v/>
      </c>
      <c r="E4" s="47">
        <f>E3/E2</f>
        <v/>
      </c>
    </row>
    <row r="5" ht="15.75" customHeight="1">
      <c r="A5" s="44" t="inlineStr">
        <is>
          <t>Lợi nhuận trước thuế kế hoạch</t>
        </is>
      </c>
      <c r="B5" s="45" t="n">
        <v>1640396000000</v>
      </c>
      <c r="C5" s="45" t="n">
        <v>2473882000000</v>
      </c>
      <c r="D5" s="45" t="n">
        <v>2637880000000</v>
      </c>
      <c r="E5" s="45" t="n">
        <v>2474805000000</v>
      </c>
    </row>
    <row r="6" ht="15.75" customHeight="1">
      <c r="A6" s="44" t="inlineStr">
        <is>
          <t>LN trước thuế KH</t>
        </is>
      </c>
      <c r="B6" s="45">
        <f>chi_so_tai_chinh!F50</f>
        <v/>
      </c>
      <c r="C6" s="45">
        <f>chi_so_tai_chinh!G50</f>
        <v/>
      </c>
      <c r="D6" s="45">
        <f>chi_so_tai_chinh!H50</f>
        <v/>
      </c>
      <c r="E6" s="45">
        <f>chi_so_tai_chinh!I50</f>
        <v/>
      </c>
    </row>
    <row r="7" ht="15.75" customHeight="1">
      <c r="A7" s="46" t="inlineStr">
        <is>
          <t>%thực hiện</t>
        </is>
      </c>
      <c r="B7" s="47">
        <f>B6/B5</f>
        <v/>
      </c>
      <c r="C7" s="47">
        <f>C6/C5</f>
        <v/>
      </c>
      <c r="D7" s="47">
        <f>D6/D5</f>
        <v/>
      </c>
      <c r="E7" s="47">
        <f>E6/E5</f>
        <v/>
      </c>
    </row>
    <row r="8" ht="15.75" customHeight="1">
      <c r="A8" s="44" t="inlineStr">
        <is>
          <t>Lợi nhuận sau thuế kế hoạch</t>
        </is>
      </c>
      <c r="B8" s="45" t="n">
        <v>1319573000000</v>
      </c>
      <c r="C8" s="45" t="n">
        <v>1937198000000</v>
      </c>
      <c r="D8" s="45" t="n">
        <v>2089201000000</v>
      </c>
      <c r="E8" s="45" t="n">
        <v>1959650000000</v>
      </c>
    </row>
    <row r="9" ht="15.75" customHeight="1">
      <c r="A9" s="44" t="inlineStr">
        <is>
          <t>LNST thực hiện</t>
        </is>
      </c>
      <c r="B9" s="45">
        <f>chi_so_tai_chinh!F51</f>
        <v/>
      </c>
      <c r="C9" s="45">
        <f>chi_so_tai_chinh!G51</f>
        <v/>
      </c>
      <c r="D9" s="45">
        <f>chi_so_tai_chinh!H51</f>
        <v/>
      </c>
      <c r="E9" s="45">
        <f>chi_so_tai_chinh!I51</f>
        <v/>
      </c>
    </row>
    <row r="10" ht="15.75" customHeight="1">
      <c r="A10" s="46" t="inlineStr">
        <is>
          <t>%thực hiện</t>
        </is>
      </c>
      <c r="B10" s="47">
        <f>B9/B8</f>
        <v/>
      </c>
      <c r="C10" s="47">
        <f>C9/C8</f>
        <v/>
      </c>
      <c r="D10" s="47">
        <f>D9/D8</f>
        <v/>
      </c>
      <c r="E10" s="47">
        <f>E9/E8</f>
        <v/>
      </c>
    </row>
    <row r="11" ht="15" customHeight="1">
      <c r="A11" s="44" t="n"/>
      <c r="B11" s="44" t="n"/>
      <c r="C11" s="44" t="n"/>
      <c r="D11" s="44" t="n"/>
      <c r="E11" s="44" t="n"/>
    </row>
    <row r="12" ht="15" customHeight="1">
      <c r="A12" s="44" t="n"/>
      <c r="B12" s="44" t="n"/>
      <c r="C12" s="44" t="n"/>
      <c r="D12" s="44" t="n"/>
      <c r="E12" s="44" t="n"/>
    </row>
    <row r="13" ht="15.75" customHeight="1">
      <c r="A13" s="46" t="inlineStr">
        <is>
          <t>Trung vị %thực hiện DT</t>
        </is>
      </c>
      <c r="B13" s="47">
        <f>MEDIAN(B4:D4)</f>
        <v/>
      </c>
      <c r="C13" s="44" t="n"/>
      <c r="D13" s="44" t="n"/>
      <c r="E13" s="44" t="n"/>
    </row>
    <row r="14" ht="15.75" customHeight="1">
      <c r="A14" s="46" t="inlineStr">
        <is>
          <t>Trung vị %thực hiện LNTT</t>
        </is>
      </c>
      <c r="B14" s="47">
        <f>MEDIAN(B7:D7)</f>
        <v/>
      </c>
      <c r="C14" s="44" t="n"/>
      <c r="D14" s="44" t="n"/>
      <c r="E14" s="44" t="n"/>
    </row>
    <row r="15" ht="15.75" customHeight="1">
      <c r="A15" s="46" t="inlineStr">
        <is>
          <t>Trung vị %thực hiện LNST</t>
        </is>
      </c>
      <c r="B15" s="47">
        <f>MEDIAN(B10:D10)</f>
        <v/>
      </c>
      <c r="C15" s="44" t="n"/>
      <c r="D15" s="44" t="n"/>
      <c r="E15" s="44" t="n"/>
    </row>
    <row r="16" ht="15" customHeight="1">
      <c r="A16" s="44" t="n"/>
      <c r="B16" s="44" t="n"/>
      <c r="C16" s="44" t="n"/>
      <c r="D16" s="44" t="n"/>
      <c r="E16" s="44" t="n"/>
    </row>
    <row r="17" ht="15" customHeight="1">
      <c r="A17" s="44" t="inlineStr">
        <is>
          <t>Tỷ lệ hoàn thành DT trên 95%</t>
        </is>
      </c>
      <c r="B17" s="48">
        <f>COUNTIF(B4:F4,"&gt;=95%")/COUNT(B4:F4)</f>
        <v/>
      </c>
      <c r="C17" s="44" t="n"/>
      <c r="D17" s="44" t="n"/>
      <c r="E17" s="44" t="n"/>
    </row>
    <row r="18" ht="15" customHeight="1">
      <c r="A18" s="44" t="inlineStr">
        <is>
          <t>Tỷ lệ hoàn thành LNST trên 95%</t>
        </is>
      </c>
      <c r="B18" s="48">
        <f>COUNTIF(B7:F7,"&gt;=95%")/COUNT(B7:F7)</f>
        <v/>
      </c>
      <c r="C18" s="44" t="n"/>
      <c r="D18" s="44" t="n"/>
      <c r="E18" s="44" t="n"/>
    </row>
    <row r="19" ht="15" customHeight="1">
      <c r="A19" s="44" t="inlineStr">
        <is>
          <t>Tỷ lệ hoàn thành LNTT trên 95%</t>
        </is>
      </c>
      <c r="B19" s="48">
        <f>COUNTIF(B10:F10,"&gt;=95%")/COUNT(B10:F10)</f>
        <v/>
      </c>
      <c r="C19" s="44" t="n"/>
      <c r="D19" s="44" t="n"/>
      <c r="E19" s="44" t="n"/>
    </row>
  </sheetData>
  <conditionalFormatting sqref="B13:B15">
    <cfRule type="cellIs" priority="1" operator="greaterThanOrEqual" dxfId="0">
      <formula>1</formula>
    </cfRule>
  </conditionalFormatting>
  <conditionalFormatting sqref="B4:E4">
    <cfRule type="cellIs" priority="4" operator="greaterThanOrEqual" dxfId="0">
      <formula>1</formula>
    </cfRule>
  </conditionalFormatting>
  <conditionalFormatting sqref="B7:E7">
    <cfRule type="cellIs" priority="3" operator="greaterThanOrEqual" dxfId="0">
      <formula>1</formula>
    </cfRule>
  </conditionalFormatting>
  <conditionalFormatting sqref="B10:E10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2026-09-23T04:19:22Z</dcterms:modified>
  <cp:lastModifiedBy>Anh Thai</cp:lastModifiedBy>
</cp:coreProperties>
</file>
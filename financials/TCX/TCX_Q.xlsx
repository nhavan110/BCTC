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50" windowWidth="12000" windowHeight="6450" tabRatio="600" firstSheet="2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\(#,##0\);&quot;-&quot;"/>
    <numFmt numFmtId="166" formatCode="#,##0;(#,##0);&quot;-&quot;"/>
  </numFmts>
  <fonts count="16">
    <font>
      <name val="Arial"/>
      <family val="2"/>
      <color theme="1"/>
      <sz val="11"/>
      <scheme val="minor"/>
    </font>
    <font>
      <name val="Tahoma"/>
      <family val="2"/>
      <sz val="10"/>
    </font>
    <font>
      <name val="Tahoma"/>
      <family val="2"/>
      <b val="1"/>
      <sz val="11"/>
    </font>
    <font>
      <name val="Tahoma"/>
      <family val="2"/>
      <b val="1"/>
      <sz val="11"/>
    </font>
    <font>
      <name val="Tahoma"/>
      <family val="2"/>
      <b val="1"/>
      <sz val="10"/>
    </font>
    <font>
      <name val="Tahoma"/>
      <family val="2"/>
      <i val="1"/>
      <color rgb="FF808080"/>
      <sz val="10"/>
    </font>
    <font>
      <name val="Tahoma"/>
      <family val="2"/>
      <color rgb="FF000000"/>
      <sz val="10"/>
    </font>
    <font>
      <name val="Tahoma"/>
      <family val="2"/>
      <color rgb="FF008000"/>
      <sz val="10"/>
    </font>
    <font>
      <name val="Arial"/>
      <family val="2"/>
      <color theme="1"/>
      <sz val="11"/>
      <scheme val="minor"/>
    </font>
    <font>
      <name val="Tahoma"/>
      <family val="2"/>
      <color theme="1"/>
      <sz val="10"/>
    </font>
    <font>
      <name val="Arial"/>
      <family val="2"/>
      <b val="1"/>
      <color theme="1"/>
      <sz val="11"/>
      <scheme val="minor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b val="1"/>
      <color rgb="FFFFFFFF"/>
      <sz val="11"/>
    </font>
    <font>
      <name val="Tahoma"/>
      <sz val="10"/>
    </font>
    <font>
      <name val="Tahoma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theme="7" tint="0.5999938962981048"/>
        <bgColor theme="7" tint="0.599993896298104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theme="7" tint="0.5999938962981048"/>
      </patternFill>
    </fill>
    <fill>
      <patternFill patternType="solid">
        <fgColor theme="5" tint="0.7999816888943144"/>
        <bgColor theme="7" tint="0.799981688894314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8" fillId="0" borderId="0"/>
    <xf numFmtId="9" fontId="8" fillId="0" borderId="0"/>
  </cellStyleXfs>
  <cellXfs count="36">
    <xf numFmtId="0" fontId="0" fillId="0" borderId="0" pivotButton="0" quotePrefix="0" xfId="0"/>
    <xf numFmtId="10" fontId="0" fillId="3" borderId="1" pivotButton="0" quotePrefix="0" xfId="1"/>
    <xf numFmtId="0" fontId="3" fillId="0" borderId="1" pivotButton="0" quotePrefix="0" xfId="0"/>
    <xf numFmtId="1" fontId="3" fillId="0" borderId="1" applyAlignment="1" pivotButton="0" quotePrefix="0" xfId="0">
      <alignment horizontal="center"/>
    </xf>
    <xf numFmtId="0" fontId="1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1" fontId="3" fillId="4" borderId="1" applyAlignment="1" pivotButton="0" quotePrefix="0" xfId="0">
      <alignment horizontal="center"/>
    </xf>
    <xf numFmtId="0" fontId="4" fillId="4" borderId="1" pivotButton="0" quotePrefix="0" xfId="0"/>
    <xf numFmtId="10" fontId="0" fillId="5" borderId="1" pivotButton="0" quotePrefix="0" xfId="1"/>
    <xf numFmtId="10" fontId="6" fillId="4" borderId="1" pivotButton="0" quotePrefix="0" xfId="0"/>
    <xf numFmtId="10" fontId="0" fillId="6" borderId="1" pivotButton="0" quotePrefix="0" xfId="1"/>
    <xf numFmtId="0" fontId="1" fillId="4" borderId="1" pivotButton="0" quotePrefix="0" xfId="0"/>
    <xf numFmtId="164" fontId="6" fillId="4" borderId="1" pivotButton="0" quotePrefix="0" xfId="0"/>
    <xf numFmtId="3" fontId="6" fillId="4" borderId="1" pivotButton="0" quotePrefix="0" xfId="0"/>
    <xf numFmtId="0" fontId="2" fillId="2" borderId="1" pivotButton="0" quotePrefix="0" xfId="0"/>
    <xf numFmtId="0" fontId="0" fillId="2" borderId="1" pivotButton="0" quotePrefix="0" xfId="0"/>
    <xf numFmtId="165" fontId="7" fillId="0" borderId="1" pivotButton="0" quotePrefix="0" xfId="0"/>
    <xf numFmtId="0" fontId="4" fillId="0" borderId="1" pivotButton="0" quotePrefix="0" xfId="0"/>
    <xf numFmtId="165" fontId="11" fillId="0" borderId="1" pivotButton="0" quotePrefix="0" xfId="0"/>
    <xf numFmtId="0" fontId="10" fillId="0" borderId="0" pivotButton="0" quotePrefix="0" xfId="0"/>
    <xf numFmtId="0" fontId="0" fillId="0" borderId="1" pivotButton="0" quotePrefix="0" xfId="0"/>
    <xf numFmtId="0" fontId="12" fillId="0" borderId="1" pivotButton="0" quotePrefix="0" xfId="0"/>
    <xf numFmtId="9" fontId="12" fillId="0" borderId="1" pivotButton="0" quotePrefix="0" xfId="1"/>
    <xf numFmtId="0" fontId="13" fillId="7" borderId="2" applyAlignment="1" pivotButton="0" quotePrefix="0" xfId="0">
      <alignment horizontal="left"/>
    </xf>
    <xf numFmtId="0" fontId="13" fillId="7" borderId="2" applyAlignment="1" pivotButton="0" quotePrefix="0" xfId="0">
      <alignment horizontal="center"/>
    </xf>
    <xf numFmtId="0" fontId="14" fillId="0" borderId="2" pivotButton="0" quotePrefix="0" xfId="0"/>
    <xf numFmtId="165" fontId="14" fillId="0" borderId="2" pivotButton="0" quotePrefix="0" xfId="0"/>
    <xf numFmtId="9" fontId="9" fillId="8" borderId="1" pivotButton="0" quotePrefix="0" xfId="0"/>
    <xf numFmtId="0" fontId="15" fillId="9" borderId="3" applyAlignment="1" pivotButton="0" quotePrefix="0" xfId="0">
      <alignment horizontal="left"/>
    </xf>
    <xf numFmtId="0" fontId="15" fillId="9" borderId="3" applyAlignment="1" pivotButton="0" quotePrefix="0" xfId="0">
      <alignment horizontal="center"/>
    </xf>
    <xf numFmtId="0" fontId="14" fillId="0" borderId="3" pivotButton="0" quotePrefix="0" xfId="0"/>
    <xf numFmtId="166" fontId="14" fillId="0" borderId="3" pivotButton="0" quotePrefix="0" xfId="0"/>
    <xf numFmtId="164" fontId="6" fillId="4" borderId="1" pivotButton="0" quotePrefix="0" xfId="0"/>
    <xf numFmtId="165" fontId="7" fillId="0" borderId="1" pivotButton="0" quotePrefix="0" xfId="0"/>
    <xf numFmtId="165" fontId="11" fillId="0" borderId="1" pivotButton="0" quotePrefix="0" xfId="0"/>
  </cellXfs>
  <cellStyles count="2">
    <cellStyle name="Normal" xfId="0" builtinId="0"/>
    <cellStyle name="Percent" xfId="1" builtinId="5"/>
  </cellStyles>
  <dxfs count="26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29" t="inlineStr">
        <is>
          <t>item</t>
        </is>
      </c>
      <c r="B1" s="30" t="inlineStr">
        <is>
          <t>2018-Q1</t>
        </is>
      </c>
      <c r="C1" s="30" t="inlineStr">
        <is>
          <t>2018-Q2</t>
        </is>
      </c>
      <c r="D1" s="30" t="inlineStr">
        <is>
          <t>2018-Q3</t>
        </is>
      </c>
      <c r="E1" s="30" t="inlineStr">
        <is>
          <t>2018-Q4</t>
        </is>
      </c>
      <c r="F1" s="30" t="inlineStr">
        <is>
          <t>2024-Q3</t>
        </is>
      </c>
      <c r="G1" s="30" t="inlineStr">
        <is>
          <t>2024-Q4</t>
        </is>
      </c>
      <c r="H1" s="30" t="inlineStr">
        <is>
          <t>2025-Q1</t>
        </is>
      </c>
      <c r="I1" s="30" t="inlineStr">
        <is>
          <t>2025-Q2</t>
        </is>
      </c>
      <c r="J1" s="30" t="inlineStr">
        <is>
          <t>2025-Q3</t>
        </is>
      </c>
      <c r="K1" s="30" t="inlineStr">
        <is>
          <t>2025-Q4</t>
        </is>
      </c>
      <c r="L1" s="30" t="inlineStr">
        <is>
          <t>2026-Q1</t>
        </is>
      </c>
      <c r="M1" s="30" t="inlineStr">
        <is>
          <t>2026-Q2</t>
        </is>
      </c>
    </row>
    <row r="2">
      <c r="A2" s="31" t="inlineStr">
        <is>
          <t>TÀI SẢN NGẮN HẠN</t>
        </is>
      </c>
      <c r="B2" s="32" t="n">
        <v>3105829275580</v>
      </c>
      <c r="C2" s="32" t="n">
        <v>3238036134159</v>
      </c>
      <c r="D2" s="32" t="n">
        <v>3717638543591</v>
      </c>
      <c r="E2" s="32" t="n">
        <v>4301904075538</v>
      </c>
      <c r="F2" s="32" t="n">
        <v>46537938169842</v>
      </c>
      <c r="G2" s="32" t="n">
        <v>49394749963613</v>
      </c>
      <c r="H2" s="32" t="n">
        <v>52968968277078</v>
      </c>
      <c r="I2" s="32" t="n">
        <v>61740702018288</v>
      </c>
      <c r="J2" s="32" t="n">
        <v>78382769920190</v>
      </c>
      <c r="K2" s="32" t="n">
        <v>76612765855403</v>
      </c>
      <c r="L2" s="32" t="n">
        <v>85027423981731</v>
      </c>
      <c r="M2" s="32" t="n">
        <v>97180152540672</v>
      </c>
    </row>
    <row r="3">
      <c r="A3" s="31" t="inlineStr">
        <is>
          <t>Tiền và tương đương tiền</t>
        </is>
      </c>
      <c r="B3" s="32" t="n">
        <v>478702782868</v>
      </c>
      <c r="C3" s="32" t="n">
        <v>1207244147840</v>
      </c>
      <c r="D3" s="32" t="n">
        <v>778882643315</v>
      </c>
      <c r="E3" s="32" t="n">
        <v>905429385691</v>
      </c>
      <c r="F3" s="32" t="n">
        <v>3265767728843</v>
      </c>
      <c r="G3" s="32" t="n">
        <v>2864601041636</v>
      </c>
      <c r="H3" s="32" t="n">
        <v>2310027768246</v>
      </c>
      <c r="I3" s="32" t="n">
        <v>2997602183062</v>
      </c>
      <c r="J3" s="32" t="n">
        <v>5291517936798</v>
      </c>
      <c r="K3" s="32" t="n">
        <v>3108078221717</v>
      </c>
      <c r="L3" s="32" t="n">
        <v>5493172934162</v>
      </c>
      <c r="M3" s="32" t="n">
        <v>6154505245964</v>
      </c>
    </row>
    <row r="4">
      <c r="A4" s="31" t="inlineStr">
        <is>
          <t>Tiền</t>
        </is>
      </c>
      <c r="B4" s="32" t="n">
        <v>478702782868</v>
      </c>
      <c r="C4" s="32" t="n">
        <v>907244147840</v>
      </c>
      <c r="D4" s="32" t="n">
        <v>778882643315</v>
      </c>
      <c r="E4" s="32" t="n">
        <v>905429385691</v>
      </c>
      <c r="F4" s="32" t="n">
        <v>3265767728843</v>
      </c>
      <c r="G4" s="32" t="n">
        <v>2864601041636</v>
      </c>
      <c r="H4" s="32" t="n">
        <v>2273027768246</v>
      </c>
      <c r="I4" s="32" t="n">
        <v>2910602183062</v>
      </c>
      <c r="J4" s="32" t="n">
        <v>5130517936798</v>
      </c>
      <c r="K4" s="32" t="n">
        <v>3108078221717</v>
      </c>
      <c r="L4" s="32" t="n">
        <v>5326172934162</v>
      </c>
      <c r="M4" s="32" t="n">
        <v>6154505245964</v>
      </c>
    </row>
    <row r="5">
      <c r="A5" s="31" t="inlineStr">
        <is>
          <t>Các khoản tương đương tiền</t>
        </is>
      </c>
      <c r="B5" s="32" t="n">
        <v>0</v>
      </c>
      <c r="C5" s="32" t="n">
        <v>300000000000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37000000000</v>
      </c>
      <c r="I5" s="32" t="n">
        <v>87000000000</v>
      </c>
      <c r="J5" s="32" t="n">
        <v>161000000000</v>
      </c>
      <c r="K5" s="32" t="n">
        <v>0</v>
      </c>
      <c r="L5" s="32" t="n">
        <v>167000000000</v>
      </c>
      <c r="M5" s="32" t="n">
        <v>0</v>
      </c>
    </row>
    <row r="6">
      <c r="A6" s="31" t="inlineStr">
        <is>
          <t>Các tài sản tài chính ghi nhận thông qua lãi lỗ (FVTPL)</t>
        </is>
      </c>
      <c r="B6" s="32" t="n">
        <v>0</v>
      </c>
      <c r="C6" s="32" t="n">
        <v>0</v>
      </c>
      <c r="D6" s="32" t="n">
        <v>0</v>
      </c>
      <c r="E6" s="32" t="n">
        <v>0</v>
      </c>
      <c r="F6" s="32" t="n">
        <v>0</v>
      </c>
      <c r="G6" s="32" t="n">
        <v>17278163500</v>
      </c>
      <c r="H6" s="32" t="n">
        <v>33872594500</v>
      </c>
      <c r="I6" s="32" t="n">
        <v>51182161900</v>
      </c>
      <c r="J6" s="32" t="n">
        <v>38832202200</v>
      </c>
      <c r="K6" s="32" t="n">
        <v>38923020900</v>
      </c>
      <c r="L6" s="32" t="n">
        <v>55937732900</v>
      </c>
      <c r="M6" s="32" t="n">
        <v>295964797150</v>
      </c>
    </row>
    <row r="7">
      <c r="A7" s="31" t="inlineStr">
        <is>
          <t>Dự phòng suy giảm giá trị tài sản tài chính và tài sản thế chấp</t>
        </is>
      </c>
      <c r="B7" s="32" t="n">
        <v>0</v>
      </c>
      <c r="C7" s="32" t="n">
        <v>0</v>
      </c>
      <c r="D7" s="32" t="n">
        <v>0</v>
      </c>
      <c r="E7" s="32" t="n">
        <v>0</v>
      </c>
      <c r="F7" s="32" t="n">
        <v>-9727352788</v>
      </c>
      <c r="G7" s="32" t="n">
        <v>-10806072274</v>
      </c>
      <c r="H7" s="32" t="n">
        <v>-11506571201</v>
      </c>
      <c r="I7" s="32" t="n">
        <v>-12345953462</v>
      </c>
      <c r="J7" s="32" t="n">
        <v>-11866416736</v>
      </c>
      <c r="K7" s="32" t="n">
        <v>-12757948678</v>
      </c>
      <c r="L7" s="32" t="n">
        <v>-11783320309</v>
      </c>
      <c r="M7" s="32" t="n">
        <v>-10253768528</v>
      </c>
    </row>
    <row r="8">
      <c r="A8" s="31" t="inlineStr">
        <is>
          <t>Tổng các khoản phải thu</t>
        </is>
      </c>
      <c r="B8" s="32" t="n">
        <v>63851022629</v>
      </c>
      <c r="C8" s="32" t="n">
        <v>98881050080</v>
      </c>
      <c r="D8" s="32" t="n">
        <v>75931321237</v>
      </c>
      <c r="E8" s="32" t="n">
        <v>112392910182</v>
      </c>
      <c r="F8" s="32" t="n">
        <v>2203073674403</v>
      </c>
      <c r="G8" s="32" t="n">
        <v>656597329458</v>
      </c>
      <c r="H8" s="32" t="n">
        <v>996008362522</v>
      </c>
      <c r="I8" s="32" t="n">
        <v>874079299667</v>
      </c>
      <c r="J8" s="32" t="n">
        <v>787897805756</v>
      </c>
      <c r="K8" s="32" t="n">
        <v>727456098295</v>
      </c>
      <c r="L8" s="32" t="n">
        <v>1011891732598</v>
      </c>
      <c r="M8" s="32" t="n">
        <v>2958224791790</v>
      </c>
    </row>
    <row r="9">
      <c r="A9" s="31" t="inlineStr">
        <is>
          <t>Phải thu khách hàng (Trước năm 2016)</t>
        </is>
      </c>
      <c r="B9" s="32" t="n">
        <v>0</v>
      </c>
      <c r="C9" s="32" t="n">
        <v>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</row>
    <row r="10">
      <c r="A10" s="31" t="inlineStr">
        <is>
          <t>Trả trước người bán</t>
        </is>
      </c>
      <c r="B10" s="32" t="n">
        <v>933517735</v>
      </c>
      <c r="C10" s="32" t="n">
        <v>2954771613</v>
      </c>
      <c r="D10" s="32" t="n">
        <v>12413614766</v>
      </c>
      <c r="E10" s="32" t="n">
        <v>777927372</v>
      </c>
      <c r="F10" s="32" t="n">
        <v>8701139638</v>
      </c>
      <c r="G10" s="32" t="n">
        <v>1949853033</v>
      </c>
      <c r="H10" s="32" t="n">
        <v>3435219019</v>
      </c>
      <c r="I10" s="32" t="n">
        <v>6902531025</v>
      </c>
      <c r="J10" s="32" t="n">
        <v>3596683895</v>
      </c>
      <c r="K10" s="32" t="n">
        <v>5729878954</v>
      </c>
      <c r="L10" s="32" t="n">
        <v>11052033343</v>
      </c>
      <c r="M10" s="32" t="n">
        <v>6790687225</v>
      </c>
    </row>
    <row r="11">
      <c r="A11" s="31" t="inlineStr">
        <is>
          <t>Phải thu nội bộ</t>
        </is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</row>
    <row r="12">
      <c r="A12" s="31" t="inlineStr">
        <is>
          <t>Phải thu về XDCB (Trước năm 2016)</t>
        </is>
      </c>
      <c r="B12" s="32" t="n">
        <v>0</v>
      </c>
      <c r="C12" s="32" t="n">
        <v>0</v>
      </c>
      <c r="D12" s="32" t="n">
        <v>0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>
        <v>0</v>
      </c>
      <c r="L12" s="32" t="n">
        <v>0</v>
      </c>
      <c r="M12" s="32" t="n">
        <v>0</v>
      </c>
    </row>
    <row r="13">
      <c r="A13" s="31" t="inlineStr">
        <is>
          <t>Phải thu khác</t>
        </is>
      </c>
      <c r="B13" s="32" t="n">
        <v>120084360</v>
      </c>
      <c r="C13" s="32" t="n">
        <v>418422238</v>
      </c>
      <c r="D13" s="32" t="n">
        <v>1329833</v>
      </c>
      <c r="E13" s="32" t="n">
        <v>4844100000</v>
      </c>
      <c r="F13" s="32" t="n">
        <v>1558793428622</v>
      </c>
      <c r="G13" s="32" t="n">
        <v>22076558945</v>
      </c>
      <c r="H13" s="32" t="n">
        <v>286954331576</v>
      </c>
      <c r="I13" s="32" t="n">
        <v>244187804555</v>
      </c>
      <c r="J13" s="32" t="n">
        <v>210474055456</v>
      </c>
      <c r="K13" s="32" t="n">
        <v>2271195630</v>
      </c>
      <c r="L13" s="32" t="n">
        <v>5519758032</v>
      </c>
      <c r="M13" s="32" t="n">
        <v>13292610728</v>
      </c>
    </row>
    <row r="14">
      <c r="A14" s="31" t="inlineStr">
        <is>
          <t>Dự phòng nợ khó đòi (Trước năm 2016)</t>
        </is>
      </c>
      <c r="B14" s="32" t="n">
        <v>0</v>
      </c>
      <c r="C14" s="32" t="n">
        <v>0</v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</row>
    <row r="15">
      <c r="A15" s="31" t="inlineStr">
        <is>
          <t>Hàng tồn kho, ròng (Trước năm 2016)</t>
        </is>
      </c>
      <c r="B15" s="32" t="n">
        <v>0</v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</row>
    <row r="16">
      <c r="A16" s="31" t="inlineStr">
        <is>
          <t>Hàng tồn kho (Trước năm 2016)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>
        <v>0</v>
      </c>
      <c r="L16" s="32" t="n">
        <v>0</v>
      </c>
      <c r="M16" s="32" t="n">
        <v>0</v>
      </c>
    </row>
    <row r="17">
      <c r="A17" s="31" t="inlineStr">
        <is>
          <t>Dự phòng giảm giá HTK (Trước năm 2016)</t>
        </is>
      </c>
      <c r="B17" s="32" t="n">
        <v>0</v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</row>
    <row r="18">
      <c r="A18" s="31" t="inlineStr">
        <is>
          <t>Tài sản ngắn hạn khác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</row>
    <row r="19">
      <c r="A19" s="31" t="inlineStr">
        <is>
          <t>Chi phí trả trước ngắn hạn</t>
        </is>
      </c>
      <c r="B19" s="32" t="n">
        <v>0</v>
      </c>
      <c r="C19" s="32" t="n">
        <v>0</v>
      </c>
      <c r="D19" s="32" t="n">
        <v>0</v>
      </c>
      <c r="E19" s="32" t="n">
        <v>0</v>
      </c>
      <c r="F19" s="32" t="n">
        <v>68237406443</v>
      </c>
      <c r="G19" s="32" t="n">
        <v>52699169656</v>
      </c>
      <c r="H19" s="32" t="n">
        <v>84330483562</v>
      </c>
      <c r="I19" s="32" t="n">
        <v>49725105981</v>
      </c>
      <c r="J19" s="32" t="n">
        <v>31232953660</v>
      </c>
      <c r="K19" s="32" t="n">
        <v>13408458353</v>
      </c>
      <c r="L19" s="32" t="n">
        <v>67762199748</v>
      </c>
      <c r="M19" s="32" t="n">
        <v>110694665172</v>
      </c>
    </row>
    <row r="20">
      <c r="A20" s="31" t="inlineStr">
        <is>
          <t>Thuế giá trị gia tăng được khấu trừ</t>
        </is>
      </c>
      <c r="B20" s="32" t="n">
        <v>0</v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</row>
    <row r="21">
      <c r="A21" s="31" t="inlineStr">
        <is>
          <t>Thuế và các khoản khác phải thu Nhà nước</t>
        </is>
      </c>
      <c r="B21" s="32" t="n">
        <v>0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1" t="inlineStr">
        <is>
          <t>Tài sản ngắn hạn khác</t>
        </is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</row>
    <row r="23">
      <c r="A23" s="31" t="inlineStr">
        <is>
          <t>TÀI SẢN DÀI HẠN</t>
        </is>
      </c>
      <c r="B23" s="32" t="n">
        <v>17789368432</v>
      </c>
      <c r="C23" s="32" t="n">
        <v>42171933041</v>
      </c>
      <c r="D23" s="32" t="n">
        <v>43002163354</v>
      </c>
      <c r="E23" s="32" t="n">
        <v>49147334360</v>
      </c>
      <c r="F23" s="32" t="n">
        <v>3330054972010</v>
      </c>
      <c r="G23" s="32" t="n">
        <v>3849383856581</v>
      </c>
      <c r="H23" s="32" t="n">
        <v>3360594808902</v>
      </c>
      <c r="I23" s="32" t="n">
        <v>3393485968453</v>
      </c>
      <c r="J23" s="32" t="n">
        <v>3390212189913</v>
      </c>
      <c r="K23" s="32" t="n">
        <v>4019491143606</v>
      </c>
      <c r="L23" s="32" t="n">
        <v>3637467753045</v>
      </c>
      <c r="M23" s="32" t="n">
        <v>3411907280610</v>
      </c>
    </row>
    <row r="24">
      <c r="A24" s="31" t="inlineStr">
        <is>
          <t>Phải thu dài hạn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0</v>
      </c>
      <c r="L24" s="32" t="n">
        <v>0</v>
      </c>
      <c r="M24" s="32" t="n">
        <v>0</v>
      </c>
    </row>
    <row r="25">
      <c r="A25" s="31" t="inlineStr">
        <is>
          <t>Phải thu khách hàng dài hạn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</row>
    <row r="26">
      <c r="A26" s="31" t="inlineStr">
        <is>
          <t>Phải thu nội bộ dài hạn (Trước năm 2016)</t>
        </is>
      </c>
      <c r="B26" s="32" t="n">
        <v>0</v>
      </c>
      <c r="C26" s="32" t="n">
        <v>0</v>
      </c>
      <c r="D26" s="32" t="n">
        <v>0</v>
      </c>
      <c r="E26" s="32" t="n">
        <v>0</v>
      </c>
      <c r="F26" s="32" t="n">
        <v>0</v>
      </c>
      <c r="G26" s="32" t="n">
        <v>0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1" t="inlineStr">
        <is>
          <t>Phải thu dài hạn khác (Trước năm 2016)</t>
        </is>
      </c>
      <c r="B27" s="32" t="n">
        <v>0</v>
      </c>
      <c r="C27" s="32" t="n">
        <v>0</v>
      </c>
      <c r="D27" s="32" t="n">
        <v>0</v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1" t="inlineStr">
        <is>
          <t>Dự phòng phải thu dài hạn (Trước năm 2016)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1" t="inlineStr">
        <is>
          <t>Tài sản cố định</t>
        </is>
      </c>
      <c r="B29" s="32" t="n">
        <v>6885610501</v>
      </c>
      <c r="C29" s="32" t="n">
        <v>6528739692</v>
      </c>
      <c r="D29" s="32" t="n">
        <v>5846348327</v>
      </c>
      <c r="E29" s="32" t="n">
        <v>37111999508</v>
      </c>
      <c r="F29" s="32" t="n">
        <v>47000960029</v>
      </c>
      <c r="G29" s="32" t="n">
        <v>50740739690</v>
      </c>
      <c r="H29" s="32" t="n">
        <v>50059922585</v>
      </c>
      <c r="I29" s="32" t="n">
        <v>67889896187</v>
      </c>
      <c r="J29" s="32" t="n">
        <v>65675916039</v>
      </c>
      <c r="K29" s="32" t="n">
        <v>107181206706</v>
      </c>
      <c r="L29" s="32" t="n">
        <v>99261590948</v>
      </c>
      <c r="M29" s="32" t="n">
        <v>103445113819</v>
      </c>
    </row>
    <row r="30">
      <c r="A30" s="31" t="inlineStr">
        <is>
          <t>GTCL TSCĐ hữu hình</t>
        </is>
      </c>
      <c r="B30" s="32" t="n">
        <v>2058427709</v>
      </c>
      <c r="C30" s="32" t="n">
        <v>1906079678</v>
      </c>
      <c r="D30" s="32" t="n">
        <v>1753731647</v>
      </c>
      <c r="E30" s="32" t="n">
        <v>23568693328</v>
      </c>
      <c r="F30" s="32" t="n">
        <v>36875524953</v>
      </c>
      <c r="G30" s="32" t="n">
        <v>39993555777</v>
      </c>
      <c r="H30" s="32" t="n">
        <v>40602366921</v>
      </c>
      <c r="I30" s="32" t="n">
        <v>36928419675</v>
      </c>
      <c r="J30" s="32" t="n">
        <v>37233603012</v>
      </c>
      <c r="K30" s="32" t="n">
        <v>33220423249</v>
      </c>
      <c r="L30" s="32" t="n">
        <v>29637344161</v>
      </c>
      <c r="M30" s="32" t="n">
        <v>33373987097</v>
      </c>
    </row>
    <row r="31">
      <c r="A31" s="31" t="inlineStr">
        <is>
          <t>Nguyên giá TSCĐ hữu hình</t>
        </is>
      </c>
      <c r="B31" s="32" t="n">
        <v>5345839388</v>
      </c>
      <c r="C31" s="32" t="n">
        <v>5345839388</v>
      </c>
      <c r="D31" s="32" t="n">
        <v>5345839388</v>
      </c>
      <c r="E31" s="32" t="n">
        <v>27624998111</v>
      </c>
      <c r="F31" s="32" t="n">
        <v>110167904200</v>
      </c>
      <c r="G31" s="32" t="n">
        <v>117475687200</v>
      </c>
      <c r="H31" s="32" t="n">
        <v>121971999900</v>
      </c>
      <c r="I31" s="32" t="n">
        <v>122197849900</v>
      </c>
      <c r="J31" s="32" t="n">
        <v>126511586020</v>
      </c>
      <c r="K31" s="32" t="n">
        <v>126797126020</v>
      </c>
      <c r="L31" s="32" t="n">
        <v>126797126020</v>
      </c>
      <c r="M31" s="32" t="n">
        <v>134206292060</v>
      </c>
    </row>
    <row r="32">
      <c r="A32" s="31" t="inlineStr">
        <is>
          <t>Khấu hao lũy kế TSCĐ hữu hình</t>
        </is>
      </c>
      <c r="B32" s="32" t="n">
        <v>-3287411679</v>
      </c>
      <c r="C32" s="32" t="n">
        <v>-3439759710</v>
      </c>
      <c r="D32" s="32" t="n">
        <v>-3592107741</v>
      </c>
      <c r="E32" s="32" t="n">
        <v>-4056304783</v>
      </c>
      <c r="F32" s="32" t="n">
        <v>-73292379247</v>
      </c>
      <c r="G32" s="32" t="n">
        <v>-77482131423</v>
      </c>
      <c r="H32" s="32" t="n">
        <v>-81369632979</v>
      </c>
      <c r="I32" s="32" t="n">
        <v>-85269430225</v>
      </c>
      <c r="J32" s="32" t="n">
        <v>-89277983008</v>
      </c>
      <c r="K32" s="32" t="n">
        <v>-93576702771</v>
      </c>
      <c r="L32" s="32" t="n">
        <v>-97159781859</v>
      </c>
      <c r="M32" s="32" t="n">
        <v>-100832304963</v>
      </c>
    </row>
    <row r="33">
      <c r="A33" s="31" t="inlineStr">
        <is>
          <t>GTCL Tài sản thuê tài chính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1" t="inlineStr">
        <is>
          <t>Nguyên giá tài sản thuê tài chính</t>
        </is>
      </c>
      <c r="B34" s="32" t="n">
        <v>0</v>
      </c>
      <c r="C34" s="32" t="n">
        <v>0</v>
      </c>
      <c r="D34" s="32" t="n">
        <v>0</v>
      </c>
      <c r="E34" s="32" t="n">
        <v>0</v>
      </c>
      <c r="F34" s="32" t="n">
        <v>0</v>
      </c>
      <c r="G34" s="32" t="n">
        <v>0</v>
      </c>
      <c r="H34" s="32" t="n">
        <v>0</v>
      </c>
      <c r="I34" s="32" t="n">
        <v>0</v>
      </c>
      <c r="J34" s="32" t="n">
        <v>0</v>
      </c>
      <c r="K34" s="32" t="n">
        <v>0</v>
      </c>
      <c r="L34" s="32" t="n">
        <v>0</v>
      </c>
      <c r="M34" s="32" t="n">
        <v>0</v>
      </c>
    </row>
    <row r="35">
      <c r="A35" s="31" t="inlineStr">
        <is>
          <t>Khấu hao lũy kế tài sản thuê tài chính</t>
        </is>
      </c>
      <c r="B35" s="32" t="n">
        <v>0</v>
      </c>
      <c r="C35" s="32" t="n">
        <v>0</v>
      </c>
      <c r="D35" s="32" t="n">
        <v>0</v>
      </c>
      <c r="E35" s="32" t="n">
        <v>0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0</v>
      </c>
      <c r="L35" s="32" t="n">
        <v>0</v>
      </c>
      <c r="M35" s="32" t="n">
        <v>0</v>
      </c>
    </row>
    <row r="36">
      <c r="A36" s="31" t="inlineStr">
        <is>
          <t>GTCL tài sản cố định vô hình</t>
        </is>
      </c>
      <c r="B36" s="32" t="n">
        <v>4827182792</v>
      </c>
      <c r="C36" s="32" t="n">
        <v>4622660014</v>
      </c>
      <c r="D36" s="32" t="n">
        <v>4092616680</v>
      </c>
      <c r="E36" s="32" t="n">
        <v>13543306180</v>
      </c>
      <c r="F36" s="32" t="n">
        <v>10125435076</v>
      </c>
      <c r="G36" s="32" t="n">
        <v>10747183913</v>
      </c>
      <c r="H36" s="32" t="n">
        <v>9457555664</v>
      </c>
      <c r="I36" s="32" t="n">
        <v>30961476512</v>
      </c>
      <c r="J36" s="32" t="n">
        <v>28442313027</v>
      </c>
      <c r="K36" s="32" t="n">
        <v>73960783457</v>
      </c>
      <c r="L36" s="32" t="n">
        <v>69624246787</v>
      </c>
      <c r="M36" s="32" t="n">
        <v>70071126722</v>
      </c>
    </row>
    <row r="37">
      <c r="A37" s="31" t="inlineStr">
        <is>
          <t>Nguyên giá TSCĐ vô hình</t>
        </is>
      </c>
      <c r="B37" s="32" t="n">
        <v>14647140000</v>
      </c>
      <c r="C37" s="32" t="n">
        <v>15198390000</v>
      </c>
      <c r="D37" s="32" t="n">
        <v>15198390000</v>
      </c>
      <c r="E37" s="32" t="n">
        <v>25454854000</v>
      </c>
      <c r="F37" s="32" t="n">
        <v>64600335490</v>
      </c>
      <c r="G37" s="32" t="n">
        <v>66775606490</v>
      </c>
      <c r="H37" s="32" t="n">
        <v>66775606490</v>
      </c>
      <c r="I37" s="32" t="n">
        <v>90229842713</v>
      </c>
      <c r="J37" s="32" t="n">
        <v>90229842713</v>
      </c>
      <c r="K37" s="32" t="n">
        <v>138768470729</v>
      </c>
      <c r="L37" s="32" t="n">
        <v>138768470729</v>
      </c>
      <c r="M37" s="32" t="n">
        <v>143373692729</v>
      </c>
    </row>
    <row r="38">
      <c r="A38" s="31" t="inlineStr">
        <is>
          <t>Khấu khao lũy kế TSCĐ vô hình</t>
        </is>
      </c>
      <c r="B38" s="32" t="n">
        <v>-9819957208</v>
      </c>
      <c r="C38" s="32" t="n">
        <v>-10575729986</v>
      </c>
      <c r="D38" s="32" t="n">
        <v>-11105773320</v>
      </c>
      <c r="E38" s="32" t="n">
        <v>-11911547820</v>
      </c>
      <c r="F38" s="32" t="n">
        <v>-54474900414</v>
      </c>
      <c r="G38" s="32" t="n">
        <v>-56028422577</v>
      </c>
      <c r="H38" s="32" t="n">
        <v>-57318050826</v>
      </c>
      <c r="I38" s="32" t="n">
        <v>-59268366201</v>
      </c>
      <c r="J38" s="32" t="n">
        <v>-61787529686</v>
      </c>
      <c r="K38" s="32" t="n">
        <v>-64807687272</v>
      </c>
      <c r="L38" s="32" t="n">
        <v>-69144223942</v>
      </c>
      <c r="M38" s="32" t="n">
        <v>-73302566007</v>
      </c>
    </row>
    <row r="39">
      <c r="A39" s="31" t="inlineStr">
        <is>
          <t>Xây dựng cơ bản dở dang (trước 2015)</t>
        </is>
      </c>
      <c r="B39" s="32" t="n">
        <v>0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</row>
    <row r="40">
      <c r="A40" s="31" t="inlineStr">
        <is>
          <t>Bất động sản đầu tư</t>
        </is>
      </c>
      <c r="B40" s="32" t="n">
        <v>0</v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</row>
    <row r="41">
      <c r="A41" s="31" t="inlineStr">
        <is>
          <t>Nguyên giá tài sản đầu tư</t>
        </is>
      </c>
      <c r="B41" s="32" t="n">
        <v>0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</row>
    <row r="42">
      <c r="A42" s="31" t="inlineStr">
        <is>
          <t>Khấu hao lũy kế tài sản đầu tư</t>
        </is>
      </c>
      <c r="B42" s="32" t="n">
        <v>0</v>
      </c>
      <c r="C42" s="32" t="n">
        <v>0</v>
      </c>
      <c r="D42" s="32" t="n">
        <v>0</v>
      </c>
      <c r="E42" s="32" t="n">
        <v>0</v>
      </c>
      <c r="F42" s="32" t="n">
        <v>0</v>
      </c>
      <c r="G42" s="32" t="n">
        <v>0</v>
      </c>
      <c r="H42" s="32" t="n">
        <v>0</v>
      </c>
      <c r="I42" s="32" t="n">
        <v>0</v>
      </c>
      <c r="J42" s="32" t="n">
        <v>0</v>
      </c>
      <c r="K42" s="32" t="n">
        <v>0</v>
      </c>
      <c r="L42" s="32" t="n">
        <v>0</v>
      </c>
      <c r="M42" s="32" t="n">
        <v>0</v>
      </c>
    </row>
    <row r="43">
      <c r="A43" s="31" t="inlineStr">
        <is>
          <t>Đầu tư dài hạn</t>
        </is>
      </c>
      <c r="B43" s="32" t="n">
        <v>0</v>
      </c>
      <c r="C43" s="32" t="n">
        <v>0</v>
      </c>
      <c r="D43" s="32" t="n">
        <v>0</v>
      </c>
      <c r="E43" s="32" t="n">
        <v>0</v>
      </c>
      <c r="F43" s="32" t="n">
        <v>3033431775000</v>
      </c>
      <c r="G43" s="32" t="n">
        <v>3533431775000</v>
      </c>
      <c r="H43" s="32" t="n">
        <v>3033431775000</v>
      </c>
      <c r="I43" s="32" t="n">
        <v>3043681255890</v>
      </c>
      <c r="J43" s="32" t="n">
        <v>3043681255890</v>
      </c>
      <c r="K43" s="32" t="n">
        <v>3610268431824</v>
      </c>
      <c r="L43" s="32" t="n">
        <v>3200268431824</v>
      </c>
      <c r="M43" s="32" t="n">
        <v>3035268431824</v>
      </c>
    </row>
    <row r="44">
      <c r="A44" s="31" t="inlineStr">
        <is>
          <t>Đầu tư vào các công ty con</t>
        </is>
      </c>
      <c r="B44" s="32" t="n">
        <v>0</v>
      </c>
      <c r="C44" s="32" t="n">
        <v>0</v>
      </c>
      <c r="D44" s="32" t="n">
        <v>0</v>
      </c>
      <c r="E44" s="32" t="n">
        <v>0</v>
      </c>
      <c r="F44" s="32" t="n">
        <v>0</v>
      </c>
      <c r="G44" s="32" t="n">
        <v>0</v>
      </c>
      <c r="H44" s="32" t="n">
        <v>0</v>
      </c>
      <c r="I44" s="32" t="n">
        <v>0</v>
      </c>
      <c r="J44" s="32" t="n">
        <v>0</v>
      </c>
      <c r="K44" s="32" t="n">
        <v>0</v>
      </c>
      <c r="L44" s="32" t="n">
        <v>0</v>
      </c>
      <c r="M44" s="32" t="n">
        <v>0</v>
      </c>
    </row>
    <row r="45">
      <c r="A45" s="31" t="inlineStr">
        <is>
          <t>Đầu tư vào các công ty liên kết</t>
        </is>
      </c>
      <c r="B45" s="32" t="n">
        <v>0</v>
      </c>
      <c r="C45" s="32" t="n">
        <v>0</v>
      </c>
      <c r="D45" s="32" t="n">
        <v>0</v>
      </c>
      <c r="E45" s="32" t="n">
        <v>0</v>
      </c>
      <c r="F45" s="32" t="n">
        <v>0</v>
      </c>
      <c r="G45" s="32" t="n">
        <v>0</v>
      </c>
      <c r="H45" s="32" t="n">
        <v>0</v>
      </c>
      <c r="I45" s="32" t="n">
        <v>0</v>
      </c>
      <c r="J45" s="32" t="n">
        <v>0</v>
      </c>
      <c r="K45" s="32" t="n">
        <v>0</v>
      </c>
      <c r="L45" s="32" t="n">
        <v>0</v>
      </c>
      <c r="M45" s="32" t="n">
        <v>0</v>
      </c>
    </row>
    <row r="46">
      <c r="A46" s="31" t="inlineStr">
        <is>
          <t>Đầu tư dài hạn khác</t>
        </is>
      </c>
      <c r="B46" s="32" t="n">
        <v>0</v>
      </c>
      <c r="C46" s="32" t="n">
        <v>0</v>
      </c>
      <c r="D46" s="32" t="n">
        <v>0</v>
      </c>
      <c r="E46" s="32" t="n">
        <v>0</v>
      </c>
      <c r="F46" s="32" t="n">
        <v>3033431775000</v>
      </c>
      <c r="G46" s="32" t="n">
        <v>3033431775000</v>
      </c>
      <c r="H46" s="32" t="n">
        <v>3033431775000</v>
      </c>
      <c r="I46" s="32" t="n">
        <v>3043681255890</v>
      </c>
      <c r="J46" s="32" t="n">
        <v>3043681255890</v>
      </c>
      <c r="K46" s="32" t="n">
        <v>3200268431824</v>
      </c>
      <c r="L46" s="32" t="n">
        <v>3200268431824</v>
      </c>
      <c r="M46" s="32" t="n">
        <v>3035268431824</v>
      </c>
    </row>
    <row r="47">
      <c r="A47" s="31" t="inlineStr">
        <is>
          <t>Dự phòng giảm giá đầu tư dài hạn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</row>
    <row r="48">
      <c r="A48" s="31" t="inlineStr">
        <is>
          <t>Tài sản dài hạn khác</t>
        </is>
      </c>
      <c r="B48" s="32" t="n">
        <v>10903757931</v>
      </c>
      <c r="C48" s="32" t="n">
        <v>35643193349</v>
      </c>
      <c r="D48" s="32" t="n">
        <v>37155815027</v>
      </c>
      <c r="E48" s="32" t="n">
        <v>12035334852</v>
      </c>
      <c r="F48" s="32" t="n">
        <v>241150917749</v>
      </c>
      <c r="G48" s="32" t="n">
        <v>256740022659</v>
      </c>
      <c r="H48" s="32" t="n">
        <v>260582593122</v>
      </c>
      <c r="I48" s="32" t="n">
        <v>267102202449</v>
      </c>
      <c r="J48" s="32" t="n">
        <v>246239159782</v>
      </c>
      <c r="K48" s="32" t="n">
        <v>248276291750</v>
      </c>
      <c r="L48" s="32" t="n">
        <v>264435446241</v>
      </c>
      <c r="M48" s="32" t="n">
        <v>245372332899</v>
      </c>
    </row>
    <row r="49">
      <c r="A49" s="31" t="inlineStr">
        <is>
          <t>Chi phí trả trước dài hạn</t>
        </is>
      </c>
      <c r="B49" s="32" t="n">
        <v>6352841426</v>
      </c>
      <c r="C49" s="32" t="n">
        <v>6027276844</v>
      </c>
      <c r="D49" s="32" t="n">
        <v>7539898522</v>
      </c>
      <c r="E49" s="32" t="n">
        <v>7404418347</v>
      </c>
      <c r="F49" s="32" t="n">
        <v>7701633394</v>
      </c>
      <c r="G49" s="32" t="n">
        <v>8909838294</v>
      </c>
      <c r="H49" s="32" t="n">
        <v>8133371598</v>
      </c>
      <c r="I49" s="32" t="n">
        <v>8780941145</v>
      </c>
      <c r="J49" s="32" t="n">
        <v>10857104111</v>
      </c>
      <c r="K49" s="32" t="n">
        <v>16980000795</v>
      </c>
      <c r="L49" s="32" t="n">
        <v>27085726995</v>
      </c>
      <c r="M49" s="32" t="n">
        <v>13281981916</v>
      </c>
    </row>
    <row r="50">
      <c r="A50" s="31" t="inlineStr">
        <is>
          <t>Tài sản thuế thu nhập hoãn lại</t>
        </is>
      </c>
      <c r="B50" s="32" t="n">
        <v>0</v>
      </c>
      <c r="C50" s="32" t="n">
        <v>0</v>
      </c>
      <c r="D50" s="32" t="n">
        <v>0</v>
      </c>
      <c r="E50" s="32" t="n">
        <v>0</v>
      </c>
      <c r="F50" s="32" t="n">
        <v>9465493213</v>
      </c>
      <c r="G50" s="32" t="n">
        <v>23846393223</v>
      </c>
      <c r="H50" s="32" t="n">
        <v>27129516453</v>
      </c>
      <c r="I50" s="32" t="n">
        <v>32996597917</v>
      </c>
      <c r="J50" s="32" t="n">
        <v>16734953961</v>
      </c>
      <c r="K50" s="32" t="n">
        <v>17804201744</v>
      </c>
      <c r="L50" s="32" t="n">
        <v>22975770797</v>
      </c>
      <c r="M50" s="32" t="n">
        <v>28034019633</v>
      </c>
    </row>
    <row r="51">
      <c r="A51" s="31" t="inlineStr">
        <is>
          <t>Các tài sản dài hạn khác</t>
        </is>
      </c>
      <c r="B51" s="32" t="n">
        <v>612320146</v>
      </c>
      <c r="C51" s="32" t="n">
        <v>25677320146</v>
      </c>
      <c r="D51" s="32" t="n">
        <v>25677320146</v>
      </c>
      <c r="E51" s="32" t="n">
        <v>692320146</v>
      </c>
      <c r="F51" s="32" t="n">
        <v>10000000000</v>
      </c>
      <c r="G51" s="32" t="n">
        <v>10000000000</v>
      </c>
      <c r="H51" s="32" t="n">
        <v>10070406241</v>
      </c>
      <c r="I51" s="32" t="n">
        <v>10075364557</v>
      </c>
      <c r="J51" s="32" t="n">
        <v>10078677278</v>
      </c>
      <c r="K51" s="32" t="n">
        <v>10083869378</v>
      </c>
      <c r="L51" s="32" t="n">
        <v>10087129632</v>
      </c>
      <c r="M51" s="32" t="n">
        <v>10092250536</v>
      </c>
    </row>
    <row r="52">
      <c r="A52" s="31" t="inlineStr">
        <is>
          <t>TỔNG CỘNG TÀI SẢN</t>
        </is>
      </c>
      <c r="B52" s="32" t="n">
        <v>3123618644012</v>
      </c>
      <c r="C52" s="32" t="n">
        <v>3280208067200</v>
      </c>
      <c r="D52" s="32" t="n">
        <v>3760640706945</v>
      </c>
      <c r="E52" s="32" t="n">
        <v>4351051409898</v>
      </c>
      <c r="F52" s="32" t="n">
        <v>49867993141852</v>
      </c>
      <c r="G52" s="32" t="n">
        <v>53244133820194</v>
      </c>
      <c r="H52" s="32" t="n">
        <v>56329563085980</v>
      </c>
      <c r="I52" s="32" t="n">
        <v>65134187986741</v>
      </c>
      <c r="J52" s="32" t="n">
        <v>81772982110103</v>
      </c>
      <c r="K52" s="32" t="n">
        <v>80632256999009</v>
      </c>
      <c r="L52" s="32" t="n">
        <v>88664891734776</v>
      </c>
      <c r="M52" s="32" t="n">
        <v>100592059821282</v>
      </c>
    </row>
    <row r="53">
      <c r="A53" s="31" t="inlineStr">
        <is>
          <t>NỢ PHẢI TRẢ</t>
        </is>
      </c>
      <c r="B53" s="32" t="n">
        <v>581784249565</v>
      </c>
      <c r="C53" s="32" t="n">
        <v>667136734324</v>
      </c>
      <c r="D53" s="32" t="n">
        <v>725507906827</v>
      </c>
      <c r="E53" s="32" t="n">
        <v>1244384872119</v>
      </c>
      <c r="F53" s="32" t="n">
        <v>24278844247212</v>
      </c>
      <c r="G53" s="32" t="n">
        <v>26947161543516</v>
      </c>
      <c r="H53" s="32" t="n">
        <v>29034864968810</v>
      </c>
      <c r="I53" s="32" t="n">
        <v>35070953344400</v>
      </c>
      <c r="J53" s="32" t="n">
        <v>39294666746150</v>
      </c>
      <c r="K53" s="32" t="n">
        <v>36532676815634</v>
      </c>
      <c r="L53" s="32" t="n">
        <v>43198457639720</v>
      </c>
      <c r="M53" s="32" t="n">
        <v>54809609915262</v>
      </c>
    </row>
    <row r="54">
      <c r="A54" s="31" t="inlineStr">
        <is>
          <t>Nợ phải trả ngắn hạn</t>
        </is>
      </c>
      <c r="B54" s="32" t="n">
        <v>264917665225</v>
      </c>
      <c r="C54" s="32" t="n">
        <v>667089534324</v>
      </c>
      <c r="D54" s="32" t="n">
        <v>176405511484</v>
      </c>
      <c r="E54" s="32" t="n">
        <v>986125933850</v>
      </c>
      <c r="F54" s="32" t="n">
        <v>20399876486004</v>
      </c>
      <c r="G54" s="32" t="n">
        <v>25934267565771</v>
      </c>
      <c r="H54" s="32" t="n">
        <v>29024790354591</v>
      </c>
      <c r="I54" s="32" t="n">
        <v>33563528724306</v>
      </c>
      <c r="J54" s="32" t="n">
        <v>38288931011481</v>
      </c>
      <c r="K54" s="32" t="n">
        <v>35016932279815</v>
      </c>
      <c r="L54" s="32" t="n">
        <v>40601152377163</v>
      </c>
      <c r="M54" s="32" t="n">
        <v>51489473495504</v>
      </c>
    </row>
    <row r="55">
      <c r="A55" s="31" t="inlineStr">
        <is>
          <t>Vay và nợ thuê tài sản tài chính ngắn hạn</t>
        </is>
      </c>
      <c r="B55" s="32" t="n">
        <v>200000000000</v>
      </c>
      <c r="C55" s="32" t="n">
        <v>0</v>
      </c>
      <c r="D55" s="32" t="n">
        <v>0</v>
      </c>
      <c r="E55" s="32" t="n">
        <v>296632000000</v>
      </c>
      <c r="F55" s="32" t="n">
        <v>18250517591201</v>
      </c>
      <c r="G55" s="32" t="n">
        <v>20522995942980</v>
      </c>
      <c r="H55" s="32" t="n">
        <v>23174721054788</v>
      </c>
      <c r="I55" s="32" t="n">
        <v>27437860000000</v>
      </c>
      <c r="J55" s="32" t="n">
        <v>30374680600000</v>
      </c>
      <c r="K55" s="32" t="n">
        <v>31079695096211</v>
      </c>
      <c r="L55" s="32" t="n">
        <v>37356285415843</v>
      </c>
      <c r="M55" s="32" t="n">
        <v>48116836647405</v>
      </c>
    </row>
    <row r="56">
      <c r="A56" s="31" t="inlineStr">
        <is>
          <t>Phải trả người bán ngắn hạn</t>
        </is>
      </c>
      <c r="B56" s="32" t="n">
        <v>0</v>
      </c>
      <c r="C56" s="32" t="n">
        <v>0</v>
      </c>
      <c r="D56" s="32" t="n">
        <v>22225799499</v>
      </c>
      <c r="E56" s="32" t="n">
        <v>0</v>
      </c>
      <c r="F56" s="32" t="n">
        <v>59730140</v>
      </c>
      <c r="G56" s="32" t="n">
        <v>66489220</v>
      </c>
      <c r="H56" s="32" t="n">
        <v>45351900</v>
      </c>
      <c r="I56" s="32" t="n">
        <v>93473300</v>
      </c>
      <c r="J56" s="32" t="n">
        <v>142138000</v>
      </c>
      <c r="K56" s="32" t="n">
        <v>2000410883</v>
      </c>
      <c r="L56" s="32" t="n">
        <v>1573129000</v>
      </c>
      <c r="M56" s="32" t="n">
        <v>13538274711</v>
      </c>
    </row>
    <row r="57">
      <c r="A57" s="31" t="inlineStr">
        <is>
          <t>Người mua trả tiền trước ngắn hạn</t>
        </is>
      </c>
      <c r="B57" s="32" t="n">
        <v>0</v>
      </c>
      <c r="C57" s="32" t="n">
        <v>0</v>
      </c>
      <c r="D57" s="32" t="n">
        <v>0</v>
      </c>
      <c r="E57" s="32" t="n">
        <v>0</v>
      </c>
      <c r="F57" s="32" t="n">
        <v>0</v>
      </c>
      <c r="G57" s="32" t="n">
        <v>126000000000</v>
      </c>
      <c r="H57" s="32" t="n">
        <v>78000000000</v>
      </c>
      <c r="I57" s="32" t="n">
        <v>0</v>
      </c>
      <c r="J57" s="32" t="n">
        <v>0</v>
      </c>
      <c r="K57" s="32" t="n">
        <v>0</v>
      </c>
      <c r="L57" s="32" t="n">
        <v>0</v>
      </c>
      <c r="M57" s="32" t="n">
        <v>0</v>
      </c>
    </row>
    <row r="58">
      <c r="A58" s="31" t="inlineStr">
        <is>
          <t>Thuế và các khoản phải nộp nhà nước</t>
        </is>
      </c>
      <c r="B58" s="32" t="n">
        <v>41334368520</v>
      </c>
      <c r="C58" s="32" t="n">
        <v>43762985055</v>
      </c>
      <c r="D58" s="32" t="n">
        <v>111751827185</v>
      </c>
      <c r="E58" s="32" t="n">
        <v>194639790194</v>
      </c>
      <c r="F58" s="32" t="n">
        <v>698326625773</v>
      </c>
      <c r="G58" s="32" t="n">
        <v>878447688270</v>
      </c>
      <c r="H58" s="32" t="n">
        <v>380993533971</v>
      </c>
      <c r="I58" s="32" t="n">
        <v>603658220969</v>
      </c>
      <c r="J58" s="32" t="n">
        <v>1035870778440</v>
      </c>
      <c r="K58" s="32" t="n">
        <v>1384739664586</v>
      </c>
      <c r="L58" s="32" t="n">
        <v>448591050393</v>
      </c>
      <c r="M58" s="32" t="n">
        <v>748797692892</v>
      </c>
    </row>
    <row r="59">
      <c r="A59" s="31" t="inlineStr">
        <is>
          <t>Phải trả người lao động</t>
        </is>
      </c>
      <c r="B59" s="32" t="n">
        <v>9109339453</v>
      </c>
      <c r="C59" s="32" t="n">
        <v>24965872656</v>
      </c>
      <c r="D59" s="32" t="n">
        <v>33022709490</v>
      </c>
      <c r="E59" s="32" t="n">
        <v>33868889081</v>
      </c>
      <c r="F59" s="32" t="n">
        <v>118468968369</v>
      </c>
      <c r="G59" s="32" t="n">
        <v>183986993939</v>
      </c>
      <c r="H59" s="32" t="n">
        <v>119932319056</v>
      </c>
      <c r="I59" s="32" t="n">
        <v>150745291713</v>
      </c>
      <c r="J59" s="32" t="n">
        <v>184840746106</v>
      </c>
      <c r="K59" s="32" t="n">
        <v>231830280548</v>
      </c>
      <c r="L59" s="32" t="n">
        <v>165143851752</v>
      </c>
      <c r="M59" s="32" t="n">
        <v>143614372893</v>
      </c>
    </row>
    <row r="60">
      <c r="A60" s="31" t="inlineStr">
        <is>
          <t>Chi phí phải trả ngắn hạn</t>
        </is>
      </c>
      <c r="B60" s="32" t="n">
        <v>7709589041</v>
      </c>
      <c r="C60" s="32" t="n">
        <v>12209589151</v>
      </c>
      <c r="D60" s="32" t="n">
        <v>0</v>
      </c>
      <c r="E60" s="32" t="n">
        <v>15483106644</v>
      </c>
      <c r="F60" s="32" t="n">
        <v>168574079706</v>
      </c>
      <c r="G60" s="32" t="n">
        <v>191122324100</v>
      </c>
      <c r="H60" s="32" t="n">
        <v>206892777590</v>
      </c>
      <c r="I60" s="32" t="n">
        <v>231795877749</v>
      </c>
      <c r="J60" s="32" t="n">
        <v>343722189940</v>
      </c>
      <c r="K60" s="32" t="n">
        <v>265828841247</v>
      </c>
      <c r="L60" s="32" t="n">
        <v>378550561794</v>
      </c>
      <c r="M60" s="32" t="n">
        <v>636655677530</v>
      </c>
    </row>
    <row r="61">
      <c r="A61" s="31" t="inlineStr">
        <is>
          <t>Phải trả nội bộ ngắn hạn</t>
        </is>
      </c>
      <c r="B61" s="32" t="n">
        <v>0</v>
      </c>
      <c r="C61" s="32" t="n">
        <v>0</v>
      </c>
      <c r="D61" s="32" t="n">
        <v>0</v>
      </c>
      <c r="E61" s="32" t="n">
        <v>0</v>
      </c>
      <c r="F61" s="32" t="n">
        <v>0</v>
      </c>
      <c r="G61" s="32" t="n">
        <v>0</v>
      </c>
      <c r="H61" s="32" t="n">
        <v>0</v>
      </c>
      <c r="I61" s="32" t="n">
        <v>0</v>
      </c>
      <c r="J61" s="32" t="n">
        <v>0</v>
      </c>
      <c r="K61" s="32" t="n">
        <v>0</v>
      </c>
      <c r="L61" s="32" t="n">
        <v>0</v>
      </c>
      <c r="M61" s="32" t="n">
        <v>0</v>
      </c>
    </row>
    <row r="62">
      <c r="A62" s="31" t="inlineStr">
        <is>
          <t>Phải trả về xây dựng cơ bản (Trước năm 2016)</t>
        </is>
      </c>
      <c r="B62" s="32" t="n">
        <v>0</v>
      </c>
      <c r="C62" s="32" t="n">
        <v>0</v>
      </c>
      <c r="D62" s="32" t="n">
        <v>0</v>
      </c>
      <c r="E62" s="32" t="n">
        <v>0</v>
      </c>
      <c r="F62" s="32" t="n">
        <v>0</v>
      </c>
      <c r="G62" s="32" t="n">
        <v>0</v>
      </c>
      <c r="H62" s="32" t="n">
        <v>0</v>
      </c>
      <c r="I62" s="32" t="n">
        <v>0</v>
      </c>
      <c r="J62" s="32" t="n">
        <v>0</v>
      </c>
      <c r="K62" s="32" t="n">
        <v>0</v>
      </c>
      <c r="L62" s="32" t="n">
        <v>0</v>
      </c>
      <c r="M62" s="32" t="n">
        <v>0</v>
      </c>
    </row>
    <row r="63">
      <c r="A63" s="31" t="inlineStr">
        <is>
          <t>Các khoản phải trả, phải nộp khác ngắn hạn</t>
        </is>
      </c>
      <c r="B63" s="32" t="n">
        <v>4313348896</v>
      </c>
      <c r="C63" s="32" t="n">
        <v>1960110116</v>
      </c>
      <c r="D63" s="32" t="n">
        <v>9405175310</v>
      </c>
      <c r="E63" s="32" t="n">
        <v>11240166665</v>
      </c>
      <c r="F63" s="32" t="n">
        <v>163411165799</v>
      </c>
      <c r="G63" s="32" t="n">
        <v>174100135424</v>
      </c>
      <c r="H63" s="32" t="n">
        <v>167782281746</v>
      </c>
      <c r="I63" s="32" t="n">
        <v>131171841356</v>
      </c>
      <c r="J63" s="32" t="n">
        <v>128087426588</v>
      </c>
      <c r="K63" s="32" t="n">
        <v>120138271307</v>
      </c>
      <c r="L63" s="32" t="n">
        <v>335913028935</v>
      </c>
      <c r="M63" s="32" t="n">
        <v>114291342508</v>
      </c>
    </row>
    <row r="64">
      <c r="A64" s="31" t="inlineStr">
        <is>
          <t>Dự phòng phải trả ngắn hạn</t>
        </is>
      </c>
      <c r="B64" s="32" t="n">
        <v>0</v>
      </c>
      <c r="C64" s="32" t="n">
        <v>0</v>
      </c>
      <c r="D64" s="32" t="n">
        <v>0</v>
      </c>
      <c r="E64" s="32" t="n">
        <v>0</v>
      </c>
      <c r="F64" s="32" t="n">
        <v>0</v>
      </c>
      <c r="G64" s="32" t="n">
        <v>0</v>
      </c>
      <c r="H64" s="32" t="n">
        <v>0</v>
      </c>
      <c r="I64" s="32" t="n">
        <v>0</v>
      </c>
      <c r="J64" s="32" t="n">
        <v>0</v>
      </c>
      <c r="K64" s="32" t="n">
        <v>0</v>
      </c>
      <c r="L64" s="32" t="n">
        <v>0</v>
      </c>
      <c r="M64" s="32" t="n">
        <v>0</v>
      </c>
    </row>
    <row r="65">
      <c r="A65" s="31" t="inlineStr">
        <is>
          <t>Quỹ khen thưởng phúc lợi</t>
        </is>
      </c>
      <c r="B65" s="32" t="n">
        <v>0</v>
      </c>
      <c r="C65" s="32" t="n">
        <v>0</v>
      </c>
      <c r="D65" s="32" t="n">
        <v>0</v>
      </c>
      <c r="E65" s="32" t="n">
        <v>0</v>
      </c>
      <c r="F65" s="32" t="n">
        <v>290000000</v>
      </c>
      <c r="G65" s="32" t="n">
        <v>290000000</v>
      </c>
      <c r="H65" s="32" t="n">
        <v>290000000</v>
      </c>
      <c r="I65" s="32" t="n">
        <v>290000000</v>
      </c>
      <c r="J65" s="32" t="n">
        <v>290000000</v>
      </c>
      <c r="K65" s="32" t="n">
        <v>290000000</v>
      </c>
      <c r="L65" s="32" t="n">
        <v>290000000</v>
      </c>
      <c r="M65" s="32" t="n">
        <v>290000000</v>
      </c>
    </row>
    <row r="66">
      <c r="A66" s="31" t="inlineStr">
        <is>
          <t>Nợ phải trả dài hạn</t>
        </is>
      </c>
      <c r="B66" s="32" t="n">
        <v>316866584340</v>
      </c>
      <c r="C66" s="32" t="n">
        <v>47200000</v>
      </c>
      <c r="D66" s="32" t="n">
        <v>549102395343</v>
      </c>
      <c r="E66" s="32" t="n">
        <v>258258938269</v>
      </c>
      <c r="F66" s="32" t="n">
        <v>3878967761208</v>
      </c>
      <c r="G66" s="32" t="n">
        <v>1012893977745</v>
      </c>
      <c r="H66" s="32" t="n">
        <v>10074614219</v>
      </c>
      <c r="I66" s="32" t="n">
        <v>1507424620094</v>
      </c>
      <c r="J66" s="32" t="n">
        <v>1005735734669</v>
      </c>
      <c r="K66" s="32" t="n">
        <v>1515744535819</v>
      </c>
      <c r="L66" s="32" t="n">
        <v>2597305262557</v>
      </c>
      <c r="M66" s="32" t="n">
        <v>3320136419758</v>
      </c>
    </row>
    <row r="67">
      <c r="A67" s="31" t="inlineStr">
        <is>
          <t>Phải trả người bán dài hạn</t>
        </is>
      </c>
      <c r="B67" s="32" t="n">
        <v>0</v>
      </c>
      <c r="C67" s="32" t="n">
        <v>0</v>
      </c>
      <c r="D67" s="32" t="n">
        <v>0</v>
      </c>
      <c r="E67" s="32" t="n">
        <v>0</v>
      </c>
      <c r="F67" s="32" t="n">
        <v>0</v>
      </c>
      <c r="G67" s="32" t="n">
        <v>0</v>
      </c>
      <c r="H67" s="32" t="n">
        <v>0</v>
      </c>
      <c r="I67" s="32" t="n">
        <v>0</v>
      </c>
      <c r="J67" s="32" t="n">
        <v>0</v>
      </c>
      <c r="K67" s="32" t="n">
        <v>0</v>
      </c>
      <c r="L67" s="32" t="n">
        <v>0</v>
      </c>
      <c r="M67" s="32" t="n">
        <v>0</v>
      </c>
    </row>
    <row r="68">
      <c r="A68" s="31" t="inlineStr">
        <is>
          <t>Phải trả nội bộ dài hạn</t>
        </is>
      </c>
      <c r="B68" s="32" t="n">
        <v>0</v>
      </c>
      <c r="C68" s="32" t="n">
        <v>0</v>
      </c>
      <c r="D68" s="32" t="n">
        <v>0</v>
      </c>
      <c r="E68" s="32" t="n">
        <v>0</v>
      </c>
      <c r="F68" s="32" t="n">
        <v>0</v>
      </c>
      <c r="G68" s="32" t="n">
        <v>0</v>
      </c>
      <c r="H68" s="32" t="n">
        <v>0</v>
      </c>
      <c r="I68" s="32" t="n">
        <v>0</v>
      </c>
      <c r="J68" s="32" t="n">
        <v>0</v>
      </c>
      <c r="K68" s="32" t="n">
        <v>0</v>
      </c>
      <c r="L68" s="32" t="n">
        <v>0</v>
      </c>
      <c r="M68" s="32" t="n">
        <v>0</v>
      </c>
    </row>
    <row r="69">
      <c r="A69" s="31" t="inlineStr">
        <is>
          <t>Phải trả dài hạn khác</t>
        </is>
      </c>
      <c r="B69" s="32" t="n">
        <v>0</v>
      </c>
      <c r="C69" s="32" t="n">
        <v>0</v>
      </c>
      <c r="D69" s="32" t="n">
        <v>0</v>
      </c>
      <c r="E69" s="32" t="n">
        <v>0</v>
      </c>
      <c r="F69" s="32" t="n">
        <v>0</v>
      </c>
      <c r="G69" s="32" t="n">
        <v>0</v>
      </c>
      <c r="H69" s="32" t="n">
        <v>0</v>
      </c>
      <c r="I69" s="32" t="n">
        <v>0</v>
      </c>
      <c r="J69" s="32" t="n">
        <v>0</v>
      </c>
      <c r="K69" s="32" t="n">
        <v>0</v>
      </c>
      <c r="L69" s="32" t="n">
        <v>0</v>
      </c>
      <c r="M69" s="32" t="n">
        <v>0</v>
      </c>
    </row>
    <row r="70">
      <c r="A70" s="31" t="inlineStr">
        <is>
          <t>Vay và nợ thuê tài sản tài chính dài hạn</t>
        </is>
      </c>
      <c r="B70" s="32" t="n">
        <v>0</v>
      </c>
      <c r="C70" s="32" t="n">
        <v>0</v>
      </c>
      <c r="D70" s="32" t="n">
        <v>0</v>
      </c>
      <c r="E70" s="32" t="n">
        <v>0</v>
      </c>
      <c r="F70" s="32" t="n">
        <v>0</v>
      </c>
      <c r="G70" s="32" t="n">
        <v>0</v>
      </c>
      <c r="H70" s="32" t="n">
        <v>0</v>
      </c>
      <c r="I70" s="32" t="n">
        <v>0</v>
      </c>
      <c r="J70" s="32" t="n">
        <v>0</v>
      </c>
      <c r="K70" s="32" t="n">
        <v>0</v>
      </c>
      <c r="L70" s="32" t="n">
        <v>1092556605020</v>
      </c>
      <c r="M70" s="32" t="n">
        <v>1314886041778</v>
      </c>
    </row>
    <row r="71">
      <c r="A71" s="31" t="inlineStr">
        <is>
          <t>Thuế thu nhập hoãn lại phải trả</t>
        </is>
      </c>
      <c r="B71" s="32" t="n">
        <v>0</v>
      </c>
      <c r="C71" s="32" t="n">
        <v>0</v>
      </c>
      <c r="D71" s="32" t="n">
        <v>0</v>
      </c>
      <c r="E71" s="32" t="n">
        <v>0</v>
      </c>
      <c r="F71" s="32" t="n">
        <v>0</v>
      </c>
      <c r="G71" s="32" t="n">
        <v>0</v>
      </c>
      <c r="H71" s="32" t="n">
        <v>0</v>
      </c>
      <c r="I71" s="32" t="n">
        <v>0</v>
      </c>
      <c r="J71" s="32" t="n">
        <v>0</v>
      </c>
      <c r="K71" s="32" t="n">
        <v>0</v>
      </c>
      <c r="L71" s="32" t="n">
        <v>0</v>
      </c>
      <c r="M71" s="32" t="n">
        <v>0</v>
      </c>
    </row>
    <row r="72">
      <c r="A72" s="31" t="inlineStr">
        <is>
          <t>Dự phòng trợ cấp thôi việc (Trước năm 2016)</t>
        </is>
      </c>
      <c r="B72" s="32" t="n">
        <v>0</v>
      </c>
      <c r="C72" s="32" t="n">
        <v>0</v>
      </c>
      <c r="D72" s="32" t="n">
        <v>0</v>
      </c>
      <c r="E72" s="32" t="n">
        <v>0</v>
      </c>
      <c r="F72" s="32" t="n">
        <v>0</v>
      </c>
      <c r="G72" s="32" t="n">
        <v>0</v>
      </c>
      <c r="H72" s="32" t="n">
        <v>0</v>
      </c>
      <c r="I72" s="32" t="n">
        <v>0</v>
      </c>
      <c r="J72" s="32" t="n">
        <v>0</v>
      </c>
      <c r="K72" s="32" t="n">
        <v>0</v>
      </c>
      <c r="L72" s="32" t="n">
        <v>0</v>
      </c>
      <c r="M72" s="32" t="n">
        <v>0</v>
      </c>
    </row>
    <row r="73">
      <c r="A73" s="31" t="inlineStr">
        <is>
          <t>Dự phòng phải trả dài hạn</t>
        </is>
      </c>
      <c r="B73" s="32" t="n">
        <v>47200000</v>
      </c>
      <c r="C73" s="32" t="n">
        <v>47200000</v>
      </c>
      <c r="D73" s="32" t="n">
        <v>47200000</v>
      </c>
      <c r="E73" s="32" t="n">
        <v>0</v>
      </c>
      <c r="F73" s="32" t="n">
        <v>0</v>
      </c>
      <c r="G73" s="32" t="n">
        <v>0</v>
      </c>
      <c r="H73" s="32" t="n">
        <v>0</v>
      </c>
      <c r="I73" s="32" t="n">
        <v>0</v>
      </c>
      <c r="J73" s="32" t="n">
        <v>0</v>
      </c>
      <c r="K73" s="32" t="n">
        <v>0</v>
      </c>
      <c r="L73" s="32" t="n">
        <v>0</v>
      </c>
      <c r="M73" s="32" t="n">
        <v>0</v>
      </c>
    </row>
    <row r="74">
      <c r="A74" s="31" t="inlineStr">
        <is>
          <t>Doanh thu chưa thực hiên dài hạn</t>
        </is>
      </c>
      <c r="B74" s="32" t="n">
        <v>15050694447</v>
      </c>
      <c r="C74" s="32" t="n">
        <v>0</v>
      </c>
      <c r="D74" s="32" t="n">
        <v>109964722627</v>
      </c>
      <c r="E74" s="32" t="n">
        <v>118989941766</v>
      </c>
      <c r="F74" s="32" t="n">
        <v>5507335795</v>
      </c>
      <c r="G74" s="32" t="n">
        <v>6512947402</v>
      </c>
      <c r="H74" s="32" t="n">
        <v>5687567755</v>
      </c>
      <c r="I74" s="32" t="n">
        <v>7339307052</v>
      </c>
      <c r="J74" s="32" t="n">
        <v>5759347833</v>
      </c>
      <c r="K74" s="32" t="n">
        <v>5743148982</v>
      </c>
      <c r="L74" s="32" t="n">
        <v>4231749757</v>
      </c>
      <c r="M74" s="32" t="n">
        <v>5219824480</v>
      </c>
    </row>
    <row r="75">
      <c r="A75" s="31" t="inlineStr">
        <is>
          <t>Quỹ phát triển khoa học công nghệ</t>
        </is>
      </c>
      <c r="B75" s="32" t="n">
        <v>0</v>
      </c>
      <c r="C75" s="32" t="n">
        <v>0</v>
      </c>
      <c r="D75" s="32" t="n">
        <v>0</v>
      </c>
      <c r="E75" s="32" t="n">
        <v>0</v>
      </c>
      <c r="F75" s="32" t="n">
        <v>0</v>
      </c>
      <c r="G75" s="32" t="n">
        <v>0</v>
      </c>
      <c r="H75" s="32" t="n">
        <v>0</v>
      </c>
      <c r="I75" s="32" t="n">
        <v>0</v>
      </c>
      <c r="J75" s="32" t="n">
        <v>0</v>
      </c>
      <c r="K75" s="32" t="n">
        <v>0</v>
      </c>
      <c r="L75" s="32" t="n">
        <v>0</v>
      </c>
      <c r="M75" s="32" t="n">
        <v>0</v>
      </c>
    </row>
    <row r="76">
      <c r="A76" s="31" t="inlineStr">
        <is>
          <t>Vốn chủ sở hữu</t>
        </is>
      </c>
      <c r="B76" s="32" t="n">
        <v>2541834394447</v>
      </c>
      <c r="C76" s="32" t="n">
        <v>2613071332876</v>
      </c>
      <c r="D76" s="32" t="n">
        <v>3035132800118</v>
      </c>
      <c r="E76" s="32" t="n">
        <v>3106666537779</v>
      </c>
      <c r="F76" s="32" t="n">
        <v>25589148894640</v>
      </c>
      <c r="G76" s="32" t="n">
        <v>26296972276678</v>
      </c>
      <c r="H76" s="32" t="n">
        <v>27294698117170</v>
      </c>
      <c r="I76" s="32" t="n">
        <v>30063234642341</v>
      </c>
      <c r="J76" s="32" t="n">
        <v>42478315363953</v>
      </c>
      <c r="K76" s="32" t="n">
        <v>44099580183375</v>
      </c>
      <c r="L76" s="32" t="n">
        <v>45466434095056</v>
      </c>
      <c r="M76" s="32" t="n">
        <v>45782449906020</v>
      </c>
    </row>
    <row r="77">
      <c r="A77" s="31" t="inlineStr">
        <is>
          <t>Vốn góp của chủ sở hữu</t>
        </is>
      </c>
      <c r="B77" s="32" t="n">
        <v>1000000000000</v>
      </c>
      <c r="C77" s="32" t="n">
        <v>1000000000000</v>
      </c>
      <c r="D77" s="32" t="n">
        <v>1000000000000</v>
      </c>
      <c r="E77" s="32" t="n">
        <v>1058201050000</v>
      </c>
      <c r="F77" s="32" t="n">
        <v>2179246800000</v>
      </c>
      <c r="G77" s="32" t="n">
        <v>19613221200000</v>
      </c>
      <c r="H77" s="32" t="n">
        <v>19613221200000</v>
      </c>
      <c r="I77" s="32" t="n">
        <v>20801580210000</v>
      </c>
      <c r="J77" s="32" t="n">
        <v>23113080210000</v>
      </c>
      <c r="K77" s="32" t="n">
        <v>23113080210000</v>
      </c>
      <c r="L77" s="32" t="n">
        <v>23115834960000</v>
      </c>
      <c r="M77" s="32" t="n">
        <v>27738968030000</v>
      </c>
    </row>
    <row r="78">
      <c r="A78" s="31" t="inlineStr">
        <is>
          <t>Thặng dư vốn cổ phần</t>
        </is>
      </c>
      <c r="B78" s="32" t="n">
        <v>0</v>
      </c>
      <c r="C78" s="32" t="n">
        <v>0</v>
      </c>
      <c r="D78" s="32" t="n">
        <v>0</v>
      </c>
      <c r="E78" s="32" t="n">
        <v>0</v>
      </c>
      <c r="F78" s="32" t="n">
        <v>9191910000000</v>
      </c>
      <c r="G78" s="32" t="n">
        <v>0</v>
      </c>
      <c r="H78" s="32" t="n">
        <v>0</v>
      </c>
      <c r="I78" s="32" t="n">
        <v>188354903085</v>
      </c>
      <c r="J78" s="32" t="n">
        <v>8606980418518</v>
      </c>
      <c r="K78" s="32" t="n">
        <v>8606980418518</v>
      </c>
      <c r="L78" s="32" t="n">
        <v>8606980418518</v>
      </c>
      <c r="M78" s="32" t="n">
        <v>8606980418518</v>
      </c>
    </row>
    <row r="79">
      <c r="A79" s="31" t="inlineStr">
        <is>
          <t>Vốn khác của chủ sở hữu</t>
        </is>
      </c>
      <c r="B79" s="32" t="n">
        <v>0</v>
      </c>
      <c r="C79" s="32" t="n">
        <v>0</v>
      </c>
      <c r="D79" s="32" t="n">
        <v>0</v>
      </c>
      <c r="E79" s="32" t="n">
        <v>0</v>
      </c>
      <c r="F79" s="32" t="n">
        <v>0</v>
      </c>
      <c r="G79" s="32" t="n">
        <v>0</v>
      </c>
      <c r="H79" s="32" t="n">
        <v>0</v>
      </c>
      <c r="I79" s="32" t="n">
        <v>0</v>
      </c>
      <c r="J79" s="32" t="n">
        <v>0</v>
      </c>
      <c r="K79" s="32" t="n">
        <v>0</v>
      </c>
      <c r="L79" s="32" t="n">
        <v>0</v>
      </c>
      <c r="M79" s="32" t="n">
        <v>0</v>
      </c>
    </row>
    <row r="80">
      <c r="A80" s="31" t="inlineStr">
        <is>
          <t>Cổ phiếu quỹ</t>
        </is>
      </c>
      <c r="B80" s="32" t="n">
        <v>0</v>
      </c>
      <c r="C80" s="32" t="n">
        <v>0</v>
      </c>
      <c r="D80" s="32" t="n">
        <v>0</v>
      </c>
      <c r="E80" s="32" t="n">
        <v>0</v>
      </c>
      <c r="F80" s="32" t="n">
        <v>0</v>
      </c>
      <c r="G80" s="32" t="n">
        <v>0</v>
      </c>
      <c r="H80" s="32" t="n">
        <v>0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</row>
    <row r="81">
      <c r="A81" s="31" t="inlineStr">
        <is>
          <t>Chênh lệch đánh giá lại tài sản theo giá trị hợp lý</t>
        </is>
      </c>
      <c r="B81" s="32" t="n">
        <v>8332687257</v>
      </c>
      <c r="C81" s="32" t="n">
        <v>2021258467</v>
      </c>
      <c r="D81" s="32" t="n">
        <v>6675946666</v>
      </c>
      <c r="E81" s="32" t="n">
        <v>8343858660</v>
      </c>
      <c r="F81" s="32" t="n">
        <v>33451347139</v>
      </c>
      <c r="G81" s="32" t="n">
        <v>-4961252868</v>
      </c>
      <c r="H81" s="32" t="n">
        <v>-17886305897</v>
      </c>
      <c r="I81" s="32" t="n">
        <v>-46137523695</v>
      </c>
      <c r="J81" s="32" t="n">
        <v>19292279895</v>
      </c>
      <c r="K81" s="32" t="n">
        <v>7475370203</v>
      </c>
      <c r="L81" s="32" t="n">
        <v>-4618466108</v>
      </c>
      <c r="M81" s="32" t="n">
        <v>-6107606719</v>
      </c>
    </row>
    <row r="82">
      <c r="A82" s="31" t="inlineStr">
        <is>
          <t>Chênh lệch tỷ giá hổi đoái</t>
        </is>
      </c>
      <c r="B82" s="32" t="n">
        <v>0</v>
      </c>
      <c r="C82" s="32" t="n">
        <v>0</v>
      </c>
      <c r="D82" s="32" t="n">
        <v>0</v>
      </c>
      <c r="E82" s="32" t="n">
        <v>0</v>
      </c>
      <c r="F82" s="32" t="n">
        <v>0</v>
      </c>
      <c r="G82" s="32" t="n">
        <v>0</v>
      </c>
      <c r="H82" s="32" t="n">
        <v>0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</row>
    <row r="83">
      <c r="A83" s="31" t="inlineStr">
        <is>
          <t>Quỹ đầu tư và phát triển (Trước năm 2016)</t>
        </is>
      </c>
      <c r="B83" s="32" t="n">
        <v>0</v>
      </c>
      <c r="C83" s="32" t="n">
        <v>0</v>
      </c>
      <c r="D83" s="32" t="n">
        <v>0</v>
      </c>
      <c r="E83" s="32" t="n">
        <v>0</v>
      </c>
      <c r="F83" s="32" t="n">
        <v>0</v>
      </c>
      <c r="G83" s="32" t="n">
        <v>0</v>
      </c>
      <c r="H83" s="32" t="n">
        <v>0</v>
      </c>
      <c r="I83" s="32" t="n">
        <v>0</v>
      </c>
      <c r="J83" s="32" t="n">
        <v>0</v>
      </c>
      <c r="K83" s="32" t="n">
        <v>0</v>
      </c>
      <c r="L83" s="32" t="n">
        <v>0</v>
      </c>
      <c r="M83" s="32" t="n">
        <v>0</v>
      </c>
    </row>
    <row r="84">
      <c r="A84" s="31" t="inlineStr">
        <is>
          <t>Quỹ dự phòng tài chính và rủi ro nghiệp vụ</t>
        </is>
      </c>
      <c r="B84" s="32" t="n">
        <v>100000000000</v>
      </c>
      <c r="C84" s="32" t="n">
        <v>100000000000</v>
      </c>
      <c r="D84" s="32" t="n">
        <v>100000000000</v>
      </c>
      <c r="E84" s="32" t="n">
        <v>105821005000</v>
      </c>
      <c r="F84" s="32" t="n">
        <v>0</v>
      </c>
      <c r="G84" s="32" t="n">
        <v>0</v>
      </c>
      <c r="H84" s="32" t="n">
        <v>0</v>
      </c>
      <c r="I84" s="32" t="n">
        <v>0</v>
      </c>
      <c r="J84" s="32" t="n">
        <v>0</v>
      </c>
      <c r="K84" s="32" t="n">
        <v>0</v>
      </c>
      <c r="L84" s="32" t="n">
        <v>0</v>
      </c>
      <c r="M84" s="32" t="n">
        <v>0</v>
      </c>
    </row>
    <row r="85">
      <c r="A85" s="31" t="inlineStr">
        <is>
          <t>Quỹ khác thuộc vốn chủ sỡ hữu</t>
        </is>
      </c>
      <c r="B85" s="32" t="n">
        <v>0</v>
      </c>
      <c r="C85" s="32" t="n">
        <v>0</v>
      </c>
      <c r="D85" s="32" t="n">
        <v>0</v>
      </c>
      <c r="E85" s="32" t="n">
        <v>0</v>
      </c>
      <c r="F85" s="32" t="n">
        <v>0</v>
      </c>
      <c r="G85" s="32" t="n">
        <v>0</v>
      </c>
      <c r="H85" s="32" t="n">
        <v>0</v>
      </c>
      <c r="I85" s="32" t="n">
        <v>0</v>
      </c>
      <c r="J85" s="32" t="n">
        <v>0</v>
      </c>
      <c r="K85" s="32" t="n">
        <v>0</v>
      </c>
      <c r="L85" s="32" t="n">
        <v>0</v>
      </c>
      <c r="M85" s="32" t="n">
        <v>0</v>
      </c>
    </row>
    <row r="86">
      <c r="A86" s="31" t="inlineStr">
        <is>
          <t>Lợi nhuận chưa phân phối</t>
        </is>
      </c>
      <c r="B86" s="32" t="n">
        <v>1333501707190</v>
      </c>
      <c r="C86" s="32" t="n">
        <v>1411050074409</v>
      </c>
      <c r="D86" s="32" t="n">
        <v>1828456853452</v>
      </c>
      <c r="E86" s="32" t="n">
        <v>1828479619119</v>
      </c>
      <c r="F86" s="32" t="n">
        <v>14184540747501</v>
      </c>
      <c r="G86" s="32" t="n">
        <v>6688712329546</v>
      </c>
      <c r="H86" s="32" t="n">
        <v>7699363223067</v>
      </c>
      <c r="I86" s="32" t="n">
        <v>9119437052951</v>
      </c>
      <c r="J86" s="32" t="n">
        <v>10738962455540</v>
      </c>
      <c r="K86" s="32" t="n">
        <v>12372044184654</v>
      </c>
      <c r="L86" s="32" t="n">
        <v>13519677614146</v>
      </c>
      <c r="M86" s="32" t="n">
        <v>9432646400614</v>
      </c>
    </row>
    <row r="87">
      <c r="A87" s="31" t="inlineStr">
        <is>
          <t>Nguồn kinh phí và quỹ khác</t>
        </is>
      </c>
      <c r="B87" s="32" t="n">
        <v>0</v>
      </c>
      <c r="C87" s="32" t="n">
        <v>0</v>
      </c>
      <c r="D87" s="32" t="n">
        <v>0</v>
      </c>
      <c r="E87" s="32" t="n">
        <v>0</v>
      </c>
      <c r="F87" s="32" t="n">
        <v>0</v>
      </c>
      <c r="G87" s="32" t="n">
        <v>0</v>
      </c>
      <c r="H87" s="32" t="n">
        <v>0</v>
      </c>
      <c r="I87" s="32" t="n">
        <v>0</v>
      </c>
      <c r="J87" s="32" t="n">
        <v>0</v>
      </c>
      <c r="K87" s="32" t="n">
        <v>0</v>
      </c>
      <c r="L87" s="32" t="n">
        <v>0</v>
      </c>
      <c r="M87" s="32" t="n">
        <v>0</v>
      </c>
    </row>
    <row r="88">
      <c r="A88" s="31" t="inlineStr">
        <is>
          <t>Quỹ khen thưởng, phúc lợi (trước 2010)</t>
        </is>
      </c>
      <c r="B88" s="32" t="n">
        <v>0</v>
      </c>
      <c r="C88" s="32" t="n">
        <v>0</v>
      </c>
      <c r="D88" s="32" t="n">
        <v>0</v>
      </c>
      <c r="E88" s="32" t="n">
        <v>0</v>
      </c>
      <c r="F88" s="32" t="n">
        <v>0</v>
      </c>
      <c r="G88" s="32" t="n">
        <v>0</v>
      </c>
      <c r="H88" s="32" t="n">
        <v>0</v>
      </c>
      <c r="I88" s="32" t="n">
        <v>0</v>
      </c>
      <c r="J88" s="32" t="n">
        <v>0</v>
      </c>
      <c r="K88" s="32" t="n">
        <v>0</v>
      </c>
      <c r="L88" s="32" t="n">
        <v>0</v>
      </c>
      <c r="M88" s="32" t="n">
        <v>0</v>
      </c>
    </row>
    <row r="89">
      <c r="A89" s="31" t="inlineStr">
        <is>
          <t>Vốn ngân sách nhà nước</t>
        </is>
      </c>
      <c r="B89" s="32" t="n">
        <v>0</v>
      </c>
      <c r="C89" s="32" t="n">
        <v>0</v>
      </c>
      <c r="D89" s="32" t="n">
        <v>0</v>
      </c>
      <c r="E89" s="32" t="n">
        <v>0</v>
      </c>
      <c r="F89" s="32" t="n">
        <v>0</v>
      </c>
      <c r="G89" s="32" t="n">
        <v>0</v>
      </c>
      <c r="H89" s="32" t="n">
        <v>0</v>
      </c>
      <c r="I89" s="32" t="n">
        <v>0</v>
      </c>
      <c r="J89" s="32" t="n">
        <v>0</v>
      </c>
      <c r="K89" s="32" t="n">
        <v>0</v>
      </c>
      <c r="L89" s="32" t="n">
        <v>0</v>
      </c>
      <c r="M89" s="32" t="n">
        <v>0</v>
      </c>
    </row>
    <row r="90">
      <c r="A90" s="31" t="inlineStr">
        <is>
          <t>LỢI ÍCH CỦA CỔ ĐÔNG KHÔNG KIỂM SOÁT (trước 2015)</t>
        </is>
      </c>
      <c r="B90" s="32" t="n">
        <v>0</v>
      </c>
      <c r="C90" s="32" t="n">
        <v>0</v>
      </c>
      <c r="D90" s="32" t="n">
        <v>0</v>
      </c>
      <c r="E90" s="32" t="n">
        <v>0</v>
      </c>
      <c r="F90" s="32" t="n">
        <v>0</v>
      </c>
      <c r="G90" s="32" t="n">
        <v>0</v>
      </c>
      <c r="H90" s="32" t="n">
        <v>0</v>
      </c>
      <c r="I90" s="32" t="n">
        <v>0</v>
      </c>
      <c r="J90" s="32" t="n">
        <v>0</v>
      </c>
      <c r="K90" s="32" t="n">
        <v>0</v>
      </c>
      <c r="L90" s="32" t="n">
        <v>0</v>
      </c>
      <c r="M90" s="32" t="n">
        <v>0</v>
      </c>
    </row>
    <row r="91">
      <c r="A91" s="31" t="inlineStr">
        <is>
          <t>TỔNG CỘNG NGUỒN VỐN</t>
        </is>
      </c>
      <c r="B91" s="32" t="n">
        <v>3123618644012</v>
      </c>
      <c r="C91" s="32" t="n">
        <v>3280208067200</v>
      </c>
      <c r="D91" s="32" t="n">
        <v>3760640706945</v>
      </c>
      <c r="E91" s="32" t="n">
        <v>4351051409898</v>
      </c>
      <c r="F91" s="32" t="n">
        <v>49867993141852</v>
      </c>
      <c r="G91" s="32" t="n">
        <v>53244133820194</v>
      </c>
      <c r="H91" s="32" t="n">
        <v>56329563085980</v>
      </c>
      <c r="I91" s="32" t="n">
        <v>65134187986741</v>
      </c>
      <c r="J91" s="32" t="n">
        <v>81772982110103</v>
      </c>
      <c r="K91" s="32" t="n">
        <v>80632256999009</v>
      </c>
      <c r="L91" s="32" t="n">
        <v>88664891734776</v>
      </c>
      <c r="M91" s="32" t="n">
        <v>100592059821282</v>
      </c>
    </row>
    <row r="92">
      <c r="A92" s="31" t="inlineStr">
        <is>
          <t>Cổ phiếu ưu đãi</t>
        </is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</row>
    <row r="93">
      <c r="A93" s="31" t="inlineStr">
        <is>
          <t>Các khoản đầu tư nắm giữ đến ngày đáo hạn (HTM)</t>
        </is>
      </c>
      <c r="B93" s="32" t="n">
        <v>209840307126</v>
      </c>
      <c r="C93" s="32" t="n">
        <v>109840307126</v>
      </c>
      <c r="D93" s="32" t="n">
        <v>109840307126</v>
      </c>
      <c r="E93" s="32" t="n">
        <v>500000000000</v>
      </c>
      <c r="F93" s="32" t="n">
        <v>2031105785348</v>
      </c>
      <c r="G93" s="32" t="n">
        <v>2232105785348</v>
      </c>
      <c r="H93" s="32" t="n">
        <v>2854426333293</v>
      </c>
      <c r="I93" s="32" t="n">
        <v>2800679117067</v>
      </c>
      <c r="J93" s="32" t="n">
        <v>3451358569122</v>
      </c>
      <c r="K93" s="32" t="n">
        <v>3657418739619</v>
      </c>
      <c r="L93" s="32" t="n">
        <v>1405918739619</v>
      </c>
      <c r="M93" s="32" t="n">
        <v>1588198577180</v>
      </c>
    </row>
    <row r="94">
      <c r="A94" s="31" t="inlineStr">
        <is>
          <t>Phải thu về hoạt động giao dịch chứng khoán (Trước năm 2016)</t>
        </is>
      </c>
      <c r="B94" s="32" t="n">
        <v>0</v>
      </c>
      <c r="C94" s="32" t="n">
        <v>0</v>
      </c>
      <c r="D94" s="32" t="n">
        <v>0</v>
      </c>
      <c r="E94" s="32" t="n">
        <v>0</v>
      </c>
      <c r="F94" s="32" t="n">
        <v>0</v>
      </c>
      <c r="G94" s="32" t="n">
        <v>0</v>
      </c>
      <c r="H94" s="32" t="n">
        <v>0</v>
      </c>
      <c r="I94" s="32" t="n">
        <v>0</v>
      </c>
      <c r="J94" s="32" t="n">
        <v>0</v>
      </c>
      <c r="K94" s="32" t="n">
        <v>0</v>
      </c>
      <c r="L94" s="32" t="n">
        <v>0</v>
      </c>
      <c r="M94" s="32" t="n">
        <v>0</v>
      </c>
    </row>
    <row r="95">
      <c r="A95" s="31" t="inlineStr">
        <is>
          <t>Vốn kinh doanh ở các đơn vị trực thuộc (Trước năm 2016)</t>
        </is>
      </c>
      <c r="B95" s="32" t="n">
        <v>0</v>
      </c>
      <c r="C95" s="32" t="n">
        <v>0</v>
      </c>
      <c r="D95" s="32" t="n">
        <v>0</v>
      </c>
      <c r="E95" s="32" t="n">
        <v>0</v>
      </c>
      <c r="F95" s="32" t="n">
        <v>0</v>
      </c>
      <c r="G95" s="32" t="n">
        <v>0</v>
      </c>
      <c r="H95" s="32" t="n">
        <v>0</v>
      </c>
      <c r="I95" s="32" t="n">
        <v>0</v>
      </c>
      <c r="J95" s="32" t="n">
        <v>0</v>
      </c>
      <c r="K95" s="32" t="n">
        <v>0</v>
      </c>
      <c r="L95" s="32" t="n">
        <v>0</v>
      </c>
      <c r="M95" s="32" t="n">
        <v>0</v>
      </c>
    </row>
    <row r="96">
      <c r="A96" s="31" t="inlineStr">
        <is>
          <t>Phải trả hoạt động giao dịch chứng khoán</t>
        </is>
      </c>
      <c r="B96" s="32" t="n">
        <v>1352668955</v>
      </c>
      <c r="C96" s="32" t="n">
        <v>142450960958</v>
      </c>
      <c r="D96" s="32" t="n">
        <v>0</v>
      </c>
      <c r="E96" s="32" t="n">
        <v>4935967989</v>
      </c>
      <c r="F96" s="32" t="n">
        <v>82795997063</v>
      </c>
      <c r="G96" s="32" t="n">
        <v>30358344178</v>
      </c>
      <c r="H96" s="32" t="n">
        <v>45950131687</v>
      </c>
      <c r="I96" s="32" t="n">
        <v>71989880958</v>
      </c>
      <c r="J96" s="32" t="n">
        <v>1383113176263</v>
      </c>
      <c r="K96" s="32" t="n">
        <v>51121802352</v>
      </c>
      <c r="L96" s="32" t="n">
        <v>63272414917</v>
      </c>
      <c r="M96" s="32" t="n">
        <v>134533283705</v>
      </c>
    </row>
    <row r="97">
      <c r="A97" s="31" t="inlineStr">
        <is>
          <t>Phải trả cổ tức, gốc và lãi trái phiếu (Trước năm 2016)</t>
        </is>
      </c>
      <c r="B97" s="32" t="n">
        <v>0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0</v>
      </c>
      <c r="H97" s="32" t="n">
        <v>0</v>
      </c>
      <c r="I97" s="32" t="n">
        <v>0</v>
      </c>
      <c r="J97" s="32" t="n">
        <v>0</v>
      </c>
      <c r="K97" s="32" t="n">
        <v>0</v>
      </c>
      <c r="L97" s="32" t="n">
        <v>0</v>
      </c>
      <c r="M97" s="32" t="n">
        <v>0</v>
      </c>
    </row>
    <row r="98">
      <c r="A98" s="31" t="inlineStr">
        <is>
          <t>Phải trả tổ chức phát hành chứng khoán (Trước năm 2016)</t>
        </is>
      </c>
      <c r="B98" s="32" t="n">
        <v>0</v>
      </c>
      <c r="C98" s="32" t="n">
        <v>0</v>
      </c>
      <c r="D98" s="32" t="n">
        <v>0</v>
      </c>
      <c r="E98" s="32" t="n">
        <v>0</v>
      </c>
      <c r="F98" s="32" t="n">
        <v>0</v>
      </c>
      <c r="G98" s="32" t="n">
        <v>0</v>
      </c>
      <c r="H98" s="32" t="n">
        <v>0</v>
      </c>
      <c r="I98" s="32" t="n">
        <v>0</v>
      </c>
      <c r="J98" s="32" t="n">
        <v>0</v>
      </c>
      <c r="K98" s="32" t="n">
        <v>0</v>
      </c>
      <c r="L98" s="32" t="n">
        <v>0</v>
      </c>
      <c r="M98" s="32" t="n">
        <v>0</v>
      </c>
    </row>
    <row r="99">
      <c r="A99" s="31" t="inlineStr">
        <is>
          <t>Quỹ bảo vệ Nhà đầu tư</t>
        </is>
      </c>
      <c r="B99" s="32" t="n">
        <v>0</v>
      </c>
      <c r="C99" s="32" t="n">
        <v>0</v>
      </c>
      <c r="D99" s="32" t="n">
        <v>0</v>
      </c>
      <c r="E99" s="32" t="n">
        <v>47200000</v>
      </c>
      <c r="F99" s="32" t="n">
        <v>30553500</v>
      </c>
      <c r="G99" s="32" t="n">
        <v>30553500</v>
      </c>
      <c r="H99" s="32" t="n">
        <v>30553500</v>
      </c>
      <c r="I99" s="32" t="n">
        <v>30553500</v>
      </c>
      <c r="J99" s="32" t="n">
        <v>30553500</v>
      </c>
      <c r="K99" s="32" t="n">
        <v>30553500</v>
      </c>
      <c r="L99" s="32" t="n">
        <v>30553500</v>
      </c>
      <c r="M99" s="32" t="n">
        <v>30553500</v>
      </c>
    </row>
    <row r="100">
      <c r="A100" s="31" t="inlineStr">
        <is>
          <t>Tài sản thiếu chờ xử lý (Trước năm 2016)</t>
        </is>
      </c>
      <c r="B100" s="32" t="n">
        <v>0</v>
      </c>
      <c r="C100" s="32" t="n">
        <v>0</v>
      </c>
      <c r="D100" s="32" t="n">
        <v>0</v>
      </c>
      <c r="E100" s="32" t="n">
        <v>0</v>
      </c>
      <c r="F100" s="32" t="n">
        <v>0</v>
      </c>
      <c r="G100" s="32" t="n">
        <v>0</v>
      </c>
      <c r="H100" s="32" t="n">
        <v>0</v>
      </c>
      <c r="I100" s="32" t="n">
        <v>0</v>
      </c>
      <c r="J100" s="32" t="n">
        <v>0</v>
      </c>
      <c r="K100" s="32" t="n">
        <v>0</v>
      </c>
      <c r="L100" s="32" t="n">
        <v>0</v>
      </c>
      <c r="M100" s="32" t="n">
        <v>0</v>
      </c>
    </row>
    <row r="101">
      <c r="A101" s="31" t="inlineStr">
        <is>
          <t>Phải thu về cho vay ngắn hạn (Trước năm 2016)</t>
        </is>
      </c>
      <c r="B101" s="32" t="n">
        <v>0</v>
      </c>
      <c r="C101" s="32" t="n">
        <v>0</v>
      </c>
      <c r="D101" s="32" t="n">
        <v>0</v>
      </c>
      <c r="E101" s="32" t="n">
        <v>0</v>
      </c>
      <c r="F101" s="32" t="n">
        <v>0</v>
      </c>
      <c r="G101" s="32" t="n">
        <v>0</v>
      </c>
      <c r="H101" s="32" t="n">
        <v>0</v>
      </c>
      <c r="I101" s="32" t="n">
        <v>0</v>
      </c>
      <c r="J101" s="32" t="n">
        <v>0</v>
      </c>
      <c r="K101" s="32" t="n">
        <v>0</v>
      </c>
      <c r="L101" s="32" t="n">
        <v>0</v>
      </c>
      <c r="M101" s="32" t="n">
        <v>0</v>
      </c>
    </row>
    <row r="102">
      <c r="A102" s="31" t="inlineStr">
        <is>
          <t>Giao dịch mua bán lại trái phiếu chính phủ</t>
        </is>
      </c>
      <c r="B102" s="32" t="n">
        <v>0</v>
      </c>
      <c r="C102" s="32" t="n">
        <v>0</v>
      </c>
      <c r="D102" s="32" t="n">
        <v>0</v>
      </c>
      <c r="E102" s="32" t="n">
        <v>0</v>
      </c>
      <c r="F102" s="32" t="n">
        <v>0</v>
      </c>
      <c r="G102" s="32" t="n">
        <v>0</v>
      </c>
      <c r="H102" s="32" t="n">
        <v>0</v>
      </c>
      <c r="I102" s="32" t="n">
        <v>0</v>
      </c>
      <c r="J102" s="32" t="n">
        <v>0</v>
      </c>
      <c r="K102" s="32" t="n">
        <v>0</v>
      </c>
      <c r="L102" s="32" t="n">
        <v>0</v>
      </c>
      <c r="M102" s="32" t="n">
        <v>0</v>
      </c>
    </row>
    <row r="103">
      <c r="A103" s="31" t="inlineStr">
        <is>
          <t>Trả trước người bán dài hạn (Trước năm 2016)</t>
        </is>
      </c>
      <c r="B103" s="32" t="n">
        <v>0</v>
      </c>
      <c r="C103" s="32" t="n">
        <v>0</v>
      </c>
      <c r="D103" s="32" t="n">
        <v>0</v>
      </c>
      <c r="E103" s="32" t="n">
        <v>0</v>
      </c>
      <c r="F103" s="32" t="n">
        <v>0</v>
      </c>
      <c r="G103" s="32" t="n">
        <v>0</v>
      </c>
      <c r="H103" s="32" t="n">
        <v>0</v>
      </c>
      <c r="I103" s="32" t="n">
        <v>0</v>
      </c>
      <c r="J103" s="32" t="n">
        <v>0</v>
      </c>
      <c r="K103" s="32" t="n">
        <v>0</v>
      </c>
      <c r="L103" s="32" t="n">
        <v>0</v>
      </c>
      <c r="M103" s="32" t="n">
        <v>0</v>
      </c>
    </row>
    <row r="104">
      <c r="A104" s="31" t="inlineStr">
        <is>
          <t>Phải thu về cho vay dài hạn (Trước năm 2016)</t>
        </is>
      </c>
      <c r="B104" s="32" t="n">
        <v>0</v>
      </c>
      <c r="C104" s="32" t="n">
        <v>0</v>
      </c>
      <c r="D104" s="32" t="n">
        <v>0</v>
      </c>
      <c r="E104" s="32" t="n">
        <v>0</v>
      </c>
      <c r="F104" s="32" t="n">
        <v>0</v>
      </c>
      <c r="G104" s="32" t="n">
        <v>0</v>
      </c>
      <c r="H104" s="32" t="n">
        <v>0</v>
      </c>
      <c r="I104" s="32" t="n">
        <v>0</v>
      </c>
      <c r="J104" s="32" t="n">
        <v>0</v>
      </c>
      <c r="K104" s="32" t="n">
        <v>0</v>
      </c>
      <c r="L104" s="32" t="n">
        <v>0</v>
      </c>
      <c r="M104" s="32" t="n">
        <v>0</v>
      </c>
    </row>
    <row r="105">
      <c r="A105" s="31" t="inlineStr">
        <is>
          <t>Tài sản dở dang dài hạn</t>
        </is>
      </c>
      <c r="B105" s="32" t="n">
        <v>0</v>
      </c>
      <c r="C105" s="32" t="n">
        <v>0</v>
      </c>
      <c r="D105" s="32" t="n">
        <v>0</v>
      </c>
      <c r="E105" s="32" t="n">
        <v>0</v>
      </c>
      <c r="F105" s="32" t="n">
        <v>8471319232</v>
      </c>
      <c r="G105" s="32" t="n">
        <v>8471319232</v>
      </c>
      <c r="H105" s="32" t="n">
        <v>16520518195</v>
      </c>
      <c r="I105" s="32" t="n">
        <v>14812613927</v>
      </c>
      <c r="J105" s="32" t="n">
        <v>34615858202</v>
      </c>
      <c r="K105" s="32" t="n">
        <v>53765213326</v>
      </c>
      <c r="L105" s="32" t="n">
        <v>73502284032</v>
      </c>
      <c r="M105" s="32" t="n">
        <v>27821402068</v>
      </c>
    </row>
    <row r="106">
      <c r="A106" s="31" t="inlineStr">
        <is>
          <t>Chi phí sản xuất, kinh doanh dở dang dài hạn</t>
        </is>
      </c>
      <c r="B106" s="32" t="n">
        <v>0</v>
      </c>
      <c r="C106" s="32" t="n">
        <v>0</v>
      </c>
      <c r="D106" s="32" t="n">
        <v>0</v>
      </c>
      <c r="E106" s="32" t="n">
        <v>0</v>
      </c>
      <c r="F106" s="32" t="n">
        <v>0</v>
      </c>
      <c r="G106" s="32" t="n">
        <v>0</v>
      </c>
      <c r="H106" s="32" t="n">
        <v>0</v>
      </c>
      <c r="I106" s="32" t="n">
        <v>0</v>
      </c>
      <c r="J106" s="32" t="n">
        <v>0</v>
      </c>
      <c r="K106" s="32" t="n">
        <v>0</v>
      </c>
      <c r="L106" s="32" t="n">
        <v>0</v>
      </c>
      <c r="M106" s="32" t="n">
        <v>0</v>
      </c>
    </row>
    <row r="107">
      <c r="A107" s="31" t="inlineStr">
        <is>
          <t>Thiết bị, vật tư, phụ tùng thay thế dài hạn</t>
        </is>
      </c>
      <c r="B107" s="32" t="n">
        <v>0</v>
      </c>
      <c r="C107" s="32" t="n">
        <v>0</v>
      </c>
      <c r="D107" s="32" t="n">
        <v>0</v>
      </c>
      <c r="E107" s="32" t="n">
        <v>0</v>
      </c>
      <c r="F107" s="32" t="n">
        <v>0</v>
      </c>
      <c r="G107" s="32" t="n">
        <v>0</v>
      </c>
      <c r="H107" s="32" t="n">
        <v>0</v>
      </c>
      <c r="I107" s="32" t="n">
        <v>0</v>
      </c>
      <c r="J107" s="32" t="n">
        <v>0</v>
      </c>
      <c r="K107" s="32" t="n">
        <v>0</v>
      </c>
      <c r="L107" s="32" t="n">
        <v>0</v>
      </c>
      <c r="M107" s="32" t="n">
        <v>0</v>
      </c>
    </row>
    <row r="108">
      <c r="A108" s="31" t="inlineStr">
        <is>
          <t>Doanh thu chưa thực hiện ngắn hạn</t>
        </is>
      </c>
      <c r="B108" s="32" t="n">
        <v>0</v>
      </c>
      <c r="C108" s="32" t="n">
        <v>11009133066</v>
      </c>
      <c r="D108" s="32" t="n">
        <v>0</v>
      </c>
      <c r="E108" s="32" t="n">
        <v>0</v>
      </c>
      <c r="F108" s="32" t="n">
        <v>166387273361</v>
      </c>
      <c r="G108" s="32" t="n">
        <v>251238807204</v>
      </c>
      <c r="H108" s="32" t="n">
        <v>273220636298</v>
      </c>
      <c r="I108" s="32" t="n">
        <v>366167493322</v>
      </c>
      <c r="J108" s="32" t="n">
        <v>469664056104</v>
      </c>
      <c r="K108" s="32" t="n">
        <v>375518055392</v>
      </c>
      <c r="L108" s="32" t="n">
        <v>344600150873</v>
      </c>
      <c r="M108" s="32" t="n">
        <v>509305277939</v>
      </c>
    </row>
    <row r="109">
      <c r="A109" s="31" t="inlineStr">
        <is>
          <t>Quỹ bình ổn giá (Trước năm 2016)</t>
        </is>
      </c>
      <c r="B109" s="32" t="n">
        <v>0</v>
      </c>
      <c r="C109" s="32" t="n">
        <v>0</v>
      </c>
      <c r="D109" s="32" t="n">
        <v>0</v>
      </c>
      <c r="E109" s="32" t="n">
        <v>0</v>
      </c>
      <c r="F109" s="32" t="n">
        <v>0</v>
      </c>
      <c r="G109" s="32" t="n">
        <v>0</v>
      </c>
      <c r="H109" s="32" t="n">
        <v>0</v>
      </c>
      <c r="I109" s="32" t="n">
        <v>0</v>
      </c>
      <c r="J109" s="32" t="n">
        <v>0</v>
      </c>
      <c r="K109" s="32" t="n">
        <v>0</v>
      </c>
      <c r="L109" s="32" t="n">
        <v>0</v>
      </c>
      <c r="M109" s="32" t="n">
        <v>0</v>
      </c>
    </row>
    <row r="110">
      <c r="A110" s="31" t="inlineStr">
        <is>
          <t>Giao dịch mua bán lại trái phiếu Chính phủ</t>
        </is>
      </c>
      <c r="B110" s="32" t="n">
        <v>0</v>
      </c>
      <c r="C110" s="32" t="n">
        <v>0</v>
      </c>
      <c r="D110" s="32" t="n">
        <v>0</v>
      </c>
      <c r="E110" s="32" t="n">
        <v>0</v>
      </c>
      <c r="F110" s="32" t="n">
        <v>0</v>
      </c>
      <c r="G110" s="32" t="n">
        <v>0</v>
      </c>
      <c r="H110" s="32" t="n">
        <v>0</v>
      </c>
      <c r="I110" s="32" t="n">
        <v>0</v>
      </c>
      <c r="J110" s="32" t="n">
        <v>0</v>
      </c>
      <c r="K110" s="32" t="n">
        <v>0</v>
      </c>
      <c r="L110" s="32" t="n">
        <v>0</v>
      </c>
      <c r="M110" s="32" t="n">
        <v>0</v>
      </c>
    </row>
    <row r="111">
      <c r="A111" s="31" t="inlineStr">
        <is>
          <t>Người mua trả tiền trước dài hạn</t>
        </is>
      </c>
      <c r="B111" s="32" t="n">
        <v>0</v>
      </c>
      <c r="C111" s="32" t="n">
        <v>0</v>
      </c>
      <c r="D111" s="32" t="n">
        <v>0</v>
      </c>
      <c r="E111" s="32" t="n">
        <v>0</v>
      </c>
      <c r="F111" s="32" t="n">
        <v>0</v>
      </c>
      <c r="G111" s="32" t="n">
        <v>0</v>
      </c>
      <c r="H111" s="32" t="n">
        <v>0</v>
      </c>
      <c r="I111" s="32" t="n">
        <v>0</v>
      </c>
      <c r="J111" s="32" t="n">
        <v>0</v>
      </c>
      <c r="K111" s="32" t="n">
        <v>0</v>
      </c>
      <c r="L111" s="32" t="n">
        <v>0</v>
      </c>
      <c r="M111" s="32" t="n">
        <v>0</v>
      </c>
    </row>
    <row r="112">
      <c r="A112" s="31" t="inlineStr">
        <is>
          <t>Chi phí phải trả dài hạn</t>
        </is>
      </c>
      <c r="B112" s="32" t="n">
        <v>0</v>
      </c>
      <c r="C112" s="32" t="n">
        <v>0</v>
      </c>
      <c r="D112" s="32" t="n">
        <v>9542748988</v>
      </c>
      <c r="E112" s="32" t="n">
        <v>0</v>
      </c>
      <c r="F112" s="32" t="n">
        <v>0</v>
      </c>
      <c r="G112" s="32" t="n">
        <v>0</v>
      </c>
      <c r="H112" s="32" t="n">
        <v>0</v>
      </c>
      <c r="I112" s="32" t="n">
        <v>0</v>
      </c>
      <c r="J112" s="32" t="n">
        <v>0</v>
      </c>
      <c r="K112" s="32" t="n">
        <v>0</v>
      </c>
      <c r="L112" s="32" t="n">
        <v>0</v>
      </c>
      <c r="M112" s="32" t="n">
        <v>0</v>
      </c>
    </row>
    <row r="113">
      <c r="A113" s="31" t="inlineStr">
        <is>
          <t>Phải trả nội bộ về vốn kinh doanh (Trước năm 2016)</t>
        </is>
      </c>
      <c r="B113" s="32" t="n">
        <v>0</v>
      </c>
      <c r="C113" s="32" t="n">
        <v>0</v>
      </c>
      <c r="D113" s="32" t="n">
        <v>0</v>
      </c>
      <c r="E113" s="32" t="n">
        <v>0</v>
      </c>
      <c r="F113" s="32" t="n">
        <v>0</v>
      </c>
      <c r="G113" s="32" t="n">
        <v>0</v>
      </c>
      <c r="H113" s="32" t="n">
        <v>0</v>
      </c>
      <c r="I113" s="32" t="n">
        <v>0</v>
      </c>
      <c r="J113" s="32" t="n">
        <v>0</v>
      </c>
      <c r="K113" s="32" t="n">
        <v>0</v>
      </c>
      <c r="L113" s="32" t="n">
        <v>0</v>
      </c>
      <c r="M113" s="32" t="n">
        <v>0</v>
      </c>
    </row>
    <row r="114">
      <c r="A114" s="31" t="inlineStr">
        <is>
          <t>Trái phiếu chuyển đổi dài hạn - Cấu phần nợ</t>
        </is>
      </c>
      <c r="B114" s="32" t="n">
        <v>0</v>
      </c>
      <c r="C114" s="32" t="n">
        <v>0</v>
      </c>
      <c r="D114" s="32" t="n">
        <v>0</v>
      </c>
      <c r="E114" s="32" t="n">
        <v>0</v>
      </c>
      <c r="F114" s="32" t="n">
        <v>0</v>
      </c>
      <c r="G114" s="32" t="n">
        <v>0</v>
      </c>
      <c r="H114" s="32" t="n">
        <v>0</v>
      </c>
      <c r="I114" s="32" t="n">
        <v>0</v>
      </c>
      <c r="J114" s="32" t="n">
        <v>0</v>
      </c>
      <c r="K114" s="32" t="n">
        <v>0</v>
      </c>
      <c r="L114" s="32" t="n">
        <v>0</v>
      </c>
      <c r="M114" s="32" t="n">
        <v>0</v>
      </c>
    </row>
    <row r="115">
      <c r="A115" s="31" t="inlineStr">
        <is>
          <t>Cổ phiếu ưu đãi (Trước năm 2016)</t>
        </is>
      </c>
      <c r="B115" s="32" t="n">
        <v>0</v>
      </c>
      <c r="C115" s="32" t="n">
        <v>0</v>
      </c>
      <c r="D115" s="32" t="n">
        <v>0</v>
      </c>
      <c r="E115" s="32" t="n">
        <v>0</v>
      </c>
      <c r="F115" s="32" t="n">
        <v>0</v>
      </c>
      <c r="G115" s="32" t="n">
        <v>0</v>
      </c>
      <c r="H115" s="32" t="n">
        <v>0</v>
      </c>
      <c r="I115" s="32" t="n">
        <v>0</v>
      </c>
      <c r="J115" s="32" t="n">
        <v>0</v>
      </c>
      <c r="K115" s="32" t="n">
        <v>0</v>
      </c>
      <c r="L115" s="32" t="n">
        <v>0</v>
      </c>
      <c r="M115" s="32" t="n">
        <v>0</v>
      </c>
    </row>
    <row r="116">
      <c r="A116" s="31" t="inlineStr">
        <is>
          <t>Cổ phiếu phổ thông có quyền biểu quyết</t>
        </is>
      </c>
      <c r="B116" s="32" t="n">
        <v>1000000000000</v>
      </c>
      <c r="C116" s="32" t="n">
        <v>1000000000000</v>
      </c>
      <c r="D116" s="32" t="n">
        <v>1000000000000</v>
      </c>
      <c r="E116" s="32" t="n">
        <v>1058201050000</v>
      </c>
      <c r="F116" s="32" t="n">
        <v>2179246800000</v>
      </c>
      <c r="G116" s="32" t="n">
        <v>19613221200000</v>
      </c>
      <c r="H116" s="32" t="n">
        <v>19613221200000</v>
      </c>
      <c r="I116" s="32" t="n">
        <v>20801580210000</v>
      </c>
      <c r="J116" s="32" t="n">
        <v>23113080210000</v>
      </c>
      <c r="K116" s="32" t="n">
        <v>23113080210000</v>
      </c>
      <c r="L116" s="32" t="n">
        <v>23115834960000</v>
      </c>
      <c r="M116" s="32" t="n">
        <v>27738968030000</v>
      </c>
    </row>
    <row r="117">
      <c r="A117" s="31" t="inlineStr">
        <is>
          <t>Quyền chọn chuyển đổi trái phiếu - Cấu phần vốn</t>
        </is>
      </c>
      <c r="B117" s="32" t="n">
        <v>0</v>
      </c>
      <c r="C117" s="32" t="n">
        <v>0</v>
      </c>
      <c r="D117" s="32" t="n">
        <v>0</v>
      </c>
      <c r="E117" s="32" t="n">
        <v>0</v>
      </c>
      <c r="F117" s="32" t="n">
        <v>0</v>
      </c>
      <c r="G117" s="32" t="n">
        <v>0</v>
      </c>
      <c r="H117" s="32" t="n">
        <v>0</v>
      </c>
      <c r="I117" s="32" t="n">
        <v>0</v>
      </c>
      <c r="J117" s="32" t="n">
        <v>0</v>
      </c>
      <c r="K117" s="32" t="n">
        <v>0</v>
      </c>
      <c r="L117" s="32" t="n">
        <v>228559568500</v>
      </c>
      <c r="M117" s="32" t="n">
        <v>9962663607</v>
      </c>
    </row>
    <row r="118">
      <c r="A118" s="31" t="inlineStr">
        <is>
          <t>LNST chưa phân phối lũy kế đến cuối kỳ trước</t>
        </is>
      </c>
      <c r="B118" s="32" t="n">
        <v>0</v>
      </c>
      <c r="C118" s="32" t="n">
        <v>0</v>
      </c>
      <c r="D118" s="32" t="n">
        <v>0</v>
      </c>
      <c r="E118" s="32" t="n">
        <v>0</v>
      </c>
      <c r="F118" s="32" t="n">
        <v>0</v>
      </c>
      <c r="G118" s="32" t="n">
        <v>0</v>
      </c>
      <c r="H118" s="32" t="n">
        <v>0</v>
      </c>
      <c r="I118" s="32" t="n">
        <v>0</v>
      </c>
      <c r="J118" s="32" t="n">
        <v>0</v>
      </c>
      <c r="K118" s="32" t="n">
        <v>0</v>
      </c>
      <c r="L118" s="32" t="n">
        <v>0</v>
      </c>
      <c r="M118" s="32" t="n">
        <v>0</v>
      </c>
    </row>
    <row r="119">
      <c r="A119" s="31" t="inlineStr">
        <is>
          <t>LNST chưa phân phối kỳ này</t>
        </is>
      </c>
      <c r="B119" s="32" t="n">
        <v>1333501707190</v>
      </c>
      <c r="C119" s="32" t="n">
        <v>1411050074409</v>
      </c>
      <c r="D119" s="32" t="n">
        <v>1828456853452</v>
      </c>
      <c r="E119" s="32" t="n">
        <v>1828479619119</v>
      </c>
      <c r="F119" s="32" t="n">
        <v>14165679904250</v>
      </c>
      <c r="G119" s="32" t="n">
        <v>6665324621285</v>
      </c>
      <c r="H119" s="32" t="n">
        <v>7676909714250</v>
      </c>
      <c r="I119" s="32" t="n">
        <v>9096831320287</v>
      </c>
      <c r="J119" s="32" t="n">
        <v>10713649221674</v>
      </c>
      <c r="K119" s="32" t="n">
        <v>12347939323386</v>
      </c>
      <c r="L119" s="32" t="n">
        <v>13494660535593</v>
      </c>
      <c r="M119" s="32" t="n">
        <v>9408032062368</v>
      </c>
    </row>
    <row r="120">
      <c r="A120" s="31" t="inlineStr">
        <is>
          <t>Chi phí xây dựng cơ bản dở dang</t>
        </is>
      </c>
      <c r="B120" s="32" t="n">
        <v>0</v>
      </c>
      <c r="C120" s="32" t="n">
        <v>0</v>
      </c>
      <c r="D120" s="32" t="n">
        <v>0</v>
      </c>
      <c r="E120" s="32" t="n">
        <v>0</v>
      </c>
      <c r="F120" s="32" t="n">
        <v>8471319232</v>
      </c>
      <c r="G120" s="32" t="n">
        <v>8471319232</v>
      </c>
      <c r="H120" s="32" t="n">
        <v>16520518195</v>
      </c>
      <c r="I120" s="32" t="n">
        <v>14812613927</v>
      </c>
      <c r="J120" s="32" t="n">
        <v>34615858202</v>
      </c>
      <c r="K120" s="32" t="n">
        <v>53765213326</v>
      </c>
      <c r="L120" s="32" t="n">
        <v>73502284032</v>
      </c>
      <c r="M120" s="32" t="n">
        <v>27821402068</v>
      </c>
    </row>
    <row r="121">
      <c r="A121" s="31" t="inlineStr">
        <is>
          <t>Lợi thế thương mại</t>
        </is>
      </c>
      <c r="B121" s="32" t="n">
        <v>0</v>
      </c>
      <c r="C121" s="32" t="n">
        <v>0</v>
      </c>
      <c r="D121" s="32" t="n">
        <v>0</v>
      </c>
      <c r="E121" s="32" t="n">
        <v>0</v>
      </c>
      <c r="F121" s="32" t="n">
        <v>0</v>
      </c>
      <c r="G121" s="32" t="n">
        <v>0</v>
      </c>
      <c r="H121" s="32" t="n">
        <v>0</v>
      </c>
      <c r="I121" s="32" t="n">
        <v>0</v>
      </c>
      <c r="J121" s="32" t="n">
        <v>0</v>
      </c>
      <c r="K121" s="32" t="n">
        <v>0</v>
      </c>
      <c r="L121" s="32" t="n">
        <v>0</v>
      </c>
      <c r="M121" s="32" t="n">
        <v>0</v>
      </c>
    </row>
    <row r="122">
      <c r="A122" s="31" t="inlineStr">
        <is>
          <t>Lợi ích cổ đông không kiểm soát</t>
        </is>
      </c>
      <c r="B122" s="32" t="n">
        <v>0</v>
      </c>
      <c r="C122" s="32" t="n">
        <v>0</v>
      </c>
      <c r="D122" s="32" t="n">
        <v>0</v>
      </c>
      <c r="E122" s="32" t="n">
        <v>0</v>
      </c>
      <c r="F122" s="32" t="n">
        <v>0</v>
      </c>
      <c r="G122" s="32" t="n">
        <v>0</v>
      </c>
      <c r="H122" s="32" t="n">
        <v>0</v>
      </c>
      <c r="I122" s="32" t="n">
        <v>0</v>
      </c>
      <c r="J122" s="32" t="n">
        <v>0</v>
      </c>
      <c r="K122" s="32" t="n">
        <v>0</v>
      </c>
      <c r="L122" s="32" t="n">
        <v>0</v>
      </c>
      <c r="M122" s="32" t="n">
        <v>0</v>
      </c>
    </row>
    <row r="123">
      <c r="A123" s="31" t="inlineStr">
        <is>
          <t>Nguồn kinh phí đã hình thành TSCĐ</t>
        </is>
      </c>
      <c r="B123" s="32" t="n">
        <v>0</v>
      </c>
      <c r="C123" s="32" t="n">
        <v>0</v>
      </c>
      <c r="D123" s="32" t="n">
        <v>0</v>
      </c>
      <c r="E123" s="32" t="n">
        <v>0</v>
      </c>
      <c r="F123" s="32" t="n">
        <v>0</v>
      </c>
      <c r="G123" s="32" t="n">
        <v>0</v>
      </c>
      <c r="H123" s="32" t="n">
        <v>0</v>
      </c>
      <c r="I123" s="32" t="n">
        <v>0</v>
      </c>
      <c r="J123" s="32" t="n">
        <v>0</v>
      </c>
      <c r="K123" s="32" t="n">
        <v>0</v>
      </c>
      <c r="L123" s="32" t="n">
        <v>0</v>
      </c>
      <c r="M123" s="32" t="n">
        <v>0</v>
      </c>
    </row>
    <row r="124">
      <c r="A124" s="31" t="inlineStr">
        <is>
          <t>Tiền chi nộp Quỹ Hỗ trợ thanh toán</t>
        </is>
      </c>
      <c r="B124" s="32" t="n">
        <v>3938596359</v>
      </c>
      <c r="C124" s="32" t="n">
        <v>3938596359</v>
      </c>
      <c r="D124" s="32" t="n">
        <v>3938596359</v>
      </c>
      <c r="E124" s="32" t="n">
        <v>3938596359</v>
      </c>
      <c r="F124" s="32" t="n">
        <v>18754492342</v>
      </c>
      <c r="G124" s="32" t="n">
        <v>18754492342</v>
      </c>
      <c r="H124" s="32" t="n">
        <v>20000000030</v>
      </c>
      <c r="I124" s="32" t="n">
        <v>20000000030</v>
      </c>
      <c r="J124" s="32" t="n">
        <v>20000000030</v>
      </c>
      <c r="K124" s="32" t="n">
        <v>20000000030</v>
      </c>
      <c r="L124" s="32" t="n">
        <v>20854599014</v>
      </c>
      <c r="M124" s="32" t="n">
        <v>20854599014</v>
      </c>
    </row>
    <row r="125">
      <c r="A125" s="31" t="inlineStr">
        <is>
          <t>Tài sản tài chính ngắn hạn</t>
        </is>
      </c>
      <c r="B125" s="32" t="n">
        <v>3105094402646</v>
      </c>
      <c r="C125" s="32" t="n">
        <v>3237314181625</v>
      </c>
      <c r="D125" s="32" t="n">
        <v>3715736811335</v>
      </c>
      <c r="E125" s="32" t="n">
        <v>4301437975390</v>
      </c>
      <c r="F125" s="32" t="n">
        <v>46469079043399</v>
      </c>
      <c r="G125" s="32" t="n">
        <v>49341572003957</v>
      </c>
      <c r="H125" s="32" t="n">
        <v>52883371583516</v>
      </c>
      <c r="I125" s="32" t="n">
        <v>61688842642307</v>
      </c>
      <c r="J125" s="32" t="n">
        <v>78349422229172</v>
      </c>
      <c r="K125" s="32" t="n">
        <v>76597293421692</v>
      </c>
      <c r="L125" s="32" t="n">
        <v>84958517220625</v>
      </c>
      <c r="M125" s="32" t="n">
        <v>97067447204142</v>
      </c>
    </row>
    <row r="126">
      <c r="A126" s="31" t="inlineStr">
        <is>
          <t>Các khoản cho vay</t>
        </is>
      </c>
      <c r="B126" s="32" t="n">
        <v>863564041155</v>
      </c>
      <c r="C126" s="32" t="n">
        <v>1018260357447</v>
      </c>
      <c r="D126" s="32" t="n">
        <v>1244972538409</v>
      </c>
      <c r="E126" s="32" t="n">
        <v>1371761540630</v>
      </c>
      <c r="F126" s="32" t="n">
        <v>25483299379217</v>
      </c>
      <c r="G126" s="32" t="n">
        <v>25911246001189</v>
      </c>
      <c r="H126" s="32" t="n">
        <v>30471557082792</v>
      </c>
      <c r="I126" s="32" t="n">
        <v>33805854891155</v>
      </c>
      <c r="J126" s="32" t="n">
        <v>41712992337150</v>
      </c>
      <c r="K126" s="32" t="n">
        <v>43859732477143</v>
      </c>
      <c r="L126" s="32" t="n">
        <v>44754440486749</v>
      </c>
      <c r="M126" s="32" t="n">
        <v>51522435194856</v>
      </c>
    </row>
    <row r="127">
      <c r="A127" s="31" t="inlineStr">
        <is>
          <t>Các khoản tài chính sẵn sàng để bán (AFS)</t>
        </is>
      </c>
      <c r="B127" s="32" t="n">
        <v>1489136248868</v>
      </c>
      <c r="C127" s="32" t="n">
        <v>803088319132</v>
      </c>
      <c r="D127" s="32" t="n">
        <v>1506110001248</v>
      </c>
      <c r="E127" s="32" t="n">
        <v>1411854138887</v>
      </c>
      <c r="F127" s="32" t="n">
        <v>13495559828376</v>
      </c>
      <c r="G127" s="32" t="n">
        <v>17670549755100</v>
      </c>
      <c r="H127" s="32" t="n">
        <v>16228986013364</v>
      </c>
      <c r="I127" s="32" t="n">
        <v>21171790942918</v>
      </c>
      <c r="J127" s="32" t="n">
        <v>27078689794882</v>
      </c>
      <c r="K127" s="32" t="n">
        <v>25218442812696</v>
      </c>
      <c r="L127" s="32" t="n">
        <v>32248938914906</v>
      </c>
      <c r="M127" s="32" t="n">
        <v>34558372365730</v>
      </c>
    </row>
    <row r="128">
      <c r="A128" s="31" t="inlineStr">
        <is>
          <t>Các khoản phải thu (từ 2016)</t>
        </is>
      </c>
      <c r="B128" s="32" t="n">
        <v>28954186072</v>
      </c>
      <c r="C128" s="32" t="n">
        <v>17987283796</v>
      </c>
      <c r="D128" s="32" t="n">
        <v>32581564596</v>
      </c>
      <c r="E128" s="32" t="n">
        <v>43830932179</v>
      </c>
      <c r="F128" s="32" t="n">
        <v>457741282392</v>
      </c>
      <c r="G128" s="32" t="n">
        <v>539116528852</v>
      </c>
      <c r="H128" s="32" t="n">
        <v>472346384931</v>
      </c>
      <c r="I128" s="32" t="n">
        <v>578703273820</v>
      </c>
      <c r="J128" s="32" t="n">
        <v>526862178976</v>
      </c>
      <c r="K128" s="32" t="n">
        <v>686848052984</v>
      </c>
      <c r="L128" s="32" t="n">
        <v>865926822795</v>
      </c>
      <c r="M128" s="32" t="n">
        <v>2781062712585</v>
      </c>
    </row>
    <row r="129">
      <c r="A129" s="31" t="inlineStr">
        <is>
          <t>Phải thu bán các tài sản tài chính</t>
        </is>
      </c>
      <c r="B129" s="32" t="n">
        <v>0</v>
      </c>
      <c r="C129" s="32" t="n">
        <v>0</v>
      </c>
      <c r="D129" s="32" t="n">
        <v>0</v>
      </c>
      <c r="E129" s="32" t="n">
        <v>0</v>
      </c>
      <c r="F129" s="32" t="n">
        <v>0</v>
      </c>
      <c r="G129" s="32" t="n">
        <v>0</v>
      </c>
      <c r="H129" s="32" t="n">
        <v>0</v>
      </c>
      <c r="I129" s="32" t="n">
        <v>0</v>
      </c>
      <c r="J129" s="32" t="n">
        <v>0</v>
      </c>
      <c r="K129" s="32" t="n">
        <v>195489000</v>
      </c>
      <c r="L129" s="32" t="n">
        <v>219796660869</v>
      </c>
      <c r="M129" s="32" t="n">
        <v>1735699854000</v>
      </c>
    </row>
    <row r="130">
      <c r="A130" s="31" t="inlineStr">
        <is>
          <t>Phải thu và dự thu cổ tức, tiền lãi các tài sản tài chính</t>
        </is>
      </c>
      <c r="B130" s="32" t="n">
        <v>28954186072</v>
      </c>
      <c r="C130" s="32" t="n">
        <v>17987283796</v>
      </c>
      <c r="D130" s="32" t="n">
        <v>32581564596</v>
      </c>
      <c r="E130" s="32" t="n">
        <v>43830932179</v>
      </c>
      <c r="F130" s="32" t="n">
        <v>457741282392</v>
      </c>
      <c r="G130" s="32" t="n">
        <v>539116528852</v>
      </c>
      <c r="H130" s="32" t="n">
        <v>472346384931</v>
      </c>
      <c r="I130" s="32" t="n">
        <v>578703273820</v>
      </c>
      <c r="J130" s="32" t="n">
        <v>526862178976</v>
      </c>
      <c r="K130" s="32" t="n">
        <v>686652563984</v>
      </c>
      <c r="L130" s="32" t="n">
        <v>646130161926</v>
      </c>
      <c r="M130" s="32" t="n">
        <v>1045362858585</v>
      </c>
    </row>
    <row r="131">
      <c r="A131" s="31" t="inlineStr">
        <is>
          <t>Phải thu cổ tức, tiền lãi đến ngày nhận</t>
        </is>
      </c>
      <c r="B131" s="32" t="n">
        <v>0</v>
      </c>
      <c r="C131" s="32" t="n">
        <v>2022222400</v>
      </c>
      <c r="D131" s="32" t="n">
        <v>0</v>
      </c>
      <c r="E131" s="32" t="n">
        <v>0</v>
      </c>
      <c r="F131" s="32" t="n">
        <v>1981</v>
      </c>
      <c r="G131" s="32" t="n">
        <v>4752786</v>
      </c>
      <c r="H131" s="32" t="n">
        <v>2786</v>
      </c>
      <c r="I131" s="32" t="n">
        <v>480873</v>
      </c>
      <c r="J131" s="32" t="n">
        <v>873</v>
      </c>
      <c r="K131" s="32" t="n">
        <v>1200000</v>
      </c>
      <c r="L131" s="32" t="n">
        <v>400000</v>
      </c>
      <c r="M131" s="32" t="n">
        <v>5988700000</v>
      </c>
    </row>
    <row r="132">
      <c r="A132" s="31" t="inlineStr">
        <is>
          <t>Trong đó : phải thu khó đòi về cổ tức , tiền lãi đến ngày nhận nhưng chưa nhận được</t>
        </is>
      </c>
      <c r="B132" s="32" t="n">
        <v>0</v>
      </c>
      <c r="C132" s="32" t="n">
        <v>0</v>
      </c>
      <c r="D132" s="32" t="n">
        <v>0</v>
      </c>
      <c r="E132" s="32" t="n">
        <v>0</v>
      </c>
      <c r="F132" s="32" t="n">
        <v>0</v>
      </c>
      <c r="G132" s="32" t="n">
        <v>0</v>
      </c>
      <c r="H132" s="32" t="n">
        <v>0</v>
      </c>
      <c r="I132" s="32" t="n">
        <v>0</v>
      </c>
      <c r="J132" s="32" t="n">
        <v>0</v>
      </c>
      <c r="K132" s="32" t="n">
        <v>0</v>
      </c>
      <c r="L132" s="32" t="n">
        <v>0</v>
      </c>
      <c r="M132" s="32" t="n">
        <v>0</v>
      </c>
    </row>
    <row r="133">
      <c r="A133" s="31" t="inlineStr">
        <is>
          <t>Dự thu cổ tức , tiền lãi chưa đến ngày nhận</t>
        </is>
      </c>
      <c r="B133" s="32" t="n">
        <v>28954186072</v>
      </c>
      <c r="C133" s="32" t="n">
        <v>15965061396</v>
      </c>
      <c r="D133" s="32" t="n">
        <v>32581564596</v>
      </c>
      <c r="E133" s="32" t="n">
        <v>43830932179</v>
      </c>
      <c r="F133" s="32" t="n">
        <v>457741280411</v>
      </c>
      <c r="G133" s="32" t="n">
        <v>539111776066</v>
      </c>
      <c r="H133" s="32" t="n">
        <v>472346382145</v>
      </c>
      <c r="I133" s="32" t="n">
        <v>578702792947</v>
      </c>
      <c r="J133" s="32" t="n">
        <v>526862178103</v>
      </c>
      <c r="K133" s="32" t="n">
        <v>686651363984</v>
      </c>
      <c r="L133" s="32" t="n">
        <v>646129761926</v>
      </c>
      <c r="M133" s="32" t="n">
        <v>1039374158585</v>
      </c>
    </row>
    <row r="134">
      <c r="A134" s="31" t="inlineStr">
        <is>
          <t>Thuế giá trị gia tăng được khấu trừ (Trước năm 2016)</t>
        </is>
      </c>
      <c r="B134" s="32" t="n">
        <v>0</v>
      </c>
      <c r="C134" s="32" t="n">
        <v>0</v>
      </c>
      <c r="D134" s="32" t="n">
        <v>0</v>
      </c>
      <c r="E134" s="32" t="n">
        <v>0</v>
      </c>
      <c r="F134" s="32" t="n">
        <v>0</v>
      </c>
      <c r="G134" s="32" t="n">
        <v>0</v>
      </c>
      <c r="H134" s="32" t="n">
        <v>0</v>
      </c>
      <c r="I134" s="32" t="n">
        <v>0</v>
      </c>
      <c r="J134" s="32" t="n">
        <v>0</v>
      </c>
      <c r="K134" s="32" t="n">
        <v>0</v>
      </c>
      <c r="L134" s="32" t="n">
        <v>0</v>
      </c>
      <c r="M134" s="32" t="n">
        <v>0</v>
      </c>
    </row>
    <row r="135">
      <c r="A135" s="31" t="inlineStr">
        <is>
          <t>Phải thu các dịch vụ CTCK cung cấp</t>
        </is>
      </c>
      <c r="B135" s="32" t="n">
        <v>33843234462</v>
      </c>
      <c r="C135" s="32" t="n">
        <v>77520572433</v>
      </c>
      <c r="D135" s="32" t="n">
        <v>30934812042</v>
      </c>
      <c r="E135" s="32" t="n">
        <v>62939950631</v>
      </c>
      <c r="F135" s="32" t="n">
        <v>179719423751</v>
      </c>
      <c r="G135" s="32" t="n">
        <v>93625988628</v>
      </c>
      <c r="H135" s="32" t="n">
        <v>233460526996</v>
      </c>
      <c r="I135" s="32" t="n">
        <v>44473790267</v>
      </c>
      <c r="J135" s="32" t="n">
        <v>47169487429</v>
      </c>
      <c r="K135" s="32" t="n">
        <v>32804970727</v>
      </c>
      <c r="L135" s="32" t="n">
        <v>129591118428</v>
      </c>
      <c r="M135" s="32" t="n">
        <v>157276781252</v>
      </c>
    </row>
    <row r="136">
      <c r="A136" s="31" t="inlineStr">
        <is>
          <t>Phải thu về lỗi giao dịch CK</t>
        </is>
      </c>
      <c r="B136" s="32" t="n">
        <v>0</v>
      </c>
      <c r="C136" s="32" t="n">
        <v>0</v>
      </c>
      <c r="D136" s="32" t="n">
        <v>0</v>
      </c>
      <c r="E136" s="32" t="n">
        <v>0</v>
      </c>
      <c r="F136" s="32" t="n">
        <v>0</v>
      </c>
      <c r="G136" s="32" t="n">
        <v>0</v>
      </c>
      <c r="H136" s="32" t="n">
        <v>0</v>
      </c>
      <c r="I136" s="32" t="n">
        <v>0</v>
      </c>
      <c r="J136" s="32" t="n">
        <v>0</v>
      </c>
      <c r="K136" s="32" t="n">
        <v>0</v>
      </c>
      <c r="L136" s="32" t="n">
        <v>0</v>
      </c>
      <c r="M136" s="32" t="n">
        <v>0</v>
      </c>
    </row>
    <row r="137">
      <c r="A137" s="31" t="inlineStr">
        <is>
          <t>Dự phòng suy giảm giá trị các khoản phải thu</t>
        </is>
      </c>
      <c r="B137" s="32" t="n">
        <v>0</v>
      </c>
      <c r="C137" s="32" t="n">
        <v>0</v>
      </c>
      <c r="D137" s="32" t="n">
        <v>0</v>
      </c>
      <c r="E137" s="32" t="n">
        <v>0</v>
      </c>
      <c r="F137" s="32" t="n">
        <v>-1881600000</v>
      </c>
      <c r="G137" s="32" t="n">
        <v>-171600000</v>
      </c>
      <c r="H137" s="32" t="n">
        <v>-188100000</v>
      </c>
      <c r="I137" s="32" t="n">
        <v>-188100000</v>
      </c>
      <c r="J137" s="32" t="n">
        <v>-204600000</v>
      </c>
      <c r="K137" s="32" t="n">
        <v>-198000000</v>
      </c>
      <c r="L137" s="32" t="n">
        <v>-198000000</v>
      </c>
      <c r="M137" s="32" t="n">
        <v>-198000000</v>
      </c>
    </row>
    <row r="138">
      <c r="A138" s="31" t="inlineStr">
        <is>
          <t>Tạm ứng</t>
        </is>
      </c>
      <c r="B138" s="32" t="n">
        <v>734872934</v>
      </c>
      <c r="C138" s="32" t="n">
        <v>721952534</v>
      </c>
      <c r="D138" s="32" t="n">
        <v>1901732256</v>
      </c>
      <c r="E138" s="32" t="n">
        <v>466100148</v>
      </c>
      <c r="F138" s="32" t="n">
        <v>201900000</v>
      </c>
      <c r="G138" s="32" t="n">
        <v>219400000</v>
      </c>
      <c r="H138" s="32" t="n">
        <v>332000000</v>
      </c>
      <c r="I138" s="32" t="n">
        <v>289100000</v>
      </c>
      <c r="J138" s="32" t="n">
        <v>315700000</v>
      </c>
      <c r="K138" s="32" t="n">
        <v>410200000</v>
      </c>
      <c r="L138" s="32" t="n">
        <v>455600000</v>
      </c>
      <c r="M138" s="32" t="n">
        <v>368600000</v>
      </c>
    </row>
    <row r="139">
      <c r="A139" s="31" t="inlineStr">
        <is>
          <t>Vật tư văn phòng, công cụ, dụng cụ</t>
        </is>
      </c>
      <c r="B139" s="32" t="n">
        <v>0</v>
      </c>
      <c r="C139" s="32" t="n">
        <v>0</v>
      </c>
      <c r="D139" s="32" t="n">
        <v>0</v>
      </c>
      <c r="E139" s="32" t="n">
        <v>0</v>
      </c>
      <c r="F139" s="32" t="n">
        <v>419820000</v>
      </c>
      <c r="G139" s="32" t="n">
        <v>259390000</v>
      </c>
      <c r="H139" s="32" t="n">
        <v>934210000</v>
      </c>
      <c r="I139" s="32" t="n">
        <v>1845170000</v>
      </c>
      <c r="J139" s="32" t="n">
        <v>1794936000</v>
      </c>
      <c r="K139" s="32" t="n">
        <v>1640794000</v>
      </c>
      <c r="L139" s="32" t="n">
        <v>658940000</v>
      </c>
      <c r="M139" s="32" t="n">
        <v>1627420000</v>
      </c>
    </row>
    <row r="140">
      <c r="A140" s="31" t="inlineStr">
        <is>
          <t>Cầm cố, thế chấp, ký quý , ký cược ngắn hạn</t>
        </is>
      </c>
      <c r="B140" s="32" t="n">
        <v>0</v>
      </c>
      <c r="C140" s="32" t="n">
        <v>0</v>
      </c>
      <c r="D140" s="32" t="n">
        <v>0</v>
      </c>
      <c r="E140" s="32" t="n">
        <v>0</v>
      </c>
      <c r="F140" s="32" t="n">
        <v>0</v>
      </c>
      <c r="G140" s="32" t="n">
        <v>0</v>
      </c>
      <c r="H140" s="32" t="n">
        <v>0</v>
      </c>
      <c r="I140" s="32" t="n">
        <v>0</v>
      </c>
      <c r="J140" s="32" t="n">
        <v>4101358</v>
      </c>
      <c r="K140" s="32" t="n">
        <v>12981358</v>
      </c>
      <c r="L140" s="32" t="n">
        <v>30021358</v>
      </c>
      <c r="M140" s="32" t="n">
        <v>14651358</v>
      </c>
    </row>
    <row r="141">
      <c r="A141" s="31" t="inlineStr">
        <is>
          <t>Dự phòng suy giảm giá trị TSNH khác</t>
        </is>
      </c>
      <c r="B141" s="32" t="n">
        <v>0</v>
      </c>
      <c r="C141" s="32" t="n">
        <v>0</v>
      </c>
      <c r="D141" s="32" t="n">
        <v>0</v>
      </c>
      <c r="E141" s="32" t="n">
        <v>0</v>
      </c>
      <c r="F141" s="32" t="n">
        <v>0</v>
      </c>
      <c r="G141" s="32" t="n">
        <v>0</v>
      </c>
      <c r="H141" s="32" t="n">
        <v>0</v>
      </c>
      <c r="I141" s="32" t="n">
        <v>0</v>
      </c>
      <c r="J141" s="32" t="n">
        <v>0</v>
      </c>
      <c r="K141" s="32" t="n">
        <v>0</v>
      </c>
      <c r="L141" s="32" t="n">
        <v>0</v>
      </c>
      <c r="M141" s="32" t="n">
        <v>0</v>
      </c>
    </row>
    <row r="142">
      <c r="A142" s="31" t="inlineStr">
        <is>
          <t>Tài sản tài chính dài hạn</t>
        </is>
      </c>
      <c r="B142" s="32" t="n">
        <v>0</v>
      </c>
      <c r="C142" s="32" t="n">
        <v>0</v>
      </c>
      <c r="D142" s="32" t="n">
        <v>0</v>
      </c>
      <c r="E142" s="32" t="n">
        <v>0</v>
      </c>
      <c r="F142" s="32" t="n">
        <v>3033431775000</v>
      </c>
      <c r="G142" s="32" t="n">
        <v>3533431775000</v>
      </c>
      <c r="H142" s="32" t="n">
        <v>3033431775000</v>
      </c>
      <c r="I142" s="32" t="n">
        <v>3043681255890</v>
      </c>
      <c r="J142" s="32" t="n">
        <v>3043681255890</v>
      </c>
      <c r="K142" s="32" t="n">
        <v>3610268431824</v>
      </c>
      <c r="L142" s="32" t="n">
        <v>3200268431824</v>
      </c>
      <c r="M142" s="32" t="n">
        <v>3035268431824</v>
      </c>
    </row>
    <row r="143">
      <c r="A143" s="31" t="inlineStr">
        <is>
          <t>Đánh giá TSCĐHH theo giá trị hợp lý</t>
        </is>
      </c>
      <c r="B143" s="32" t="n">
        <v>0</v>
      </c>
      <c r="C143" s="32" t="n">
        <v>0</v>
      </c>
      <c r="D143" s="32" t="n">
        <v>0</v>
      </c>
      <c r="E143" s="32" t="n">
        <v>0</v>
      </c>
      <c r="F143" s="32" t="n">
        <v>0</v>
      </c>
      <c r="G143" s="32" t="n">
        <v>0</v>
      </c>
      <c r="H143" s="32" t="n">
        <v>0</v>
      </c>
      <c r="I143" s="32" t="n">
        <v>0</v>
      </c>
      <c r="J143" s="32" t="n">
        <v>0</v>
      </c>
      <c r="K143" s="32" t="n">
        <v>0</v>
      </c>
      <c r="L143" s="32" t="n">
        <v>0</v>
      </c>
      <c r="M143" s="32" t="n">
        <v>0</v>
      </c>
    </row>
    <row r="144">
      <c r="A144" s="31" t="inlineStr">
        <is>
          <t>Đánh giá TSCĐTTC theo giá trị hợp lý</t>
        </is>
      </c>
      <c r="B144" s="32" t="n">
        <v>0</v>
      </c>
      <c r="C144" s="32" t="n">
        <v>0</v>
      </c>
      <c r="D144" s="32" t="n">
        <v>0</v>
      </c>
      <c r="E144" s="32" t="n">
        <v>0</v>
      </c>
      <c r="F144" s="32" t="n">
        <v>0</v>
      </c>
      <c r="G144" s="32" t="n">
        <v>0</v>
      </c>
      <c r="H144" s="32" t="n">
        <v>0</v>
      </c>
      <c r="I144" s="32" t="n">
        <v>0</v>
      </c>
      <c r="J144" s="32" t="n">
        <v>0</v>
      </c>
      <c r="K144" s="32" t="n">
        <v>0</v>
      </c>
      <c r="L144" s="32" t="n">
        <v>0</v>
      </c>
      <c r="M144" s="32" t="n">
        <v>0</v>
      </c>
    </row>
    <row r="145">
      <c r="A145" s="31" t="inlineStr">
        <is>
          <t>Đánh giá TSCĐVH theo giá trị hợp lý</t>
        </is>
      </c>
      <c r="B145" s="32" t="n">
        <v>0</v>
      </c>
      <c r="C145" s="32" t="n">
        <v>0</v>
      </c>
      <c r="D145" s="32" t="n">
        <v>0</v>
      </c>
      <c r="E145" s="32" t="n">
        <v>0</v>
      </c>
      <c r="F145" s="32" t="n">
        <v>0</v>
      </c>
      <c r="G145" s="32" t="n">
        <v>0</v>
      </c>
      <c r="H145" s="32" t="n">
        <v>0</v>
      </c>
      <c r="I145" s="32" t="n">
        <v>0</v>
      </c>
      <c r="J145" s="32" t="n">
        <v>0</v>
      </c>
      <c r="K145" s="32" t="n">
        <v>0</v>
      </c>
      <c r="L145" s="32" t="n">
        <v>0</v>
      </c>
      <c r="M145" s="32" t="n">
        <v>0</v>
      </c>
    </row>
    <row r="146">
      <c r="A146" s="31" t="inlineStr">
        <is>
          <t>Đánh giá BĐSĐT theo giá trị hợp lý</t>
        </is>
      </c>
      <c r="B146" s="32" t="n">
        <v>0</v>
      </c>
      <c r="C146" s="32" t="n">
        <v>0</v>
      </c>
      <c r="D146" s="32" t="n">
        <v>0</v>
      </c>
      <c r="E146" s="32" t="n">
        <v>0</v>
      </c>
      <c r="F146" s="32" t="n">
        <v>0</v>
      </c>
      <c r="G146" s="32" t="n">
        <v>0</v>
      </c>
      <c r="H146" s="32" t="n">
        <v>0</v>
      </c>
      <c r="I146" s="32" t="n">
        <v>0</v>
      </c>
      <c r="J146" s="32" t="n">
        <v>0</v>
      </c>
      <c r="K146" s="32" t="n">
        <v>0</v>
      </c>
      <c r="L146" s="32" t="n">
        <v>0</v>
      </c>
      <c r="M146" s="32" t="n">
        <v>0</v>
      </c>
    </row>
    <row r="147">
      <c r="A147" s="31" t="inlineStr">
        <is>
          <t>Cầm cố, thế chấp, kỹ quỹ, Ký cược dài hạn</t>
        </is>
      </c>
      <c r="B147" s="32" t="n">
        <v>0</v>
      </c>
      <c r="C147" s="32" t="n">
        <v>0</v>
      </c>
      <c r="D147" s="32" t="n">
        <v>0</v>
      </c>
      <c r="E147" s="32" t="n">
        <v>0</v>
      </c>
      <c r="F147" s="32" t="n">
        <v>195229298800</v>
      </c>
      <c r="G147" s="32" t="n">
        <v>195229298800</v>
      </c>
      <c r="H147" s="32" t="n">
        <v>195249298800</v>
      </c>
      <c r="I147" s="32" t="n">
        <v>195249298800</v>
      </c>
      <c r="J147" s="32" t="n">
        <v>188568424402</v>
      </c>
      <c r="K147" s="32" t="n">
        <v>183408219803</v>
      </c>
      <c r="L147" s="32" t="n">
        <v>183432219803</v>
      </c>
      <c r="M147" s="32" t="n">
        <v>173109481800</v>
      </c>
    </row>
    <row r="148">
      <c r="A148" s="31" t="inlineStr">
        <is>
          <t>Dự phòng suy giảm giá trị tài sản dài hạn</t>
        </is>
      </c>
      <c r="B148" s="32" t="n">
        <v>0</v>
      </c>
      <c r="C148" s="32" t="n">
        <v>0</v>
      </c>
      <c r="D148" s="32" t="n">
        <v>0</v>
      </c>
      <c r="E148" s="32" t="n">
        <v>0</v>
      </c>
      <c r="F148" s="32" t="n">
        <v>0</v>
      </c>
      <c r="G148" s="32" t="n">
        <v>0</v>
      </c>
      <c r="H148" s="32" t="n">
        <v>0</v>
      </c>
      <c r="I148" s="32" t="n">
        <v>0</v>
      </c>
      <c r="J148" s="32" t="n">
        <v>0</v>
      </c>
      <c r="K148" s="32" t="n">
        <v>0</v>
      </c>
      <c r="L148" s="32" t="n">
        <v>0</v>
      </c>
      <c r="M148" s="32" t="n">
        <v>0</v>
      </c>
    </row>
    <row r="149">
      <c r="A149" s="31" t="inlineStr">
        <is>
          <t>Vay ngắn hạn</t>
        </is>
      </c>
      <c r="B149" s="32" t="n">
        <v>200000000000</v>
      </c>
      <c r="C149" s="32" t="n">
        <v>0</v>
      </c>
      <c r="D149" s="32" t="n">
        <v>0</v>
      </c>
      <c r="E149" s="32" t="n">
        <v>296632000000</v>
      </c>
      <c r="F149" s="32" t="n">
        <v>18250517591201</v>
      </c>
      <c r="G149" s="32" t="n">
        <v>20522995942980</v>
      </c>
      <c r="H149" s="32" t="n">
        <v>23174721054788</v>
      </c>
      <c r="I149" s="32" t="n">
        <v>27437860000000</v>
      </c>
      <c r="J149" s="32" t="n">
        <v>30374680600000</v>
      </c>
      <c r="K149" s="32" t="n">
        <v>31079695096211</v>
      </c>
      <c r="L149" s="32" t="n">
        <v>37356285415843</v>
      </c>
      <c r="M149" s="32" t="n">
        <v>48116836647405</v>
      </c>
    </row>
    <row r="150">
      <c r="A150" s="31" t="inlineStr">
        <is>
          <t>Nợ thuê tài sản tài chính ngắn hạn</t>
        </is>
      </c>
      <c r="B150" s="32" t="n">
        <v>0</v>
      </c>
      <c r="C150" s="32" t="n">
        <v>0</v>
      </c>
      <c r="D150" s="32" t="n">
        <v>0</v>
      </c>
      <c r="E150" s="32" t="n">
        <v>0</v>
      </c>
      <c r="F150" s="32" t="n">
        <v>0</v>
      </c>
      <c r="G150" s="32" t="n">
        <v>0</v>
      </c>
      <c r="H150" s="32" t="n">
        <v>0</v>
      </c>
      <c r="I150" s="32" t="n">
        <v>0</v>
      </c>
      <c r="J150" s="32" t="n">
        <v>0</v>
      </c>
      <c r="K150" s="32" t="n">
        <v>0</v>
      </c>
      <c r="L150" s="32" t="n">
        <v>0</v>
      </c>
      <c r="M150" s="32" t="n">
        <v>0</v>
      </c>
    </row>
    <row r="151">
      <c r="A151" s="31" t="inlineStr">
        <is>
          <t>Vay tài sản tài chính ngắn hạn</t>
        </is>
      </c>
      <c r="B151" s="32" t="n">
        <v>0</v>
      </c>
      <c r="C151" s="32" t="n">
        <v>0</v>
      </c>
      <c r="D151" s="32" t="n">
        <v>0</v>
      </c>
      <c r="E151" s="32" t="n">
        <v>0</v>
      </c>
      <c r="F151" s="32" t="n">
        <v>0</v>
      </c>
      <c r="G151" s="32" t="n">
        <v>0</v>
      </c>
      <c r="H151" s="32" t="n">
        <v>0</v>
      </c>
      <c r="I151" s="32" t="n">
        <v>0</v>
      </c>
      <c r="J151" s="32" t="n">
        <v>0</v>
      </c>
      <c r="K151" s="32" t="n">
        <v>0</v>
      </c>
      <c r="L151" s="32" t="n">
        <v>0</v>
      </c>
      <c r="M151" s="32" t="n">
        <v>0</v>
      </c>
    </row>
    <row r="152">
      <c r="A152" s="31" t="inlineStr">
        <is>
          <t>Trái phiếu chuyển đổi ngắn hạn - Cấu phần nợ</t>
        </is>
      </c>
      <c r="B152" s="32" t="n">
        <v>0</v>
      </c>
      <c r="C152" s="32" t="n">
        <v>0</v>
      </c>
      <c r="D152" s="32" t="n">
        <v>0</v>
      </c>
      <c r="E152" s="32" t="n">
        <v>0</v>
      </c>
      <c r="F152" s="32" t="n">
        <v>0</v>
      </c>
      <c r="G152" s="32" t="n">
        <v>0</v>
      </c>
      <c r="H152" s="32" t="n">
        <v>0</v>
      </c>
      <c r="I152" s="32" t="n">
        <v>0</v>
      </c>
      <c r="J152" s="32" t="n">
        <v>0</v>
      </c>
      <c r="K152" s="32" t="n">
        <v>0</v>
      </c>
      <c r="L152" s="32" t="n">
        <v>0</v>
      </c>
      <c r="M152" s="32" t="n">
        <v>0</v>
      </c>
    </row>
    <row r="153">
      <c r="A153" s="31" t="inlineStr">
        <is>
          <t>Trái phiếu phát hành ngắn hạn</t>
        </is>
      </c>
      <c r="B153" s="32" t="n">
        <v>0</v>
      </c>
      <c r="C153" s="32" t="n">
        <v>430270759592</v>
      </c>
      <c r="D153" s="32" t="n">
        <v>0</v>
      </c>
      <c r="E153" s="32" t="n">
        <v>428824687865</v>
      </c>
      <c r="F153" s="32" t="n">
        <v>750752043752</v>
      </c>
      <c r="G153" s="32" t="n">
        <v>3574904342006</v>
      </c>
      <c r="H153" s="32" t="n">
        <v>4575774631775</v>
      </c>
      <c r="I153" s="32" t="n">
        <v>4569226462759</v>
      </c>
      <c r="J153" s="32" t="n">
        <v>4367616583545</v>
      </c>
      <c r="K153" s="32" t="n">
        <v>1504310847194</v>
      </c>
      <c r="L153" s="32" t="n">
        <v>1506600187326</v>
      </c>
      <c r="M153" s="32" t="n">
        <v>1068946226501</v>
      </c>
    </row>
    <row r="154">
      <c r="A154" s="31" t="inlineStr">
        <is>
          <t>Vay Quỹ Hỗ trợ thanh toán</t>
        </is>
      </c>
      <c r="B154" s="32" t="n">
        <v>0</v>
      </c>
      <c r="C154" s="32" t="n">
        <v>0</v>
      </c>
      <c r="D154" s="32" t="n">
        <v>0</v>
      </c>
      <c r="E154" s="32" t="n">
        <v>0</v>
      </c>
      <c r="F154" s="32" t="n">
        <v>0</v>
      </c>
      <c r="G154" s="32" t="n">
        <v>0</v>
      </c>
      <c r="H154" s="32" t="n">
        <v>0</v>
      </c>
      <c r="I154" s="32" t="n">
        <v>0</v>
      </c>
      <c r="J154" s="32" t="n">
        <v>0</v>
      </c>
      <c r="K154" s="32" t="n">
        <v>0</v>
      </c>
      <c r="L154" s="32" t="n">
        <v>0</v>
      </c>
      <c r="M154" s="32" t="n">
        <v>0</v>
      </c>
    </row>
    <row r="155">
      <c r="A155" s="31" t="inlineStr">
        <is>
          <t>Phải trả về lỗi giao dịch các tài sản tài chính</t>
        </is>
      </c>
      <c r="B155" s="32" t="n">
        <v>0</v>
      </c>
      <c r="C155" s="32" t="n">
        <v>0</v>
      </c>
      <c r="D155" s="32" t="n">
        <v>0</v>
      </c>
      <c r="E155" s="32" t="n">
        <v>0</v>
      </c>
      <c r="F155" s="32" t="n">
        <v>0</v>
      </c>
      <c r="G155" s="32" t="n">
        <v>0</v>
      </c>
      <c r="H155" s="32" t="n">
        <v>0</v>
      </c>
      <c r="I155" s="32" t="n">
        <v>0</v>
      </c>
      <c r="J155" s="32" t="n">
        <v>0</v>
      </c>
      <c r="K155" s="32" t="n">
        <v>0</v>
      </c>
      <c r="L155" s="32" t="n">
        <v>0</v>
      </c>
      <c r="M155" s="32" t="n">
        <v>0</v>
      </c>
    </row>
    <row r="156">
      <c r="A156" s="31" t="inlineStr">
        <is>
          <t>Các khoản trích nộp phúc lợi nhân viên</t>
        </is>
      </c>
      <c r="B156" s="32" t="n">
        <v>0</v>
      </c>
      <c r="C156" s="32" t="n">
        <v>0</v>
      </c>
      <c r="D156" s="32" t="n">
        <v>0</v>
      </c>
      <c r="E156" s="32" t="n">
        <v>0</v>
      </c>
      <c r="F156" s="32" t="n">
        <v>293010840</v>
      </c>
      <c r="G156" s="32" t="n">
        <v>756498450</v>
      </c>
      <c r="H156" s="32" t="n">
        <v>1187635780</v>
      </c>
      <c r="I156" s="32" t="n">
        <v>530182180</v>
      </c>
      <c r="J156" s="32" t="n">
        <v>903316495</v>
      </c>
      <c r="K156" s="32" t="n">
        <v>1459010095</v>
      </c>
      <c r="L156" s="32" t="n">
        <v>332586330</v>
      </c>
      <c r="M156" s="32" t="n">
        <v>2664699420</v>
      </c>
    </row>
    <row r="157">
      <c r="A157" s="31" t="inlineStr">
        <is>
          <t>Nhận ký quỹ, ký cược ngắn hạn</t>
        </is>
      </c>
      <c r="B157" s="32" t="n">
        <v>1098350360</v>
      </c>
      <c r="C157" s="32" t="n">
        <v>460123730</v>
      </c>
      <c r="D157" s="32" t="n">
        <v>0</v>
      </c>
      <c r="E157" s="32" t="n">
        <v>501325412</v>
      </c>
      <c r="F157" s="32" t="n">
        <v>0</v>
      </c>
      <c r="G157" s="32" t="n">
        <v>0</v>
      </c>
      <c r="H157" s="32" t="n">
        <v>0</v>
      </c>
      <c r="I157" s="32" t="n">
        <v>0</v>
      </c>
      <c r="J157" s="32" t="n">
        <v>0</v>
      </c>
      <c r="K157" s="32" t="n">
        <v>0</v>
      </c>
      <c r="L157" s="32" t="n">
        <v>0</v>
      </c>
      <c r="M157" s="32" t="n">
        <v>0</v>
      </c>
    </row>
    <row r="158">
      <c r="A158" s="31" t="inlineStr">
        <is>
          <t>Vay dài hạn</t>
        </is>
      </c>
      <c r="B158" s="32" t="n">
        <v>0</v>
      </c>
      <c r="C158" s="32" t="n">
        <v>0</v>
      </c>
      <c r="D158" s="32" t="n">
        <v>0</v>
      </c>
      <c r="E158" s="32" t="n">
        <v>0</v>
      </c>
      <c r="F158" s="32" t="n">
        <v>0</v>
      </c>
      <c r="G158" s="32" t="n">
        <v>0</v>
      </c>
      <c r="H158" s="32" t="n">
        <v>0</v>
      </c>
      <c r="I158" s="32" t="n">
        <v>0</v>
      </c>
      <c r="J158" s="32" t="n">
        <v>0</v>
      </c>
      <c r="K158" s="32" t="n">
        <v>0</v>
      </c>
      <c r="L158" s="32" t="n">
        <v>1092556605020</v>
      </c>
      <c r="M158" s="32" t="n">
        <v>1314886041778</v>
      </c>
    </row>
    <row r="159">
      <c r="A159" s="31" t="inlineStr">
        <is>
          <t>Nợ thuê tài chính dài hạn</t>
        </is>
      </c>
      <c r="B159" s="32" t="n">
        <v>0</v>
      </c>
      <c r="C159" s="32" t="n">
        <v>0</v>
      </c>
      <c r="D159" s="32" t="n">
        <v>0</v>
      </c>
      <c r="E159" s="32" t="n">
        <v>0</v>
      </c>
      <c r="F159" s="32" t="n">
        <v>0</v>
      </c>
      <c r="G159" s="32" t="n">
        <v>0</v>
      </c>
      <c r="H159" s="32" t="n">
        <v>0</v>
      </c>
      <c r="I159" s="32" t="n">
        <v>0</v>
      </c>
      <c r="J159" s="32" t="n">
        <v>0</v>
      </c>
      <c r="K159" s="32" t="n">
        <v>0</v>
      </c>
      <c r="L159" s="32" t="n">
        <v>0</v>
      </c>
      <c r="M159" s="32" t="n">
        <v>0</v>
      </c>
    </row>
    <row r="160">
      <c r="A160" s="31" t="inlineStr">
        <is>
          <t>Vay tài sản tài chính dài hạn</t>
        </is>
      </c>
      <c r="B160" s="32" t="n">
        <v>0</v>
      </c>
      <c r="C160" s="32" t="n">
        <v>0</v>
      </c>
      <c r="D160" s="32" t="n">
        <v>0</v>
      </c>
      <c r="E160" s="32" t="n">
        <v>0</v>
      </c>
      <c r="F160" s="32" t="n">
        <v>0</v>
      </c>
      <c r="G160" s="32" t="n">
        <v>0</v>
      </c>
      <c r="H160" s="32" t="n">
        <v>0</v>
      </c>
      <c r="I160" s="32" t="n">
        <v>0</v>
      </c>
      <c r="J160" s="32" t="n">
        <v>0</v>
      </c>
      <c r="K160" s="32" t="n">
        <v>0</v>
      </c>
      <c r="L160" s="32" t="n">
        <v>0</v>
      </c>
      <c r="M160" s="32" t="n">
        <v>0</v>
      </c>
    </row>
    <row r="161">
      <c r="A161" s="31" t="inlineStr">
        <is>
          <t>Trái phiếu phát hành dài hạn</t>
        </is>
      </c>
      <c r="B161" s="32" t="n">
        <v>301768689893</v>
      </c>
      <c r="C161" s="32" t="n">
        <v>0</v>
      </c>
      <c r="D161" s="32" t="n">
        <v>429547723728</v>
      </c>
      <c r="E161" s="32" t="n">
        <v>139221796503</v>
      </c>
      <c r="F161" s="32" t="n">
        <v>3873429871913</v>
      </c>
      <c r="G161" s="32" t="n">
        <v>1006350476843</v>
      </c>
      <c r="H161" s="32" t="n">
        <v>4356492964</v>
      </c>
      <c r="I161" s="32" t="n">
        <v>1500054759542</v>
      </c>
      <c r="J161" s="32" t="n">
        <v>999945833336</v>
      </c>
      <c r="K161" s="32" t="n">
        <v>1509970833337</v>
      </c>
      <c r="L161" s="32" t="n">
        <v>1500486354280</v>
      </c>
      <c r="M161" s="32" t="n">
        <v>2000000000000</v>
      </c>
    </row>
    <row r="162">
      <c r="A162" s="31" t="inlineStr">
        <is>
          <t>Nhận ký quỹ, ký cược dài hạn</t>
        </is>
      </c>
      <c r="B162" s="32" t="n">
        <v>0</v>
      </c>
      <c r="C162" s="32" t="n">
        <v>0</v>
      </c>
      <c r="D162" s="32" t="n">
        <v>0</v>
      </c>
      <c r="E162" s="32" t="n">
        <v>0</v>
      </c>
      <c r="F162" s="32" t="n">
        <v>0</v>
      </c>
      <c r="G162" s="32" t="n">
        <v>0</v>
      </c>
      <c r="H162" s="32" t="n">
        <v>0</v>
      </c>
      <c r="I162" s="32" t="n">
        <v>0</v>
      </c>
      <c r="J162" s="32" t="n">
        <v>0</v>
      </c>
      <c r="K162" s="32" t="n">
        <v>0</v>
      </c>
      <c r="L162" s="32" t="n">
        <v>0</v>
      </c>
      <c r="M162" s="32" t="n">
        <v>0</v>
      </c>
    </row>
    <row r="163">
      <c r="A163" s="31" t="inlineStr">
        <is>
          <t>Vốn đầu tư của chủ sở hữu</t>
        </is>
      </c>
      <c r="B163" s="32" t="n">
        <v>1000000000000</v>
      </c>
      <c r="C163" s="32" t="n">
        <v>1000000000000</v>
      </c>
      <c r="D163" s="32" t="n">
        <v>1000000000000</v>
      </c>
      <c r="E163" s="32" t="n">
        <v>1058201050000</v>
      </c>
      <c r="F163" s="32" t="n">
        <v>11371156800000</v>
      </c>
      <c r="G163" s="32" t="n">
        <v>19613221200000</v>
      </c>
      <c r="H163" s="32" t="n">
        <v>19613221200000</v>
      </c>
      <c r="I163" s="32" t="n">
        <v>20989935113085</v>
      </c>
      <c r="J163" s="32" t="n">
        <v>31720060628518</v>
      </c>
      <c r="K163" s="32" t="n">
        <v>31720060628518</v>
      </c>
      <c r="L163" s="32" t="n">
        <v>31951374947018</v>
      </c>
      <c r="M163" s="32" t="n">
        <v>36355911112125</v>
      </c>
    </row>
    <row r="164">
      <c r="A164" s="31" t="inlineStr">
        <is>
          <t>Quỹ dự trữ bổ sung vốn điều lệ</t>
        </is>
      </c>
      <c r="B164" s="32" t="n">
        <v>100000000000</v>
      </c>
      <c r="C164" s="32" t="n">
        <v>100000000000</v>
      </c>
      <c r="D164" s="32" t="n">
        <v>100000000000</v>
      </c>
      <c r="E164" s="32" t="n">
        <v>105821005000</v>
      </c>
      <c r="F164" s="32" t="n">
        <v>0</v>
      </c>
      <c r="G164" s="32" t="n">
        <v>0</v>
      </c>
      <c r="H164" s="32" t="n">
        <v>0</v>
      </c>
      <c r="I164" s="32" t="n">
        <v>0</v>
      </c>
      <c r="J164" s="32" t="n">
        <v>0</v>
      </c>
      <c r="K164" s="32" t="n">
        <v>0</v>
      </c>
      <c r="L164" s="32" t="n">
        <v>0</v>
      </c>
      <c r="M164" s="32" t="n">
        <v>0</v>
      </c>
    </row>
    <row r="165">
      <c r="A165" s="31" t="inlineStr">
        <is>
          <t>Lợi nhuận đã thực hiện</t>
        </is>
      </c>
      <c r="B165" s="32" t="n">
        <v>1333501707190</v>
      </c>
      <c r="C165" s="32" t="n">
        <v>1411050074409</v>
      </c>
      <c r="D165" s="32" t="n">
        <v>1828456853452</v>
      </c>
      <c r="E165" s="32" t="n">
        <v>1828479619119</v>
      </c>
      <c r="F165" s="32" t="n">
        <v>14165679904250</v>
      </c>
      <c r="G165" s="32" t="n">
        <v>6665324621285</v>
      </c>
      <c r="H165" s="32" t="n">
        <v>7676909714250</v>
      </c>
      <c r="I165" s="32" t="n">
        <v>9096831320287</v>
      </c>
      <c r="J165" s="32" t="n">
        <v>10713649221674</v>
      </c>
      <c r="K165" s="32" t="n">
        <v>12347939323386</v>
      </c>
      <c r="L165" s="32" t="n">
        <v>13494660535593</v>
      </c>
      <c r="M165" s="32" t="n">
        <v>9408032062368</v>
      </c>
    </row>
    <row r="166">
      <c r="A166" s="31" t="inlineStr">
        <is>
          <t>Lợi nhuận chưa thực hiện</t>
        </is>
      </c>
      <c r="B166" s="32" t="n">
        <v>0</v>
      </c>
      <c r="C166" s="32" t="n">
        <v>0</v>
      </c>
      <c r="D166" s="32" t="n">
        <v>0</v>
      </c>
      <c r="E166" s="32" t="n">
        <v>0</v>
      </c>
      <c r="F166" s="32" t="n">
        <v>18860843251</v>
      </c>
      <c r="G166" s="32" t="n">
        <v>23387708261</v>
      </c>
      <c r="H166" s="32" t="n">
        <v>22453508817</v>
      </c>
      <c r="I166" s="32" t="n">
        <v>22605732664</v>
      </c>
      <c r="J166" s="32" t="n">
        <v>25313233866</v>
      </c>
      <c r="K166" s="32" t="n">
        <v>24104861268</v>
      </c>
      <c r="L166" s="32" t="n">
        <v>25017078553</v>
      </c>
      <c r="M166" s="32" t="n">
        <v>24614338246</v>
      </c>
    </row>
    <row r="167">
      <c r="A167" s="31" t="inlineStr">
        <is>
          <t>Tài sản cố định thuê ngoài</t>
        </is>
      </c>
      <c r="B167" s="32" t="n">
        <v>0</v>
      </c>
      <c r="C167" s="32" t="n">
        <v>0</v>
      </c>
      <c r="D167" s="32" t="n">
        <v>0</v>
      </c>
      <c r="E167" s="32" t="n">
        <v>0</v>
      </c>
      <c r="F167" s="32" t="n">
        <v>0</v>
      </c>
      <c r="G167" s="32" t="n">
        <v>0</v>
      </c>
      <c r="H167" s="32" t="n">
        <v>0</v>
      </c>
      <c r="I167" s="32" t="n">
        <v>0</v>
      </c>
      <c r="J167" s="32" t="n">
        <v>0</v>
      </c>
      <c r="K167" s="32" t="n">
        <v>0</v>
      </c>
      <c r="L167" s="32" t="n">
        <v>0</v>
      </c>
      <c r="M167" s="32" t="n">
        <v>0</v>
      </c>
    </row>
    <row r="168">
      <c r="A168" s="31" t="inlineStr">
        <is>
          <t>Chứng chỉ có giá nhận giữ hộ</t>
        </is>
      </c>
      <c r="B168" s="32" t="n">
        <v>0</v>
      </c>
      <c r="C168" s="32" t="n">
        <v>0</v>
      </c>
      <c r="D168" s="32" t="n">
        <v>0</v>
      </c>
      <c r="E168" s="32" t="n">
        <v>0</v>
      </c>
      <c r="F168" s="32" t="n">
        <v>0</v>
      </c>
      <c r="G168" s="32" t="n">
        <v>0</v>
      </c>
      <c r="H168" s="32" t="n">
        <v>0</v>
      </c>
      <c r="I168" s="32" t="n">
        <v>0</v>
      </c>
      <c r="J168" s="32" t="n">
        <v>0</v>
      </c>
      <c r="K168" s="32" t="n">
        <v>0</v>
      </c>
      <c r="L168" s="32" t="n">
        <v>0</v>
      </c>
      <c r="M168" s="32" t="n">
        <v>0</v>
      </c>
    </row>
    <row r="169">
      <c r="A169" s="31" t="inlineStr">
        <is>
          <t>Tài sản nhận thế chấp</t>
        </is>
      </c>
      <c r="B169" s="32" t="n">
        <v>0</v>
      </c>
      <c r="C169" s="32" t="n">
        <v>0</v>
      </c>
      <c r="D169" s="32" t="n">
        <v>0</v>
      </c>
      <c r="E169" s="32" t="n">
        <v>0</v>
      </c>
      <c r="F169" s="32" t="n">
        <v>0</v>
      </c>
      <c r="G169" s="32" t="n">
        <v>0</v>
      </c>
      <c r="H169" s="32" t="n">
        <v>0</v>
      </c>
      <c r="I169" s="32" t="n">
        <v>0</v>
      </c>
      <c r="J169" s="32" t="n">
        <v>0</v>
      </c>
      <c r="K169" s="32" t="n">
        <v>0</v>
      </c>
      <c r="L169" s="32" t="n">
        <v>0</v>
      </c>
      <c r="M169" s="32" t="n">
        <v>0</v>
      </c>
    </row>
    <row r="170">
      <c r="A170" s="31" t="inlineStr">
        <is>
          <t>Nợ khó đòi đã xử lý</t>
        </is>
      </c>
      <c r="B170" s="32" t="n">
        <v>0</v>
      </c>
      <c r="C170" s="32" t="n">
        <v>0</v>
      </c>
      <c r="D170" s="32" t="n">
        <v>0</v>
      </c>
      <c r="E170" s="32" t="n">
        <v>0</v>
      </c>
      <c r="F170" s="32" t="n">
        <v>0</v>
      </c>
      <c r="G170" s="32" t="n">
        <v>0</v>
      </c>
      <c r="H170" s="32" t="n">
        <v>0</v>
      </c>
      <c r="I170" s="32" t="n">
        <v>0</v>
      </c>
      <c r="J170" s="32" t="n">
        <v>0</v>
      </c>
      <c r="K170" s="32" t="n">
        <v>0</v>
      </c>
      <c r="L170" s="32" t="n">
        <v>0</v>
      </c>
      <c r="M170" s="32" t="n">
        <v>0</v>
      </c>
    </row>
    <row r="171">
      <c r="A171" s="31" t="inlineStr">
        <is>
          <t>Ngoại tệ các loại</t>
        </is>
      </c>
      <c r="B171" s="32" t="n">
        <v>0</v>
      </c>
      <c r="C171" s="32" t="n">
        <v>0</v>
      </c>
      <c r="D171" s="32" t="n">
        <v>0</v>
      </c>
      <c r="E171" s="32" t="n">
        <v>0</v>
      </c>
      <c r="F171" s="32" t="n">
        <v>0</v>
      </c>
      <c r="G171" s="32" t="n">
        <v>0</v>
      </c>
      <c r="H171" s="32" t="n">
        <v>0</v>
      </c>
      <c r="I171" s="32" t="n">
        <v>0</v>
      </c>
      <c r="J171" s="32" t="n">
        <v>0</v>
      </c>
      <c r="K171" s="32" t="n">
        <v>0</v>
      </c>
      <c r="L171" s="32" t="n">
        <v>0</v>
      </c>
      <c r="M171" s="32" t="n">
        <v>0</v>
      </c>
    </row>
    <row r="172">
      <c r="A172" s="31" t="inlineStr">
        <is>
          <t>Cổ phiếu đang lưu hành (Số lượng)</t>
        </is>
      </c>
      <c r="B172" s="32" t="n">
        <v>0</v>
      </c>
      <c r="C172" s="32" t="n">
        <v>0</v>
      </c>
      <c r="D172" s="32" t="n">
        <v>0</v>
      </c>
      <c r="E172" s="32" t="n">
        <v>0</v>
      </c>
      <c r="F172" s="32" t="n">
        <v>217924680</v>
      </c>
      <c r="G172" s="32" t="n">
        <v>1961322120</v>
      </c>
      <c r="H172" s="32" t="n">
        <v>1961322120</v>
      </c>
      <c r="I172" s="32" t="n">
        <v>2080158021</v>
      </c>
      <c r="J172" s="32" t="n">
        <v>2311308021</v>
      </c>
      <c r="K172" s="32" t="n">
        <v>2311308021</v>
      </c>
      <c r="L172" s="32" t="n">
        <v>2311583496</v>
      </c>
      <c r="M172" s="32" t="n">
        <v>2773896803</v>
      </c>
    </row>
    <row r="173">
      <c r="A173" s="31" t="inlineStr">
        <is>
          <t>Cổ phiếu quỹ (Số lượng)</t>
        </is>
      </c>
      <c r="B173" s="32" t="n">
        <v>0</v>
      </c>
      <c r="C173" s="32" t="n">
        <v>0</v>
      </c>
      <c r="D173" s="32" t="n">
        <v>0</v>
      </c>
      <c r="E173" s="32" t="n">
        <v>0</v>
      </c>
      <c r="F173" s="32" t="n">
        <v>0</v>
      </c>
      <c r="G173" s="32" t="n">
        <v>0</v>
      </c>
      <c r="H173" s="32" t="n">
        <v>0</v>
      </c>
      <c r="I173" s="32" t="n">
        <v>0</v>
      </c>
      <c r="J173" s="32" t="n">
        <v>0</v>
      </c>
      <c r="K173" s="32" t="n">
        <v>0</v>
      </c>
      <c r="L173" s="32" t="n">
        <v>0</v>
      </c>
      <c r="M173" s="32" t="n">
        <v>0</v>
      </c>
    </row>
    <row r="174">
      <c r="A174" s="31" t="inlineStr">
        <is>
          <t>Tài sản tài chính niêm yết/đăng ký giao dịch tại VSD của CTCK</t>
        </is>
      </c>
      <c r="B174" s="32" t="n">
        <v>766676200000</v>
      </c>
      <c r="C174" s="32" t="n">
        <v>394141600000</v>
      </c>
      <c r="D174" s="32" t="n">
        <v>634351200000</v>
      </c>
      <c r="E174" s="32" t="n">
        <v>778395390000</v>
      </c>
      <c r="F174" s="32" t="n">
        <v>11451512840000</v>
      </c>
      <c r="G174" s="32" t="n">
        <v>17055403900000</v>
      </c>
      <c r="H174" s="32" t="n">
        <v>8869668060000</v>
      </c>
      <c r="I174" s="32" t="n">
        <v>15060085260000</v>
      </c>
      <c r="J174" s="32" t="n">
        <v>12304136260000</v>
      </c>
      <c r="K174" s="32" t="n">
        <v>22556742060000</v>
      </c>
      <c r="L174" s="32" t="n">
        <v>14592300130000</v>
      </c>
      <c r="M174" s="32" t="n">
        <v>25479978420000</v>
      </c>
    </row>
    <row r="175">
      <c r="A175" s="31" t="inlineStr">
        <is>
          <t>Tài sản tài chính đã lưu ký tại VSD và chưa giao dịch của CTCK</t>
        </is>
      </c>
      <c r="B175" s="32" t="n">
        <v>0</v>
      </c>
      <c r="C175" s="32" t="n">
        <v>0</v>
      </c>
      <c r="D175" s="32" t="n">
        <v>47503800000</v>
      </c>
      <c r="E175" s="32" t="n">
        <v>22308300000</v>
      </c>
      <c r="F175" s="32" t="n">
        <v>0</v>
      </c>
      <c r="G175" s="32" t="n">
        <v>20000</v>
      </c>
      <c r="H175" s="32" t="n">
        <v>6490000010000</v>
      </c>
      <c r="I175" s="32" t="n">
        <v>3720000</v>
      </c>
      <c r="J175" s="32" t="n">
        <v>851360000</v>
      </c>
      <c r="K175" s="32" t="n">
        <v>2720000</v>
      </c>
      <c r="L175" s="32" t="n">
        <v>14592300130000</v>
      </c>
      <c r="M175" s="32" t="n">
        <v>6001773240000</v>
      </c>
    </row>
    <row r="176">
      <c r="A176" s="31" t="inlineStr">
        <is>
          <t>Tài sản tài chính chờ về của CTCK</t>
        </is>
      </c>
      <c r="B176" s="32" t="n">
        <v>0</v>
      </c>
      <c r="C176" s="32" t="n">
        <v>244512743352</v>
      </c>
      <c r="D176" s="32" t="n">
        <v>12470142282</v>
      </c>
      <c r="E176" s="32" t="n">
        <v>72019501643</v>
      </c>
      <c r="F176" s="32" t="n">
        <v>64487000000</v>
      </c>
      <c r="G176" s="32" t="n">
        <v>7282100000</v>
      </c>
      <c r="H176" s="32" t="n">
        <v>10938880000</v>
      </c>
      <c r="I176" s="32" t="n">
        <v>23629500000</v>
      </c>
      <c r="J176" s="32" t="n">
        <v>1658196400000</v>
      </c>
      <c r="K176" s="32" t="n">
        <v>1860100000</v>
      </c>
      <c r="L176" s="32" t="n">
        <v>12217100000</v>
      </c>
      <c r="M176" s="32" t="n">
        <v>17904000000</v>
      </c>
    </row>
    <row r="177">
      <c r="A177" s="31" t="inlineStr">
        <is>
          <t>Tài sản tài chính sửa lỗi giao dịch của CTCK</t>
        </is>
      </c>
      <c r="B177" s="32" t="n">
        <v>0</v>
      </c>
      <c r="C177" s="32" t="n">
        <v>0</v>
      </c>
      <c r="D177" s="32" t="n">
        <v>0</v>
      </c>
      <c r="E177" s="32" t="n">
        <v>0</v>
      </c>
      <c r="F177" s="32" t="n">
        <v>0</v>
      </c>
      <c r="G177" s="32" t="n">
        <v>0</v>
      </c>
      <c r="H177" s="32" t="n">
        <v>0</v>
      </c>
      <c r="I177" s="32" t="n">
        <v>0</v>
      </c>
      <c r="J177" s="32" t="n">
        <v>0</v>
      </c>
      <c r="K177" s="32" t="n">
        <v>0</v>
      </c>
      <c r="L177" s="32" t="n">
        <v>0</v>
      </c>
      <c r="M177" s="32" t="n">
        <v>0</v>
      </c>
    </row>
    <row r="178">
      <c r="A178" s="31" t="inlineStr">
        <is>
          <t>Tài sản tài chính chưa lưu ký tại VSD của CTCK</t>
        </is>
      </c>
      <c r="B178" s="32" t="n">
        <v>0</v>
      </c>
      <c r="C178" s="32" t="n">
        <v>0</v>
      </c>
      <c r="D178" s="32" t="n">
        <v>0</v>
      </c>
      <c r="E178" s="32" t="n">
        <v>0</v>
      </c>
      <c r="F178" s="32" t="n">
        <v>247322024800</v>
      </c>
      <c r="G178" s="32" t="n">
        <v>18786720000</v>
      </c>
      <c r="H178" s="32" t="n">
        <v>305385324800</v>
      </c>
      <c r="I178" s="32" t="n">
        <v>4673672794800</v>
      </c>
      <c r="J178" s="32" t="n">
        <v>11992972794800</v>
      </c>
      <c r="K178" s="32" t="n">
        <v>1230262890000</v>
      </c>
      <c r="L178" s="32" t="n">
        <v>16002185420000</v>
      </c>
      <c r="M178" s="32" t="n">
        <v>2772265990000</v>
      </c>
    </row>
    <row r="179">
      <c r="A179" s="31" t="inlineStr">
        <is>
          <t>Tài sản tài chính được hưởng quyền của CTCK</t>
        </is>
      </c>
      <c r="B179" s="32" t="n">
        <v>0</v>
      </c>
      <c r="C179" s="32" t="n">
        <v>0</v>
      </c>
      <c r="D179" s="32" t="n">
        <v>0</v>
      </c>
      <c r="E179" s="32" t="n">
        <v>0</v>
      </c>
      <c r="F179" s="32" t="n">
        <v>0</v>
      </c>
      <c r="G179" s="32" t="n">
        <v>0</v>
      </c>
      <c r="H179" s="32" t="n">
        <v>4510700</v>
      </c>
      <c r="I179" s="32" t="n">
        <v>0</v>
      </c>
      <c r="J179" s="32" t="n">
        <v>0</v>
      </c>
      <c r="K179" s="32" t="n">
        <v>0</v>
      </c>
      <c r="L179" s="32" t="n">
        <v>0</v>
      </c>
      <c r="M179" s="32" t="n">
        <v>0</v>
      </c>
    </row>
    <row r="180">
      <c r="A180" s="31" t="inlineStr">
        <is>
          <t>Tài sản tài chính niêm yết/đăng ký giao dịch tại VSD của NĐT</t>
        </is>
      </c>
      <c r="B180" s="32" t="n">
        <v>44594764650000</v>
      </c>
      <c r="C180" s="32" t="n">
        <v>50235454220000</v>
      </c>
      <c r="D180" s="32" t="n">
        <v>79620288960000</v>
      </c>
      <c r="E180" s="32" t="n">
        <v>94934605390000</v>
      </c>
      <c r="F180" s="32" t="n">
        <v>232495994033500</v>
      </c>
      <c r="G180" s="32" t="n">
        <v>231123600446000</v>
      </c>
      <c r="H180" s="32" t="n">
        <v>240808383098000</v>
      </c>
      <c r="I180" s="32" t="n">
        <v>272320283940000</v>
      </c>
      <c r="J180" s="32" t="n">
        <v>289765371720000</v>
      </c>
      <c r="K180" s="32" t="n">
        <v>325307278790000</v>
      </c>
      <c r="L180" s="32" t="n">
        <v>343116345880000</v>
      </c>
      <c r="M180" s="32" t="n">
        <v>321905725570000</v>
      </c>
    </row>
    <row r="181">
      <c r="A181" s="31" t="inlineStr">
        <is>
          <t>Tài sản tài chính giao dịch tự do chuyển nhượng</t>
        </is>
      </c>
      <c r="B181" s="32" t="n">
        <v>30918569180000</v>
      </c>
      <c r="C181" s="32" t="n">
        <v>38169240510000</v>
      </c>
      <c r="D181" s="32" t="n">
        <v>46167583220000</v>
      </c>
      <c r="E181" s="32" t="n">
        <v>58485825130000</v>
      </c>
      <c r="F181" s="32" t="n">
        <v>157666485443500</v>
      </c>
      <c r="G181" s="32" t="n">
        <v>141951366816000</v>
      </c>
      <c r="H181" s="32" t="n">
        <v>150290250098000</v>
      </c>
      <c r="I181" s="32" t="n">
        <v>183797882200000</v>
      </c>
      <c r="J181" s="32" t="n">
        <v>208931380430000</v>
      </c>
      <c r="K181" s="32" t="n">
        <v>240019596860000</v>
      </c>
      <c r="L181" s="32" t="n">
        <v>252087370070000</v>
      </c>
      <c r="M181" s="32" t="n">
        <v>228201492180000</v>
      </c>
    </row>
    <row r="182">
      <c r="A182" s="31" t="inlineStr">
        <is>
          <t>Tài sản tài chính hạn chế chuyển nhượng</t>
        </is>
      </c>
      <c r="B182" s="32" t="n">
        <v>3689205650000</v>
      </c>
      <c r="C182" s="32" t="n">
        <v>1828903290000</v>
      </c>
      <c r="D182" s="32" t="n">
        <v>20610950930000</v>
      </c>
      <c r="E182" s="32" t="n">
        <v>20565392590000</v>
      </c>
      <c r="F182" s="32" t="n">
        <v>1013021950000</v>
      </c>
      <c r="G182" s="32" t="n">
        <v>1013558230000</v>
      </c>
      <c r="H182" s="32" t="n">
        <v>862925110000</v>
      </c>
      <c r="I182" s="32" t="n">
        <v>999678440000</v>
      </c>
      <c r="J182" s="32" t="n">
        <v>851866580000</v>
      </c>
      <c r="K182" s="32" t="n">
        <v>1467945100000</v>
      </c>
      <c r="L182" s="32" t="n">
        <v>1396588880000</v>
      </c>
      <c r="M182" s="32" t="n">
        <v>1414039620000</v>
      </c>
    </row>
    <row r="183">
      <c r="A183" s="31" t="inlineStr">
        <is>
          <t>Tài sản tài chính giao dịch cầm cố</t>
        </is>
      </c>
      <c r="B183" s="32" t="n">
        <v>9917143290000</v>
      </c>
      <c r="C183" s="32" t="n">
        <v>9776840900000</v>
      </c>
      <c r="D183" s="32" t="n">
        <v>11721937590000</v>
      </c>
      <c r="E183" s="32" t="n">
        <v>14908629810000</v>
      </c>
      <c r="F183" s="32" t="n">
        <v>69789593760000</v>
      </c>
      <c r="G183" s="32" t="n">
        <v>72409443760000</v>
      </c>
      <c r="H183" s="32" t="n">
        <v>72274708260000</v>
      </c>
      <c r="I183" s="32" t="n">
        <v>69534867010000</v>
      </c>
      <c r="J183" s="32" t="n">
        <v>61922452860000</v>
      </c>
      <c r="K183" s="32" t="n">
        <v>56063707010000</v>
      </c>
      <c r="L183" s="32" t="n">
        <v>68182758330000</v>
      </c>
      <c r="M183" s="32" t="n">
        <v>76380714340000</v>
      </c>
    </row>
    <row r="184">
      <c r="A184" s="31" t="inlineStr">
        <is>
          <t>Tài sản tài chính phong tỏa, tạm giữ</t>
        </is>
      </c>
      <c r="B184" s="32" t="n">
        <v>0</v>
      </c>
      <c r="C184" s="32" t="n">
        <v>0</v>
      </c>
      <c r="D184" s="32" t="n">
        <v>877569690000</v>
      </c>
      <c r="E184" s="32" t="n">
        <v>877569690000</v>
      </c>
      <c r="F184" s="32" t="n">
        <v>2664032170000</v>
      </c>
      <c r="G184" s="32" t="n">
        <v>15028179710000</v>
      </c>
      <c r="H184" s="32" t="n">
        <v>15852637570000</v>
      </c>
      <c r="I184" s="32" t="n">
        <v>16751028930000</v>
      </c>
      <c r="J184" s="32" t="n">
        <v>16384812940000</v>
      </c>
      <c r="K184" s="32" t="n">
        <v>26601662760000</v>
      </c>
      <c r="L184" s="32" t="n">
        <v>19897594570000</v>
      </c>
      <c r="M184" s="32" t="n">
        <v>15036072530000</v>
      </c>
    </row>
    <row r="185">
      <c r="A185" s="31" t="inlineStr">
        <is>
          <t>Tài sản tài chính chờ thanh toán</t>
        </is>
      </c>
      <c r="B185" s="32" t="n">
        <v>69846530000</v>
      </c>
      <c r="C185" s="32" t="n">
        <v>460469520000</v>
      </c>
      <c r="D185" s="32" t="n">
        <v>242247530000</v>
      </c>
      <c r="E185" s="32" t="n">
        <v>97188170000</v>
      </c>
      <c r="F185" s="32" t="n">
        <v>1362860710000</v>
      </c>
      <c r="G185" s="32" t="n">
        <v>721051930000</v>
      </c>
      <c r="H185" s="32" t="n">
        <v>1527862060000</v>
      </c>
      <c r="I185" s="32" t="n">
        <v>1236827360000</v>
      </c>
      <c r="J185" s="32" t="n">
        <v>1674858910000</v>
      </c>
      <c r="K185" s="32" t="n">
        <v>1154367060000</v>
      </c>
      <c r="L185" s="32" t="n">
        <v>1552034030000</v>
      </c>
      <c r="M185" s="32" t="n">
        <v>873406900000</v>
      </c>
    </row>
    <row r="186">
      <c r="A186" s="31" t="inlineStr">
        <is>
          <t>Tài sản tài chính chờ cho vay</t>
        </is>
      </c>
      <c r="B186" s="32" t="n">
        <v>0</v>
      </c>
      <c r="C186" s="32" t="n">
        <v>0</v>
      </c>
      <c r="D186" s="32" t="n">
        <v>0</v>
      </c>
      <c r="E186" s="32" t="n">
        <v>0</v>
      </c>
      <c r="F186" s="32" t="n">
        <v>0</v>
      </c>
      <c r="G186" s="32" t="n">
        <v>0</v>
      </c>
      <c r="H186" s="32" t="n">
        <v>0</v>
      </c>
      <c r="I186" s="32" t="n">
        <v>0</v>
      </c>
      <c r="J186" s="32" t="n">
        <v>0</v>
      </c>
      <c r="K186" s="32" t="n">
        <v>0</v>
      </c>
      <c r="L186" s="32" t="n">
        <v>0</v>
      </c>
      <c r="M186" s="32" t="n">
        <v>0</v>
      </c>
    </row>
    <row r="187">
      <c r="A187" s="31" t="inlineStr">
        <is>
          <t>Tài sản tài chính đã lưu ký tại VSD và chưa giao dịch của NĐT</t>
        </is>
      </c>
      <c r="B187" s="32" t="n">
        <v>5444085680000</v>
      </c>
      <c r="C187" s="32" t="n">
        <v>2358897150000</v>
      </c>
      <c r="D187" s="32" t="n">
        <v>1984696010000</v>
      </c>
      <c r="E187" s="32" t="n">
        <v>1061670920000</v>
      </c>
      <c r="F187" s="32" t="n">
        <v>677527520000</v>
      </c>
      <c r="G187" s="32" t="n">
        <v>348405300000</v>
      </c>
      <c r="H187" s="32" t="n">
        <v>1012968410000</v>
      </c>
      <c r="I187" s="32" t="n">
        <v>1044677620000</v>
      </c>
      <c r="J187" s="32" t="n">
        <v>2681747190000</v>
      </c>
      <c r="K187" s="32" t="n">
        <v>192827990000</v>
      </c>
      <c r="L187" s="32" t="n">
        <v>2271489250000</v>
      </c>
      <c r="M187" s="32" t="n">
        <v>1676650850000</v>
      </c>
    </row>
    <row r="188">
      <c r="A188" s="31" t="inlineStr">
        <is>
          <t>Tài sản tài chính đã lưu ký tại VSD và chưa giao dịch, tự do chuyển nhượng</t>
        </is>
      </c>
      <c r="B188" s="32" t="n">
        <v>4527016930000</v>
      </c>
      <c r="C188" s="32" t="n">
        <v>1844269060000</v>
      </c>
      <c r="D188" s="32" t="n">
        <v>1470118920000</v>
      </c>
      <c r="E188" s="32" t="n">
        <v>547093830000</v>
      </c>
      <c r="F188" s="32" t="n">
        <v>614831230000</v>
      </c>
      <c r="G188" s="32" t="n">
        <v>132398410000</v>
      </c>
      <c r="H188" s="32" t="n">
        <v>794976170000</v>
      </c>
      <c r="I188" s="32" t="n">
        <v>720884870000</v>
      </c>
      <c r="J188" s="32" t="n">
        <v>2114855960000</v>
      </c>
      <c r="K188" s="32" t="n">
        <v>174185350000</v>
      </c>
      <c r="L188" s="32" t="n">
        <v>2244221360000</v>
      </c>
      <c r="M188" s="32" t="n">
        <v>1542280290000</v>
      </c>
    </row>
    <row r="189">
      <c r="A189" s="31" t="inlineStr">
        <is>
          <t>Tài sản tài chính đã lưu ký tại VSD và chưa giao dịch, hạn chế chuyển nhượng</t>
        </is>
      </c>
      <c r="B189" s="32" t="n">
        <v>542834750000</v>
      </c>
      <c r="C189" s="32" t="n">
        <v>315628090000</v>
      </c>
      <c r="D189" s="32" t="n">
        <v>315577090000</v>
      </c>
      <c r="E189" s="32" t="n">
        <v>315577090000</v>
      </c>
      <c r="F189" s="32" t="n">
        <v>62696290000</v>
      </c>
      <c r="G189" s="32" t="n">
        <v>216006890000</v>
      </c>
      <c r="H189" s="32" t="n">
        <v>216142940000</v>
      </c>
      <c r="I189" s="32" t="n">
        <v>211823960000</v>
      </c>
      <c r="J189" s="32" t="n">
        <v>439271640000</v>
      </c>
      <c r="K189" s="32" t="n">
        <v>18642640000</v>
      </c>
      <c r="L189" s="32" t="n">
        <v>27267890000</v>
      </c>
      <c r="M189" s="32" t="n">
        <v>17856800000</v>
      </c>
    </row>
    <row r="190">
      <c r="A190" s="31" t="inlineStr">
        <is>
          <t>Tài sản tài chính đã lưu ký tại VSD và chưa giao dịch, cầm cố</t>
        </is>
      </c>
      <c r="B190" s="32" t="n">
        <v>374234000000</v>
      </c>
      <c r="C190" s="32" t="n">
        <v>199000000000</v>
      </c>
      <c r="D190" s="32" t="n">
        <v>199000000000</v>
      </c>
      <c r="E190" s="32" t="n">
        <v>199000000000</v>
      </c>
      <c r="F190" s="32" t="n">
        <v>0</v>
      </c>
      <c r="G190" s="32" t="n">
        <v>0</v>
      </c>
      <c r="H190" s="32" t="n">
        <v>1849300000</v>
      </c>
      <c r="I190" s="32" t="n">
        <v>0</v>
      </c>
      <c r="J190" s="32" t="n">
        <v>0</v>
      </c>
      <c r="K190" s="32" t="n">
        <v>0</v>
      </c>
      <c r="L190" s="32" t="n">
        <v>0</v>
      </c>
      <c r="M190" s="32" t="n">
        <v>0</v>
      </c>
    </row>
    <row r="191">
      <c r="A191" s="31" t="inlineStr">
        <is>
          <t>Tài sản tài chính đã lưu ký tại VSD và chưa giao dịch, phong tỏa, tạm giữ</t>
        </is>
      </c>
      <c r="B191" s="32" t="n">
        <v>0</v>
      </c>
      <c r="C191" s="32" t="n">
        <v>0</v>
      </c>
      <c r="D191" s="32" t="n">
        <v>0</v>
      </c>
      <c r="E191" s="32" t="n">
        <v>0</v>
      </c>
      <c r="F191" s="32" t="n">
        <v>0</v>
      </c>
      <c r="G191" s="32" t="n">
        <v>0</v>
      </c>
      <c r="H191" s="32" t="n">
        <v>0</v>
      </c>
      <c r="I191" s="32" t="n">
        <v>111968790000</v>
      </c>
      <c r="J191" s="32" t="n">
        <v>127619590000</v>
      </c>
      <c r="K191" s="32" t="n">
        <v>0</v>
      </c>
      <c r="L191" s="32" t="n">
        <v>0</v>
      </c>
      <c r="M191" s="32" t="n">
        <v>116513760000</v>
      </c>
    </row>
    <row r="192">
      <c r="A192" s="31" t="inlineStr">
        <is>
          <t>Tài sản tài chính chờ về của NĐT</t>
        </is>
      </c>
      <c r="B192" s="32" t="n">
        <v>0</v>
      </c>
      <c r="C192" s="32" t="n">
        <v>0</v>
      </c>
      <c r="D192" s="32" t="n">
        <v>0</v>
      </c>
      <c r="E192" s="32" t="n">
        <v>0</v>
      </c>
      <c r="F192" s="32" t="n">
        <v>0</v>
      </c>
      <c r="G192" s="32" t="n">
        <v>875589460000</v>
      </c>
      <c r="H192" s="32" t="n">
        <v>1375801370000</v>
      </c>
      <c r="I192" s="32" t="n">
        <v>1333356800000</v>
      </c>
      <c r="J192" s="32" t="n">
        <v>2125620860000</v>
      </c>
      <c r="K192" s="32" t="n">
        <v>1291904460000</v>
      </c>
      <c r="L192" s="32" t="n">
        <v>1418289910000</v>
      </c>
      <c r="M192" s="32" t="n">
        <v>962409270000</v>
      </c>
    </row>
    <row r="193">
      <c r="A193" s="31" t="inlineStr">
        <is>
          <t>Tài sản tài chính sửa lỗi giao dịch của NĐT</t>
        </is>
      </c>
      <c r="B193" s="32" t="n">
        <v>0</v>
      </c>
      <c r="C193" s="32" t="n">
        <v>0</v>
      </c>
      <c r="D193" s="32" t="n">
        <v>0</v>
      </c>
      <c r="E193" s="32" t="n">
        <v>0</v>
      </c>
      <c r="F193" s="32" t="n">
        <v>0</v>
      </c>
      <c r="G193" s="32" t="n">
        <v>0</v>
      </c>
      <c r="H193" s="32" t="n">
        <v>0</v>
      </c>
      <c r="I193" s="32" t="n">
        <v>0</v>
      </c>
      <c r="J193" s="32" t="n">
        <v>0</v>
      </c>
      <c r="K193" s="32" t="n">
        <v>0</v>
      </c>
      <c r="L193" s="32" t="n">
        <v>0</v>
      </c>
      <c r="M193" s="32" t="n">
        <v>0</v>
      </c>
    </row>
    <row r="194">
      <c r="A194" s="31" t="inlineStr">
        <is>
          <t>Tài sản tài chính chưa lưu ký tại VSD của NĐT</t>
        </is>
      </c>
      <c r="B194" s="32" t="n">
        <v>0</v>
      </c>
      <c r="C194" s="32" t="n">
        <v>0</v>
      </c>
      <c r="D194" s="32" t="n">
        <v>0</v>
      </c>
      <c r="E194" s="32" t="n">
        <v>0</v>
      </c>
      <c r="F194" s="32" t="n">
        <v>1322561780000</v>
      </c>
      <c r="G194" s="32" t="n">
        <v>15338753340000</v>
      </c>
      <c r="H194" s="32" t="n">
        <v>12079388510000</v>
      </c>
      <c r="I194" s="32" t="n">
        <v>10411317650000</v>
      </c>
      <c r="J194" s="32" t="n">
        <v>10550171970000</v>
      </c>
      <c r="K194" s="32" t="n">
        <v>9407201530000</v>
      </c>
      <c r="L194" s="32" t="n">
        <v>6894712020000</v>
      </c>
      <c r="M194" s="32" t="n">
        <v>6072264500000</v>
      </c>
    </row>
    <row r="195">
      <c r="A195" s="31" t="inlineStr">
        <is>
          <t>Tài sản tài chính được hưởng quyền của Nhà đầu tư</t>
        </is>
      </c>
      <c r="B195" s="32" t="n">
        <v>0</v>
      </c>
      <c r="C195" s="32" t="n">
        <v>0</v>
      </c>
      <c r="D195" s="32" t="n">
        <v>0</v>
      </c>
      <c r="E195" s="32" t="n">
        <v>0</v>
      </c>
      <c r="F195" s="32" t="n">
        <v>0</v>
      </c>
      <c r="G195" s="32" t="n">
        <v>0</v>
      </c>
      <c r="H195" s="32" t="n">
        <v>0</v>
      </c>
      <c r="I195" s="32" t="n">
        <v>0</v>
      </c>
      <c r="J195" s="32" t="n">
        <v>0</v>
      </c>
      <c r="K195" s="32" t="n">
        <v>0</v>
      </c>
      <c r="L195" s="32" t="n">
        <v>0</v>
      </c>
      <c r="M195" s="32" t="n">
        <v>0</v>
      </c>
    </row>
    <row r="196">
      <c r="A196" s="31" t="inlineStr">
        <is>
          <t>Tiền gửi của khách hàng</t>
        </is>
      </c>
      <c r="B196" s="32" t="n">
        <v>1186694102469</v>
      </c>
      <c r="C196" s="32" t="n">
        <v>465273589103</v>
      </c>
      <c r="D196" s="32" t="n">
        <v>744960510633</v>
      </c>
      <c r="E196" s="32" t="n">
        <v>1334969895448</v>
      </c>
      <c r="F196" s="32" t="n">
        <v>8006921852278</v>
      </c>
      <c r="G196" s="32" t="n">
        <v>10024246349048</v>
      </c>
      <c r="H196" s="32" t="n">
        <v>3220068688178</v>
      </c>
      <c r="I196" s="32" t="n">
        <v>11849786662404</v>
      </c>
      <c r="J196" s="32" t="n">
        <v>12762472660272</v>
      </c>
      <c r="K196" s="32" t="n">
        <v>10702593296252</v>
      </c>
      <c r="L196" s="32" t="n">
        <v>10360816794093</v>
      </c>
      <c r="M196" s="32" t="n">
        <v>9046562592920</v>
      </c>
    </row>
    <row r="197">
      <c r="A197" s="31" t="inlineStr">
        <is>
          <t>Tiền gửi của Nhà đầu tư về giao dịch chứng khoán</t>
        </is>
      </c>
      <c r="B197" s="32" t="n">
        <v>634134400915</v>
      </c>
      <c r="C197" s="32" t="n">
        <v>456341912450</v>
      </c>
      <c r="D197" s="32" t="n">
        <v>216949096682</v>
      </c>
      <c r="E197" s="32" t="n">
        <v>180107538116</v>
      </c>
      <c r="F197" s="32" t="n">
        <v>5271018481763</v>
      </c>
      <c r="G197" s="32" t="n">
        <v>8245482244688</v>
      </c>
      <c r="H197" s="32" t="n">
        <v>218266095226</v>
      </c>
      <c r="I197" s="32" t="n">
        <v>8952421177072</v>
      </c>
      <c r="J197" s="32" t="n">
        <v>7078720120248</v>
      </c>
      <c r="K197" s="32" t="n">
        <v>6447211380125</v>
      </c>
      <c r="L197" s="32" t="n">
        <v>6861737169799</v>
      </c>
      <c r="M197" s="32" t="n">
        <v>6582257677129</v>
      </c>
    </row>
    <row r="198">
      <c r="A198" s="31" t="inlineStr">
        <is>
          <t>Tiền gửi tổng hợp giao dịch chứng khoán cho khách hàng</t>
        </is>
      </c>
      <c r="B198" s="32" t="n">
        <v>0</v>
      </c>
      <c r="C198" s="32" t="n">
        <v>0</v>
      </c>
      <c r="D198" s="32" t="n">
        <v>0</v>
      </c>
      <c r="E198" s="32" t="n">
        <v>0</v>
      </c>
      <c r="F198" s="32" t="n">
        <v>0</v>
      </c>
      <c r="G198" s="32" t="n">
        <v>0</v>
      </c>
      <c r="H198" s="32" t="n">
        <v>0</v>
      </c>
      <c r="I198" s="32" t="n">
        <v>0</v>
      </c>
      <c r="J198" s="32" t="n">
        <v>0</v>
      </c>
      <c r="K198" s="32" t="n">
        <v>0</v>
      </c>
      <c r="L198" s="32" t="n">
        <v>0</v>
      </c>
      <c r="M198" s="32" t="n">
        <v>0</v>
      </c>
    </row>
    <row r="199">
      <c r="A199" s="31" t="inlineStr">
        <is>
          <t>Tiền gửi bù trừ và thanh toán giao dịch chứng khoán của NĐT</t>
        </is>
      </c>
      <c r="B199" s="32" t="n">
        <v>0</v>
      </c>
      <c r="C199" s="32" t="n">
        <v>0</v>
      </c>
      <c r="D199" s="32" t="n">
        <v>0</v>
      </c>
      <c r="E199" s="32" t="n">
        <v>0</v>
      </c>
      <c r="F199" s="32" t="n">
        <v>0</v>
      </c>
      <c r="G199" s="32" t="n">
        <v>0</v>
      </c>
      <c r="H199" s="32" t="n">
        <v>0</v>
      </c>
      <c r="I199" s="32" t="n">
        <v>0</v>
      </c>
      <c r="J199" s="32" t="n">
        <v>0</v>
      </c>
      <c r="K199" s="32" t="n">
        <v>0</v>
      </c>
      <c r="L199" s="32" t="n">
        <v>0</v>
      </c>
      <c r="M199" s="32" t="n">
        <v>0</v>
      </c>
    </row>
    <row r="200">
      <c r="A200" s="31" t="inlineStr">
        <is>
          <t>Tiền gửi bù trừ và thanh toán giao dịch chứng khoán của NĐT trong nước</t>
        </is>
      </c>
      <c r="B200" s="32" t="n">
        <v>0</v>
      </c>
      <c r="C200" s="32" t="n">
        <v>0</v>
      </c>
      <c r="D200" s="32" t="n">
        <v>0</v>
      </c>
      <c r="E200" s="32" t="n">
        <v>0</v>
      </c>
      <c r="F200" s="32" t="n">
        <v>0</v>
      </c>
      <c r="G200" s="32" t="n">
        <v>0</v>
      </c>
      <c r="H200" s="32" t="n">
        <v>0</v>
      </c>
      <c r="I200" s="32" t="n">
        <v>0</v>
      </c>
      <c r="J200" s="32" t="n">
        <v>0</v>
      </c>
      <c r="K200" s="32" t="n">
        <v>0</v>
      </c>
      <c r="L200" s="32" t="n">
        <v>0</v>
      </c>
      <c r="M200" s="32" t="n">
        <v>0</v>
      </c>
    </row>
    <row r="201">
      <c r="A201" s="31" t="inlineStr">
        <is>
          <t>Tiền gửi bù trừ và thanh toán giao dịch chứng khoán của NĐT nước ngoài</t>
        </is>
      </c>
      <c r="B201" s="32" t="n">
        <v>0</v>
      </c>
      <c r="C201" s="32" t="n">
        <v>0</v>
      </c>
      <c r="D201" s="32" t="n">
        <v>0</v>
      </c>
      <c r="E201" s="32" t="n">
        <v>0</v>
      </c>
      <c r="F201" s="32" t="n">
        <v>0</v>
      </c>
      <c r="G201" s="32" t="n">
        <v>0</v>
      </c>
      <c r="H201" s="32" t="n">
        <v>0</v>
      </c>
      <c r="I201" s="32" t="n">
        <v>0</v>
      </c>
      <c r="J201" s="32" t="n">
        <v>0</v>
      </c>
      <c r="K201" s="32" t="n">
        <v>0</v>
      </c>
      <c r="L201" s="32" t="n">
        <v>0</v>
      </c>
      <c r="M201" s="32" t="n">
        <v>0</v>
      </c>
    </row>
    <row r="202">
      <c r="A202" s="31" t="inlineStr">
        <is>
          <t>TIỀN GỬI CỦA TỔ CHỨC PHÁT HÀNH</t>
        </is>
      </c>
      <c r="B202" s="32" t="n">
        <v>0</v>
      </c>
      <c r="C202" s="32" t="n">
        <v>0</v>
      </c>
      <c r="D202" s="32" t="n">
        <v>0</v>
      </c>
      <c r="E202" s="32" t="n">
        <v>0</v>
      </c>
      <c r="F202" s="32" t="n">
        <v>0</v>
      </c>
      <c r="G202" s="32" t="n">
        <v>0</v>
      </c>
      <c r="H202" s="32" t="n">
        <v>0</v>
      </c>
      <c r="I202" s="32" t="n">
        <v>0</v>
      </c>
      <c r="J202" s="32" t="n">
        <v>0</v>
      </c>
      <c r="K202" s="32" t="n">
        <v>0</v>
      </c>
      <c r="L202" s="32" t="n">
        <v>0</v>
      </c>
      <c r="M202" s="32" t="n">
        <v>0</v>
      </c>
    </row>
    <row r="203">
      <c r="A203" s="31" t="inlineStr">
        <is>
          <t>Phải trả NĐT - Tiền gửi của NĐT về tiền gửi giao dịch CK theo phương thức CTCK quản lý</t>
        </is>
      </c>
      <c r="B203" s="32" t="n">
        <v>0</v>
      </c>
      <c r="C203" s="32" t="n">
        <v>0</v>
      </c>
      <c r="D203" s="32" t="n">
        <v>0</v>
      </c>
      <c r="E203" s="32" t="n">
        <v>0</v>
      </c>
      <c r="F203" s="32" t="n">
        <v>0</v>
      </c>
      <c r="G203" s="32" t="n">
        <v>0</v>
      </c>
      <c r="H203" s="32" t="n">
        <v>0</v>
      </c>
      <c r="I203" s="32" t="n">
        <v>0</v>
      </c>
      <c r="J203" s="32" t="n">
        <v>0</v>
      </c>
      <c r="K203" s="32" t="n">
        <v>0</v>
      </c>
      <c r="L203" s="32" t="n">
        <v>0</v>
      </c>
      <c r="M203" s="32" t="n">
        <v>0</v>
      </c>
    </row>
    <row r="204">
      <c r="A204" s="31" t="inlineStr">
        <is>
          <t>Của Nhà đầu tư trong nước</t>
        </is>
      </c>
      <c r="B204" s="32" t="n">
        <v>0</v>
      </c>
      <c r="C204" s="32" t="n">
        <v>0</v>
      </c>
      <c r="D204" s="32" t="n">
        <v>0</v>
      </c>
      <c r="E204" s="32" t="n">
        <v>0</v>
      </c>
      <c r="F204" s="32" t="n">
        <v>0</v>
      </c>
      <c r="G204" s="32" t="n">
        <v>0</v>
      </c>
      <c r="H204" s="32" t="n">
        <v>0</v>
      </c>
      <c r="I204" s="32" t="n">
        <v>0</v>
      </c>
      <c r="J204" s="32" t="n">
        <v>0</v>
      </c>
      <c r="K204" s="32" t="n">
        <v>0</v>
      </c>
      <c r="L204" s="32" t="n">
        <v>0</v>
      </c>
      <c r="M204" s="32" t="n">
        <v>0</v>
      </c>
    </row>
    <row r="205">
      <c r="A205" s="31" t="inlineStr">
        <is>
          <t>Của Nhà đầu tư nước ngoài</t>
        </is>
      </c>
      <c r="B205" s="32" t="n">
        <v>0</v>
      </c>
      <c r="C205" s="32" t="n">
        <v>0</v>
      </c>
      <c r="D205" s="32" t="n">
        <v>0</v>
      </c>
      <c r="E205" s="32" t="n">
        <v>0</v>
      </c>
      <c r="F205" s="32" t="n">
        <v>0</v>
      </c>
      <c r="G205" s="32" t="n">
        <v>0</v>
      </c>
      <c r="H205" s="32" t="n">
        <v>0</v>
      </c>
      <c r="I205" s="32" t="n">
        <v>0</v>
      </c>
      <c r="J205" s="32" t="n">
        <v>0</v>
      </c>
      <c r="K205" s="32" t="n">
        <v>0</v>
      </c>
      <c r="L205" s="32" t="n">
        <v>0</v>
      </c>
      <c r="M205" s="32" t="n">
        <v>0</v>
      </c>
    </row>
    <row r="206">
      <c r="A206" s="31" t="inlineStr">
        <is>
          <t>Phải trả Tổ chức phát hành chứng khoán</t>
        </is>
      </c>
      <c r="B206" s="32" t="n">
        <v>0</v>
      </c>
      <c r="C206" s="32" t="n">
        <v>0</v>
      </c>
      <c r="D206" s="32" t="n">
        <v>0</v>
      </c>
      <c r="E206" s="32" t="n">
        <v>0</v>
      </c>
      <c r="F206" s="32" t="n">
        <v>0</v>
      </c>
      <c r="G206" s="32" t="n">
        <v>0</v>
      </c>
      <c r="H206" s="32" t="n">
        <v>0</v>
      </c>
      <c r="I206" s="32" t="n">
        <v>0</v>
      </c>
      <c r="J206" s="32" t="n">
        <v>0</v>
      </c>
      <c r="K206" s="32" t="n">
        <v>0</v>
      </c>
      <c r="L206" s="32" t="n">
        <v>0</v>
      </c>
      <c r="M206" s="32" t="n">
        <v>0</v>
      </c>
    </row>
    <row r="207">
      <c r="A207" s="31" t="inlineStr">
        <is>
          <t>Phải thu/phải trả của khách hàng về lỗi giao dịch các tài sản tài chính</t>
        </is>
      </c>
      <c r="B207" s="32" t="n">
        <v>0</v>
      </c>
      <c r="C207" s="32" t="n">
        <v>0</v>
      </c>
      <c r="D207" s="32" t="n">
        <v>0</v>
      </c>
      <c r="E207" s="32" t="n">
        <v>0</v>
      </c>
      <c r="F207" s="32" t="n">
        <v>0</v>
      </c>
      <c r="G207" s="32" t="n">
        <v>0</v>
      </c>
      <c r="H207" s="32" t="n">
        <v>0</v>
      </c>
      <c r="I207" s="32" t="n">
        <v>0</v>
      </c>
      <c r="J207" s="32" t="n">
        <v>0</v>
      </c>
      <c r="K207" s="32" t="n">
        <v>0</v>
      </c>
      <c r="L207" s="32" t="n">
        <v>0</v>
      </c>
      <c r="M207" s="32" t="n">
        <v>0</v>
      </c>
    </row>
    <row r="208">
      <c r="A208" s="31" t="inlineStr">
        <is>
          <t>Phải trả vay CTCK</t>
        </is>
      </c>
      <c r="B208" s="32" t="n">
        <v>0</v>
      </c>
      <c r="C208" s="32" t="n">
        <v>0</v>
      </c>
      <c r="D208" s="32" t="n">
        <v>0</v>
      </c>
      <c r="E208" s="32" t="n">
        <v>0</v>
      </c>
      <c r="F208" s="32" t="n">
        <v>0</v>
      </c>
      <c r="G208" s="32" t="n">
        <v>0</v>
      </c>
      <c r="H208" s="32" t="n">
        <v>0</v>
      </c>
      <c r="I208" s="32" t="n">
        <v>0</v>
      </c>
      <c r="J208" s="32" t="n">
        <v>0</v>
      </c>
      <c r="K208" s="32" t="n">
        <v>0</v>
      </c>
      <c r="L208" s="32" t="n">
        <v>0</v>
      </c>
      <c r="M208" s="32" t="n">
        <v>0</v>
      </c>
    </row>
    <row r="209">
      <c r="A209" s="31" t="inlineStr">
        <is>
          <t>Phải trả cổ tức, gốc và lãi trái phiếu</t>
        </is>
      </c>
      <c r="B209" s="32" t="n">
        <v>552559701554</v>
      </c>
      <c r="C209" s="32" t="n">
        <v>8931676653</v>
      </c>
      <c r="D209" s="32" t="n">
        <v>208361969906</v>
      </c>
      <c r="E209" s="32" t="n">
        <v>938077574583</v>
      </c>
      <c r="F209" s="32" t="n">
        <v>4293695969</v>
      </c>
      <c r="G209" s="32" t="n">
        <v>44613698630</v>
      </c>
      <c r="H209" s="32" t="n">
        <v>35009400</v>
      </c>
      <c r="I209" s="32" t="n">
        <v>0</v>
      </c>
      <c r="J209" s="32" t="n">
        <v>0</v>
      </c>
      <c r="K209" s="32" t="n">
        <v>49373986618</v>
      </c>
      <c r="L209" s="32" t="n">
        <v>0</v>
      </c>
      <c r="M209" s="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8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</cols>
  <sheetData>
    <row r="1">
      <c r="A1" s="29" t="inlineStr">
        <is>
          <t>item</t>
        </is>
      </c>
      <c r="B1" s="30" t="inlineStr">
        <is>
          <t>2018-Q1</t>
        </is>
      </c>
      <c r="C1" s="30" t="inlineStr">
        <is>
          <t>2018-Q2</t>
        </is>
      </c>
      <c r="D1" s="30" t="inlineStr">
        <is>
          <t>2018-Q3</t>
        </is>
      </c>
      <c r="E1" s="30" t="inlineStr">
        <is>
          <t>2018-Q4</t>
        </is>
      </c>
      <c r="F1" s="30" t="inlineStr">
        <is>
          <t>2024-Q3</t>
        </is>
      </c>
      <c r="G1" s="30" t="inlineStr">
        <is>
          <t>2024-Q4</t>
        </is>
      </c>
      <c r="H1" s="30" t="inlineStr">
        <is>
          <t>2025-Q1</t>
        </is>
      </c>
      <c r="I1" s="30" t="inlineStr">
        <is>
          <t>2025-Q2</t>
        </is>
      </c>
      <c r="J1" s="30" t="inlineStr">
        <is>
          <t>2025-Q3</t>
        </is>
      </c>
      <c r="K1" s="30" t="inlineStr">
        <is>
          <t>2025-Q4</t>
        </is>
      </c>
      <c r="L1" s="30" t="inlineStr">
        <is>
          <t>2026-Q1</t>
        </is>
      </c>
      <c r="M1" s="30" t="inlineStr">
        <is>
          <t>2026-Q2</t>
        </is>
      </c>
    </row>
    <row r="2">
      <c r="A2" s="31" t="inlineStr">
        <is>
          <t>DOANH THU HOẠT ĐỘNG</t>
        </is>
      </c>
      <c r="B2" s="32" t="n">
        <v>183979907085</v>
      </c>
      <c r="C2" s="32" t="n">
        <v>196095954109</v>
      </c>
      <c r="D2" s="32" t="n">
        <v>591012271327</v>
      </c>
      <c r="E2" s="32" t="n">
        <v>899082911755</v>
      </c>
      <c r="F2" s="32" t="n">
        <v>1844805107025</v>
      </c>
      <c r="G2" s="32" t="n">
        <v>1843230736579</v>
      </c>
      <c r="H2" s="32" t="n">
        <v>2028164685825</v>
      </c>
      <c r="I2" s="32" t="n">
        <v>2659998744458</v>
      </c>
      <c r="J2" s="32" t="n">
        <v>3164274146538</v>
      </c>
      <c r="K2" s="32" t="n">
        <v>3364988937829</v>
      </c>
      <c r="L2" s="32" t="n">
        <v>2783203426368</v>
      </c>
      <c r="M2" s="32" t="n">
        <v>3744618689735</v>
      </c>
    </row>
    <row r="3">
      <c r="A3" s="31" t="inlineStr">
        <is>
          <t>Các khoản giảm trừ doanh thu</t>
        </is>
      </c>
      <c r="B3" s="32" t="n">
        <v>0</v>
      </c>
      <c r="C3" s="32" t="n">
        <v>0</v>
      </c>
      <c r="D3" s="32" t="n">
        <v>0</v>
      </c>
      <c r="E3" s="32" t="n">
        <v>0</v>
      </c>
      <c r="F3" s="32" t="n">
        <v>0</v>
      </c>
      <c r="G3" s="32" t="n">
        <v>0</v>
      </c>
      <c r="H3" s="32" t="n">
        <v>0</v>
      </c>
      <c r="I3" s="32" t="n">
        <v>0</v>
      </c>
      <c r="J3" s="32" t="n">
        <v>0</v>
      </c>
      <c r="K3" s="32" t="n">
        <v>0</v>
      </c>
      <c r="L3" s="32" t="n">
        <v>0</v>
      </c>
      <c r="M3" s="32" t="n">
        <v>0</v>
      </c>
    </row>
    <row r="4">
      <c r="A4" s="31" t="inlineStr">
        <is>
          <t>Doanh thu thuần về hoạt động kinh doanh</t>
        </is>
      </c>
      <c r="B4" s="32" t="n">
        <v>183979907085</v>
      </c>
      <c r="C4" s="32" t="n">
        <v>196095954109</v>
      </c>
      <c r="D4" s="32" t="n">
        <v>591012271327</v>
      </c>
      <c r="E4" s="32" t="n">
        <v>899082911755</v>
      </c>
      <c r="F4" s="32" t="n">
        <v>1844805107025</v>
      </c>
      <c r="G4" s="32" t="n">
        <v>1843230736579</v>
      </c>
      <c r="H4" s="32" t="n">
        <v>2028164685825</v>
      </c>
      <c r="I4" s="32" t="n">
        <v>2659998744458</v>
      </c>
      <c r="J4" s="32" t="n">
        <v>3164274146538</v>
      </c>
      <c r="K4" s="32" t="n">
        <v>3364988937829</v>
      </c>
      <c r="L4" s="32" t="n">
        <v>2783203426368</v>
      </c>
      <c r="M4" s="32" t="n">
        <v>3744618689735</v>
      </c>
    </row>
    <row r="5">
      <c r="A5" s="31" t="inlineStr">
        <is>
          <t>CHI PHÍ HOẠT ĐỘNG</t>
        </is>
      </c>
      <c r="B5" s="32" t="n">
        <v>-45918786469</v>
      </c>
      <c r="C5" s="32" t="n">
        <v>-39279894530</v>
      </c>
      <c r="D5" s="32" t="n">
        <v>-19134519228</v>
      </c>
      <c r="E5" s="32" t="n">
        <v>-28147877069</v>
      </c>
      <c r="F5" s="32" t="n">
        <v>-140001708018</v>
      </c>
      <c r="G5" s="32" t="n">
        <v>-251453839072</v>
      </c>
      <c r="H5" s="32" t="n">
        <v>-127056494784</v>
      </c>
      <c r="I5" s="32" t="n">
        <v>-219102604818</v>
      </c>
      <c r="J5" s="32" t="n">
        <v>-403418061247</v>
      </c>
      <c r="K5" s="32" t="n">
        <v>-463977528886</v>
      </c>
      <c r="L5" s="32" t="n">
        <v>-432669955217</v>
      </c>
      <c r="M5" s="32" t="n">
        <v>-494598914337</v>
      </c>
    </row>
    <row r="6">
      <c r="A6" s="31" t="inlineStr">
        <is>
          <t>LỢI NHUẬN GỘP</t>
        </is>
      </c>
      <c r="B6" s="32" t="n">
        <v>138061120616</v>
      </c>
      <c r="C6" s="32" t="n">
        <v>156816059579</v>
      </c>
      <c r="D6" s="32" t="n">
        <v>571877752099</v>
      </c>
      <c r="E6" s="32" t="n">
        <v>870935034686</v>
      </c>
      <c r="F6" s="32" t="n">
        <v>1704803399007</v>
      </c>
      <c r="G6" s="32" t="n">
        <v>1591776897507</v>
      </c>
      <c r="H6" s="32" t="n">
        <v>1901108191041</v>
      </c>
      <c r="I6" s="32" t="n">
        <v>2440896139640</v>
      </c>
      <c r="J6" s="32" t="n">
        <v>2760856085291</v>
      </c>
      <c r="K6" s="32" t="n">
        <v>2901011408943</v>
      </c>
      <c r="L6" s="32" t="n">
        <v>2350533471151</v>
      </c>
      <c r="M6" s="32" t="n">
        <v>3250019775398</v>
      </c>
    </row>
    <row r="7">
      <c r="A7" s="31" t="inlineStr">
        <is>
          <t>CHI PHÍ QUẢN LÝ CÔNG TY CHỨNG KHOÁN</t>
        </is>
      </c>
      <c r="B7" s="32" t="n">
        <v>-35930659945</v>
      </c>
      <c r="C7" s="32" t="n">
        <v>-47912732838</v>
      </c>
      <c r="D7" s="32" t="n">
        <v>-42471628725</v>
      </c>
      <c r="E7" s="32" t="n">
        <v>-44442663101</v>
      </c>
      <c r="F7" s="32" t="n">
        <v>-136461459136</v>
      </c>
      <c r="G7" s="32" t="n">
        <v>-190531149547</v>
      </c>
      <c r="H7" s="32" t="n">
        <v>-137726487123</v>
      </c>
      <c r="I7" s="32" t="n">
        <v>-147960661005</v>
      </c>
      <c r="J7" s="32" t="n">
        <v>-170652269576</v>
      </c>
      <c r="K7" s="32" t="n">
        <v>-202636046006</v>
      </c>
      <c r="L7" s="32" t="n">
        <v>-161180842697</v>
      </c>
      <c r="M7" s="32" t="n">
        <v>-140103237495</v>
      </c>
    </row>
    <row r="8">
      <c r="A8" s="31" t="inlineStr">
        <is>
          <t>KẾT QUẢ HOẠT ĐỘNG</t>
        </is>
      </c>
      <c r="B8" s="32" t="n">
        <v>94761145261</v>
      </c>
      <c r="C8" s="32" t="n">
        <v>101633467224</v>
      </c>
      <c r="D8" s="32" t="n">
        <v>521763473804</v>
      </c>
      <c r="E8" s="32" t="n">
        <v>815691208722</v>
      </c>
      <c r="F8" s="32" t="n">
        <v>1096495486270</v>
      </c>
      <c r="G8" s="32" t="n">
        <v>932813189265</v>
      </c>
      <c r="H8" s="32" t="n">
        <v>1310685315274</v>
      </c>
      <c r="I8" s="32" t="n">
        <v>1733125373166</v>
      </c>
      <c r="J8" s="32" t="n">
        <v>2023925521519</v>
      </c>
      <c r="K8" s="32" t="n">
        <v>2041387739975</v>
      </c>
      <c r="L8" s="32" t="n">
        <v>1458655329949</v>
      </c>
      <c r="M8" s="32" t="n">
        <v>2096645870954</v>
      </c>
    </row>
    <row r="9">
      <c r="A9" s="31" t="inlineStr">
        <is>
          <t>CHI PHÍ THUẾ THU NHẬP DOANH NGHIỆP</t>
        </is>
      </c>
      <c r="B9" s="32" t="n">
        <v>94585551102</v>
      </c>
      <c r="C9" s="32" t="n">
        <v>100160288490</v>
      </c>
      <c r="D9" s="32" t="n">
        <v>521758473804</v>
      </c>
      <c r="E9" s="32" t="n">
        <v>819222503944</v>
      </c>
      <c r="F9" s="32" t="n">
        <v>1097052077972</v>
      </c>
      <c r="G9" s="32" t="n">
        <v>932794977555</v>
      </c>
      <c r="H9" s="32" t="n">
        <v>1309844216298</v>
      </c>
      <c r="I9" s="32" t="n">
        <v>1733101500233</v>
      </c>
      <c r="J9" s="32" t="n">
        <v>2024406838686</v>
      </c>
      <c r="K9" s="32" t="n">
        <v>2041348186392</v>
      </c>
      <c r="L9" s="32" t="n">
        <v>1458425492628</v>
      </c>
      <c r="M9" s="32" t="n">
        <v>2096955197698</v>
      </c>
    </row>
    <row r="10">
      <c r="A10" s="31" t="inlineStr">
        <is>
          <t>Chi phí thuế thu nhập hiện hành</t>
        </is>
      </c>
      <c r="B10" s="32" t="n">
        <v>-20503832658</v>
      </c>
      <c r="C10" s="32" t="n">
        <v>-19071172762</v>
      </c>
      <c r="D10" s="32" t="n">
        <v>-102764972323</v>
      </c>
      <c r="E10" s="32" t="n">
        <v>-164016979768</v>
      </c>
      <c r="F10" s="32" t="n">
        <v>-218319529056</v>
      </c>
      <c r="G10" s="32" t="n">
        <v>-191336745520</v>
      </c>
      <c r="H10" s="32" t="n">
        <v>-298212624523</v>
      </c>
      <c r="I10" s="32" t="n">
        <v>-311831947363</v>
      </c>
      <c r="J10" s="32" t="n">
        <v>-404977243039</v>
      </c>
      <c r="K10" s="32" t="n">
        <v>-407835810486</v>
      </c>
      <c r="L10" s="32" t="n">
        <v>-311488840262</v>
      </c>
      <c r="M10" s="32" t="n">
        <v>-409747556919</v>
      </c>
    </row>
    <row r="11">
      <c r="A11" s="31" t="inlineStr">
        <is>
          <t>Chi phí thuế thu nhập hoãn lại</t>
        </is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v>-1090886538</v>
      </c>
      <c r="G11" s="32" t="n">
        <v>4777750010</v>
      </c>
      <c r="H11" s="32" t="n">
        <v>-980698254</v>
      </c>
      <c r="I11" s="32" t="n">
        <v>-1195722986</v>
      </c>
      <c r="J11" s="32" t="n">
        <v>95806942</v>
      </c>
      <c r="K11" s="32" t="n">
        <v>-433646792</v>
      </c>
      <c r="L11" s="32" t="n">
        <v>696777126</v>
      </c>
      <c r="M11" s="32" t="n">
        <v>4685963689</v>
      </c>
    </row>
    <row r="12">
      <c r="A12" s="31" t="inlineStr">
        <is>
          <t>LỢI NHUẬN KẾ TOÁN SAU THUẾ</t>
        </is>
      </c>
      <c r="B12" s="32" t="n">
        <v>74081718444</v>
      </c>
      <c r="C12" s="32" t="n">
        <v>81089115728</v>
      </c>
      <c r="D12" s="32" t="n">
        <v>418993501481</v>
      </c>
      <c r="E12" s="32" t="n">
        <v>655205524176</v>
      </c>
      <c r="F12" s="32" t="n">
        <v>877641662378</v>
      </c>
      <c r="G12" s="32" t="n">
        <v>746235982045</v>
      </c>
      <c r="H12" s="32" t="n">
        <v>1010650893521</v>
      </c>
      <c r="I12" s="32" t="n">
        <v>1420073829884</v>
      </c>
      <c r="J12" s="32" t="n">
        <v>1619525402589</v>
      </c>
      <c r="K12" s="32" t="n">
        <v>1633078729114</v>
      </c>
      <c r="L12" s="32" t="n">
        <v>1147633429492</v>
      </c>
      <c r="M12" s="32" t="n">
        <v>1691893604468</v>
      </c>
    </row>
    <row r="13">
      <c r="A13" s="31" t="inlineStr">
        <is>
          <t>Lợi nhuận thuần phân bổ cho lợi ích của cổ đông không kiểm soát</t>
        </is>
      </c>
      <c r="B13" s="32" t="n">
        <v>0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</row>
    <row r="14">
      <c r="A14" s="31" t="inlineStr">
        <is>
          <t>Lợi nhuận sau thuế phân bổ cho chủ sở hữu</t>
        </is>
      </c>
      <c r="B14" s="32" t="n">
        <v>74081718444</v>
      </c>
      <c r="C14" s="32" t="n">
        <v>81089115728</v>
      </c>
      <c r="D14" s="32" t="n">
        <v>418993501481</v>
      </c>
      <c r="E14" s="32" t="n">
        <v>655205524176</v>
      </c>
      <c r="F14" s="32" t="n">
        <v>877641662378</v>
      </c>
      <c r="G14" s="32" t="n">
        <v>746235982045</v>
      </c>
      <c r="H14" s="32" t="n">
        <v>1010650893521</v>
      </c>
      <c r="I14" s="32" t="n">
        <v>1420073829884</v>
      </c>
      <c r="J14" s="32" t="n">
        <v>1619525402589</v>
      </c>
      <c r="K14" s="32" t="n">
        <v>1633078729114</v>
      </c>
      <c r="L14" s="32" t="n">
        <v>1147633429492</v>
      </c>
      <c r="M14" s="32" t="n">
        <v>1691893604468</v>
      </c>
    </row>
    <row r="15">
      <c r="A15" s="31" t="inlineStr">
        <is>
          <t>Lãi cơ bản trên cổ phiếu (VND)</t>
        </is>
      </c>
      <c r="B15" s="32" t="n">
        <v>0</v>
      </c>
      <c r="C15" s="32" t="n">
        <v>0</v>
      </c>
      <c r="D15" s="32" t="n">
        <v>0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1230</v>
      </c>
      <c r="J15" s="32" t="n">
        <v>767</v>
      </c>
      <c r="K15" s="32" t="n">
        <v>0</v>
      </c>
      <c r="L15" s="32" t="n">
        <v>497</v>
      </c>
      <c r="M15" s="32" t="n">
        <v>527</v>
      </c>
    </row>
    <row r="16">
      <c r="A16" s="31" t="inlineStr">
        <is>
          <t>Lãi trên cổ phiếu pha loãng (VND)</t>
        </is>
      </c>
      <c r="B16" s="32" t="n">
        <v>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>
        <v>0</v>
      </c>
      <c r="L16" s="32" t="n">
        <v>493</v>
      </c>
      <c r="M16" s="32" t="n">
        <v>0</v>
      </c>
    </row>
    <row r="17">
      <c r="A17" s="31" t="inlineStr">
        <is>
          <t>Doanh thu nghiệp vụ môi giới chứng khoán</t>
        </is>
      </c>
      <c r="B17" s="32" t="n">
        <v>27242261565</v>
      </c>
      <c r="C17" s="32" t="n">
        <v>35871223199</v>
      </c>
      <c r="D17" s="32" t="n">
        <v>22166460933</v>
      </c>
      <c r="E17" s="32" t="n">
        <v>35801971267</v>
      </c>
      <c r="F17" s="32" t="n">
        <v>133689401707</v>
      </c>
      <c r="G17" s="32" t="n">
        <v>165328870784</v>
      </c>
      <c r="H17" s="32" t="n">
        <v>152784768764</v>
      </c>
      <c r="I17" s="32" t="n">
        <v>201109749466</v>
      </c>
      <c r="J17" s="32" t="n">
        <v>318349111690</v>
      </c>
      <c r="K17" s="32" t="n">
        <v>285365355514</v>
      </c>
      <c r="L17" s="32" t="n">
        <v>266264275146</v>
      </c>
      <c r="M17" s="32" t="n">
        <v>227007227285</v>
      </c>
    </row>
    <row r="18">
      <c r="A18" s="31" t="inlineStr">
        <is>
          <t>Doanh thu hoạt động đầu tư chứng khoán, góp vốn (Trước năm 2016)</t>
        </is>
      </c>
      <c r="B18" s="32" t="n">
        <v>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0</v>
      </c>
      <c r="I18" s="32" t="n">
        <v>0</v>
      </c>
      <c r="J18" s="32" t="n">
        <v>0</v>
      </c>
      <c r="K18" s="32" t="n">
        <v>0</v>
      </c>
      <c r="L18" s="32" t="n">
        <v>0</v>
      </c>
      <c r="M18" s="32" t="n">
        <v>0</v>
      </c>
    </row>
    <row r="19">
      <c r="A19" s="31" t="inlineStr">
        <is>
          <t>Doanh thu nghiệp vụ bảo lãnh phát hành chứng khoán</t>
        </is>
      </c>
      <c r="B19" s="32" t="n">
        <v>52799305553</v>
      </c>
      <c r="C19" s="32" t="n">
        <v>79812961381</v>
      </c>
      <c r="D19" s="32" t="n">
        <v>406252705862</v>
      </c>
      <c r="E19" s="32" t="n">
        <v>687797584377</v>
      </c>
      <c r="F19" s="32" t="n">
        <v>307146234263</v>
      </c>
      <c r="G19" s="32" t="n">
        <v>206780619276</v>
      </c>
      <c r="H19" s="32" t="n">
        <v>361042025554</v>
      </c>
      <c r="I19" s="32" t="n">
        <v>495527897790</v>
      </c>
      <c r="J19" s="32" t="n">
        <v>420952896435</v>
      </c>
      <c r="K19" s="32" t="n">
        <v>437728746139</v>
      </c>
      <c r="L19" s="32" t="n">
        <v>480902457106</v>
      </c>
      <c r="M19" s="32" t="n">
        <v>733703277398</v>
      </c>
    </row>
    <row r="20">
      <c r="A20" s="31" t="inlineStr">
        <is>
          <t>Doanh thu nghiệp vụ tư vấn đầu tư chứng khoán</t>
        </is>
      </c>
      <c r="B20" s="32" t="n">
        <v>195000000</v>
      </c>
      <c r="C20" s="32" t="n">
        <v>120000000</v>
      </c>
      <c r="D20" s="32" t="n">
        <v>204000000</v>
      </c>
      <c r="E20" s="32" t="n">
        <v>225000000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0</v>
      </c>
    </row>
    <row r="21">
      <c r="A21" s="31" t="inlineStr">
        <is>
          <t>Doanh thu lưu ký chứng khoán</t>
        </is>
      </c>
      <c r="B21" s="32" t="n">
        <v>4535720700</v>
      </c>
      <c r="C21" s="32" t="n">
        <v>8328220120</v>
      </c>
      <c r="D21" s="32" t="n">
        <v>1541482870</v>
      </c>
      <c r="E21" s="32" t="n">
        <v>5669468611</v>
      </c>
      <c r="F21" s="32" t="n">
        <v>13077896644</v>
      </c>
      <c r="G21" s="32" t="n">
        <v>13406905966</v>
      </c>
      <c r="H21" s="32" t="n">
        <v>13274838561</v>
      </c>
      <c r="I21" s="32" t="n">
        <v>24408239434</v>
      </c>
      <c r="J21" s="32" t="n">
        <v>21544862381</v>
      </c>
      <c r="K21" s="32" t="n">
        <v>50752232364</v>
      </c>
      <c r="L21" s="32" t="n">
        <v>19324350467</v>
      </c>
      <c r="M21" s="32" t="n">
        <v>29103475027</v>
      </c>
    </row>
    <row r="22">
      <c r="A22" s="31" t="inlineStr">
        <is>
          <t>Doanh thu hoạt động ủy thác, đấu giá (Trước năm 2016)</t>
        </is>
      </c>
      <c r="B22" s="32" t="n">
        <v>0</v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>
      <c r="A23" s="31" t="inlineStr">
        <is>
          <t>Thu cho thuê sử dụng tài sản (Trước năm 2016)</t>
        </is>
      </c>
      <c r="B23" s="32" t="n">
        <v>0</v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</row>
    <row r="24">
      <c r="A24" s="31" t="inlineStr">
        <is>
          <t>Doanh thu khác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1117730137</v>
      </c>
      <c r="G24" s="32" t="n">
        <v>1020940795</v>
      </c>
      <c r="H24" s="32" t="n">
        <v>1157078010</v>
      </c>
      <c r="I24" s="32" t="n">
        <v>1011719425</v>
      </c>
      <c r="J24" s="32" t="n">
        <v>3072811762</v>
      </c>
      <c r="K24" s="32" t="n">
        <v>1361588490</v>
      </c>
      <c r="L24" s="32" t="n">
        <v>2546205068</v>
      </c>
      <c r="M24" s="32" t="n">
        <v>2354316306</v>
      </c>
    </row>
    <row r="25">
      <c r="A25" s="31" t="inlineStr">
        <is>
          <t>Lãi/lỗ từ công ty liên doanh, liên kết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</row>
    <row r="26">
      <c r="A26" s="31" t="inlineStr">
        <is>
          <t>Lãi từ các tài sản tài chính ghi nhận thông qua lãi/lỗ ( FVTPL)</t>
        </is>
      </c>
      <c r="B26" s="32" t="n">
        <v>68060628861</v>
      </c>
      <c r="C26" s="32" t="n">
        <v>44346963517</v>
      </c>
      <c r="D26" s="32" t="n">
        <v>116367963303</v>
      </c>
      <c r="E26" s="32" t="n">
        <v>124873050001</v>
      </c>
      <c r="F26" s="32" t="n">
        <v>486643912660</v>
      </c>
      <c r="G26" s="32" t="n">
        <v>632288936875</v>
      </c>
      <c r="H26" s="32" t="n">
        <v>523097068369</v>
      </c>
      <c r="I26" s="32" t="n">
        <v>841134572280</v>
      </c>
      <c r="J26" s="32" t="n">
        <v>1171271827710</v>
      </c>
      <c r="K26" s="32" t="n">
        <v>1133950463523</v>
      </c>
      <c r="L26" s="32" t="n">
        <v>532304490744</v>
      </c>
      <c r="M26" s="32" t="n">
        <v>754937952671</v>
      </c>
    </row>
    <row r="27">
      <c r="A27" s="31" t="inlineStr">
        <is>
          <t>Lãi bán các tài sản tài chính FVTPL</t>
        </is>
      </c>
      <c r="B27" s="32" t="n">
        <v>68060628861</v>
      </c>
      <c r="C27" s="32" t="n">
        <v>44346963517</v>
      </c>
      <c r="D27" s="32" t="n">
        <v>116367963303</v>
      </c>
      <c r="E27" s="32" t="n">
        <v>124873050001</v>
      </c>
      <c r="F27" s="32" t="n">
        <v>486643912660</v>
      </c>
      <c r="G27" s="32" t="n">
        <v>631580149913</v>
      </c>
      <c r="H27" s="32" t="n">
        <v>522066432666</v>
      </c>
      <c r="I27" s="32" t="n">
        <v>839176508394</v>
      </c>
      <c r="J27" s="32" t="n">
        <v>1168119433987</v>
      </c>
      <c r="K27" s="32" t="n">
        <v>1133054212780</v>
      </c>
      <c r="L27" s="32" t="n">
        <v>529374514661</v>
      </c>
      <c r="M27" s="32" t="n">
        <v>731432595273</v>
      </c>
    </row>
    <row r="28">
      <c r="A28" s="31" t="inlineStr">
        <is>
          <t>Chênh lệch tăng đánh giá lại các TSTC thông qua lãi/lỗ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683706962</v>
      </c>
      <c r="H28" s="32" t="n">
        <v>1030635703</v>
      </c>
      <c r="I28" s="32" t="n">
        <v>1928349086</v>
      </c>
      <c r="J28" s="32" t="n">
        <v>3073415723</v>
      </c>
      <c r="K28" s="32" t="n">
        <v>878574743</v>
      </c>
      <c r="L28" s="32" t="n">
        <v>2927576083</v>
      </c>
      <c r="M28" s="32" t="n">
        <v>16015828998</v>
      </c>
    </row>
    <row r="29">
      <c r="A29" s="31" t="inlineStr">
        <is>
          <t>Cổ tức, tiền lãi phát sinh từ tài sản tài chính FVTPL</t>
        </is>
      </c>
      <c r="B29" s="32" t="n">
        <v>0</v>
      </c>
      <c r="C29" s="32" t="n">
        <v>0</v>
      </c>
      <c r="D29" s="32" t="n">
        <v>0</v>
      </c>
      <c r="E29" s="32" t="n">
        <v>0</v>
      </c>
      <c r="F29" s="32" t="n">
        <v>0</v>
      </c>
      <c r="G29" s="32" t="n">
        <v>25080000</v>
      </c>
      <c r="H29" s="32" t="n">
        <v>0</v>
      </c>
      <c r="I29" s="32" t="n">
        <v>29714800</v>
      </c>
      <c r="J29" s="32" t="n">
        <v>78978000</v>
      </c>
      <c r="K29" s="32" t="n">
        <v>17676000</v>
      </c>
      <c r="L29" s="32" t="n">
        <v>2400000</v>
      </c>
      <c r="M29" s="32" t="n">
        <v>7489528400</v>
      </c>
    </row>
    <row r="30">
      <c r="A30" s="31" t="inlineStr">
        <is>
          <t>Lãi từ các khoản đầu tư nắm giữ đến ngày đáo hạn</t>
        </is>
      </c>
      <c r="B30" s="32" t="n">
        <v>1725643193</v>
      </c>
      <c r="C30" s="32" t="n">
        <v>2357165267</v>
      </c>
      <c r="D30" s="32" t="n">
        <v>2788663910</v>
      </c>
      <c r="E30" s="32" t="n">
        <v>3383132967</v>
      </c>
      <c r="F30" s="32" t="n">
        <v>24982287730</v>
      </c>
      <c r="G30" s="32" t="n">
        <v>28310668554</v>
      </c>
      <c r="H30" s="32" t="n">
        <v>33807231145</v>
      </c>
      <c r="I30" s="32" t="n">
        <v>39621088339</v>
      </c>
      <c r="J30" s="32" t="n">
        <v>44219712164</v>
      </c>
      <c r="K30" s="32" t="n">
        <v>62411487216</v>
      </c>
      <c r="L30" s="32" t="n">
        <v>46669287672</v>
      </c>
      <c r="M30" s="32" t="n">
        <v>23830417225</v>
      </c>
    </row>
    <row r="31">
      <c r="A31" s="31" t="inlineStr">
        <is>
          <t>Lãi từ các khoản cho vay và phải thu</t>
        </is>
      </c>
      <c r="B31" s="32" t="n">
        <v>21070040096</v>
      </c>
      <c r="C31" s="32" t="n">
        <v>24196638175</v>
      </c>
      <c r="D31" s="32" t="n">
        <v>29837043551</v>
      </c>
      <c r="E31" s="32" t="n">
        <v>35730784220</v>
      </c>
      <c r="F31" s="32" t="n">
        <v>706030635948</v>
      </c>
      <c r="G31" s="32" t="n">
        <v>706001547802</v>
      </c>
      <c r="H31" s="32" t="n">
        <v>731734778172</v>
      </c>
      <c r="I31" s="32" t="n">
        <v>844018795543</v>
      </c>
      <c r="J31" s="32" t="n">
        <v>1014938366630</v>
      </c>
      <c r="K31" s="32" t="n">
        <v>1136825938296</v>
      </c>
      <c r="L31" s="32" t="n">
        <v>1228605407177</v>
      </c>
      <c r="M31" s="32" t="n">
        <v>1398229266879</v>
      </c>
    </row>
    <row r="32">
      <c r="A32" s="31" t="inlineStr">
        <is>
          <t>Lãi từ các tài sản tài chính sẵn sàng để bán</t>
        </is>
      </c>
      <c r="B32" s="32" t="n">
        <v>8196307117</v>
      </c>
      <c r="C32" s="32" t="n">
        <v>697935296</v>
      </c>
      <c r="D32" s="32" t="n">
        <v>11519405444</v>
      </c>
      <c r="E32" s="32" t="n">
        <v>5529014951</v>
      </c>
      <c r="F32" s="32" t="n">
        <v>126282007934</v>
      </c>
      <c r="G32" s="32" t="n">
        <v>75877046527</v>
      </c>
      <c r="H32" s="32" t="n">
        <v>158676897251</v>
      </c>
      <c r="I32" s="32" t="n">
        <v>81756682182</v>
      </c>
      <c r="J32" s="32" t="n">
        <v>81944557764</v>
      </c>
      <c r="K32" s="32" t="n">
        <v>226142118287</v>
      </c>
      <c r="L32" s="32" t="n">
        <v>161176952987</v>
      </c>
      <c r="M32" s="32" t="n">
        <v>472443756943</v>
      </c>
    </row>
    <row r="33">
      <c r="A33" s="31" t="inlineStr">
        <is>
          <t>Lãi từ các công cụ phát sinh phòng ngừa rủi ro</t>
        </is>
      </c>
      <c r="B33" s="32" t="n">
        <v>0</v>
      </c>
      <c r="C33" s="32" t="n">
        <v>0</v>
      </c>
      <c r="D33" s="32" t="n">
        <v>0</v>
      </c>
      <c r="E33" s="32" t="n">
        <v>0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1" t="inlineStr">
        <is>
          <t>Doanh thu hoạt động tư vấn tài chính</t>
        </is>
      </c>
      <c r="B34" s="32" t="n">
        <v>155000000</v>
      </c>
      <c r="C34" s="32" t="n">
        <v>364847154</v>
      </c>
      <c r="D34" s="32" t="n">
        <v>334545454</v>
      </c>
      <c r="E34" s="32" t="n">
        <v>72905361</v>
      </c>
      <c r="F34" s="32" t="n">
        <v>45835000002</v>
      </c>
      <c r="G34" s="32" t="n">
        <v>14215200000</v>
      </c>
      <c r="H34" s="32" t="n">
        <v>52589999999</v>
      </c>
      <c r="I34" s="32" t="n">
        <v>131409999999</v>
      </c>
      <c r="J34" s="32" t="n">
        <v>87980000002</v>
      </c>
      <c r="K34" s="32" t="n">
        <v>30451008000</v>
      </c>
      <c r="L34" s="32" t="n">
        <v>45410000001</v>
      </c>
      <c r="M34" s="32" t="n">
        <v>103009000001</v>
      </c>
    </row>
    <row r="35">
      <c r="A35" s="31" t="inlineStr">
        <is>
          <t>Lỗ các tài sản tài chính ghi nhận thông qua lãi lỗ (FVTPL)</t>
        </is>
      </c>
      <c r="B35" s="32" t="n">
        <v>-33400465673</v>
      </c>
      <c r="C35" s="32" t="n">
        <v>-14670957663</v>
      </c>
      <c r="D35" s="32" t="n">
        <v>-1251107826</v>
      </c>
      <c r="E35" s="32" t="n">
        <v>-8376245980</v>
      </c>
      <c r="F35" s="32" t="n">
        <v>-20819968064</v>
      </c>
      <c r="G35" s="32" t="n">
        <v>-126836479313</v>
      </c>
      <c r="H35" s="32" t="n">
        <v>-19069780433</v>
      </c>
      <c r="I35" s="32" t="n">
        <v>-65732339822</v>
      </c>
      <c r="J35" s="32" t="n">
        <v>-149146244688</v>
      </c>
      <c r="K35" s="32" t="n">
        <v>-197691717126</v>
      </c>
      <c r="L35" s="32" t="n">
        <v>-212695088043</v>
      </c>
      <c r="M35" s="32" t="n">
        <v>-287479887707</v>
      </c>
    </row>
    <row r="36">
      <c r="A36" s="31" t="inlineStr">
        <is>
          <t>Lỗ bán các tài sản tài chính</t>
        </is>
      </c>
      <c r="B36" s="32" t="n">
        <v>-33400465673</v>
      </c>
      <c r="C36" s="32" t="n">
        <v>-14670957663</v>
      </c>
      <c r="D36" s="32" t="n">
        <v>-1251107826</v>
      </c>
      <c r="E36" s="32" t="n">
        <v>-8376245980</v>
      </c>
      <c r="F36" s="32" t="n">
        <v>-20819968064</v>
      </c>
      <c r="G36" s="32" t="n">
        <v>-126585594313</v>
      </c>
      <c r="H36" s="32" t="n">
        <v>-18085643540</v>
      </c>
      <c r="I36" s="32" t="n">
        <v>-65151937569</v>
      </c>
      <c r="J36" s="32" t="n">
        <v>-148684523225</v>
      </c>
      <c r="K36" s="32" t="n">
        <v>-196035416577</v>
      </c>
      <c r="L36" s="32" t="n">
        <v>-209982952119</v>
      </c>
      <c r="M36" s="32" t="n">
        <v>-266375354713</v>
      </c>
    </row>
    <row r="37">
      <c r="A37" s="31" t="inlineStr">
        <is>
          <t>Chênh lệch giảm đánh giá lại các TSTC thông qua lãi/lỗ</t>
        </is>
      </c>
      <c r="B37" s="32" t="n">
        <v>0</v>
      </c>
      <c r="C37" s="32" t="n">
        <v>0</v>
      </c>
      <c r="D37" s="32" t="n">
        <v>0</v>
      </c>
      <c r="E37" s="32" t="n">
        <v>0</v>
      </c>
      <c r="F37" s="32" t="n">
        <v>0</v>
      </c>
      <c r="G37" s="32" t="n">
        <v>-250885000</v>
      </c>
      <c r="H37" s="32" t="n">
        <v>-984136893</v>
      </c>
      <c r="I37" s="32" t="n">
        <v>-580402253</v>
      </c>
      <c r="J37" s="32" t="n">
        <v>-461721463</v>
      </c>
      <c r="K37" s="32" t="n">
        <v>-1656300549</v>
      </c>
      <c r="L37" s="32" t="n">
        <v>-2712135924</v>
      </c>
      <c r="M37" s="32" t="n">
        <v>-21104532994</v>
      </c>
    </row>
    <row r="38">
      <c r="A38" s="31" t="inlineStr">
        <is>
          <t>Chi phí giao dịch mua các tài sản tài chính FVTPL</t>
        </is>
      </c>
      <c r="B38" s="32" t="n">
        <v>0</v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0</v>
      </c>
      <c r="L38" s="32" t="n">
        <v>0</v>
      </c>
      <c r="M38" s="32" t="n">
        <v>0</v>
      </c>
    </row>
    <row r="39">
      <c r="A39" s="31" t="inlineStr">
        <is>
          <t>Lỗ các khoản đầu tư nắm giữ đến ngày đáo hạn (HTM)</t>
        </is>
      </c>
      <c r="B39" s="32" t="n">
        <v>0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</row>
    <row r="40">
      <c r="A40" s="31" t="inlineStr">
        <is>
          <t>Chi phí lãi vay, lỗ từ các khoản cho vay và phải thu (Trước năm 2016)</t>
        </is>
      </c>
      <c r="B40" s="32" t="n">
        <v>0</v>
      </c>
      <c r="C40" s="32" t="n">
        <v>0</v>
      </c>
      <c r="D40" s="32" t="n">
        <v>0</v>
      </c>
      <c r="E40" s="32" t="n">
        <v>0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</row>
    <row r="41">
      <c r="A41" s="31" t="inlineStr">
        <is>
          <t>Lỗ và ghi nhận chênh lệch đánh giá theo giá trị hợp lý tài sản tài chính sẵn sàng để bán (AFS) khi phân loại lại</t>
        </is>
      </c>
      <c r="B41" s="32" t="n">
        <v>0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</row>
    <row r="42">
      <c r="A42" s="31" t="inlineStr">
        <is>
          <t>CP dự phòng TSTC, xử lý tổn thất các khoản phải thu khó đòi là lỗ suy giảm TSTC và CP đi vay</t>
        </is>
      </c>
      <c r="B42" s="32" t="n">
        <v>0</v>
      </c>
      <c r="C42" s="32" t="n">
        <v>0</v>
      </c>
      <c r="D42" s="32" t="n">
        <v>0</v>
      </c>
      <c r="E42" s="32" t="n">
        <v>0</v>
      </c>
      <c r="F42" s="32" t="n">
        <v>-981043051</v>
      </c>
      <c r="G42" s="32" t="n">
        <v>-1078719486</v>
      </c>
      <c r="H42" s="32" t="n">
        <v>-700498927</v>
      </c>
      <c r="I42" s="32" t="n">
        <v>-839382261</v>
      </c>
      <c r="J42" s="32" t="n">
        <v>479536726</v>
      </c>
      <c r="K42" s="32" t="n">
        <v>-891531942</v>
      </c>
      <c r="L42" s="32" t="n">
        <v>974628369</v>
      </c>
      <c r="M42" s="32" t="n">
        <v>1529551781</v>
      </c>
    </row>
    <row r="43">
      <c r="A43" s="31" t="inlineStr">
        <is>
          <t>Lỗ từ các tài sản tài chính phái sinh phòng ngừa rủi ro</t>
        </is>
      </c>
      <c r="B43" s="32" t="n">
        <v>0</v>
      </c>
      <c r="C43" s="32" t="n">
        <v>0</v>
      </c>
      <c r="D43" s="32" t="n">
        <v>0</v>
      </c>
      <c r="E43" s="32" t="n">
        <v>0</v>
      </c>
      <c r="F43" s="32" t="n">
        <v>0</v>
      </c>
      <c r="G43" s="32" t="n">
        <v>0</v>
      </c>
      <c r="H43" s="32" t="n">
        <v>0</v>
      </c>
      <c r="I43" s="32" t="n">
        <v>0</v>
      </c>
      <c r="J43" s="32" t="n">
        <v>0</v>
      </c>
      <c r="K43" s="32" t="n">
        <v>0</v>
      </c>
      <c r="L43" s="32" t="n">
        <v>0</v>
      </c>
      <c r="M43" s="32" t="n">
        <v>0</v>
      </c>
    </row>
    <row r="44">
      <c r="A44" s="31" t="inlineStr">
        <is>
          <t>Chi phí hoạt động tự doanh</t>
        </is>
      </c>
      <c r="B44" s="32" t="n">
        <v>-366769</v>
      </c>
      <c r="C44" s="32" t="n">
        <v>366769</v>
      </c>
      <c r="D44" s="32" t="n">
        <v>0</v>
      </c>
      <c r="E44" s="32" t="n">
        <v>0</v>
      </c>
      <c r="F44" s="32" t="n">
        <v>0</v>
      </c>
      <c r="G44" s="32" t="n">
        <v>0</v>
      </c>
      <c r="H44" s="32" t="n">
        <v>-7476000</v>
      </c>
      <c r="I44" s="32" t="n">
        <v>-1744159</v>
      </c>
      <c r="J44" s="32" t="n">
        <v>-1229000</v>
      </c>
      <c r="K44" s="32" t="n">
        <v>-3010000</v>
      </c>
      <c r="L44" s="32" t="n">
        <v>0</v>
      </c>
      <c r="M44" s="32" t="n">
        <v>0</v>
      </c>
    </row>
    <row r="45">
      <c r="A45" s="31" t="inlineStr">
        <is>
          <t>Chi phí nghiệp vụ môi giới chứng khoán</t>
        </is>
      </c>
      <c r="B45" s="32" t="n">
        <v>-6887200965</v>
      </c>
      <c r="C45" s="32" t="n">
        <v>-20643523264</v>
      </c>
      <c r="D45" s="32" t="n">
        <v>-2598560239</v>
      </c>
      <c r="E45" s="32" t="n">
        <v>-5495317149</v>
      </c>
      <c r="F45" s="32" t="n">
        <v>-57988277358</v>
      </c>
      <c r="G45" s="32" t="n">
        <v>-60473428281</v>
      </c>
      <c r="H45" s="32" t="n">
        <v>-53096430817</v>
      </c>
      <c r="I45" s="32" t="n">
        <v>-76600690429</v>
      </c>
      <c r="J45" s="32" t="n">
        <v>-141988613950</v>
      </c>
      <c r="K45" s="32" t="n">
        <v>-119769061225</v>
      </c>
      <c r="L45" s="32" t="n">
        <v>-114310683737</v>
      </c>
      <c r="M45" s="32" t="n">
        <v>-95877944171</v>
      </c>
    </row>
    <row r="46">
      <c r="A46" s="31" t="inlineStr">
        <is>
          <t>Chi phí nghiệp vụ bảo lãnh, đại lý phát hành chứng khoán</t>
        </is>
      </c>
      <c r="B46" s="32" t="n">
        <v>0</v>
      </c>
      <c r="C46" s="32" t="n">
        <v>-30000000</v>
      </c>
      <c r="D46" s="32" t="n">
        <v>0</v>
      </c>
      <c r="E46" s="32" t="n">
        <v>0</v>
      </c>
      <c r="F46" s="32" t="n">
        <v>0</v>
      </c>
      <c r="G46" s="32" t="n">
        <v>0</v>
      </c>
      <c r="H46" s="32" t="n">
        <v>0</v>
      </c>
      <c r="I46" s="32" t="n">
        <v>0</v>
      </c>
      <c r="J46" s="32" t="n">
        <v>0</v>
      </c>
      <c r="K46" s="32" t="n">
        <v>0</v>
      </c>
      <c r="L46" s="32" t="n">
        <v>0</v>
      </c>
      <c r="M46" s="32" t="n">
        <v>0</v>
      </c>
    </row>
    <row r="47">
      <c r="A47" s="31" t="inlineStr">
        <is>
          <t>Chi phí nghiệp vụ tư vấn đầu tư chứng khoán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</row>
    <row r="48">
      <c r="A48" s="31" t="inlineStr">
        <is>
          <t>Chí phí hoạt động đấu giá, ủy thác</t>
        </is>
      </c>
      <c r="B48" s="32" t="n">
        <v>0</v>
      </c>
      <c r="C48" s="32" t="n">
        <v>0</v>
      </c>
      <c r="D48" s="32" t="n">
        <v>0</v>
      </c>
      <c r="E48" s="32" t="n">
        <v>0</v>
      </c>
      <c r="F48" s="32" t="n">
        <v>0</v>
      </c>
      <c r="G48" s="32" t="n">
        <v>0</v>
      </c>
      <c r="H48" s="32" t="n">
        <v>0</v>
      </c>
      <c r="I48" s="32" t="n">
        <v>0</v>
      </c>
      <c r="J48" s="32" t="n">
        <v>0</v>
      </c>
      <c r="K48" s="32" t="n">
        <v>0</v>
      </c>
      <c r="L48" s="32" t="n">
        <v>0</v>
      </c>
      <c r="M48" s="32" t="n">
        <v>0</v>
      </c>
    </row>
    <row r="49">
      <c r="A49" s="31" t="inlineStr">
        <is>
          <t>Chi phí nghiệp vụ lưu ký chứng khoán</t>
        </is>
      </c>
      <c r="B49" s="32" t="n">
        <v>-5404753062</v>
      </c>
      <c r="C49" s="32" t="n">
        <v>-3803384286</v>
      </c>
      <c r="D49" s="32" t="n">
        <v>-6744730613</v>
      </c>
      <c r="E49" s="32" t="n">
        <v>-9211443420</v>
      </c>
      <c r="F49" s="32" t="n">
        <v>-11422180299</v>
      </c>
      <c r="G49" s="32" t="n">
        <v>-11708880698</v>
      </c>
      <c r="H49" s="32" t="n">
        <v>-11726007400</v>
      </c>
      <c r="I49" s="32" t="n">
        <v>-21455816281</v>
      </c>
      <c r="J49" s="32" t="n">
        <v>-21510812097</v>
      </c>
      <c r="K49" s="32" t="n">
        <v>-47026940796</v>
      </c>
      <c r="L49" s="32" t="n">
        <v>-17127624142</v>
      </c>
      <c r="M49" s="32" t="n">
        <v>-27446297651</v>
      </c>
    </row>
    <row r="50">
      <c r="A50" s="31" t="inlineStr">
        <is>
          <t>Chi phí hoạt động tư vấn tài chính</t>
        </is>
      </c>
      <c r="B50" s="32" t="n">
        <v>-226000000</v>
      </c>
      <c r="C50" s="32" t="n">
        <v>-56000000</v>
      </c>
      <c r="D50" s="32" t="n">
        <v>0</v>
      </c>
      <c r="E50" s="32" t="n">
        <v>0</v>
      </c>
      <c r="F50" s="32" t="n">
        <v>0</v>
      </c>
      <c r="G50" s="32" t="n">
        <v>0</v>
      </c>
      <c r="H50" s="32" t="n">
        <v>0</v>
      </c>
      <c r="I50" s="32" t="n">
        <v>0</v>
      </c>
      <c r="J50" s="32" t="n">
        <v>0</v>
      </c>
      <c r="K50" s="32" t="n">
        <v>0</v>
      </c>
      <c r="L50" s="32" t="n">
        <v>0</v>
      </c>
      <c r="M50" s="32" t="n">
        <v>0</v>
      </c>
    </row>
    <row r="51">
      <c r="A51" s="31" t="inlineStr">
        <is>
          <t>Chi phí các dịch vụ khác</t>
        </is>
      </c>
      <c r="B51" s="32" t="n">
        <v>0</v>
      </c>
      <c r="C51" s="32" t="n">
        <v>-76396086</v>
      </c>
      <c r="D51" s="32" t="n">
        <v>-8540120550</v>
      </c>
      <c r="E51" s="32" t="n">
        <v>-5064870520</v>
      </c>
      <c r="F51" s="32" t="n">
        <v>-48790239246</v>
      </c>
      <c r="G51" s="32" t="n">
        <v>-51356331294</v>
      </c>
      <c r="H51" s="32" t="n">
        <v>-42456301207</v>
      </c>
      <c r="I51" s="32" t="n">
        <v>-54472631866</v>
      </c>
      <c r="J51" s="32" t="n">
        <v>-91250698238</v>
      </c>
      <c r="K51" s="32" t="n">
        <v>-98595267797</v>
      </c>
      <c r="L51" s="32" t="n">
        <v>-89511187664</v>
      </c>
      <c r="M51" s="32" t="n">
        <v>-85324336589</v>
      </c>
    </row>
    <row r="52">
      <c r="A52" s="31" t="inlineStr">
        <is>
          <t>Chi phí sửa lỗi giao dịch chứng khoán, lỗi khác</t>
        </is>
      </c>
      <c r="B52" s="32" t="n">
        <v>0</v>
      </c>
      <c r="C52" s="32" t="n">
        <v>0</v>
      </c>
      <c r="D52" s="32" t="n">
        <v>0</v>
      </c>
      <c r="E52" s="32" t="n">
        <v>0</v>
      </c>
      <c r="F52" s="32" t="n">
        <v>0</v>
      </c>
      <c r="G52" s="32" t="n">
        <v>0</v>
      </c>
      <c r="H52" s="32" t="n">
        <v>0</v>
      </c>
      <c r="I52" s="32" t="n">
        <v>0</v>
      </c>
      <c r="J52" s="32" t="n">
        <v>0</v>
      </c>
      <c r="K52" s="32" t="n">
        <v>0</v>
      </c>
      <c r="L52" s="32" t="n">
        <v>0</v>
      </c>
      <c r="M52" s="32" t="n">
        <v>0</v>
      </c>
    </row>
    <row r="53">
      <c r="A53" s="31" t="inlineStr">
        <is>
          <t>DOANH THU HOẠT ĐỘNG TÀI CHÍNH</t>
        </is>
      </c>
      <c r="B53" s="32" t="n">
        <v>428390114</v>
      </c>
      <c r="C53" s="32" t="n">
        <v>356795114</v>
      </c>
      <c r="D53" s="32" t="n">
        <v>273774950</v>
      </c>
      <c r="E53" s="32" t="n">
        <v>655286807</v>
      </c>
      <c r="F53" s="32" t="n">
        <v>5684781466</v>
      </c>
      <c r="G53" s="32" t="n">
        <v>6723655139</v>
      </c>
      <c r="H53" s="32" t="n">
        <v>7221162086</v>
      </c>
      <c r="I53" s="32" t="n">
        <v>9610461095</v>
      </c>
      <c r="J53" s="32" t="n">
        <v>17491774068</v>
      </c>
      <c r="K53" s="32" t="n">
        <v>11771387986</v>
      </c>
      <c r="L53" s="32" t="n">
        <v>10790870005</v>
      </c>
      <c r="M53" s="32" t="n">
        <v>10177834027</v>
      </c>
    </row>
    <row r="54">
      <c r="A54" s="31" t="inlineStr">
        <is>
          <t>Chênh lệch lãi tỷ giá hối đoái đã và chưa thực hiện</t>
        </is>
      </c>
      <c r="B54" s="32" t="n">
        <v>0</v>
      </c>
      <c r="C54" s="32" t="n">
        <v>0</v>
      </c>
      <c r="D54" s="32" t="n">
        <v>0</v>
      </c>
      <c r="E54" s="32" t="n">
        <v>0</v>
      </c>
      <c r="F54" s="32" t="n">
        <v>0</v>
      </c>
      <c r="G54" s="32" t="n">
        <v>0</v>
      </c>
      <c r="H54" s="32" t="n">
        <v>0</v>
      </c>
      <c r="I54" s="32" t="n">
        <v>0</v>
      </c>
      <c r="J54" s="32" t="n">
        <v>0</v>
      </c>
      <c r="K54" s="32" t="n">
        <v>0</v>
      </c>
      <c r="L54" s="32" t="n">
        <v>0</v>
      </c>
      <c r="M54" s="32" t="n">
        <v>0</v>
      </c>
    </row>
    <row r="55">
      <c r="A55" s="31" t="inlineStr">
        <is>
          <t>Doanh thu, dự thu cổ tức, lãi tiền gửi không cố định phát sinh trong kỳ</t>
        </is>
      </c>
      <c r="B55" s="32" t="n">
        <v>428390114</v>
      </c>
      <c r="C55" s="32" t="n">
        <v>356795114</v>
      </c>
      <c r="D55" s="32" t="n">
        <v>273774950</v>
      </c>
      <c r="E55" s="32" t="n">
        <v>655286807</v>
      </c>
      <c r="F55" s="32" t="n">
        <v>5581473133</v>
      </c>
      <c r="G55" s="32" t="n">
        <v>6447680138</v>
      </c>
      <c r="H55" s="32" t="n">
        <v>6945187085</v>
      </c>
      <c r="I55" s="32" t="n">
        <v>9340551094</v>
      </c>
      <c r="J55" s="32" t="n">
        <v>17319107404</v>
      </c>
      <c r="K55" s="32" t="n">
        <v>11771387986</v>
      </c>
      <c r="L55" s="32" t="n">
        <v>10790870005</v>
      </c>
      <c r="M55" s="32" t="n">
        <v>10177834027</v>
      </c>
    </row>
    <row r="56">
      <c r="A56" s="31" t="inlineStr">
        <is>
          <t>Lãi bán, thanh lý các khoản đầu tư vào công ty con, liên kết, liên doanh</t>
        </is>
      </c>
      <c r="B56" s="32" t="n">
        <v>0</v>
      </c>
      <c r="C56" s="32" t="n">
        <v>0</v>
      </c>
      <c r="D56" s="32" t="n">
        <v>0</v>
      </c>
      <c r="E56" s="32" t="n">
        <v>0</v>
      </c>
      <c r="F56" s="32" t="n">
        <v>0</v>
      </c>
      <c r="G56" s="32" t="n">
        <v>0</v>
      </c>
      <c r="H56" s="32" t="n">
        <v>0</v>
      </c>
      <c r="I56" s="32" t="n">
        <v>0</v>
      </c>
      <c r="J56" s="32" t="n">
        <v>0</v>
      </c>
      <c r="K56" s="32" t="n">
        <v>0</v>
      </c>
      <c r="L56" s="32" t="n">
        <v>0</v>
      </c>
      <c r="M56" s="32" t="n">
        <v>0</v>
      </c>
    </row>
    <row r="57">
      <c r="A57" s="31" t="inlineStr">
        <is>
          <t>Doanh thu khác về đầu tư</t>
        </is>
      </c>
      <c r="B57" s="32" t="n">
        <v>0</v>
      </c>
      <c r="C57" s="32" t="n">
        <v>0</v>
      </c>
      <c r="D57" s="32" t="n">
        <v>0</v>
      </c>
      <c r="E57" s="32" t="n">
        <v>0</v>
      </c>
      <c r="F57" s="32" t="n">
        <v>103308333</v>
      </c>
      <c r="G57" s="32" t="n">
        <v>275975001</v>
      </c>
      <c r="H57" s="32" t="n">
        <v>275975001</v>
      </c>
      <c r="I57" s="32" t="n">
        <v>269910001</v>
      </c>
      <c r="J57" s="32" t="n">
        <v>172666664</v>
      </c>
      <c r="K57" s="32" t="n">
        <v>0</v>
      </c>
      <c r="L57" s="32" t="n">
        <v>0</v>
      </c>
      <c r="M57" s="32" t="n">
        <v>0</v>
      </c>
    </row>
    <row r="58">
      <c r="A58" s="31" t="inlineStr">
        <is>
          <t>CHI PHÍ TÀI CHÍNH</t>
        </is>
      </c>
      <c r="B58" s="32" t="n">
        <v>-7797705524</v>
      </c>
      <c r="C58" s="32" t="n">
        <v>-7626654631</v>
      </c>
      <c r="D58" s="32" t="n">
        <v>-7916424520</v>
      </c>
      <c r="E58" s="32" t="n">
        <v>-11456449670</v>
      </c>
      <c r="F58" s="32" t="n">
        <v>-477531235067</v>
      </c>
      <c r="G58" s="32" t="n">
        <v>-475156213834</v>
      </c>
      <c r="H58" s="32" t="n">
        <v>-459917550730</v>
      </c>
      <c r="I58" s="32" t="n">
        <v>-569420566564</v>
      </c>
      <c r="J58" s="32" t="n">
        <v>-583770068264</v>
      </c>
      <c r="K58" s="32" t="n">
        <v>-668759010948</v>
      </c>
      <c r="L58" s="32" t="n">
        <v>-741488168510</v>
      </c>
      <c r="M58" s="32" t="n">
        <v>-1023448500976</v>
      </c>
    </row>
    <row r="59">
      <c r="A59" s="31" t="inlineStr">
        <is>
          <t>Chênh lệch lỗ tỷ giá hối đoái đã và chưa thực hiện</t>
        </is>
      </c>
      <c r="B59" s="32" t="n">
        <v>0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0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-4529567730</v>
      </c>
    </row>
    <row r="60">
      <c r="A60" s="31" t="inlineStr">
        <is>
          <t>Chi phí lãi vay</t>
        </is>
      </c>
      <c r="B60" s="32" t="n">
        <v>-7797705524</v>
      </c>
      <c r="C60" s="32" t="n">
        <v>-7626654631</v>
      </c>
      <c r="D60" s="32" t="n">
        <v>-7916424520</v>
      </c>
      <c r="E60" s="32" t="n">
        <v>-11456449670</v>
      </c>
      <c r="F60" s="32" t="n">
        <v>-454532798330</v>
      </c>
      <c r="G60" s="32" t="n">
        <v>-416133486235</v>
      </c>
      <c r="H60" s="32" t="n">
        <v>-402089293017</v>
      </c>
      <c r="I60" s="32" t="n">
        <v>-497334006930</v>
      </c>
      <c r="J60" s="32" t="n">
        <v>-536214064771</v>
      </c>
      <c r="K60" s="32" t="n">
        <v>-619374013780</v>
      </c>
      <c r="L60" s="32" t="n">
        <v>-688724696403</v>
      </c>
      <c r="M60" s="32" t="n">
        <v>-888967633276</v>
      </c>
    </row>
    <row r="61">
      <c r="A61" s="31" t="inlineStr">
        <is>
          <t>Lỗ bán, thanh lý các khoản đầu tư vào công ty con, liên kết, liên doanh</t>
        </is>
      </c>
      <c r="B61" s="32" t="n">
        <v>0</v>
      </c>
      <c r="C61" s="32" t="n">
        <v>0</v>
      </c>
      <c r="D61" s="32" t="n">
        <v>0</v>
      </c>
      <c r="E61" s="32" t="n">
        <v>0</v>
      </c>
      <c r="F61" s="32" t="n">
        <v>0</v>
      </c>
      <c r="G61" s="32" t="n">
        <v>0</v>
      </c>
      <c r="H61" s="32" t="n">
        <v>0</v>
      </c>
      <c r="I61" s="32" t="n">
        <v>0</v>
      </c>
      <c r="J61" s="32" t="n">
        <v>0</v>
      </c>
      <c r="K61" s="32" t="n">
        <v>0</v>
      </c>
      <c r="L61" s="32" t="n">
        <v>0</v>
      </c>
      <c r="M61" s="32" t="n">
        <v>0</v>
      </c>
    </row>
    <row r="62">
      <c r="A62" s="31" t="inlineStr">
        <is>
          <t>Chi phí dự phòng suy giảm giá trị các khoản đầu tư tài chính dài hạn</t>
        </is>
      </c>
      <c r="B62" s="32" t="n">
        <v>0</v>
      </c>
      <c r="C62" s="32" t="n">
        <v>0</v>
      </c>
      <c r="D62" s="32" t="n">
        <v>0</v>
      </c>
      <c r="E62" s="32" t="n">
        <v>0</v>
      </c>
      <c r="F62" s="32" t="n">
        <v>0</v>
      </c>
      <c r="G62" s="32" t="n">
        <v>0</v>
      </c>
      <c r="H62" s="32" t="n">
        <v>0</v>
      </c>
      <c r="I62" s="32" t="n">
        <v>0</v>
      </c>
      <c r="J62" s="32" t="n">
        <v>0</v>
      </c>
      <c r="K62" s="32" t="n">
        <v>0</v>
      </c>
      <c r="L62" s="32" t="n">
        <v>0</v>
      </c>
      <c r="M62" s="32" t="n">
        <v>0</v>
      </c>
    </row>
    <row r="63">
      <c r="A63" s="31" t="inlineStr">
        <is>
          <t>Chi phí đầu tư khác</t>
        </is>
      </c>
      <c r="B63" s="32" t="n">
        <v>0</v>
      </c>
      <c r="C63" s="32" t="n">
        <v>0</v>
      </c>
      <c r="D63" s="32" t="n">
        <v>0</v>
      </c>
      <c r="E63" s="32" t="n">
        <v>0</v>
      </c>
      <c r="F63" s="32" t="n">
        <v>-22998436737</v>
      </c>
      <c r="G63" s="32" t="n">
        <v>-59022727599</v>
      </c>
      <c r="H63" s="32" t="n">
        <v>-57828257713</v>
      </c>
      <c r="I63" s="32" t="n">
        <v>-72086559634</v>
      </c>
      <c r="J63" s="32" t="n">
        <v>-47556003493</v>
      </c>
      <c r="K63" s="32" t="n">
        <v>-49384997168</v>
      </c>
      <c r="L63" s="32" t="n">
        <v>-52763472107</v>
      </c>
      <c r="M63" s="32" t="n">
        <v>-129951299970</v>
      </c>
    </row>
    <row r="64">
      <c r="A64" s="31" t="inlineStr">
        <is>
          <t>CHI PHÍ BÁN HÀNG</t>
        </is>
      </c>
      <c r="B64" s="32" t="n">
        <v>0</v>
      </c>
      <c r="C64" s="32" t="n">
        <v>0</v>
      </c>
      <c r="D64" s="32" t="n">
        <v>0</v>
      </c>
      <c r="E64" s="32" t="n">
        <v>0</v>
      </c>
      <c r="F64" s="32" t="n">
        <v>0</v>
      </c>
      <c r="G64" s="32" t="n">
        <v>0</v>
      </c>
      <c r="H64" s="32" t="n">
        <v>0</v>
      </c>
      <c r="I64" s="32" t="n">
        <v>0</v>
      </c>
      <c r="J64" s="32" t="n">
        <v>0</v>
      </c>
      <c r="K64" s="32" t="n">
        <v>0</v>
      </c>
      <c r="L64" s="32" t="n">
        <v>0</v>
      </c>
      <c r="M64" s="32" t="n">
        <v>0</v>
      </c>
    </row>
    <row r="65">
      <c r="A65" s="31" t="inlineStr">
        <is>
          <t>Lợi nhuận đã thực hiện</t>
        </is>
      </c>
      <c r="B65" s="32" t="n">
        <v>94585551102</v>
      </c>
      <c r="C65" s="32" t="n">
        <v>100160288490</v>
      </c>
      <c r="D65" s="32" t="n">
        <v>521758473804</v>
      </c>
      <c r="E65" s="32" t="n">
        <v>819222503944</v>
      </c>
      <c r="F65" s="32" t="n">
        <v>1097052077972</v>
      </c>
      <c r="G65" s="32" t="n">
        <v>932362155593</v>
      </c>
      <c r="H65" s="32" t="n">
        <v>1309797717488</v>
      </c>
      <c r="I65" s="32" t="n">
        <v>1731753553400</v>
      </c>
      <c r="J65" s="32" t="n">
        <v>2021795144426</v>
      </c>
      <c r="K65" s="32" t="n">
        <v>2042125912198</v>
      </c>
      <c r="L65" s="32" t="n">
        <v>1458210052469</v>
      </c>
      <c r="M65" s="32" t="n">
        <v>2102043901694</v>
      </c>
    </row>
    <row r="66">
      <c r="A66" s="31" t="inlineStr">
        <is>
          <t>Lợi nhuận chưa thực hiện</t>
        </is>
      </c>
      <c r="B66" s="32" t="n">
        <v>0</v>
      </c>
      <c r="C66" s="32" t="n">
        <v>0</v>
      </c>
      <c r="D66" s="32" t="n">
        <v>0</v>
      </c>
      <c r="E66" s="32" t="n">
        <v>0</v>
      </c>
      <c r="F66" s="32" t="n">
        <v>0</v>
      </c>
      <c r="G66" s="32" t="n">
        <v>432821962</v>
      </c>
      <c r="H66" s="32" t="n">
        <v>46498810</v>
      </c>
      <c r="I66" s="32" t="n">
        <v>1347946833</v>
      </c>
      <c r="J66" s="32" t="n">
        <v>2611694260</v>
      </c>
      <c r="K66" s="32" t="n">
        <v>-777725806</v>
      </c>
      <c r="L66" s="32" t="n">
        <v>215440159</v>
      </c>
      <c r="M66" s="32" t="n">
        <v>-5088703996</v>
      </c>
    </row>
    <row r="67">
      <c r="A67" s="31" t="inlineStr">
        <is>
          <t>LNST trích các Quỹ dự trữ điều lệ, Quỹ Dự phòng tài chính và rủi ro nghề nghiệp</t>
        </is>
      </c>
      <c r="B67" s="32" t="n">
        <v>0</v>
      </c>
      <c r="C67" s="32" t="n">
        <v>0</v>
      </c>
      <c r="D67" s="32" t="n">
        <v>0</v>
      </c>
      <c r="E67" s="32" t="n">
        <v>0</v>
      </c>
      <c r="F67" s="32" t="n">
        <v>0</v>
      </c>
      <c r="G67" s="32" t="n">
        <v>0</v>
      </c>
      <c r="H67" s="32" t="n">
        <v>0</v>
      </c>
      <c r="I67" s="32" t="n">
        <v>0</v>
      </c>
      <c r="J67" s="32" t="n">
        <v>0</v>
      </c>
      <c r="K67" s="32" t="n">
        <v>0</v>
      </c>
      <c r="L67" s="32" t="n">
        <v>0</v>
      </c>
      <c r="M67" s="32" t="n">
        <v>0</v>
      </c>
    </row>
    <row r="68">
      <c r="A68" s="31" t="inlineStr">
        <is>
          <t>Lãi/(lỗ) từ đánh giá lại các các khoản đầu tư giữ đến ngày đáo hạn</t>
        </is>
      </c>
      <c r="B68" s="32" t="n">
        <v>0</v>
      </c>
      <c r="C68" s="32" t="n">
        <v>0</v>
      </c>
      <c r="D68" s="32" t="n">
        <v>0</v>
      </c>
      <c r="E68" s="32" t="n">
        <v>0</v>
      </c>
      <c r="F68" s="32" t="n">
        <v>0</v>
      </c>
      <c r="G68" s="32" t="n">
        <v>0</v>
      </c>
      <c r="H68" s="32" t="n">
        <v>0</v>
      </c>
      <c r="I68" s="32" t="n">
        <v>0</v>
      </c>
      <c r="J68" s="32" t="n">
        <v>0</v>
      </c>
      <c r="K68" s="32" t="n">
        <v>0</v>
      </c>
      <c r="L68" s="32" t="n">
        <v>0</v>
      </c>
      <c r="M68" s="32" t="n">
        <v>0</v>
      </c>
    </row>
    <row r="69">
      <c r="A69" s="31" t="inlineStr">
        <is>
          <t>Lãi/(lỗ) từ đánh giá lại các tài sản tài chính sẵn sàng để bán</t>
        </is>
      </c>
      <c r="B69" s="32" t="n">
        <v>0</v>
      </c>
      <c r="C69" s="32" t="n">
        <v>0</v>
      </c>
      <c r="D69" s="32" t="n">
        <v>0</v>
      </c>
      <c r="E69" s="32" t="n">
        <v>0</v>
      </c>
      <c r="F69" s="32" t="n">
        <v>68204994067</v>
      </c>
      <c r="G69" s="32" t="n">
        <v>-38412600007</v>
      </c>
      <c r="H69" s="32" t="n">
        <v>-12925053029</v>
      </c>
      <c r="I69" s="32" t="n">
        <v>-28251217798</v>
      </c>
      <c r="J69" s="32" t="n">
        <v>65429803590</v>
      </c>
      <c r="K69" s="32" t="n">
        <v>-11816909692</v>
      </c>
      <c r="L69" s="32" t="n">
        <v>-12093836311</v>
      </c>
      <c r="M69" s="32" t="n">
        <v>-1489140611</v>
      </c>
    </row>
    <row r="70">
      <c r="A70" s="31" t="inlineStr">
        <is>
          <t>Lãi/(lỗ) toàn diện khác được chia từ hoạt động đầu tư vào công ty con, đầu tư liên kết, liên doanh</t>
        </is>
      </c>
      <c r="B70" s="32" t="n">
        <v>0</v>
      </c>
      <c r="C70" s="32" t="n">
        <v>0</v>
      </c>
      <c r="D70" s="32" t="n">
        <v>0</v>
      </c>
      <c r="E70" s="32" t="n">
        <v>0</v>
      </c>
      <c r="F70" s="32" t="n">
        <v>0</v>
      </c>
      <c r="G70" s="32" t="n">
        <v>0</v>
      </c>
      <c r="H70" s="32" t="n">
        <v>0</v>
      </c>
      <c r="I70" s="32" t="n">
        <v>0</v>
      </c>
      <c r="J70" s="32" t="n">
        <v>0</v>
      </c>
      <c r="K70" s="32" t="n">
        <v>0</v>
      </c>
      <c r="L70" s="32" t="n">
        <v>0</v>
      </c>
      <c r="M70" s="32" t="n">
        <v>0</v>
      </c>
    </row>
    <row r="71">
      <c r="A71" s="31" t="inlineStr">
        <is>
          <t>Lãi/(lỗ) từ đánh giá lại các công cụ tài chính phái sinh</t>
        </is>
      </c>
      <c r="B71" s="32" t="n">
        <v>0</v>
      </c>
      <c r="C71" s="32" t="n">
        <v>0</v>
      </c>
      <c r="D71" s="32" t="n">
        <v>0</v>
      </c>
      <c r="E71" s="32" t="n">
        <v>0</v>
      </c>
      <c r="F71" s="32" t="n">
        <v>0</v>
      </c>
      <c r="G71" s="32" t="n">
        <v>0</v>
      </c>
      <c r="H71" s="32" t="n">
        <v>0</v>
      </c>
      <c r="I71" s="32" t="n">
        <v>0</v>
      </c>
      <c r="J71" s="32" t="n">
        <v>0</v>
      </c>
      <c r="K71" s="32" t="n">
        <v>0</v>
      </c>
      <c r="L71" s="32" t="n">
        <v>0</v>
      </c>
      <c r="M71" s="32" t="n">
        <v>0</v>
      </c>
    </row>
    <row r="72">
      <c r="A72" s="31" t="inlineStr">
        <is>
          <t>Lãi/(lỗ) chênh lệch tỷ giá của hoạt động tại nước ngoài</t>
        </is>
      </c>
      <c r="B72" s="32" t="n">
        <v>0</v>
      </c>
      <c r="C72" s="32" t="n">
        <v>0</v>
      </c>
      <c r="D72" s="32" t="n">
        <v>0</v>
      </c>
      <c r="E72" s="32" t="n">
        <v>0</v>
      </c>
      <c r="F72" s="32" t="n">
        <v>0</v>
      </c>
      <c r="G72" s="32" t="n">
        <v>0</v>
      </c>
      <c r="H72" s="32" t="n">
        <v>0</v>
      </c>
      <c r="I72" s="32" t="n">
        <v>0</v>
      </c>
      <c r="J72" s="32" t="n">
        <v>0</v>
      </c>
      <c r="K72" s="32" t="n">
        <v>0</v>
      </c>
      <c r="L72" s="32" t="n">
        <v>0</v>
      </c>
      <c r="M72" s="32" t="n">
        <v>0</v>
      </c>
    </row>
    <row r="73">
      <c r="A73" s="31" t="inlineStr">
        <is>
          <t>Lãi/(lỗ) từ các khoản đầu tư vào công ty con. Công ty liên kết, liên doanh chưa chia</t>
        </is>
      </c>
      <c r="B73" s="32" t="n">
        <v>0</v>
      </c>
      <c r="C73" s="32" t="n">
        <v>0</v>
      </c>
      <c r="D73" s="32" t="n">
        <v>0</v>
      </c>
      <c r="E73" s="32" t="n">
        <v>0</v>
      </c>
      <c r="F73" s="32" t="n">
        <v>0</v>
      </c>
      <c r="G73" s="32" t="n">
        <v>0</v>
      </c>
      <c r="H73" s="32" t="n">
        <v>0</v>
      </c>
      <c r="I73" s="32" t="n">
        <v>0</v>
      </c>
      <c r="J73" s="32" t="n">
        <v>0</v>
      </c>
      <c r="K73" s="32" t="n">
        <v>0</v>
      </c>
      <c r="L73" s="32" t="n">
        <v>0</v>
      </c>
      <c r="M73" s="32" t="n">
        <v>0</v>
      </c>
    </row>
    <row r="74">
      <c r="A74" s="31" t="inlineStr">
        <is>
          <t>Lãi/(lỗ) đánh giá công cụ phái sinh</t>
        </is>
      </c>
      <c r="B74" s="32" t="n">
        <v>0</v>
      </c>
      <c r="C74" s="32" t="n">
        <v>0</v>
      </c>
      <c r="D74" s="32" t="n">
        <v>0</v>
      </c>
      <c r="E74" s="32" t="n">
        <v>0</v>
      </c>
      <c r="F74" s="32" t="n">
        <v>0</v>
      </c>
      <c r="G74" s="32" t="n">
        <v>0</v>
      </c>
      <c r="H74" s="32" t="n">
        <v>0</v>
      </c>
      <c r="I74" s="32" t="n">
        <v>0</v>
      </c>
      <c r="J74" s="32" t="n">
        <v>0</v>
      </c>
      <c r="K74" s="32" t="n">
        <v>0</v>
      </c>
      <c r="L74" s="32" t="n">
        <v>0</v>
      </c>
      <c r="M74" s="32" t="n">
        <v>0</v>
      </c>
    </row>
    <row r="75">
      <c r="A75" s="31" t="inlineStr">
        <is>
          <t>Lãi/(lỗ) đánh giá lại tài sản cố định theo mô hình giá trị hợp lý</t>
        </is>
      </c>
      <c r="B75" s="32" t="n">
        <v>0</v>
      </c>
      <c r="C75" s="32" t="n">
        <v>0</v>
      </c>
      <c r="D75" s="32" t="n">
        <v>0</v>
      </c>
      <c r="E75" s="32" t="n">
        <v>0</v>
      </c>
      <c r="F75" s="32" t="n">
        <v>0</v>
      </c>
      <c r="G75" s="32" t="n">
        <v>0</v>
      </c>
      <c r="H75" s="32" t="n">
        <v>0</v>
      </c>
      <c r="I75" s="32" t="n">
        <v>0</v>
      </c>
      <c r="J75" s="32" t="n">
        <v>0</v>
      </c>
      <c r="K75" s="32" t="n">
        <v>0</v>
      </c>
      <c r="L75" s="32" t="n">
        <v>0</v>
      </c>
      <c r="M75" s="32" t="n">
        <v>0</v>
      </c>
    </row>
    <row r="76">
      <c r="A76" s="31" t="inlineStr">
        <is>
          <t>Tổng thu nhập toàn diện</t>
        </is>
      </c>
      <c r="B76" s="32" t="n">
        <v>74081718444</v>
      </c>
      <c r="C76" s="32" t="n">
        <v>81089115728</v>
      </c>
      <c r="D76" s="32" t="n">
        <v>418993501481</v>
      </c>
      <c r="E76" s="32" t="n">
        <v>655205524176</v>
      </c>
      <c r="F76" s="32" t="n">
        <v>945846656445</v>
      </c>
      <c r="G76" s="32" t="n">
        <v>707823382038</v>
      </c>
      <c r="H76" s="32" t="n">
        <v>997725840492</v>
      </c>
      <c r="I76" s="32" t="n">
        <v>1391822612086</v>
      </c>
      <c r="J76" s="32" t="n">
        <v>1684955206179</v>
      </c>
      <c r="K76" s="32" t="n">
        <v>1621261819422</v>
      </c>
      <c r="L76" s="32" t="n">
        <v>1135539593181</v>
      </c>
      <c r="M76" s="32" t="n">
        <v>1690404463857</v>
      </c>
    </row>
    <row r="77">
      <c r="A77" s="31" t="inlineStr">
        <is>
          <t>Thu nhập toàn diện phân bổ cho chủ sở hữu</t>
        </is>
      </c>
      <c r="B77" s="32" t="n">
        <v>74081718444</v>
      </c>
      <c r="C77" s="32" t="n">
        <v>81089115728</v>
      </c>
      <c r="D77" s="32" t="n">
        <v>418993501481</v>
      </c>
      <c r="E77" s="32" t="n">
        <v>655205524176</v>
      </c>
      <c r="F77" s="32" t="n">
        <v>945846656445</v>
      </c>
      <c r="G77" s="32" t="n">
        <v>707823382038</v>
      </c>
      <c r="H77" s="32" t="n">
        <v>997725840492</v>
      </c>
      <c r="I77" s="32" t="n">
        <v>1391822612086</v>
      </c>
      <c r="J77" s="32" t="n">
        <v>1684955206179</v>
      </c>
      <c r="K77" s="32" t="n">
        <v>1621261819422</v>
      </c>
      <c r="L77" s="32" t="n">
        <v>1135539593181</v>
      </c>
      <c r="M77" s="32" t="n">
        <v>1690404463857</v>
      </c>
    </row>
    <row r="78">
      <c r="A78" s="31" t="inlineStr">
        <is>
          <t>Thu nhập toàn diện phân bổ cho cổ đông không nắm quyền kiểm soát</t>
        </is>
      </c>
      <c r="B78" s="32" t="n">
        <v>0</v>
      </c>
      <c r="C78" s="32" t="n">
        <v>0</v>
      </c>
      <c r="D78" s="32" t="n">
        <v>0</v>
      </c>
      <c r="E78" s="32" t="n">
        <v>0</v>
      </c>
      <c r="F78" s="32" t="n">
        <v>0</v>
      </c>
      <c r="G78" s="32" t="n">
        <v>0</v>
      </c>
      <c r="H78" s="32" t="n">
        <v>0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</row>
    <row r="79">
      <c r="A79" s="31" t="inlineStr">
        <is>
          <t>THU NHẬP THUẦN TRÊN CỔ PHIẾU PHỔ THÔNG</t>
        </is>
      </c>
      <c r="B79" s="32" t="n">
        <v>0</v>
      </c>
      <c r="C79" s="32" t="n">
        <v>0</v>
      </c>
      <c r="D79" s="32" t="n">
        <v>0</v>
      </c>
      <c r="E79" s="32" t="n">
        <v>0</v>
      </c>
      <c r="F79" s="32" t="n">
        <v>0</v>
      </c>
      <c r="G79" s="32" t="n">
        <v>0</v>
      </c>
      <c r="H79" s="32" t="n">
        <v>0</v>
      </c>
      <c r="I79" s="32" t="n">
        <v>0</v>
      </c>
      <c r="J79" s="32" t="n">
        <v>0</v>
      </c>
      <c r="K79" s="32" t="n">
        <v>0</v>
      </c>
      <c r="L79" s="32" t="n">
        <v>0</v>
      </c>
      <c r="M79" s="32" t="n">
        <v>0</v>
      </c>
    </row>
    <row r="80">
      <c r="A80" s="31" t="inlineStr">
        <is>
          <t>THU NHẬP (LỖ) TOÀN DIỆN KHÁC SAU THUẾ</t>
        </is>
      </c>
      <c r="B80" s="32" t="n">
        <v>0</v>
      </c>
      <c r="C80" s="32" t="n">
        <v>0</v>
      </c>
      <c r="D80" s="32" t="n">
        <v>0</v>
      </c>
      <c r="E80" s="32" t="n">
        <v>0</v>
      </c>
      <c r="F80" s="32" t="n">
        <v>68204994067</v>
      </c>
      <c r="G80" s="32" t="n">
        <v>-38412600007</v>
      </c>
      <c r="H80" s="32" t="n">
        <v>-12925053029</v>
      </c>
      <c r="I80" s="32" t="n">
        <v>-28251217798</v>
      </c>
      <c r="J80" s="32" t="n">
        <v>65429803590</v>
      </c>
      <c r="K80" s="32" t="n">
        <v>-11816909692</v>
      </c>
      <c r="L80" s="32" t="n">
        <v>-12093836311</v>
      </c>
      <c r="M80" s="32" t="n">
        <v>-1489140611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29" t="inlineStr">
        <is>
          <t>item</t>
        </is>
      </c>
      <c r="B1" s="30" t="inlineStr">
        <is>
          <t>2018-Q1</t>
        </is>
      </c>
      <c r="C1" s="30" t="inlineStr">
        <is>
          <t>2018-Q2</t>
        </is>
      </c>
      <c r="D1" s="30" t="inlineStr">
        <is>
          <t>2018-Q3</t>
        </is>
      </c>
      <c r="E1" s="30" t="inlineStr">
        <is>
          <t>2018-Q4</t>
        </is>
      </c>
      <c r="F1" s="30" t="inlineStr">
        <is>
          <t>2024-Q3</t>
        </is>
      </c>
      <c r="G1" s="30" t="inlineStr">
        <is>
          <t>2024-Q4</t>
        </is>
      </c>
      <c r="H1" s="30" t="inlineStr">
        <is>
          <t>2025-Q1</t>
        </is>
      </c>
      <c r="I1" s="30" t="inlineStr">
        <is>
          <t>2025-Q2</t>
        </is>
      </c>
      <c r="J1" s="30" t="inlineStr">
        <is>
          <t>2025-Q3</t>
        </is>
      </c>
      <c r="K1" s="30" t="inlineStr">
        <is>
          <t>2025-Q4</t>
        </is>
      </c>
      <c r="L1" s="30" t="inlineStr">
        <is>
          <t>2026-Q1</t>
        </is>
      </c>
      <c r="M1" s="30" t="inlineStr">
        <is>
          <t>2026-Q2</t>
        </is>
      </c>
    </row>
    <row r="2">
      <c r="A2" s="31" t="inlineStr">
        <is>
          <t>LỢI NHUẬN TRƯỚC THUẾ</t>
        </is>
      </c>
      <c r="B2" s="32" t="n">
        <v>94585551102</v>
      </c>
      <c r="C2" s="32" t="n">
        <v>100160288490</v>
      </c>
      <c r="D2" s="32" t="n">
        <v>518217725295</v>
      </c>
      <c r="E2" s="32" t="n">
        <v>819222503944</v>
      </c>
      <c r="F2" s="32" t="n">
        <v>1097052077972</v>
      </c>
      <c r="G2" s="32" t="n">
        <v>932794977555</v>
      </c>
      <c r="H2" s="32" t="n">
        <v>1309844216298</v>
      </c>
      <c r="I2" s="32" t="n">
        <v>1733101500233</v>
      </c>
      <c r="J2" s="32" t="n">
        <v>2024406838686</v>
      </c>
      <c r="K2" s="32" t="n">
        <v>2041351186392</v>
      </c>
      <c r="L2" s="32" t="n">
        <v>1458425492628</v>
      </c>
      <c r="M2" s="32" t="n">
        <v>2096955197698</v>
      </c>
    </row>
    <row r="3">
      <c r="A3" s="31" t="inlineStr">
        <is>
          <t>Khấu hao tài sản cố định</t>
        </is>
      </c>
      <c r="B3" s="32" t="n">
        <v>984844420</v>
      </c>
      <c r="C3" s="32" t="n">
        <v>908120809</v>
      </c>
      <c r="D3" s="32" t="n">
        <v>682391365</v>
      </c>
      <c r="E3" s="32" t="n">
        <v>1269971542</v>
      </c>
      <c r="F3" s="32" t="n">
        <v>5613191511</v>
      </c>
      <c r="G3" s="32" t="n">
        <v>5743274339</v>
      </c>
      <c r="H3" s="32" t="n">
        <v>5177129805</v>
      </c>
      <c r="I3" s="32" t="n">
        <v>5850112621</v>
      </c>
      <c r="J3" s="32" t="n">
        <v>6527716268</v>
      </c>
      <c r="K3" s="32" t="n">
        <v>7318877349</v>
      </c>
      <c r="L3" s="32" t="n">
        <v>7919615758</v>
      </c>
      <c r="M3" s="32" t="n">
        <v>7875394766</v>
      </c>
    </row>
    <row r="4">
      <c r="A4" s="31" t="inlineStr">
        <is>
          <t>Các khoản dự phòng</t>
        </is>
      </c>
      <c r="B4" s="32" t="n">
        <v>0</v>
      </c>
      <c r="C4" s="32" t="n">
        <v>0</v>
      </c>
      <c r="D4" s="32" t="n">
        <v>0</v>
      </c>
      <c r="E4" s="32" t="n">
        <v>0</v>
      </c>
      <c r="F4" s="32" t="n">
        <v>2697643051</v>
      </c>
      <c r="G4" s="32" t="n">
        <v>-631280514</v>
      </c>
      <c r="H4" s="32" t="n">
        <v>716998927</v>
      </c>
      <c r="I4" s="32" t="n">
        <v>-700498927</v>
      </c>
      <c r="J4" s="32" t="n">
        <v>16500000</v>
      </c>
      <c r="K4" s="32" t="n">
        <v>-6600000</v>
      </c>
      <c r="L4" s="32" t="n">
        <v>0</v>
      </c>
      <c r="M4" s="32" t="n">
        <v>0</v>
      </c>
    </row>
    <row r="5">
      <c r="A5" s="31" t="inlineStr">
        <is>
          <t>Lãi, lỗ chênh lệch tỷ giá hối đoái chưa thực hiện</t>
        </is>
      </c>
      <c r="B5" s="32" t="n">
        <v>0</v>
      </c>
      <c r="C5" s="32" t="n">
        <v>0</v>
      </c>
      <c r="D5" s="32" t="n">
        <v>0</v>
      </c>
      <c r="E5" s="32" t="n">
        <v>0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0</v>
      </c>
    </row>
    <row r="6">
      <c r="A6" s="31" t="inlineStr">
        <is>
          <t>Lãi, lỗ hoạt động đầu tư</t>
        </is>
      </c>
      <c r="B6" s="32" t="n">
        <v>-6452601242</v>
      </c>
      <c r="C6" s="32" t="n">
        <v>6452601242</v>
      </c>
      <c r="D6" s="32" t="n">
        <v>-179453024519</v>
      </c>
      <c r="E6" s="32" t="n">
        <v>179453024519</v>
      </c>
      <c r="F6" s="32" t="n">
        <v>0</v>
      </c>
      <c r="G6" s="32" t="n">
        <v>0</v>
      </c>
      <c r="H6" s="32" t="n">
        <v>0</v>
      </c>
      <c r="I6" s="32" t="n">
        <v>0</v>
      </c>
      <c r="J6" s="32" t="n">
        <v>0</v>
      </c>
      <c r="K6" s="32" t="n">
        <v>0</v>
      </c>
      <c r="L6" s="32" t="n">
        <v>0</v>
      </c>
      <c r="M6" s="32" t="n">
        <v>0</v>
      </c>
    </row>
    <row r="7">
      <c r="A7" s="31" t="inlineStr">
        <is>
          <t>Chi phí lãi vay</t>
        </is>
      </c>
      <c r="B7" s="32" t="n">
        <v>7797705524</v>
      </c>
      <c r="C7" s="32" t="n">
        <v>7626654631</v>
      </c>
      <c r="D7" s="32" t="n">
        <v>7916424520</v>
      </c>
      <c r="E7" s="32" t="n">
        <v>11456449670</v>
      </c>
      <c r="F7" s="32" t="n">
        <v>454532798330</v>
      </c>
      <c r="G7" s="32" t="n">
        <v>416133486235</v>
      </c>
      <c r="H7" s="32" t="n">
        <v>402089293017</v>
      </c>
      <c r="I7" s="32" t="n">
        <v>497334006930</v>
      </c>
      <c r="J7" s="32" t="n">
        <v>536214064771</v>
      </c>
      <c r="K7" s="32" t="n">
        <v>619374013780</v>
      </c>
      <c r="L7" s="32" t="n">
        <v>688724696403</v>
      </c>
      <c r="M7" s="32" t="n">
        <v>888967633276</v>
      </c>
    </row>
    <row r="8">
      <c r="A8" s="31" t="inlineStr">
        <is>
          <t>Dự thu lãi và cổ tức</t>
        </is>
      </c>
      <c r="B8" s="32" t="n">
        <v>-8196307117</v>
      </c>
      <c r="C8" s="32" t="n">
        <v>3237486491</v>
      </c>
      <c r="D8" s="32" t="n">
        <v>-2971611922</v>
      </c>
      <c r="E8" s="32" t="n">
        <v>-19932729096</v>
      </c>
      <c r="F8" s="32" t="n">
        <v>-22641118223</v>
      </c>
      <c r="G8" s="32" t="n">
        <v>-81370495655</v>
      </c>
      <c r="H8" s="32" t="n">
        <v>-472346382145</v>
      </c>
      <c r="I8" s="32" t="n">
        <v>-106356410802</v>
      </c>
      <c r="J8" s="32" t="n">
        <v>51840614844</v>
      </c>
      <c r="K8" s="32" t="n">
        <v>-159789185881</v>
      </c>
      <c r="L8" s="32" t="n">
        <v>-646129761926</v>
      </c>
      <c r="M8" s="32" t="n">
        <v>-393244396659</v>
      </c>
    </row>
    <row r="9">
      <c r="A9" s="31" t="inlineStr">
        <is>
          <t>Lợi nhuận từ hoạt động kinh doanh trước thay đổi vốn lưu động</t>
        </is>
      </c>
      <c r="B9" s="32" t="n">
        <v>-338334362638</v>
      </c>
      <c r="C9" s="32" t="n">
        <v>685613597889</v>
      </c>
      <c r="D9" s="32" t="n">
        <v>-347530998622</v>
      </c>
      <c r="E9" s="32" t="n">
        <v>-710076868446</v>
      </c>
      <c r="F9" s="32" t="n">
        <v>2313492907820</v>
      </c>
      <c r="G9" s="32" t="n">
        <v>-3131141523946</v>
      </c>
      <c r="H9" s="32" t="n">
        <v>-4482890413341</v>
      </c>
      <c r="I9" s="32" t="n">
        <v>-8496074642332</v>
      </c>
      <c r="J9" s="32" t="n">
        <v>-13263997284885</v>
      </c>
      <c r="K9" s="32" t="n">
        <v>-2822108061606</v>
      </c>
      <c r="L9" s="32" t="n">
        <v>-6872671353632</v>
      </c>
      <c r="M9" s="32" t="n">
        <v>-11536382348883</v>
      </c>
    </row>
    <row r="10">
      <c r="A10" s="31" t="inlineStr">
        <is>
          <t>(-) Tăng, (+) giảm các khoản phải thu khác</t>
        </is>
      </c>
      <c r="B10" s="32" t="n">
        <v>132130137040</v>
      </c>
      <c r="C10" s="32" t="n">
        <v>-298337878</v>
      </c>
      <c r="D10" s="32" t="n">
        <v>-300189967844</v>
      </c>
      <c r="E10" s="32" t="n">
        <v>295764290082</v>
      </c>
      <c r="F10" s="32" t="n">
        <v>-1503891251796</v>
      </c>
      <c r="G10" s="32" t="n">
        <v>1543468156282</v>
      </c>
      <c r="H10" s="32" t="n">
        <v>-266433544858</v>
      </c>
      <c r="I10" s="32" t="n">
        <v>39294256699</v>
      </c>
      <c r="J10" s="32" t="n">
        <v>37094960786</v>
      </c>
      <c r="K10" s="32" t="n">
        <v>206069664767</v>
      </c>
      <c r="L10" s="32" t="n">
        <v>-8570716791</v>
      </c>
      <c r="M10" s="32" t="n">
        <v>-3511506578</v>
      </c>
    </row>
    <row r="11">
      <c r="A11" s="31" t="inlineStr">
        <is>
          <t>Tăng/giảm hàng tồn kho (Trước năm 2016)</t>
        </is>
      </c>
      <c r="B11" s="32" t="n">
        <v>0</v>
      </c>
      <c r="C11" s="32" t="n">
        <v>0</v>
      </c>
      <c r="D11" s="32" t="n">
        <v>0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</row>
    <row r="12">
      <c r="A12" s="31" t="inlineStr">
        <is>
          <t>(+) Tăng, (-) giảm các khoản phải trả, phải nộp khác</t>
        </is>
      </c>
      <c r="B12" s="32" t="n">
        <v>14454280719</v>
      </c>
      <c r="C12" s="32" t="n">
        <v>135816784996</v>
      </c>
      <c r="D12" s="32" t="n">
        <v>-97012707557</v>
      </c>
      <c r="E12" s="32" t="n">
        <v>76758579837</v>
      </c>
      <c r="F12" s="32" t="n">
        <v>1645816470460</v>
      </c>
      <c r="G12" s="32" t="n">
        <v>806871788374</v>
      </c>
      <c r="H12" s="32" t="n">
        <v>114150383285</v>
      </c>
      <c r="I12" s="32" t="n">
        <v>-1965691353</v>
      </c>
      <c r="J12" s="32" t="n">
        <v>1409067278680</v>
      </c>
      <c r="K12" s="32" t="n">
        <v>-1435683465105</v>
      </c>
      <c r="L12" s="32" t="n">
        <v>19009008228</v>
      </c>
      <c r="M12" s="32" t="n">
        <v>344396056120</v>
      </c>
    </row>
    <row r="13">
      <c r="A13" s="31" t="inlineStr">
        <is>
          <t>Tăng/giảm chi phí trả trước</t>
        </is>
      </c>
      <c r="B13" s="32" t="n">
        <v>0</v>
      </c>
      <c r="C13" s="32" t="n">
        <v>-3160760381</v>
      </c>
      <c r="D13" s="32" t="n">
        <v>10700658903</v>
      </c>
      <c r="E13" s="32" t="n">
        <v>-9900956165</v>
      </c>
      <c r="F13" s="32" t="n">
        <v>-17051800466</v>
      </c>
      <c r="G13" s="32" t="n">
        <v>14330031888</v>
      </c>
      <c r="H13" s="32" t="n">
        <v>-30854847211</v>
      </c>
      <c r="I13" s="32" t="n">
        <v>33957808035</v>
      </c>
      <c r="J13" s="32" t="n">
        <v>16415989355</v>
      </c>
      <c r="K13" s="32" t="n">
        <v>11701598623</v>
      </c>
      <c r="L13" s="32" t="n">
        <v>-64459467595</v>
      </c>
      <c r="M13" s="32" t="n">
        <v>-29128720345</v>
      </c>
    </row>
    <row r="14">
      <c r="A14" s="31" t="inlineStr">
        <is>
          <t>Tiền lãi vay đã trả</t>
        </is>
      </c>
      <c r="B14" s="32" t="n">
        <v>0</v>
      </c>
      <c r="C14" s="32" t="n">
        <v>-3214771004</v>
      </c>
      <c r="D14" s="32" t="n">
        <v>3214771004</v>
      </c>
      <c r="E14" s="32" t="n">
        <v>-19314127701</v>
      </c>
      <c r="F14" s="32" t="n">
        <v>-526672535141</v>
      </c>
      <c r="G14" s="32" t="n">
        <v>-257733183799</v>
      </c>
      <c r="H14" s="32" t="n">
        <v>-364107545664</v>
      </c>
      <c r="I14" s="32" t="n">
        <v>-513025762328</v>
      </c>
      <c r="J14" s="32" t="n">
        <v>-525840255470</v>
      </c>
      <c r="K14" s="32" t="n">
        <v>-630279124972</v>
      </c>
      <c r="L14" s="32" t="n">
        <v>-567785187738</v>
      </c>
      <c r="M14" s="32" t="n">
        <v>-682240521525</v>
      </c>
    </row>
    <row r="15">
      <c r="A15" s="31" t="inlineStr">
        <is>
          <t>Thuế TNDN CTCK đã nộp</t>
        </is>
      </c>
      <c r="B15" s="32" t="n">
        <v>-78563753665</v>
      </c>
      <c r="C15" s="32" t="n">
        <v>-20640384258</v>
      </c>
      <c r="D15" s="32" t="n">
        <v>-30000000000</v>
      </c>
      <c r="E15" s="32" t="n">
        <v>-80000000000</v>
      </c>
      <c r="F15" s="32" t="n">
        <v>0</v>
      </c>
      <c r="G15" s="32" t="n">
        <v>0</v>
      </c>
      <c r="H15" s="32" t="n">
        <v>-839623062726</v>
      </c>
      <c r="I15" s="32" t="n">
        <v>-60000000000</v>
      </c>
      <c r="J15" s="32" t="n">
        <v>-60000000000</v>
      </c>
      <c r="K15" s="32" t="n">
        <v>-10000000000</v>
      </c>
      <c r="L15" s="32" t="n">
        <v>-1276028187368</v>
      </c>
      <c r="M15" s="32" t="n">
        <v>-60004058791</v>
      </c>
    </row>
    <row r="16">
      <c r="A16" s="31" t="inlineStr">
        <is>
          <t>Tiền thu khác từ hoạt động kinh doanh</t>
        </is>
      </c>
      <c r="B16" s="32" t="n">
        <v>-54678613789</v>
      </c>
      <c r="C16" s="32" t="n">
        <v>549883534621</v>
      </c>
      <c r="D16" s="32" t="n">
        <v>330343713350</v>
      </c>
      <c r="E16" s="32" t="n">
        <v>2041354661650</v>
      </c>
      <c r="F16" s="32" t="n">
        <v>0</v>
      </c>
      <c r="G16" s="32" t="n">
        <v>0</v>
      </c>
      <c r="H16" s="32" t="n">
        <v>0</v>
      </c>
      <c r="I16" s="32" t="n">
        <v>0</v>
      </c>
      <c r="J16" s="32" t="n">
        <v>0</v>
      </c>
      <c r="K16" s="32" t="n">
        <v>0</v>
      </c>
      <c r="L16" s="32" t="n">
        <v>0</v>
      </c>
      <c r="M16" s="32" t="n">
        <v>0</v>
      </c>
    </row>
    <row r="17">
      <c r="A17" s="31" t="inlineStr">
        <is>
          <t>Tiền chi khác cho hoạt động kinh doanh</t>
        </is>
      </c>
      <c r="B17" s="32" t="n">
        <v>0</v>
      </c>
      <c r="C17" s="32" t="n">
        <v>-569290357308</v>
      </c>
      <c r="D17" s="32" t="n">
        <v>3191410045</v>
      </c>
      <c r="E17" s="32" t="n">
        <v>-2349863583363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</row>
    <row r="18">
      <c r="A18" s="31" t="inlineStr">
        <is>
          <t>Lưu chuyển thuần từ hoạt động kinh doanh</t>
        </is>
      </c>
      <c r="B18" s="32" t="n">
        <v>-246245306937</v>
      </c>
      <c r="C18" s="32" t="n">
        <v>800770058990</v>
      </c>
      <c r="D18" s="32" t="n">
        <v>1909255067</v>
      </c>
      <c r="E18" s="32" t="n">
        <v>276202830731</v>
      </c>
      <c r="F18" s="32" t="n">
        <v>3850747500461</v>
      </c>
      <c r="G18" s="32" t="n">
        <v>-1858471561986</v>
      </c>
      <c r="H18" s="32" t="n">
        <v>-3237409157439</v>
      </c>
      <c r="I18" s="32" t="n">
        <v>-6366700496732</v>
      </c>
      <c r="J18" s="32" t="n">
        <v>-10648082781302</v>
      </c>
      <c r="K18" s="32" t="n">
        <v>-312193512218</v>
      </c>
      <c r="L18" s="32" t="n">
        <v>-5364921379297</v>
      </c>
      <c r="M18" s="32" t="n">
        <v>-8932269367587</v>
      </c>
    </row>
    <row r="19">
      <c r="A19" s="31" t="inlineStr">
        <is>
          <t>Tiền chi để mua sắm, xây dựng TSCĐ, BĐSĐT và các tài sản dài hạn khác</t>
        </is>
      </c>
      <c r="B19" s="32" t="n">
        <v>0</v>
      </c>
      <c r="C19" s="32" t="n">
        <v>-551250000</v>
      </c>
      <c r="D19" s="32" t="n">
        <v>0</v>
      </c>
      <c r="E19" s="32" t="n">
        <v>-32535622723</v>
      </c>
      <c r="F19" s="32" t="n">
        <v>-43490000</v>
      </c>
      <c r="G19" s="32" t="n">
        <v>-9483054000</v>
      </c>
      <c r="H19" s="32" t="n">
        <v>-12545511663</v>
      </c>
      <c r="I19" s="32" t="n">
        <v>-21972181955</v>
      </c>
      <c r="J19" s="32" t="n">
        <v>-24116980395</v>
      </c>
      <c r="K19" s="32" t="n">
        <v>-67973523140</v>
      </c>
      <c r="L19" s="32" t="n">
        <v>-19737070706</v>
      </c>
      <c r="M19" s="32" t="n">
        <v>-16048859224</v>
      </c>
    </row>
    <row r="20">
      <c r="A20" s="31" t="inlineStr">
        <is>
          <t>Tiền thu từ thanh lý, nhượng bán TSCĐ, BĐSĐT và các tài sản dài hạn khác</t>
        </is>
      </c>
      <c r="B20" s="32" t="n">
        <v>0</v>
      </c>
      <c r="C20" s="32" t="n">
        <v>0</v>
      </c>
      <c r="D20" s="32" t="n">
        <v>0</v>
      </c>
      <c r="E20" s="32" t="n">
        <v>0</v>
      </c>
      <c r="F20" s="32" t="n">
        <v>0</v>
      </c>
      <c r="G20" s="32" t="n">
        <v>0</v>
      </c>
      <c r="H20" s="32" t="n">
        <v>0</v>
      </c>
      <c r="I20" s="32" t="n">
        <v>0</v>
      </c>
      <c r="J20" s="32" t="n">
        <v>0</v>
      </c>
      <c r="K20" s="32" t="n">
        <v>0</v>
      </c>
      <c r="L20" s="32" t="n">
        <v>0</v>
      </c>
      <c r="M20" s="32" t="n">
        <v>49670823551</v>
      </c>
    </row>
    <row r="21">
      <c r="A21" s="31" t="inlineStr">
        <is>
          <t>Tiền chi cho vay, mua các công cụ nợ của đơn vị khác (Trước năm 2016)</t>
        </is>
      </c>
      <c r="B21" s="32" t="n">
        <v>0</v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1" t="inlineStr">
        <is>
          <t>Tiền thu hồi cho vay, bán lại các công cụ nợ của đơn vị khác (Trước năm 2016)</t>
        </is>
      </c>
      <c r="B22" s="32" t="n">
        <v>0</v>
      </c>
      <c r="C22" s="32" t="n">
        <v>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>
      <c r="A23" s="31" t="inlineStr">
        <is>
          <t>Tiền chi đầu tư góp vốn vào công ty con, công ty liên doanh, liên kết và đầu tư khác</t>
        </is>
      </c>
      <c r="B23" s="32" t="n">
        <v>0</v>
      </c>
      <c r="C23" s="32" t="n">
        <v>0</v>
      </c>
      <c r="D23" s="32" t="n">
        <v>0</v>
      </c>
      <c r="E23" s="32" t="n">
        <v>0</v>
      </c>
      <c r="F23" s="32" t="n">
        <v>0</v>
      </c>
      <c r="G23" s="32" t="n">
        <v>0</v>
      </c>
      <c r="H23" s="32" t="n">
        <v>0</v>
      </c>
      <c r="I23" s="32" t="n">
        <v>-10249480890</v>
      </c>
      <c r="J23" s="32" t="n">
        <v>0</v>
      </c>
      <c r="K23" s="32" t="n">
        <v>-165000000000</v>
      </c>
      <c r="L23" s="32" t="n">
        <v>0</v>
      </c>
      <c r="M23" s="32" t="n">
        <v>0</v>
      </c>
    </row>
    <row r="24">
      <c r="A24" s="31" t="inlineStr">
        <is>
          <t>Tiền thu hồi các khoản đầu tư góp vốn vào công ty con, công ty liên doanh, liên kết và đầu tư khác</t>
        </is>
      </c>
      <c r="B24" s="32" t="n">
        <v>0</v>
      </c>
      <c r="C24" s="32" t="n">
        <v>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0</v>
      </c>
      <c r="I24" s="32" t="n">
        <v>0</v>
      </c>
      <c r="J24" s="32" t="n">
        <v>0</v>
      </c>
      <c r="K24" s="32" t="n">
        <v>8412824066</v>
      </c>
      <c r="L24" s="32" t="n">
        <v>0</v>
      </c>
      <c r="M24" s="32" t="n">
        <v>165000000000</v>
      </c>
    </row>
    <row r="25">
      <c r="A25" s="31" t="inlineStr">
        <is>
          <t>Tiền thu về cổ tức lợi nhuận được chia từ các khoản đầu tư tài chính dài hạn</t>
        </is>
      </c>
      <c r="B25" s="32" t="n">
        <v>0</v>
      </c>
      <c r="C25" s="32" t="n">
        <v>0</v>
      </c>
      <c r="D25" s="32" t="n">
        <v>0</v>
      </c>
      <c r="E25" s="32" t="n">
        <v>0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</row>
    <row r="26">
      <c r="A26" s="31" t="inlineStr">
        <is>
          <t>Lưu chuyển tiền thuần từ hoạt động đầu tư</t>
        </is>
      </c>
      <c r="B26" s="32" t="n">
        <v>0</v>
      </c>
      <c r="C26" s="32" t="n">
        <v>-551250000</v>
      </c>
      <c r="D26" s="32" t="n">
        <v>0</v>
      </c>
      <c r="E26" s="32" t="n">
        <v>-32535622723</v>
      </c>
      <c r="F26" s="32" t="n">
        <v>-43490000</v>
      </c>
      <c r="G26" s="32" t="n">
        <v>-9483054000</v>
      </c>
      <c r="H26" s="32" t="n">
        <v>-12545511663</v>
      </c>
      <c r="I26" s="32" t="n">
        <v>-32221662845</v>
      </c>
      <c r="J26" s="32" t="n">
        <v>-24116980395</v>
      </c>
      <c r="K26" s="32" t="n">
        <v>-224560699074</v>
      </c>
      <c r="L26" s="32" t="n">
        <v>-19737070706</v>
      </c>
      <c r="M26" s="32" t="n">
        <v>198621964327</v>
      </c>
    </row>
    <row r="27">
      <c r="A27" s="31" t="inlineStr">
        <is>
          <t>Tiền thu từ phát hành cổ phiếu, nhận vốn góp của chủ sở hữu</t>
        </is>
      </c>
      <c r="B27" s="32" t="n">
        <v>0</v>
      </c>
      <c r="C27" s="32" t="n">
        <v>0</v>
      </c>
      <c r="D27" s="32" t="n">
        <v>0</v>
      </c>
      <c r="E27" s="32" t="n">
        <v>58201050000</v>
      </c>
      <c r="F27" s="32" t="n">
        <v>0</v>
      </c>
      <c r="G27" s="32" t="n">
        <v>0</v>
      </c>
      <c r="H27" s="32" t="n">
        <v>0</v>
      </c>
      <c r="I27" s="32" t="n">
        <v>1376713913085</v>
      </c>
      <c r="J27" s="32" t="n">
        <v>10730125515433</v>
      </c>
      <c r="K27" s="32" t="n">
        <v>0</v>
      </c>
      <c r="L27" s="32" t="n">
        <v>231314318500</v>
      </c>
      <c r="M27" s="32" t="n">
        <v>-218596904893</v>
      </c>
    </row>
    <row r="28">
      <c r="A28" s="31" t="inlineStr">
        <is>
          <t>Tiền chi trả vốn góp cho các chủ sở hữu, mua lại cổ phiếu của doanh nghiệp đã phát hành</t>
        </is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1" t="inlineStr">
        <is>
          <t>Tiền vay gốc</t>
        </is>
      </c>
      <c r="B29" s="32" t="n">
        <v>501948203610</v>
      </c>
      <c r="C29" s="32" t="n">
        <v>-71677444018</v>
      </c>
      <c r="D29" s="32" t="n">
        <v>-230270759592</v>
      </c>
      <c r="E29" s="32" t="n">
        <v>864899840544</v>
      </c>
      <c r="F29" s="32" t="n">
        <v>17994834331684</v>
      </c>
      <c r="G29" s="32" t="n">
        <v>13936331998331</v>
      </c>
      <c r="H29" s="32" t="n">
        <v>18154937808278</v>
      </c>
      <c r="I29" s="32" t="n">
        <v>21042150649671</v>
      </c>
      <c r="J29" s="32" t="n">
        <v>21459842530254</v>
      </c>
      <c r="K29" s="32" t="n">
        <v>34919362991551</v>
      </c>
      <c r="L29" s="32" t="n">
        <v>32601186688865</v>
      </c>
      <c r="M29" s="32" t="n">
        <v>37683404324476</v>
      </c>
    </row>
    <row r="30">
      <c r="A30" s="31" t="inlineStr">
        <is>
          <t>Tiền chi trả nợ gốc vay</t>
        </is>
      </c>
      <c r="B30" s="32" t="n">
        <v>-40000000000</v>
      </c>
      <c r="C30" s="32" t="n">
        <v>0</v>
      </c>
      <c r="D30" s="32" t="n">
        <v>-200000000000</v>
      </c>
      <c r="E30" s="32" t="n">
        <v>-221356176</v>
      </c>
      <c r="F30" s="32" t="n">
        <v>-20159228002065</v>
      </c>
      <c r="G30" s="32" t="n">
        <v>-12469519346552</v>
      </c>
      <c r="H30" s="32" t="n">
        <v>-15503512696470</v>
      </c>
      <c r="I30" s="32" t="n">
        <v>-15288411704459</v>
      </c>
      <c r="J30" s="32" t="n">
        <v>-19223852530254</v>
      </c>
      <c r="K30" s="32" t="n">
        <v>-36566048495340</v>
      </c>
      <c r="L30" s="32" t="n">
        <v>-25062747844917</v>
      </c>
      <c r="M30" s="32" t="n">
        <v>-26914035956521</v>
      </c>
    </row>
    <row r="31">
      <c r="A31" s="31" t="inlineStr">
        <is>
          <t>Tiền chi trả nợ thuê tài chính</t>
        </is>
      </c>
      <c r="B31" s="32" t="n">
        <v>0</v>
      </c>
      <c r="C31" s="32" t="n">
        <v>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1" t="inlineStr">
        <is>
          <t>Cổ tức, lợi nhuận đã trả cho chủ sở hữu</t>
        </is>
      </c>
      <c r="B32" s="32" t="n">
        <v>-141712995000</v>
      </c>
      <c r="C32" s="32" t="n">
        <v>0</v>
      </c>
      <c r="D32" s="32" t="n">
        <v>0</v>
      </c>
      <c r="E32" s="32" t="n">
        <v>-640000000000</v>
      </c>
      <c r="F32" s="32" t="n">
        <v>-1196015890480</v>
      </c>
      <c r="G32" s="32" t="n">
        <v>-24723000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-1155791748000</v>
      </c>
    </row>
    <row r="33">
      <c r="A33" s="31" t="inlineStr">
        <is>
          <t>Lưu chuyển thuần từ hoạt động tài chính</t>
        </is>
      </c>
      <c r="B33" s="32" t="n">
        <v>320235208610</v>
      </c>
      <c r="C33" s="32" t="n">
        <v>-71677444018</v>
      </c>
      <c r="D33" s="32" t="n">
        <v>-430270759592</v>
      </c>
      <c r="E33" s="32" t="n">
        <v>282879534368</v>
      </c>
      <c r="F33" s="32" t="n">
        <v>-3360409560861</v>
      </c>
      <c r="G33" s="32" t="n">
        <v>1466787928779</v>
      </c>
      <c r="H33" s="32" t="n">
        <v>2651425111808</v>
      </c>
      <c r="I33" s="32" t="n">
        <v>7130452858297</v>
      </c>
      <c r="J33" s="32" t="n">
        <v>12966115515433</v>
      </c>
      <c r="K33" s="32" t="n">
        <v>-1646685503789</v>
      </c>
      <c r="L33" s="32" t="n">
        <v>7769753162448</v>
      </c>
      <c r="M33" s="32" t="n">
        <v>9394979715062</v>
      </c>
    </row>
    <row r="34">
      <c r="A34" s="31" t="inlineStr">
        <is>
          <t>LƯU CHUYỂN TIỀN THUẦN TRONG KỲ</t>
        </is>
      </c>
      <c r="B34" s="32" t="n">
        <v>73989901673</v>
      </c>
      <c r="C34" s="32" t="n">
        <v>728541364972</v>
      </c>
      <c r="D34" s="32" t="n">
        <v>-428361504525</v>
      </c>
      <c r="E34" s="32" t="n">
        <v>526546742376</v>
      </c>
      <c r="F34" s="32" t="n">
        <v>490294449600</v>
      </c>
      <c r="G34" s="32" t="n">
        <v>-401166687207</v>
      </c>
      <c r="H34" s="32" t="n">
        <v>-598529557294</v>
      </c>
      <c r="I34" s="32" t="n">
        <v>731530698720</v>
      </c>
      <c r="J34" s="32" t="n">
        <v>2293915753736</v>
      </c>
      <c r="K34" s="32" t="n">
        <v>-2183439715081</v>
      </c>
      <c r="L34" s="32" t="n">
        <v>2385094712445</v>
      </c>
      <c r="M34" s="32" t="n">
        <v>661332311802</v>
      </c>
    </row>
    <row r="35">
      <c r="A35" s="31" t="inlineStr">
        <is>
          <t>TIỀN VÀ CÁC KHOẢN TƯƠNG ĐƯƠNG TIỀN ĐẦU KỲ</t>
        </is>
      </c>
      <c r="B35" s="32" t="n">
        <v>404712881195</v>
      </c>
      <c r="C35" s="32" t="n">
        <v>478702782868</v>
      </c>
      <c r="D35" s="32" t="n">
        <v>1207244147840</v>
      </c>
      <c r="E35" s="32" t="n">
        <v>778882643315</v>
      </c>
      <c r="F35" s="32" t="n">
        <v>2775473279243</v>
      </c>
      <c r="G35" s="32" t="n">
        <v>3265767728843</v>
      </c>
      <c r="H35" s="32" t="n">
        <v>2864601041636</v>
      </c>
      <c r="I35" s="32" t="n">
        <v>2266071484342</v>
      </c>
      <c r="J35" s="32" t="n">
        <v>2997602183062</v>
      </c>
      <c r="K35" s="32" t="n">
        <v>5291517936798</v>
      </c>
      <c r="L35" s="32" t="n">
        <v>3108078221717</v>
      </c>
      <c r="M35" s="32" t="n">
        <v>5493172934162</v>
      </c>
    </row>
    <row r="36">
      <c r="A36" s="31" t="inlineStr">
        <is>
          <t>Ảnh hưởng của thay đổi tỷ giá hối đoái quy đổi ngoại tệ</t>
        </is>
      </c>
      <c r="B36" s="32" t="n">
        <v>0</v>
      </c>
      <c r="C36" s="32" t="n">
        <v>0</v>
      </c>
      <c r="D36" s="32" t="n">
        <v>0</v>
      </c>
      <c r="E36" s="32" t="n">
        <v>0</v>
      </c>
      <c r="F36" s="32" t="n">
        <v>0</v>
      </c>
      <c r="G36" s="32" t="n">
        <v>0</v>
      </c>
      <c r="H36" s="32" t="n">
        <v>0</v>
      </c>
      <c r="I36" s="32" t="n">
        <v>0</v>
      </c>
      <c r="J36" s="32" t="n">
        <v>0</v>
      </c>
      <c r="K36" s="32" t="n">
        <v>0</v>
      </c>
      <c r="L36" s="32" t="n">
        <v>0</v>
      </c>
      <c r="M36" s="32" t="n">
        <v>0</v>
      </c>
    </row>
    <row r="37">
      <c r="A37" s="31" t="inlineStr">
        <is>
          <t>TIỀN VÀ CÁC KHOẢN TƯƠNG ĐƯƠNG TIỀN CUỐI KỲ</t>
        </is>
      </c>
      <c r="B37" s="32" t="n">
        <v>478702782868</v>
      </c>
      <c r="C37" s="32" t="n">
        <v>1207244147840</v>
      </c>
      <c r="D37" s="32" t="n">
        <v>778882643315</v>
      </c>
      <c r="E37" s="32" t="n">
        <v>1305429385691</v>
      </c>
      <c r="F37" s="32" t="n">
        <v>3265767728843</v>
      </c>
      <c r="G37" s="32" t="n">
        <v>2864601041636</v>
      </c>
      <c r="H37" s="32" t="n">
        <v>2266071484342</v>
      </c>
      <c r="I37" s="32" t="n">
        <v>2997602183062</v>
      </c>
      <c r="J37" s="32" t="n">
        <v>5291517936798</v>
      </c>
      <c r="K37" s="32" t="n">
        <v>3108078221717</v>
      </c>
      <c r="L37" s="32" t="n">
        <v>5493172934162</v>
      </c>
      <c r="M37" s="32" t="n">
        <v>6154505245964</v>
      </c>
    </row>
    <row r="38">
      <c r="A38" s="31" t="inlineStr">
        <is>
          <t>Tăng/giảm chứng khoán kinh doanh (Trước năm 2016)</t>
        </is>
      </c>
      <c r="B38" s="32" t="n">
        <v>0</v>
      </c>
      <c r="C38" s="32" t="n">
        <v>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32" t="n">
        <v>0</v>
      </c>
      <c r="K38" s="32" t="n">
        <v>0</v>
      </c>
      <c r="L38" s="32" t="n">
        <v>0</v>
      </c>
      <c r="M38" s="32" t="n">
        <v>0</v>
      </c>
    </row>
    <row r="39">
      <c r="A39" s="31" t="inlineStr">
        <is>
          <t>Phân bổ lợi thế thương mại</t>
        </is>
      </c>
      <c r="B39" s="32" t="n">
        <v>0</v>
      </c>
      <c r="C39" s="32" t="n">
        <v>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</row>
    <row r="40">
      <c r="A40" s="31" t="inlineStr">
        <is>
          <t>Các khoản điều chỉnh khác</t>
        </is>
      </c>
      <c r="B40" s="32" t="n">
        <v>3369863014</v>
      </c>
      <c r="C40" s="32" t="n">
        <v>-3228690562</v>
      </c>
      <c r="D40" s="32" t="n">
        <v>5048348950</v>
      </c>
      <c r="E40" s="32" t="n">
        <v>-5189521402</v>
      </c>
      <c r="F40" s="32" t="n">
        <v>0</v>
      </c>
      <c r="G40" s="32" t="n">
        <v>0</v>
      </c>
      <c r="H40" s="32" t="n">
        <v>0</v>
      </c>
      <c r="I40" s="32" t="n">
        <v>0</v>
      </c>
      <c r="J40" s="32" t="n">
        <v>0</v>
      </c>
      <c r="K40" s="32" t="n">
        <v>0</v>
      </c>
      <c r="L40" s="32" t="n">
        <v>0</v>
      </c>
      <c r="M40" s="32" t="n">
        <v>0</v>
      </c>
    </row>
    <row r="41">
      <c r="A41" s="31" t="inlineStr">
        <is>
          <t>Tiền vay Quỹ Hỗ trợ thanh toán</t>
        </is>
      </c>
      <c r="B41" s="32" t="n">
        <v>0</v>
      </c>
      <c r="C41" s="32" t="n">
        <v>0</v>
      </c>
      <c r="D41" s="32" t="n">
        <v>0</v>
      </c>
      <c r="E41" s="32" t="n">
        <v>0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</row>
    <row r="42">
      <c r="A42" s="31" t="inlineStr">
        <is>
          <t>Tiền vay khác</t>
        </is>
      </c>
      <c r="B42" s="32" t="n">
        <v>501948203610</v>
      </c>
      <c r="C42" s="32" t="n">
        <v>-71677444018</v>
      </c>
      <c r="D42" s="32" t="n">
        <v>-230270759592</v>
      </c>
      <c r="E42" s="32" t="n">
        <v>864899840544</v>
      </c>
      <c r="F42" s="32" t="n">
        <v>17994834331684</v>
      </c>
      <c r="G42" s="32" t="n">
        <v>13936331998331</v>
      </c>
      <c r="H42" s="32" t="n">
        <v>18154937808278</v>
      </c>
      <c r="I42" s="32" t="n">
        <v>21042150649671</v>
      </c>
      <c r="J42" s="32" t="n">
        <v>21459842530254</v>
      </c>
      <c r="K42" s="32" t="n">
        <v>34919362991551</v>
      </c>
      <c r="L42" s="32" t="n">
        <v>32601186688865</v>
      </c>
      <c r="M42" s="32" t="n">
        <v>37683404324476</v>
      </c>
    </row>
    <row r="43">
      <c r="A43" s="31" t="inlineStr">
        <is>
          <t>Tiền chi trả gốc vay Quỹ Hỗ trợ thanh toán</t>
        </is>
      </c>
      <c r="B43" s="32" t="n">
        <v>0</v>
      </c>
      <c r="C43" s="32" t="n">
        <v>0</v>
      </c>
      <c r="D43" s="32" t="n">
        <v>0</v>
      </c>
      <c r="E43" s="32" t="n">
        <v>0</v>
      </c>
      <c r="F43" s="32" t="n">
        <v>0</v>
      </c>
      <c r="G43" s="32" t="n">
        <v>0</v>
      </c>
      <c r="H43" s="32" t="n">
        <v>0</v>
      </c>
      <c r="I43" s="32" t="n">
        <v>0</v>
      </c>
      <c r="J43" s="32" t="n">
        <v>0</v>
      </c>
      <c r="K43" s="32" t="n">
        <v>0</v>
      </c>
      <c r="L43" s="32" t="n">
        <v>0</v>
      </c>
      <c r="M43" s="32" t="n">
        <v>0</v>
      </c>
    </row>
    <row r="44">
      <c r="A44" s="31" t="inlineStr">
        <is>
          <t>Tiền chi trả nợ gốc vay tài sản tài chính</t>
        </is>
      </c>
      <c r="B44" s="32" t="n">
        <v>0</v>
      </c>
      <c r="C44" s="32" t="n">
        <v>0</v>
      </c>
      <c r="D44" s="32" t="n">
        <v>0</v>
      </c>
      <c r="E44" s="32" t="n">
        <v>0</v>
      </c>
      <c r="F44" s="32" t="n">
        <v>0</v>
      </c>
      <c r="G44" s="32" t="n">
        <v>0</v>
      </c>
      <c r="H44" s="32" t="n">
        <v>0</v>
      </c>
      <c r="I44" s="32" t="n">
        <v>0</v>
      </c>
      <c r="J44" s="32" t="n">
        <v>0</v>
      </c>
      <c r="K44" s="32" t="n">
        <v>0</v>
      </c>
      <c r="L44" s="32" t="n">
        <v>0</v>
      </c>
      <c r="M44" s="32" t="n">
        <v>0</v>
      </c>
    </row>
    <row r="45">
      <c r="A45" s="31" t="inlineStr">
        <is>
          <t>Tiền chi trả gốc nợ vay khác</t>
        </is>
      </c>
      <c r="B45" s="32" t="n">
        <v>-40000000000</v>
      </c>
      <c r="C45" s="32" t="n">
        <v>0</v>
      </c>
      <c r="D45" s="32" t="n">
        <v>-200000000000</v>
      </c>
      <c r="E45" s="32" t="n">
        <v>-221356176</v>
      </c>
      <c r="F45" s="32" t="n">
        <v>-20159228002065</v>
      </c>
      <c r="G45" s="32" t="n">
        <v>-12469519346552</v>
      </c>
      <c r="H45" s="32" t="n">
        <v>-15503512696470</v>
      </c>
      <c r="I45" s="32" t="n">
        <v>-15288411704459</v>
      </c>
      <c r="J45" s="32" t="n">
        <v>-19223852530254</v>
      </c>
      <c r="K45" s="32" t="n">
        <v>-36566048495340</v>
      </c>
      <c r="L45" s="32" t="n">
        <v>-25062747844917</v>
      </c>
      <c r="M45" s="32" t="n">
        <v>-26914035956521</v>
      </c>
    </row>
    <row r="46">
      <c r="A46" s="31" t="inlineStr">
        <is>
          <t>Tiền mặt, tiền gửi ngân hàng đầu kỳ</t>
        </is>
      </c>
      <c r="B46" s="32" t="n">
        <v>404712881195</v>
      </c>
      <c r="C46" s="32" t="n">
        <v>478702782868</v>
      </c>
      <c r="D46" s="32" t="n">
        <v>907244147840</v>
      </c>
      <c r="E46" s="32" t="n">
        <v>778882643315</v>
      </c>
      <c r="F46" s="32" t="n">
        <v>2538473279243</v>
      </c>
      <c r="G46" s="32" t="n">
        <v>3265767728843</v>
      </c>
      <c r="H46" s="32" t="n">
        <v>2864601041636</v>
      </c>
      <c r="I46" s="32" t="n">
        <v>2273027768246</v>
      </c>
      <c r="J46" s="32" t="n">
        <v>2910602183062</v>
      </c>
      <c r="K46" s="32" t="n">
        <v>5130517936798</v>
      </c>
      <c r="L46" s="32" t="n">
        <v>3108078221717</v>
      </c>
      <c r="M46" s="32" t="n">
        <v>5326172934162</v>
      </c>
    </row>
    <row r="47">
      <c r="A47" s="31" t="inlineStr">
        <is>
          <t>Tiền gửi ngân hàng cho hoạt động CTCK</t>
        </is>
      </c>
      <c r="B47" s="32" t="n">
        <v>0</v>
      </c>
      <c r="C47" s="32" t="n">
        <v>0</v>
      </c>
      <c r="D47" s="32" t="n">
        <v>0</v>
      </c>
      <c r="E47" s="32" t="n">
        <v>0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</row>
    <row r="48">
      <c r="A48" s="31" t="inlineStr">
        <is>
          <t>Các khoản tương đương tiền</t>
        </is>
      </c>
      <c r="B48" s="32" t="n">
        <v>0</v>
      </c>
      <c r="C48" s="32" t="n">
        <v>0</v>
      </c>
      <c r="D48" s="32" t="n">
        <v>0</v>
      </c>
      <c r="E48" s="32" t="n">
        <v>0</v>
      </c>
      <c r="F48" s="32" t="n">
        <v>0</v>
      </c>
      <c r="G48" s="32" t="n">
        <v>0</v>
      </c>
      <c r="H48" s="32" t="n">
        <v>0</v>
      </c>
      <c r="I48" s="32" t="n">
        <v>0</v>
      </c>
      <c r="J48" s="32" t="n">
        <v>0</v>
      </c>
      <c r="K48" s="32" t="n">
        <v>0</v>
      </c>
      <c r="L48" s="32" t="n">
        <v>0</v>
      </c>
      <c r="M48" s="32" t="n">
        <v>0</v>
      </c>
    </row>
    <row r="49">
      <c r="A49" s="31" t="inlineStr">
        <is>
          <t>Tiền mặt, tiền gửi ngân hàng kỳ</t>
        </is>
      </c>
      <c r="B49" s="32" t="n">
        <v>478702782868</v>
      </c>
      <c r="C49" s="32" t="n">
        <v>907244147840</v>
      </c>
      <c r="D49" s="32" t="n">
        <v>778882643315</v>
      </c>
      <c r="E49" s="32" t="n">
        <v>905429385691</v>
      </c>
      <c r="F49" s="32" t="n">
        <v>3265767728843</v>
      </c>
      <c r="G49" s="32" t="n">
        <v>2864601041636</v>
      </c>
      <c r="H49" s="32" t="n">
        <v>2273027768246</v>
      </c>
      <c r="I49" s="32" t="n">
        <v>2910602183062</v>
      </c>
      <c r="J49" s="32" t="n">
        <v>5130517936798</v>
      </c>
      <c r="K49" s="32" t="n">
        <v>3108078221717</v>
      </c>
      <c r="L49" s="32" t="n">
        <v>5326172934162</v>
      </c>
      <c r="M49" s="32" t="n">
        <v>6154505245964</v>
      </c>
    </row>
    <row r="50">
      <c r="A50" s="31" t="inlineStr">
        <is>
          <t>Tiền gửi ngân hàng cho hoạt động CTCK</t>
        </is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</row>
    <row r="51">
      <c r="A51" s="31" t="inlineStr">
        <is>
          <t>Các khoản tương đương tiền</t>
        </is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</row>
    <row r="52">
      <c r="A52" s="31" t="inlineStr">
        <is>
          <t>Ảnh hưởng của thay đổi tỷ giá hối đoái quy đổi ngoại tệ</t>
        </is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</row>
    <row r="53">
      <c r="A53" s="31" t="inlineStr">
        <is>
          <t>Tiền thu bán chứng khoán môi giới cho khách hàng</t>
        </is>
      </c>
      <c r="B53" s="32" t="n">
        <v>5920075218205</v>
      </c>
      <c r="C53" s="32" t="n">
        <v>10730133094415</v>
      </c>
      <c r="D53" s="32" t="n">
        <v>8058525941120</v>
      </c>
      <c r="E53" s="32" t="n">
        <v>14108622864872</v>
      </c>
      <c r="F53" s="32" t="n">
        <v>112520012185222</v>
      </c>
      <c r="G53" s="32" t="n">
        <v>91526868176106</v>
      </c>
      <c r="H53" s="32" t="n">
        <v>48299768588252</v>
      </c>
      <c r="I53" s="32" t="n">
        <v>188068900792582</v>
      </c>
      <c r="J53" s="32" t="n">
        <v>260780853291467</v>
      </c>
      <c r="K53" s="32" t="n">
        <v>240896925667002</v>
      </c>
      <c r="L53" s="32" t="n">
        <v>229667292803035</v>
      </c>
      <c r="M53" s="32" t="n">
        <v>195679101327756</v>
      </c>
    </row>
    <row r="54">
      <c r="A54" s="31" t="inlineStr">
        <is>
          <t>Tiền chi mua chứng khoán môi giới cho khách hàng</t>
        </is>
      </c>
      <c r="B54" s="32" t="n">
        <v>-7375428674833</v>
      </c>
      <c r="C54" s="32" t="n">
        <v>-11415928171739</v>
      </c>
      <c r="D54" s="32" t="n">
        <v>-4649976888638</v>
      </c>
      <c r="E54" s="32" t="n">
        <v>-11356745400644</v>
      </c>
      <c r="F54" s="32" t="n">
        <v>-118237820347227</v>
      </c>
      <c r="G54" s="32" t="n">
        <v>-129630632144442</v>
      </c>
      <c r="H54" s="32" t="n">
        <v>-56329482442643</v>
      </c>
      <c r="I54" s="32" t="n">
        <v>-227319267322220</v>
      </c>
      <c r="J54" s="32" t="n">
        <v>-303429003111004</v>
      </c>
      <c r="K54" s="32" t="n">
        <v>-256895363008217</v>
      </c>
      <c r="L54" s="32" t="n">
        <v>-258298866169193</v>
      </c>
      <c r="M54" s="32" t="n">
        <v>-246221730680806</v>
      </c>
    </row>
    <row r="55">
      <c r="A55" s="31" t="inlineStr">
        <is>
          <t>Tiền thu bán chứng khoán ủy thác của khách hàng</t>
        </is>
      </c>
      <c r="B55" s="32" t="n">
        <v>0</v>
      </c>
      <c r="C55" s="32" t="n">
        <v>0</v>
      </c>
      <c r="D55" s="32" t="n">
        <v>0</v>
      </c>
      <c r="E55" s="32" t="n">
        <v>0</v>
      </c>
      <c r="F55" s="32" t="n">
        <v>0</v>
      </c>
      <c r="G55" s="32" t="n">
        <v>0</v>
      </c>
      <c r="H55" s="32" t="n">
        <v>0</v>
      </c>
      <c r="I55" s="32" t="n">
        <v>0</v>
      </c>
      <c r="J55" s="32" t="n">
        <v>0</v>
      </c>
      <c r="K55" s="32" t="n">
        <v>0</v>
      </c>
      <c r="L55" s="32" t="n">
        <v>0</v>
      </c>
      <c r="M55" s="32" t="n">
        <v>0</v>
      </c>
    </row>
    <row r="56">
      <c r="A56" s="31" t="inlineStr">
        <is>
          <t>Tiền chi bán chứng khoán ủy thác của khách hàng</t>
        </is>
      </c>
      <c r="B56" s="32" t="n">
        <v>-4838583912085</v>
      </c>
      <c r="C56" s="32" t="n">
        <v>4838583912085</v>
      </c>
      <c r="D56" s="32" t="n">
        <v>0</v>
      </c>
      <c r="E56" s="32" t="n">
        <v>0</v>
      </c>
      <c r="F56" s="32" t="n">
        <v>0</v>
      </c>
      <c r="G56" s="32" t="n">
        <v>0</v>
      </c>
      <c r="H56" s="32" t="n">
        <v>0</v>
      </c>
      <c r="I56" s="32" t="n">
        <v>0</v>
      </c>
      <c r="J56" s="32" t="n">
        <v>0</v>
      </c>
      <c r="K56" s="32" t="n">
        <v>0</v>
      </c>
      <c r="L56" s="32" t="n">
        <v>0</v>
      </c>
      <c r="M56" s="32" t="n">
        <v>0</v>
      </c>
    </row>
    <row r="57">
      <c r="A57" s="31" t="inlineStr">
        <is>
          <t>Thu tiền từ tài khoản vãng lai của khách hàng (Trước năm 2016)</t>
        </is>
      </c>
      <c r="B57" s="32" t="n">
        <v>0</v>
      </c>
      <c r="C57" s="32" t="n">
        <v>18557656657265</v>
      </c>
      <c r="D57" s="32" t="n">
        <v>-18557656657265</v>
      </c>
      <c r="E57" s="32" t="n">
        <v>0</v>
      </c>
      <c r="F57" s="32" t="n">
        <v>0</v>
      </c>
      <c r="G57" s="32" t="n">
        <v>0</v>
      </c>
      <c r="H57" s="32" t="n">
        <v>0</v>
      </c>
      <c r="I57" s="32" t="n">
        <v>0</v>
      </c>
      <c r="J57" s="32" t="n">
        <v>0</v>
      </c>
      <c r="K57" s="32" t="n">
        <v>0</v>
      </c>
      <c r="L57" s="32" t="n">
        <v>0</v>
      </c>
      <c r="M57" s="32" t="n">
        <v>0</v>
      </c>
    </row>
    <row r="58">
      <c r="A58" s="31" t="inlineStr">
        <is>
          <t>Chi tiền từ tài khoản vãng lai của khách hàng (Trước năm 2016)</t>
        </is>
      </c>
      <c r="B58" s="32" t="n">
        <v>0</v>
      </c>
      <c r="C58" s="32" t="n">
        <v>-16205300244857</v>
      </c>
      <c r="D58" s="32" t="n">
        <v>-11182826049295</v>
      </c>
      <c r="E58" s="32" t="n">
        <v>27388126294152</v>
      </c>
      <c r="F58" s="32" t="n">
        <v>0</v>
      </c>
      <c r="G58" s="32" t="n">
        <v>0</v>
      </c>
      <c r="H58" s="32" t="n">
        <v>0</v>
      </c>
      <c r="I58" s="32" t="n">
        <v>0</v>
      </c>
      <c r="J58" s="32" t="n">
        <v>0</v>
      </c>
      <c r="K58" s="32" t="n">
        <v>0</v>
      </c>
      <c r="L58" s="32" t="n">
        <v>0</v>
      </c>
      <c r="M58" s="32" t="n">
        <v>0</v>
      </c>
    </row>
    <row r="59">
      <c r="A59" s="31" t="inlineStr">
        <is>
          <t>Thu vay Quỹ Hỗ trợ thanh toán</t>
        </is>
      </c>
      <c r="B59" s="32" t="n">
        <v>0</v>
      </c>
      <c r="C59" s="32" t="n">
        <v>0</v>
      </c>
      <c r="D59" s="32" t="n">
        <v>0</v>
      </c>
      <c r="E59" s="32" t="n">
        <v>0</v>
      </c>
      <c r="F59" s="32" t="n">
        <v>0</v>
      </c>
      <c r="G59" s="32" t="n">
        <v>0</v>
      </c>
      <c r="H59" s="32" t="n">
        <v>0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0</v>
      </c>
    </row>
    <row r="60">
      <c r="A60" s="31" t="inlineStr">
        <is>
          <t>Chi trả vay Quỹ Hỗ trợ thanh toán</t>
        </is>
      </c>
      <c r="B60" s="32" t="n">
        <v>0</v>
      </c>
      <c r="C60" s="32" t="n">
        <v>0</v>
      </c>
      <c r="D60" s="32" t="n">
        <v>0</v>
      </c>
      <c r="E60" s="32" t="n">
        <v>0</v>
      </c>
      <c r="F60" s="32" t="n">
        <v>0</v>
      </c>
      <c r="G60" s="32" t="n">
        <v>0</v>
      </c>
      <c r="H60" s="32" t="n">
        <v>0</v>
      </c>
      <c r="I60" s="32" t="n">
        <v>0</v>
      </c>
      <c r="J60" s="32" t="n">
        <v>0</v>
      </c>
      <c r="K60" s="32" t="n">
        <v>0</v>
      </c>
      <c r="L60" s="32" t="n">
        <v>0</v>
      </c>
      <c r="M60" s="32" t="n">
        <v>0</v>
      </c>
    </row>
    <row r="61">
      <c r="A61" s="31" t="inlineStr">
        <is>
          <t>Nhận tiền gửi để thanh toán giao dịch chứng khoán của khách hàng</t>
        </is>
      </c>
      <c r="B61" s="32" t="n">
        <v>6680123610987</v>
      </c>
      <c r="C61" s="32" t="n">
        <v>-6680123610987</v>
      </c>
      <c r="D61" s="32" t="n">
        <v>26414706271253</v>
      </c>
      <c r="E61" s="32" t="n">
        <v>18091765815448</v>
      </c>
      <c r="F61" s="32" t="n">
        <v>146035202953049</v>
      </c>
      <c r="G61" s="32" t="n">
        <v>195446462572917</v>
      </c>
      <c r="H61" s="32" t="n">
        <v>75360296265900</v>
      </c>
      <c r="I61" s="32" t="n">
        <v>311228333521497</v>
      </c>
      <c r="J61" s="32" t="n">
        <v>435057092242924</v>
      </c>
      <c r="K61" s="32" t="n">
        <v>376587178344379</v>
      </c>
      <c r="L61" s="32" t="n">
        <v>369409013782727</v>
      </c>
      <c r="M61" s="32" t="n">
        <v>358514676963077</v>
      </c>
    </row>
    <row r="62">
      <c r="A62" s="31" t="inlineStr">
        <is>
          <t>Nhận tiền gửi của Nhà đầu tư cho hoạt động ủy thác đầu tư của khách hàng</t>
        </is>
      </c>
      <c r="B62" s="32" t="n">
        <v>0</v>
      </c>
      <c r="C62" s="32" t="n">
        <v>0</v>
      </c>
      <c r="D62" s="32" t="n">
        <v>0</v>
      </c>
      <c r="E62" s="32" t="n">
        <v>0</v>
      </c>
      <c r="F62" s="32" t="n">
        <v>0</v>
      </c>
      <c r="G62" s="32" t="n">
        <v>43719133278</v>
      </c>
      <c r="H62" s="32" t="n">
        <v>45659051710</v>
      </c>
      <c r="I62" s="32" t="n">
        <v>-45659051710</v>
      </c>
      <c r="J62" s="32" t="n">
        <v>0</v>
      </c>
      <c r="K62" s="32" t="n">
        <v>25613581008</v>
      </c>
      <c r="L62" s="32" t="n">
        <v>6364832859</v>
      </c>
      <c r="M62" s="32" t="n">
        <v>-6364832859</v>
      </c>
    </row>
    <row r="63">
      <c r="A63" s="31" t="inlineStr">
        <is>
          <t>Chi trả phí lưu ký chứng khoán của khách hàng</t>
        </is>
      </c>
      <c r="B63" s="32" t="n">
        <v>-2353507581</v>
      </c>
      <c r="C63" s="32" t="n">
        <v>-2814124647</v>
      </c>
      <c r="D63" s="32" t="n">
        <v>-2503925778</v>
      </c>
      <c r="E63" s="32" t="n">
        <v>-1790969569</v>
      </c>
      <c r="F63" s="32" t="n">
        <v>-11486555148</v>
      </c>
      <c r="G63" s="32" t="n">
        <v>-11163468261</v>
      </c>
      <c r="H63" s="32" t="n">
        <v>-3794194904</v>
      </c>
      <c r="I63" s="32" t="n">
        <v>-24862673382</v>
      </c>
      <c r="J63" s="32" t="n">
        <v>-14420621869</v>
      </c>
      <c r="K63" s="32" t="n">
        <v>-17739189976</v>
      </c>
      <c r="L63" s="32" t="n">
        <v>-18078497044</v>
      </c>
      <c r="M63" s="32" t="n">
        <v>-19586607345</v>
      </c>
    </row>
    <row r="64">
      <c r="A64" s="31" t="inlineStr">
        <is>
          <t>Thu lỗi giao dịch chứng khoán</t>
        </is>
      </c>
      <c r="B64" s="32" t="n">
        <v>0</v>
      </c>
      <c r="C64" s="32" t="n">
        <v>0</v>
      </c>
      <c r="D64" s="32" t="n">
        <v>0</v>
      </c>
      <c r="E64" s="32" t="n">
        <v>0</v>
      </c>
      <c r="F64" s="32" t="n">
        <v>0</v>
      </c>
      <c r="G64" s="32" t="n">
        <v>0</v>
      </c>
      <c r="H64" s="32" t="n">
        <v>0</v>
      </c>
      <c r="I64" s="32" t="n">
        <v>0</v>
      </c>
      <c r="J64" s="32" t="n">
        <v>0</v>
      </c>
      <c r="K64" s="32" t="n">
        <v>0</v>
      </c>
      <c r="L64" s="32" t="n">
        <v>0</v>
      </c>
      <c r="M64" s="32" t="n">
        <v>0</v>
      </c>
    </row>
    <row r="65">
      <c r="A65" s="31" t="inlineStr">
        <is>
          <t>Chi lỗi giao dịch chứng khoán</t>
        </is>
      </c>
      <c r="B65" s="32" t="n">
        <v>0</v>
      </c>
      <c r="C65" s="32" t="n">
        <v>0</v>
      </c>
      <c r="D65" s="32" t="n">
        <v>0</v>
      </c>
      <c r="E65" s="32" t="n">
        <v>0</v>
      </c>
      <c r="F65" s="32" t="n">
        <v>0</v>
      </c>
      <c r="G65" s="32" t="n">
        <v>0</v>
      </c>
      <c r="H65" s="32" t="n">
        <v>0</v>
      </c>
      <c r="I65" s="32" t="n">
        <v>0</v>
      </c>
      <c r="J65" s="32" t="n">
        <v>0</v>
      </c>
      <c r="K65" s="32" t="n">
        <v>0</v>
      </c>
      <c r="L65" s="32" t="n">
        <v>0</v>
      </c>
      <c r="M65" s="32" t="n">
        <v>0</v>
      </c>
    </row>
    <row r="66">
      <c r="A66" s="31" t="inlineStr">
        <is>
          <t>Tiền thu của Tổ chức phát hành chứng khoán</t>
        </is>
      </c>
      <c r="B66" s="32" t="n">
        <v>2221783065023</v>
      </c>
      <c r="C66" s="32" t="n">
        <v>11701540397609</v>
      </c>
      <c r="D66" s="32" t="n">
        <v>3917425243862</v>
      </c>
      <c r="E66" s="32" t="n">
        <v>19158397675578</v>
      </c>
      <c r="F66" s="32" t="n">
        <v>69212296799678</v>
      </c>
      <c r="G66" s="32" t="n">
        <v>22731772892268</v>
      </c>
      <c r="H66" s="32" t="n">
        <v>24205849580756</v>
      </c>
      <c r="I66" s="32" t="n">
        <v>38224813866093</v>
      </c>
      <c r="J66" s="32" t="n">
        <v>35916703245671</v>
      </c>
      <c r="K66" s="32" t="n">
        <v>41007768105291</v>
      </c>
      <c r="L66" s="32" t="n">
        <v>19467662160580</v>
      </c>
      <c r="M66" s="32" t="n">
        <v>74743716066290</v>
      </c>
    </row>
    <row r="67">
      <c r="A67" s="31" t="inlineStr">
        <is>
          <t>Tiền chi trả Tổ chức phát hành chứng khoán</t>
        </is>
      </c>
      <c r="B67" s="32" t="n">
        <v>-2953056810979</v>
      </c>
      <c r="C67" s="32" t="n">
        <v>-12245168422510</v>
      </c>
      <c r="D67" s="32" t="n">
        <v>-3718007013729</v>
      </c>
      <c r="E67" s="32" t="n">
        <v>-18428682070901</v>
      </c>
      <c r="F67" s="32" t="n">
        <v>-69316268235982</v>
      </c>
      <c r="G67" s="32" t="n">
        <v>-22691452889607</v>
      </c>
      <c r="H67" s="32" t="n">
        <v>-24250428269986</v>
      </c>
      <c r="I67" s="32" t="n">
        <v>-38224848875493</v>
      </c>
      <c r="J67" s="32" t="n">
        <v>-35916703245671</v>
      </c>
      <c r="K67" s="32" t="n">
        <v>-40958394118673</v>
      </c>
      <c r="L67" s="32" t="n">
        <v>-19517036147198</v>
      </c>
      <c r="M67" s="32" t="n">
        <v>-74743716066290</v>
      </c>
    </row>
    <row r="68">
      <c r="A68" s="31" t="inlineStr">
        <is>
          <t>Lưu chuyển tiền hoạt động môi giới, ủy thác của khách hàng</t>
        </is>
      </c>
      <c r="B68" s="32" t="n">
        <v>-347441011263</v>
      </c>
      <c r="C68" s="32" t="n">
        <v>-721420513366</v>
      </c>
      <c r="D68" s="32" t="n">
        <v>279686921530</v>
      </c>
      <c r="E68" s="32" t="n">
        <v>590009384815</v>
      </c>
      <c r="F68" s="32" t="n">
        <v>-3007075716338</v>
      </c>
      <c r="G68" s="32" t="n">
        <v>2017324496770</v>
      </c>
      <c r="H68" s="32" t="n">
        <v>4809299232938</v>
      </c>
      <c r="I68" s="32" t="n">
        <v>-2983758919582</v>
      </c>
      <c r="J68" s="32" t="n">
        <v>912685997868</v>
      </c>
      <c r="K68" s="32" t="n">
        <v>-2059879364020</v>
      </c>
      <c r="L68" s="32" t="n">
        <v>-341776502159</v>
      </c>
      <c r="M68" s="32" t="n">
        <v>-1314254201173</v>
      </c>
    </row>
    <row r="69">
      <c r="A69" s="31" t="inlineStr">
        <is>
          <t>TIỀN VÀ CÁC KHOẢN TƯƠNG ĐƯƠNG TIỀN ĐẦU KỲ CỦA KHÁCH HÀNG</t>
        </is>
      </c>
      <c r="B69" s="32" t="n">
        <v>1534135113732</v>
      </c>
      <c r="C69" s="32" t="n">
        <v>1186694102469</v>
      </c>
      <c r="D69" s="32" t="n">
        <v>465273589103</v>
      </c>
      <c r="E69" s="32" t="n">
        <v>744960510633</v>
      </c>
      <c r="F69" s="32" t="n">
        <v>11013997568616</v>
      </c>
      <c r="G69" s="32" t="n">
        <v>8006921852278</v>
      </c>
      <c r="H69" s="32" t="n">
        <v>10024246349048</v>
      </c>
      <c r="I69" s="32" t="n">
        <v>14833545581986</v>
      </c>
      <c r="J69" s="32" t="n">
        <v>11849786662404</v>
      </c>
      <c r="K69" s="32" t="n">
        <v>12762472660272</v>
      </c>
      <c r="L69" s="32" t="n">
        <v>10702593296252</v>
      </c>
      <c r="M69" s="32" t="n">
        <v>10360816794093</v>
      </c>
    </row>
    <row r="70">
      <c r="A70" s="31" t="inlineStr">
        <is>
          <t>Tiền gửi ngân hàng đầu kỳ</t>
        </is>
      </c>
      <c r="B70" s="32" t="n">
        <v>1534135113732</v>
      </c>
      <c r="C70" s="32" t="n">
        <v>1186694102469</v>
      </c>
      <c r="D70" s="32" t="n">
        <v>465273589103</v>
      </c>
      <c r="E70" s="32" t="n">
        <v>744960510633</v>
      </c>
      <c r="F70" s="32" t="n">
        <v>11013997568616</v>
      </c>
      <c r="G70" s="32" t="n">
        <v>8006921852278</v>
      </c>
      <c r="H70" s="32" t="n">
        <v>10024246349048</v>
      </c>
      <c r="I70" s="32" t="n">
        <v>14833545581986</v>
      </c>
      <c r="J70" s="32" t="n">
        <v>11849786662404</v>
      </c>
      <c r="K70" s="32" t="n">
        <v>12762472660272</v>
      </c>
      <c r="L70" s="32" t="n">
        <v>10702593296252</v>
      </c>
      <c r="M70" s="32" t="n">
        <v>10360816794093</v>
      </c>
    </row>
    <row r="71">
      <c r="A71" s="31" t="inlineStr">
        <is>
          <t>Tiền gửi của NĐT về GDCK theo phương thức CTCK quản lý</t>
        </is>
      </c>
      <c r="B71" s="32" t="n">
        <v>634134400915</v>
      </c>
      <c r="C71" s="32" t="n">
        <v>456341912450</v>
      </c>
      <c r="D71" s="32" t="n">
        <v>536598540727</v>
      </c>
      <c r="E71" s="32" t="n">
        <v>396892320865</v>
      </c>
      <c r="F71" s="32" t="n">
        <v>5271018481763</v>
      </c>
      <c r="G71" s="32" t="n">
        <v>8245482244688</v>
      </c>
      <c r="H71" s="32" t="n">
        <v>11831742989034</v>
      </c>
      <c r="I71" s="32" t="n">
        <v>8952421177072</v>
      </c>
      <c r="J71" s="32" t="n">
        <v>7078720120248</v>
      </c>
      <c r="K71" s="32" t="n">
        <v>6447211380125</v>
      </c>
      <c r="L71" s="32" t="n">
        <v>6861737169799</v>
      </c>
      <c r="M71" s="32" t="n">
        <v>6582257677129</v>
      </c>
    </row>
    <row r="72">
      <c r="A72" s="31" t="inlineStr">
        <is>
          <t>Trong đó: có kỳ hạn</t>
        </is>
      </c>
      <c r="B72" s="32" t="n">
        <v>0</v>
      </c>
      <c r="C72" s="32" t="n">
        <v>0</v>
      </c>
      <c r="D72" s="32" t="n">
        <v>0</v>
      </c>
      <c r="E72" s="32" t="n">
        <v>0</v>
      </c>
      <c r="F72" s="32" t="n">
        <v>0</v>
      </c>
      <c r="G72" s="32" t="n">
        <v>0</v>
      </c>
      <c r="H72" s="32" t="n">
        <v>0</v>
      </c>
      <c r="I72" s="32" t="n">
        <v>0</v>
      </c>
      <c r="J72" s="32" t="n">
        <v>0</v>
      </c>
      <c r="K72" s="32" t="n">
        <v>0</v>
      </c>
      <c r="L72" s="32" t="n">
        <v>0</v>
      </c>
      <c r="M72" s="32" t="n">
        <v>0</v>
      </c>
    </row>
    <row r="73">
      <c r="A73" s="31" t="inlineStr">
        <is>
          <t>Tiền gửi tổng hợp GDCK cho khách hàng</t>
        </is>
      </c>
      <c r="B73" s="32" t="n">
        <v>0</v>
      </c>
      <c r="C73" s="32" t="n">
        <v>0</v>
      </c>
      <c r="D73" s="32" t="n">
        <v>0</v>
      </c>
      <c r="E73" s="32" t="n">
        <v>0</v>
      </c>
      <c r="F73" s="32" t="n">
        <v>0</v>
      </c>
      <c r="G73" s="32" t="n">
        <v>0</v>
      </c>
      <c r="H73" s="32" t="n">
        <v>0</v>
      </c>
      <c r="I73" s="32" t="n">
        <v>0</v>
      </c>
      <c r="J73" s="32" t="n">
        <v>0</v>
      </c>
      <c r="K73" s="32" t="n">
        <v>0</v>
      </c>
      <c r="L73" s="32" t="n">
        <v>0</v>
      </c>
      <c r="M73" s="32" t="n">
        <v>0</v>
      </c>
    </row>
    <row r="74">
      <c r="A74" s="31" t="inlineStr">
        <is>
          <t>Tiền gửi bù trừ và thanh toán GDCK</t>
        </is>
      </c>
      <c r="B74" s="32" t="n">
        <v>0</v>
      </c>
      <c r="C74" s="32" t="n">
        <v>0</v>
      </c>
      <c r="D74" s="32" t="n">
        <v>0</v>
      </c>
      <c r="E74" s="32" t="n">
        <v>0</v>
      </c>
      <c r="F74" s="32" t="n">
        <v>2731609674546</v>
      </c>
      <c r="G74" s="32" t="n">
        <v>1734150405730</v>
      </c>
      <c r="H74" s="32" t="n">
        <v>3001767583552</v>
      </c>
      <c r="I74" s="32" t="n">
        <v>2897365485332</v>
      </c>
      <c r="J74" s="32" t="n">
        <v>5683752540024</v>
      </c>
      <c r="K74" s="32" t="n">
        <v>4206007929509</v>
      </c>
      <c r="L74" s="32" t="n">
        <v>3499079624294</v>
      </c>
      <c r="M74" s="32" t="n">
        <v>2464304915791</v>
      </c>
    </row>
    <row r="75">
      <c r="A75" s="31" t="inlineStr">
        <is>
          <t>Tiền gửi của tổ chức phát hành</t>
        </is>
      </c>
      <c r="B75" s="32" t="n">
        <v>552559701554</v>
      </c>
      <c r="C75" s="32" t="n">
        <v>8931676653</v>
      </c>
      <c r="D75" s="32" t="n">
        <v>208361969906</v>
      </c>
      <c r="E75" s="32" t="n">
        <v>938077574583</v>
      </c>
      <c r="F75" s="32" t="n">
        <v>4293695969</v>
      </c>
      <c r="G75" s="32" t="n">
        <v>44613698630</v>
      </c>
      <c r="H75" s="32" t="n">
        <v>35009400</v>
      </c>
      <c r="I75" s="32" t="n">
        <v>0</v>
      </c>
      <c r="J75" s="32" t="n">
        <v>0</v>
      </c>
      <c r="K75" s="32" t="n">
        <v>49373986618</v>
      </c>
      <c r="L75" s="32" t="n">
        <v>0</v>
      </c>
      <c r="M75" s="32" t="n">
        <v>0</v>
      </c>
    </row>
    <row r="76">
      <c r="A76" s="31" t="inlineStr">
        <is>
          <t>Trong đó: có kỳ hạn</t>
        </is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</row>
    <row r="77">
      <c r="A77" s="31" t="inlineStr">
        <is>
          <t>Tiền gửi của NĐT về GDCK theo phương thức NHTM quản lý (Trước năm 2016)</t>
        </is>
      </c>
      <c r="B77" s="32" t="n">
        <v>0</v>
      </c>
      <c r="C77" s="32" t="n">
        <v>0</v>
      </c>
      <c r="D77" s="32" t="n">
        <v>0</v>
      </c>
      <c r="E77" s="32" t="n">
        <v>0</v>
      </c>
      <c r="F77" s="32" t="n">
        <v>0</v>
      </c>
      <c r="G77" s="32" t="n">
        <v>0</v>
      </c>
      <c r="H77" s="32" t="n">
        <v>0</v>
      </c>
      <c r="I77" s="32" t="n">
        <v>0</v>
      </c>
      <c r="J77" s="32" t="n">
        <v>0</v>
      </c>
      <c r="K77" s="32" t="n">
        <v>0</v>
      </c>
      <c r="L77" s="32" t="n">
        <v>0</v>
      </c>
      <c r="M77" s="32" t="n">
        <v>0</v>
      </c>
    </row>
    <row r="78">
      <c r="A78" s="31" t="inlineStr">
        <is>
          <t>Trong đó: có kỳ hạn (Trước năm 2016)</t>
        </is>
      </c>
      <c r="B78" s="32" t="n">
        <v>0</v>
      </c>
      <c r="C78" s="32" t="n">
        <v>0</v>
      </c>
      <c r="D78" s="32" t="n">
        <v>0</v>
      </c>
      <c r="E78" s="32" t="n">
        <v>0</v>
      </c>
      <c r="F78" s="32" t="n">
        <v>0</v>
      </c>
      <c r="G78" s="32" t="n">
        <v>0</v>
      </c>
      <c r="H78" s="32" t="n">
        <v>0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</row>
    <row r="79">
      <c r="A79" s="31" t="inlineStr">
        <is>
          <t>Các khoản tương đương tiền</t>
        </is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</row>
    <row r="80">
      <c r="A80" s="31" t="inlineStr">
        <is>
          <t>Ảnh hưởng của thay đổi tỷ giá hối đoái quy đổi ngoại tệ</t>
        </is>
      </c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</row>
    <row r="81">
      <c r="A81" s="31" t="inlineStr">
        <is>
          <t>TIỀN VÀ CÁC KHOẢN TƯƠNG ĐƯƠNG TIỀN CUỐI KỲ CỦA KHÁCH HÀNG</t>
        </is>
      </c>
      <c r="B81" s="32" t="n">
        <v>1186694102469</v>
      </c>
      <c r="C81" s="32" t="n">
        <v>465273589103</v>
      </c>
      <c r="D81" s="32" t="n">
        <v>744960510633</v>
      </c>
      <c r="E81" s="32" t="n">
        <v>1334969895448</v>
      </c>
      <c r="F81" s="32" t="n">
        <v>8006921852278</v>
      </c>
      <c r="G81" s="32" t="n">
        <v>10024246349048</v>
      </c>
      <c r="H81" s="32" t="n">
        <v>14833545581986</v>
      </c>
      <c r="I81" s="32" t="n">
        <v>11849786662404</v>
      </c>
      <c r="J81" s="32" t="n">
        <v>12762472660272</v>
      </c>
      <c r="K81" s="32" t="n">
        <v>10702593296252</v>
      </c>
      <c r="L81" s="32" t="n">
        <v>10360816794093</v>
      </c>
      <c r="M81" s="32" t="n">
        <v>9046562592920</v>
      </c>
    </row>
    <row r="82">
      <c r="A82" s="31" t="inlineStr">
        <is>
          <t>Tiền gửi ngân hàng cuối kỳ</t>
        </is>
      </c>
      <c r="B82" s="32" t="n">
        <v>1186694102469</v>
      </c>
      <c r="C82" s="32" t="n">
        <v>465273589103</v>
      </c>
      <c r="D82" s="32" t="n">
        <v>744960510633</v>
      </c>
      <c r="E82" s="32" t="n">
        <v>1334969895448</v>
      </c>
      <c r="F82" s="32" t="n">
        <v>8006921852278</v>
      </c>
      <c r="G82" s="32" t="n">
        <v>10024246349048</v>
      </c>
      <c r="H82" s="32" t="n">
        <v>14833545581986</v>
      </c>
      <c r="I82" s="32" t="n">
        <v>11849786662404</v>
      </c>
      <c r="J82" s="32" t="n">
        <v>12762472660272</v>
      </c>
      <c r="K82" s="32" t="n">
        <v>10702593296252</v>
      </c>
      <c r="L82" s="32" t="n">
        <v>10360816794093</v>
      </c>
      <c r="M82" s="32" t="n">
        <v>9046562592920</v>
      </c>
    </row>
    <row r="83">
      <c r="A83" s="31" t="inlineStr">
        <is>
          <t>Tiền gửi của NĐT về GDCK theo phương thức CTCK quản lý</t>
        </is>
      </c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</row>
    <row r="84">
      <c r="A84" s="31" t="inlineStr">
        <is>
          <t>Trong đó: có kỳ hạn</t>
        </is>
      </c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</row>
    <row r="85">
      <c r="A85" s="31" t="inlineStr">
        <is>
          <t>Tiền gửi của NĐT về GDCK theo phương thức NHTM quản lý (Trước năm 2016)</t>
        </is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</row>
    <row r="86">
      <c r="A86" s="31" t="inlineStr">
        <is>
          <t>Trong đó: có kỳ hạn (Trước năm 2016)</t>
        </is>
      </c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</row>
    <row r="87">
      <c r="A87" s="31" t="inlineStr">
        <is>
          <t>Tiền gửi tổng hợp GDCK cho khách hàng</t>
        </is>
      </c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</row>
    <row r="88">
      <c r="A88" s="31" t="inlineStr">
        <is>
          <t>Tiền gửi bù trừ và thanh toán GDCK</t>
        </is>
      </c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</row>
    <row r="89">
      <c r="A89" s="31" t="inlineStr">
        <is>
          <t>Tiền gửi của tổ chức phát hành</t>
        </is>
      </c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</row>
    <row r="90">
      <c r="A90" s="31" t="inlineStr">
        <is>
          <t>Trong đó: có kỳ hạn</t>
        </is>
      </c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</row>
    <row r="91">
      <c r="A91" s="31" t="inlineStr">
        <is>
          <t>Các khoản tương đương tiền</t>
        </is>
      </c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</row>
    <row r="92">
      <c r="A92" s="31" t="inlineStr">
        <is>
          <t>Ảnh hưởng của thay đổi tỷ giá hối đoái quy đổi ngoại tệ</t>
        </is>
      </c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</row>
    <row r="93">
      <c r="A93" s="31" t="inlineStr">
        <is>
          <t>Điều chỉnh cho các khoản</t>
        </is>
      </c>
      <c r="B93" s="32" t="n">
        <v>-2496495401</v>
      </c>
      <c r="C93" s="32" t="n">
        <v>14996172611</v>
      </c>
      <c r="D93" s="32" t="n">
        <v>-168777471606</v>
      </c>
      <c r="E93" s="32" t="n">
        <v>167057195233</v>
      </c>
      <c r="F93" s="32" t="n">
        <v>440202514669</v>
      </c>
      <c r="G93" s="32" t="n">
        <v>339874984405</v>
      </c>
      <c r="H93" s="32" t="n">
        <v>-64362960396</v>
      </c>
      <c r="I93" s="32" t="n">
        <v>396127209822</v>
      </c>
      <c r="J93" s="32" t="n">
        <v>594598895883</v>
      </c>
      <c r="K93" s="32" t="n">
        <v>466897105248</v>
      </c>
      <c r="L93" s="32" t="n">
        <v>50514550235</v>
      </c>
      <c r="M93" s="32" t="n">
        <v>503598631383</v>
      </c>
    </row>
    <row r="94">
      <c r="A94" s="31" t="inlineStr">
        <is>
          <t>Chi phí phải trả, chi phí trả trước</t>
        </is>
      </c>
      <c r="B94" s="32" t="n">
        <v>0</v>
      </c>
      <c r="C94" s="32" t="n">
        <v>0</v>
      </c>
      <c r="D94" s="32" t="n">
        <v>0</v>
      </c>
      <c r="E94" s="32" t="n">
        <v>0</v>
      </c>
      <c r="F94" s="32" t="n">
        <v>0</v>
      </c>
      <c r="G94" s="32" t="n">
        <v>0</v>
      </c>
      <c r="H94" s="32" t="n">
        <v>0</v>
      </c>
      <c r="I94" s="32" t="n">
        <v>0</v>
      </c>
      <c r="J94" s="32" t="n">
        <v>0</v>
      </c>
      <c r="K94" s="32" t="n">
        <v>0</v>
      </c>
      <c r="L94" s="32" t="n">
        <v>0</v>
      </c>
      <c r="M94" s="32" t="n">
        <v>0</v>
      </c>
    </row>
    <row r="95">
      <c r="A95" s="31" t="inlineStr">
        <is>
          <t>Tăng các chi phí phi tiền tệ</t>
        </is>
      </c>
      <c r="B95" s="32" t="n">
        <v>0</v>
      </c>
      <c r="C95" s="32" t="n">
        <v>0</v>
      </c>
      <c r="D95" s="32" t="n">
        <v>0</v>
      </c>
      <c r="E95" s="32" t="n">
        <v>0</v>
      </c>
      <c r="F95" s="32" t="n">
        <v>0</v>
      </c>
      <c r="G95" s="32" t="n">
        <v>0</v>
      </c>
      <c r="H95" s="32" t="n">
        <v>0</v>
      </c>
      <c r="I95" s="32" t="n">
        <v>3104420334</v>
      </c>
      <c r="J95" s="32" t="n">
        <v>-17815263</v>
      </c>
      <c r="K95" s="32" t="n">
        <v>2544832491</v>
      </c>
      <c r="L95" s="32" t="n">
        <v>1737507555</v>
      </c>
      <c r="M95" s="32" t="n">
        <v>19574981213</v>
      </c>
    </row>
    <row r="96">
      <c r="A96" s="31" t="inlineStr">
        <is>
          <t>Lỗ đánh giá giá trị các tài sản tài chính ghi nhận thông qua lãi/lỗ FVTPL</t>
        </is>
      </c>
      <c r="B96" s="32" t="n">
        <v>0</v>
      </c>
      <c r="C96" s="32" t="n">
        <v>0</v>
      </c>
      <c r="D96" s="32" t="n">
        <v>0</v>
      </c>
      <c r="E96" s="32" t="n">
        <v>0</v>
      </c>
      <c r="F96" s="32" t="n">
        <v>0</v>
      </c>
      <c r="G96" s="32" t="n">
        <v>0</v>
      </c>
      <c r="H96" s="32" t="n">
        <v>0</v>
      </c>
      <c r="I96" s="32" t="n">
        <v>1564539146</v>
      </c>
      <c r="J96" s="32" t="n">
        <v>461721463</v>
      </c>
      <c r="K96" s="32" t="n">
        <v>1653300549</v>
      </c>
      <c r="L96" s="32" t="n">
        <v>2712135924</v>
      </c>
      <c r="M96" s="32" t="n">
        <v>21104532994</v>
      </c>
    </row>
    <row r="97">
      <c r="A97" s="31" t="inlineStr">
        <is>
          <t>Lỗ đánh giá giá trị các công nợ tài chính ghi nhận thông qua KQKD (Trước năm 2016)</t>
        </is>
      </c>
      <c r="B97" s="32" t="n">
        <v>0</v>
      </c>
      <c r="C97" s="32" t="n">
        <v>0</v>
      </c>
      <c r="D97" s="32" t="n">
        <v>0</v>
      </c>
      <c r="E97" s="32" t="n">
        <v>0</v>
      </c>
      <c r="F97" s="32" t="n">
        <v>0</v>
      </c>
      <c r="G97" s="32" t="n">
        <v>0</v>
      </c>
      <c r="H97" s="32" t="n">
        <v>0</v>
      </c>
      <c r="I97" s="32" t="n">
        <v>0</v>
      </c>
      <c r="J97" s="32" t="n">
        <v>0</v>
      </c>
      <c r="K97" s="32" t="n">
        <v>0</v>
      </c>
      <c r="L97" s="32" t="n">
        <v>0</v>
      </c>
      <c r="M97" s="32" t="n">
        <v>0</v>
      </c>
    </row>
    <row r="98">
      <c r="A98" s="31" t="inlineStr">
        <is>
          <t>Lỗ đánh giá giá trị các công cụ tài chính phái sinh (Trước năm 2016)</t>
        </is>
      </c>
      <c r="B98" s="32" t="n">
        <v>0</v>
      </c>
      <c r="C98" s="32" t="n">
        <v>0</v>
      </c>
      <c r="D98" s="32" t="n">
        <v>0</v>
      </c>
      <c r="E98" s="32" t="n">
        <v>0</v>
      </c>
      <c r="F98" s="32" t="n">
        <v>0</v>
      </c>
      <c r="G98" s="32" t="n">
        <v>0</v>
      </c>
      <c r="H98" s="32" t="n">
        <v>0</v>
      </c>
      <c r="I98" s="32" t="n">
        <v>0</v>
      </c>
      <c r="J98" s="32" t="n">
        <v>0</v>
      </c>
      <c r="K98" s="32" t="n">
        <v>0</v>
      </c>
      <c r="L98" s="32" t="n">
        <v>0</v>
      </c>
      <c r="M98" s="32" t="n">
        <v>0</v>
      </c>
    </row>
    <row r="99">
      <c r="A99" s="31" t="inlineStr">
        <is>
          <t>Lỗ từ thanh lý các tài sản tài chính sẵn sàng để bán (Trước năm 2016)</t>
        </is>
      </c>
      <c r="B99" s="32" t="n">
        <v>0</v>
      </c>
      <c r="C99" s="32" t="n">
        <v>0</v>
      </c>
      <c r="D99" s="32" t="n">
        <v>0</v>
      </c>
      <c r="E99" s="32" t="n">
        <v>0</v>
      </c>
      <c r="F99" s="32" t="n">
        <v>0</v>
      </c>
      <c r="G99" s="32" t="n">
        <v>0</v>
      </c>
      <c r="H99" s="32" t="n">
        <v>0</v>
      </c>
      <c r="I99" s="32" t="n">
        <v>0</v>
      </c>
      <c r="J99" s="32" t="n">
        <v>0</v>
      </c>
      <c r="K99" s="32" t="n">
        <v>0</v>
      </c>
      <c r="L99" s="32" t="n">
        <v>0</v>
      </c>
      <c r="M99" s="32" t="n">
        <v>0</v>
      </c>
    </row>
    <row r="100">
      <c r="A100" s="31" t="inlineStr">
        <is>
          <t>Suy giảm giá trị của các tài sản tài chính sẵn sàng để bán (Trước năm 2016)</t>
        </is>
      </c>
      <c r="B100" s="32" t="n">
        <v>0</v>
      </c>
      <c r="C100" s="32" t="n">
        <v>0</v>
      </c>
      <c r="D100" s="32" t="n">
        <v>0</v>
      </c>
      <c r="E100" s="32" t="n">
        <v>0</v>
      </c>
      <c r="F100" s="32" t="n">
        <v>0</v>
      </c>
      <c r="G100" s="32" t="n">
        <v>0</v>
      </c>
      <c r="H100" s="32" t="n">
        <v>0</v>
      </c>
      <c r="I100" s="32" t="n">
        <v>0</v>
      </c>
      <c r="J100" s="32" t="n">
        <v>0</v>
      </c>
      <c r="K100" s="32" t="n">
        <v>0</v>
      </c>
      <c r="L100" s="32" t="n">
        <v>0</v>
      </c>
      <c r="M100" s="32" t="n">
        <v>0</v>
      </c>
    </row>
    <row r="101">
      <c r="A101" s="31" t="inlineStr">
        <is>
          <t>Lỗ suy giảm giá trị các khoản đầu tư nắm giữ đến ngày đáo hạn (HTM)</t>
        </is>
      </c>
      <c r="B101" s="32" t="n">
        <v>0</v>
      </c>
      <c r="C101" s="32" t="n">
        <v>0</v>
      </c>
      <c r="D101" s="32" t="n">
        <v>0</v>
      </c>
      <c r="E101" s="32" t="n">
        <v>0</v>
      </c>
      <c r="F101" s="32" t="n">
        <v>0</v>
      </c>
      <c r="G101" s="32" t="n">
        <v>0</v>
      </c>
      <c r="H101" s="32" t="n">
        <v>0</v>
      </c>
      <c r="I101" s="32" t="n">
        <v>0</v>
      </c>
      <c r="J101" s="32" t="n">
        <v>0</v>
      </c>
      <c r="K101" s="32" t="n">
        <v>0</v>
      </c>
      <c r="L101" s="32" t="n">
        <v>0</v>
      </c>
      <c r="M101" s="32" t="n">
        <v>0</v>
      </c>
    </row>
    <row r="102">
      <c r="A102" s="31" t="inlineStr">
        <is>
          <t>Lỗ suy giảm giá trị các khoản cho vay</t>
        </is>
      </c>
      <c r="B102" s="32" t="n">
        <v>0</v>
      </c>
      <c r="C102" s="32" t="n">
        <v>0</v>
      </c>
      <c r="D102" s="32" t="n">
        <v>0</v>
      </c>
      <c r="E102" s="32" t="n">
        <v>0</v>
      </c>
      <c r="F102" s="32" t="n">
        <v>0</v>
      </c>
      <c r="G102" s="32" t="n">
        <v>0</v>
      </c>
      <c r="H102" s="32" t="n">
        <v>0</v>
      </c>
      <c r="I102" s="32" t="n">
        <v>1539881188</v>
      </c>
      <c r="J102" s="32" t="n">
        <v>-479536726</v>
      </c>
      <c r="K102" s="32" t="n">
        <v>891531942</v>
      </c>
      <c r="L102" s="32" t="n">
        <v>-974628369</v>
      </c>
      <c r="M102" s="32" t="n">
        <v>-1529551781</v>
      </c>
    </row>
    <row r="103">
      <c r="A103" s="31" t="inlineStr">
        <is>
          <t>Lỗ về ghi nhận chênh lệch đánh giá theo giá trị hợp lý tài sản tài chính sẵn sàng để bán AFS khi phân loại lại</t>
        </is>
      </c>
      <c r="B103" s="32" t="n">
        <v>0</v>
      </c>
      <c r="C103" s="32" t="n">
        <v>0</v>
      </c>
      <c r="D103" s="32" t="n">
        <v>0</v>
      </c>
      <c r="E103" s="32" t="n">
        <v>0</v>
      </c>
      <c r="F103" s="32" t="n">
        <v>0</v>
      </c>
      <c r="G103" s="32" t="n">
        <v>0</v>
      </c>
      <c r="H103" s="32" t="n">
        <v>0</v>
      </c>
      <c r="I103" s="32" t="n">
        <v>0</v>
      </c>
      <c r="J103" s="32" t="n">
        <v>0</v>
      </c>
      <c r="K103" s="32" t="n">
        <v>0</v>
      </c>
      <c r="L103" s="32" t="n">
        <v>0</v>
      </c>
      <c r="M103" s="32" t="n">
        <v>0</v>
      </c>
    </row>
    <row r="104">
      <c r="A104" s="31" t="inlineStr">
        <is>
          <t>Lỗ đánh giá giá các công cụ tài chính phát sinh cho mục đích phòng ngừa rủi ro (Trước năm 2016)</t>
        </is>
      </c>
      <c r="B104" s="32" t="n">
        <v>0</v>
      </c>
      <c r="C104" s="32" t="n">
        <v>0</v>
      </c>
      <c r="D104" s="32" t="n">
        <v>0</v>
      </c>
      <c r="E104" s="32" t="n">
        <v>0</v>
      </c>
      <c r="F104" s="32" t="n">
        <v>0</v>
      </c>
      <c r="G104" s="32" t="n">
        <v>0</v>
      </c>
      <c r="H104" s="32" t="n">
        <v>0</v>
      </c>
      <c r="I104" s="32" t="n">
        <v>0</v>
      </c>
      <c r="J104" s="32" t="n">
        <v>0</v>
      </c>
      <c r="K104" s="32" t="n">
        <v>0</v>
      </c>
      <c r="L104" s="32" t="n">
        <v>0</v>
      </c>
      <c r="M104" s="32" t="n">
        <v>0</v>
      </c>
    </row>
    <row r="105">
      <c r="A105" s="31" t="inlineStr">
        <is>
          <t>Lỗ từ thanh lý TSCĐ (Trước năm 2016)</t>
        </is>
      </c>
      <c r="B105" s="32" t="n">
        <v>0</v>
      </c>
      <c r="C105" s="32" t="n">
        <v>0</v>
      </c>
      <c r="D105" s="32" t="n">
        <v>0</v>
      </c>
      <c r="E105" s="32" t="n">
        <v>0</v>
      </c>
      <c r="F105" s="32" t="n">
        <v>0</v>
      </c>
      <c r="G105" s="32" t="n">
        <v>0</v>
      </c>
      <c r="H105" s="32" t="n">
        <v>0</v>
      </c>
      <c r="I105" s="32" t="n">
        <v>0</v>
      </c>
      <c r="J105" s="32" t="n">
        <v>0</v>
      </c>
      <c r="K105" s="32" t="n">
        <v>0</v>
      </c>
      <c r="L105" s="32" t="n">
        <v>0</v>
      </c>
      <c r="M105" s="32" t="n">
        <v>0</v>
      </c>
    </row>
    <row r="106">
      <c r="A106" s="31" t="inlineStr">
        <is>
          <t>Suy giảm giá trị của các tài sản cố định, BĐSĐT</t>
        </is>
      </c>
      <c r="B106" s="32" t="n">
        <v>0</v>
      </c>
      <c r="C106" s="32" t="n">
        <v>0</v>
      </c>
      <c r="D106" s="32" t="n">
        <v>0</v>
      </c>
      <c r="E106" s="32" t="n">
        <v>0</v>
      </c>
      <c r="F106" s="32" t="n">
        <v>0</v>
      </c>
      <c r="G106" s="32" t="n">
        <v>0</v>
      </c>
      <c r="H106" s="32" t="n">
        <v>0</v>
      </c>
      <c r="I106" s="32" t="n">
        <v>0</v>
      </c>
      <c r="J106" s="32" t="n">
        <v>0</v>
      </c>
      <c r="K106" s="32" t="n">
        <v>0</v>
      </c>
      <c r="L106" s="32" t="n">
        <v>0</v>
      </c>
      <c r="M106" s="32" t="n">
        <v>0</v>
      </c>
    </row>
    <row r="107">
      <c r="A107" s="31" t="inlineStr">
        <is>
          <t>Chi phí dự phòng suy giảm giá trị các khoản đầu tư tài chính dài hạn</t>
        </is>
      </c>
      <c r="B107" s="32" t="n">
        <v>0</v>
      </c>
      <c r="C107" s="32" t="n">
        <v>0</v>
      </c>
      <c r="D107" s="32" t="n">
        <v>0</v>
      </c>
      <c r="E107" s="32" t="n">
        <v>0</v>
      </c>
      <c r="F107" s="32" t="n">
        <v>0</v>
      </c>
      <c r="G107" s="32" t="n">
        <v>0</v>
      </c>
      <c r="H107" s="32" t="n">
        <v>0</v>
      </c>
      <c r="I107" s="32" t="n">
        <v>0</v>
      </c>
      <c r="J107" s="32" t="n">
        <v>0</v>
      </c>
      <c r="K107" s="32" t="n">
        <v>0</v>
      </c>
      <c r="L107" s="32" t="n">
        <v>0</v>
      </c>
      <c r="M107" s="32" t="n">
        <v>0</v>
      </c>
    </row>
    <row r="108">
      <c r="A108" s="31" t="inlineStr">
        <is>
          <t>Lỗ từ thanh lý các khoản đầu tư vào công ty con và công ty liên doanh, liên kết (Trước năm 2016)</t>
        </is>
      </c>
      <c r="B108" s="32" t="n">
        <v>0</v>
      </c>
      <c r="C108" s="32" t="n">
        <v>0</v>
      </c>
      <c r="D108" s="32" t="n">
        <v>0</v>
      </c>
      <c r="E108" s="32" t="n">
        <v>0</v>
      </c>
      <c r="F108" s="32" t="n">
        <v>0</v>
      </c>
      <c r="G108" s="32" t="n">
        <v>0</v>
      </c>
      <c r="H108" s="32" t="n">
        <v>0</v>
      </c>
      <c r="I108" s="32" t="n">
        <v>0</v>
      </c>
      <c r="J108" s="32" t="n">
        <v>0</v>
      </c>
      <c r="K108" s="32" t="n">
        <v>0</v>
      </c>
      <c r="L108" s="32" t="n">
        <v>0</v>
      </c>
      <c r="M108" s="32" t="n">
        <v>0</v>
      </c>
    </row>
    <row r="109">
      <c r="A109" s="31" t="inlineStr">
        <is>
          <t>Lỗ khác</t>
        </is>
      </c>
      <c r="B109" s="32" t="n">
        <v>0</v>
      </c>
      <c r="C109" s="32" t="n">
        <v>0</v>
      </c>
      <c r="D109" s="32" t="n">
        <v>0</v>
      </c>
      <c r="E109" s="32" t="n">
        <v>0</v>
      </c>
      <c r="F109" s="32" t="n">
        <v>0</v>
      </c>
      <c r="G109" s="32" t="n">
        <v>0</v>
      </c>
      <c r="H109" s="32" t="n">
        <v>0</v>
      </c>
      <c r="I109" s="32" t="n">
        <v>0</v>
      </c>
      <c r="J109" s="32" t="n">
        <v>0</v>
      </c>
      <c r="K109" s="32" t="n">
        <v>0</v>
      </c>
      <c r="L109" s="32" t="n">
        <v>0</v>
      </c>
      <c r="M109" s="32" t="n">
        <v>0</v>
      </c>
    </row>
    <row r="110">
      <c r="A110" s="31" t="inlineStr">
        <is>
          <t>Giảm các doanh thu phi tiền tệ</t>
        </is>
      </c>
      <c r="B110" s="32" t="n">
        <v>0</v>
      </c>
      <c r="C110" s="32" t="n">
        <v>0</v>
      </c>
      <c r="D110" s="32" t="n">
        <v>0</v>
      </c>
      <c r="E110" s="32" t="n">
        <v>0</v>
      </c>
      <c r="F110" s="32" t="n">
        <v>0</v>
      </c>
      <c r="G110" s="32" t="n">
        <v>0</v>
      </c>
      <c r="H110" s="32" t="n">
        <v>0</v>
      </c>
      <c r="I110" s="32" t="n">
        <v>-2958984789</v>
      </c>
      <c r="J110" s="32" t="n">
        <v>-3073415723</v>
      </c>
      <c r="K110" s="32" t="n">
        <v>-878574743</v>
      </c>
      <c r="L110" s="32" t="n">
        <v>-2927576083</v>
      </c>
      <c r="M110" s="32" t="n">
        <v>-16015828998</v>
      </c>
    </row>
    <row r="111">
      <c r="A111" s="31" t="inlineStr">
        <is>
          <t>Lãi đánh giá giá trị các tài sản chính ghi nhận thông qua lãi/lỗ FVTPL</t>
        </is>
      </c>
      <c r="B111" s="32" t="n">
        <v>0</v>
      </c>
      <c r="C111" s="32" t="n">
        <v>0</v>
      </c>
      <c r="D111" s="32" t="n">
        <v>0</v>
      </c>
      <c r="E111" s="32" t="n">
        <v>0</v>
      </c>
      <c r="F111" s="32" t="n">
        <v>0</v>
      </c>
      <c r="G111" s="32" t="n">
        <v>0</v>
      </c>
      <c r="H111" s="32" t="n">
        <v>0</v>
      </c>
      <c r="I111" s="32" t="n">
        <v>-2958984789</v>
      </c>
      <c r="J111" s="32" t="n">
        <v>-3073415723</v>
      </c>
      <c r="K111" s="32" t="n">
        <v>-878574743</v>
      </c>
      <c r="L111" s="32" t="n">
        <v>-2927576083</v>
      </c>
      <c r="M111" s="32" t="n">
        <v>-16015828998</v>
      </c>
    </row>
    <row r="112">
      <c r="A112" s="31" t="inlineStr">
        <is>
          <t>Lãi đánh giá giá trị các công nợ tài chính thông qua kết quả kinh doanh (Trước năm 2016)</t>
        </is>
      </c>
      <c r="B112" s="32" t="n">
        <v>0</v>
      </c>
      <c r="C112" s="32" t="n">
        <v>0</v>
      </c>
      <c r="D112" s="32" t="n">
        <v>0</v>
      </c>
      <c r="E112" s="32" t="n">
        <v>0</v>
      </c>
      <c r="F112" s="32" t="n">
        <v>0</v>
      </c>
      <c r="G112" s="32" t="n">
        <v>0</v>
      </c>
      <c r="H112" s="32" t="n">
        <v>0</v>
      </c>
      <c r="I112" s="32" t="n">
        <v>0</v>
      </c>
      <c r="J112" s="32" t="n">
        <v>0</v>
      </c>
      <c r="K112" s="32" t="n">
        <v>0</v>
      </c>
      <c r="L112" s="32" t="n">
        <v>0</v>
      </c>
      <c r="M112" s="32" t="n">
        <v>0</v>
      </c>
    </row>
    <row r="113">
      <c r="A113" s="31" t="inlineStr">
        <is>
          <t>Lãi từ thanh lý các tài sản tài chính sẵn sàng để bán (Trước năm 2016)</t>
        </is>
      </c>
      <c r="B113" s="32" t="n">
        <v>0</v>
      </c>
      <c r="C113" s="32" t="n">
        <v>0</v>
      </c>
      <c r="D113" s="32" t="n">
        <v>0</v>
      </c>
      <c r="E113" s="32" t="n">
        <v>0</v>
      </c>
      <c r="F113" s="32" t="n">
        <v>0</v>
      </c>
      <c r="G113" s="32" t="n">
        <v>0</v>
      </c>
      <c r="H113" s="32" t="n">
        <v>0</v>
      </c>
      <c r="I113" s="32" t="n">
        <v>0</v>
      </c>
      <c r="J113" s="32" t="n">
        <v>0</v>
      </c>
      <c r="K113" s="32" t="n">
        <v>0</v>
      </c>
      <c r="L113" s="32" t="n">
        <v>0</v>
      </c>
      <c r="M113" s="32" t="n">
        <v>0</v>
      </c>
    </row>
    <row r="114">
      <c r="A114" s="31" t="inlineStr">
        <is>
          <t>Hoàn nhập suy giảm giá trị của các tài sản tài chính sẵn sàng để bán (Trước năm 2016)</t>
        </is>
      </c>
      <c r="B114" s="32" t="n">
        <v>0</v>
      </c>
      <c r="C114" s="32" t="n">
        <v>0</v>
      </c>
      <c r="D114" s="32" t="n">
        <v>0</v>
      </c>
      <c r="E114" s="32" t="n">
        <v>0</v>
      </c>
      <c r="F114" s="32" t="n">
        <v>0</v>
      </c>
      <c r="G114" s="32" t="n">
        <v>0</v>
      </c>
      <c r="H114" s="32" t="n">
        <v>0</v>
      </c>
      <c r="I114" s="32" t="n">
        <v>0</v>
      </c>
      <c r="J114" s="32" t="n">
        <v>0</v>
      </c>
      <c r="K114" s="32" t="n">
        <v>0</v>
      </c>
      <c r="L114" s="32" t="n">
        <v>0</v>
      </c>
      <c r="M114" s="32" t="n">
        <v>0</v>
      </c>
    </row>
    <row r="115">
      <c r="A115" s="31" t="inlineStr">
        <is>
          <t>Lãi về ghi nhận chệnh lệch đánh giá theo giá trị hợp lý tài sản tài chính sẵn sàng để bán AFS khi phân loại lại</t>
        </is>
      </c>
      <c r="B115" s="32" t="n">
        <v>0</v>
      </c>
      <c r="C115" s="32" t="n">
        <v>0</v>
      </c>
      <c r="D115" s="32" t="n">
        <v>0</v>
      </c>
      <c r="E115" s="32" t="n">
        <v>0</v>
      </c>
      <c r="F115" s="32" t="n">
        <v>0</v>
      </c>
      <c r="G115" s="32" t="n">
        <v>0</v>
      </c>
      <c r="H115" s="32" t="n">
        <v>0</v>
      </c>
      <c r="I115" s="32" t="n">
        <v>0</v>
      </c>
      <c r="J115" s="32" t="n">
        <v>0</v>
      </c>
      <c r="K115" s="32" t="n">
        <v>0</v>
      </c>
      <c r="L115" s="32" t="n">
        <v>0</v>
      </c>
      <c r="M115" s="32" t="n">
        <v>0</v>
      </c>
    </row>
    <row r="116">
      <c r="A116" s="31" t="inlineStr">
        <is>
          <t>Lãi đánh giá giá trị các công cụ tài chính phái sinh cho mục đích phòng ngừa</t>
        </is>
      </c>
      <c r="B116" s="32" t="n">
        <v>0</v>
      </c>
      <c r="C116" s="32" t="n">
        <v>0</v>
      </c>
      <c r="D116" s="32" t="n">
        <v>0</v>
      </c>
      <c r="E116" s="32" t="n">
        <v>0</v>
      </c>
      <c r="F116" s="32" t="n">
        <v>0</v>
      </c>
      <c r="G116" s="32" t="n">
        <v>0</v>
      </c>
      <c r="H116" s="32" t="n">
        <v>0</v>
      </c>
      <c r="I116" s="32" t="n">
        <v>0</v>
      </c>
      <c r="J116" s="32" t="n">
        <v>0</v>
      </c>
      <c r="K116" s="32" t="n">
        <v>0</v>
      </c>
      <c r="L116" s="32" t="n">
        <v>0</v>
      </c>
      <c r="M116" s="32" t="n">
        <v>0</v>
      </c>
    </row>
    <row r="117">
      <c r="A117" s="31" t="inlineStr">
        <is>
          <t>Lãi từ thanh lý các khoản cho vay và phải thu</t>
        </is>
      </c>
      <c r="B117" s="32" t="n">
        <v>0</v>
      </c>
      <c r="C117" s="32" t="n">
        <v>0</v>
      </c>
      <c r="D117" s="32" t="n">
        <v>0</v>
      </c>
      <c r="E117" s="32" t="n">
        <v>0</v>
      </c>
      <c r="F117" s="32" t="n">
        <v>0</v>
      </c>
      <c r="G117" s="32" t="n">
        <v>0</v>
      </c>
      <c r="H117" s="32" t="n">
        <v>0</v>
      </c>
      <c r="I117" s="32" t="n">
        <v>0</v>
      </c>
      <c r="J117" s="32" t="n">
        <v>0</v>
      </c>
      <c r="K117" s="32" t="n">
        <v>0</v>
      </c>
      <c r="L117" s="32" t="n">
        <v>0</v>
      </c>
      <c r="M117" s="32" t="n">
        <v>0</v>
      </c>
    </row>
    <row r="118">
      <c r="A118" s="31" t="inlineStr">
        <is>
          <t>Hoàn nhập chi phí dự phòng</t>
        </is>
      </c>
      <c r="B118" s="32" t="n">
        <v>0</v>
      </c>
      <c r="C118" s="32" t="n">
        <v>0</v>
      </c>
      <c r="D118" s="32" t="n">
        <v>0</v>
      </c>
      <c r="E118" s="32" t="n">
        <v>0</v>
      </c>
      <c r="F118" s="32" t="n">
        <v>0</v>
      </c>
      <c r="G118" s="32" t="n">
        <v>0</v>
      </c>
      <c r="H118" s="32" t="n">
        <v>0</v>
      </c>
      <c r="I118" s="32" t="n">
        <v>0</v>
      </c>
      <c r="J118" s="32" t="n">
        <v>0</v>
      </c>
      <c r="K118" s="32" t="n">
        <v>0</v>
      </c>
      <c r="L118" s="32" t="n">
        <v>0</v>
      </c>
      <c r="M118" s="32" t="n">
        <v>0</v>
      </c>
    </row>
    <row r="119">
      <c r="A119" s="31" t="inlineStr">
        <is>
          <t>Lãi từ thanh lý tài sản cố định, BĐSĐT</t>
        </is>
      </c>
      <c r="B119" s="32" t="n">
        <v>0</v>
      </c>
      <c r="C119" s="32" t="n">
        <v>0</v>
      </c>
      <c r="D119" s="32" t="n">
        <v>0</v>
      </c>
      <c r="E119" s="32" t="n">
        <v>0</v>
      </c>
      <c r="F119" s="32" t="n">
        <v>0</v>
      </c>
      <c r="G119" s="32" t="n">
        <v>0</v>
      </c>
      <c r="H119" s="32" t="n">
        <v>0</v>
      </c>
      <c r="I119" s="32" t="n">
        <v>0</v>
      </c>
      <c r="J119" s="32" t="n">
        <v>0</v>
      </c>
      <c r="K119" s="32" t="n">
        <v>0</v>
      </c>
      <c r="L119" s="32" t="n">
        <v>0</v>
      </c>
      <c r="M119" s="32" t="n">
        <v>0</v>
      </c>
    </row>
    <row r="120">
      <c r="A120" s="31" t="inlineStr">
        <is>
          <t>Lãi từ thanh lý các khoản đầu tư vào công ty con và công ty liên doanh, liên kết</t>
        </is>
      </c>
      <c r="B120" s="32" t="n">
        <v>0</v>
      </c>
      <c r="C120" s="32" t="n">
        <v>0</v>
      </c>
      <c r="D120" s="32" t="n">
        <v>0</v>
      </c>
      <c r="E120" s="32" t="n">
        <v>0</v>
      </c>
      <c r="F120" s="32" t="n">
        <v>0</v>
      </c>
      <c r="G120" s="32" t="n">
        <v>0</v>
      </c>
      <c r="H120" s="32" t="n">
        <v>0</v>
      </c>
      <c r="I120" s="32" t="n">
        <v>0</v>
      </c>
      <c r="J120" s="32" t="n">
        <v>0</v>
      </c>
      <c r="K120" s="32" t="n">
        <v>0</v>
      </c>
      <c r="L120" s="32" t="n">
        <v>0</v>
      </c>
      <c r="M120" s="32" t="n">
        <v>0</v>
      </c>
    </row>
    <row r="121">
      <c r="A121" s="31" t="inlineStr">
        <is>
          <t>Lãi khác</t>
        </is>
      </c>
      <c r="B121" s="32" t="n">
        <v>0</v>
      </c>
      <c r="C121" s="32" t="n">
        <v>0</v>
      </c>
      <c r="D121" s="32" t="n">
        <v>0</v>
      </c>
      <c r="E121" s="32" t="n">
        <v>0</v>
      </c>
      <c r="F121" s="32" t="n">
        <v>0</v>
      </c>
      <c r="G121" s="32" t="n">
        <v>0</v>
      </c>
      <c r="H121" s="32" t="n">
        <v>0</v>
      </c>
      <c r="I121" s="32" t="n">
        <v>0</v>
      </c>
      <c r="J121" s="32" t="n">
        <v>0</v>
      </c>
      <c r="K121" s="32" t="n">
        <v>0</v>
      </c>
      <c r="L121" s="32" t="n">
        <v>0</v>
      </c>
      <c r="M121" s="32" t="n">
        <v>0</v>
      </c>
    </row>
    <row r="122">
      <c r="A122" s="31" t="inlineStr">
        <is>
          <t>Thay đổi tài sản và nợ phải trả hoạt động (Trước năm 2016)</t>
        </is>
      </c>
      <c r="B122" s="32" t="n">
        <v>-392664498943</v>
      </c>
      <c r="C122" s="32" t="n">
        <v>626356064568</v>
      </c>
      <c r="D122" s="32" t="n">
        <v>-157123748266</v>
      </c>
      <c r="E122" s="32" t="n">
        <v>-788583322515</v>
      </c>
      <c r="F122" s="32" t="n">
        <v>2569569913902</v>
      </c>
      <c r="G122" s="32" t="n">
        <v>-5369087532204</v>
      </c>
      <c r="H122" s="32" t="n">
        <v>-3276904121012</v>
      </c>
      <c r="I122" s="32" t="n">
        <v>-8275452725697</v>
      </c>
      <c r="J122" s="32" t="n">
        <v>-14361345111804</v>
      </c>
      <c r="K122" s="32" t="n">
        <v>-911728391578</v>
      </c>
      <c r="L122" s="32" t="n">
        <v>-5516635629002</v>
      </c>
      <c r="M122" s="32" t="n">
        <v>-11013136876528</v>
      </c>
    </row>
    <row r="123">
      <c r="A123" s="31" t="inlineStr">
        <is>
          <t>Tăng (giảm) tài sản tài chính ghi nhận thông qua lãi/ lỗ (FVTPL)</t>
        </is>
      </c>
      <c r="B123" s="32" t="n">
        <v>-258212386034</v>
      </c>
      <c r="C123" s="32" t="n">
        <v>258212386034</v>
      </c>
      <c r="D123" s="32" t="n">
        <v>-270390277763</v>
      </c>
      <c r="E123" s="32" t="n">
        <v>270390277763</v>
      </c>
      <c r="F123" s="32" t="n">
        <v>0</v>
      </c>
      <c r="G123" s="32" t="n">
        <v>-17278163500</v>
      </c>
      <c r="H123" s="32" t="n">
        <v>-16594431000</v>
      </c>
      <c r="I123" s="32" t="n">
        <v>-15915121757</v>
      </c>
      <c r="J123" s="32" t="n">
        <v>14961653960</v>
      </c>
      <c r="K123" s="32" t="n">
        <v>-865544506</v>
      </c>
      <c r="L123" s="32" t="n">
        <v>-16799271841</v>
      </c>
      <c r="M123" s="32" t="n">
        <v>-245115768246</v>
      </c>
    </row>
    <row r="124">
      <c r="A124" s="31" t="inlineStr">
        <is>
          <t>Tăng (giảm) các khoản đầu tư giữ đến ngày đáo hạn (HTM)</t>
        </is>
      </c>
      <c r="B124" s="32" t="n">
        <v>-100000000000</v>
      </c>
      <c r="C124" s="32" t="n">
        <v>100000000000</v>
      </c>
      <c r="D124" s="32" t="n">
        <v>0</v>
      </c>
      <c r="E124" s="32" t="n">
        <v>9840307126</v>
      </c>
      <c r="F124" s="32" t="n">
        <v>-180000000000</v>
      </c>
      <c r="G124" s="32" t="n">
        <v>-701000000000</v>
      </c>
      <c r="H124" s="32" t="n">
        <v>-122320547945</v>
      </c>
      <c r="I124" s="32" t="n">
        <v>53747216226</v>
      </c>
      <c r="J124" s="32" t="n">
        <v>-650679452055</v>
      </c>
      <c r="K124" s="32" t="n">
        <v>-616060170497</v>
      </c>
      <c r="L124" s="32" t="n">
        <v>2661500000000</v>
      </c>
      <c r="M124" s="32" t="n">
        <v>-182279837561</v>
      </c>
    </row>
    <row r="125">
      <c r="A125" s="31" t="inlineStr">
        <is>
          <t>Tăng(giảm) các khoản cho vay</t>
        </is>
      </c>
      <c r="B125" s="32" t="n">
        <v>-34452112909</v>
      </c>
      <c r="C125" s="32" t="n">
        <v>-157891026321</v>
      </c>
      <c r="D125" s="32" t="n">
        <v>539301234352</v>
      </c>
      <c r="E125" s="32" t="n">
        <v>-892802417535</v>
      </c>
      <c r="F125" s="32" t="n">
        <v>-789535139363</v>
      </c>
      <c r="G125" s="32" t="n">
        <v>-427946621972</v>
      </c>
      <c r="H125" s="32" t="n">
        <v>-4560311081603</v>
      </c>
      <c r="I125" s="32" t="n">
        <v>-3334297808363</v>
      </c>
      <c r="J125" s="32" t="n">
        <v>-7907137445995</v>
      </c>
      <c r="K125" s="32" t="n">
        <v>-2146740139993</v>
      </c>
      <c r="L125" s="32" t="n">
        <v>-894708009606</v>
      </c>
      <c r="M125" s="32" t="n">
        <v>-6767994708107</v>
      </c>
    </row>
    <row r="126">
      <c r="A126" s="31" t="inlineStr">
        <is>
          <t>Tăng (giảm) tài sản tài chính sẵn sàng để bán AFS</t>
        </is>
      </c>
      <c r="B126" s="32" t="n">
        <v>0</v>
      </c>
      <c r="C126" s="32" t="n">
        <v>427835543702</v>
      </c>
      <c r="D126" s="32" t="n">
        <v>-427835543702</v>
      </c>
      <c r="E126" s="32" t="n">
        <v>-174466503408</v>
      </c>
      <c r="F126" s="32" t="n">
        <v>3733757153265</v>
      </c>
      <c r="G126" s="32" t="n">
        <v>-4223005676732</v>
      </c>
      <c r="H126" s="32" t="n">
        <v>1424374867224</v>
      </c>
      <c r="I126" s="32" t="n">
        <v>-4978118951803</v>
      </c>
      <c r="J126" s="32" t="n">
        <v>-5825111597476</v>
      </c>
      <c r="K126" s="32" t="n">
        <v>1846927177919</v>
      </c>
      <c r="L126" s="32" t="n">
        <v>-7047064730448</v>
      </c>
      <c r="M126" s="32" t="n">
        <v>-2311294876582</v>
      </c>
    </row>
    <row r="127">
      <c r="A127" s="31" t="inlineStr">
        <is>
          <t>Tăng/giảm các tài sản khác</t>
        </is>
      </c>
      <c r="B127" s="32" t="n">
        <v>0</v>
      </c>
      <c r="C127" s="32" t="n">
        <v>-1800838847</v>
      </c>
      <c r="D127" s="32" t="n">
        <v>1800838847</v>
      </c>
      <c r="E127" s="32" t="n">
        <v>-1544986461</v>
      </c>
      <c r="F127" s="32" t="n">
        <v>-194652100000</v>
      </c>
      <c r="G127" s="32" t="n">
        <v>142930000</v>
      </c>
      <c r="H127" s="32" t="n">
        <v>-2052927688</v>
      </c>
      <c r="I127" s="32" t="n">
        <v>-868060000</v>
      </c>
      <c r="J127" s="32" t="n">
        <v>6621729762</v>
      </c>
      <c r="K127" s="32" t="n">
        <v>5205774499</v>
      </c>
      <c r="L127" s="32" t="n">
        <v>37554762</v>
      </c>
      <c r="M127" s="32" t="n">
        <v>9451507099</v>
      </c>
    </row>
    <row r="128">
      <c r="A128" s="31" t="inlineStr">
        <is>
          <t>Tăng/giảm các khoản phải thu (Trước năm 2016)</t>
        </is>
      </c>
      <c r="B128" s="32" t="n">
        <v>0</v>
      </c>
      <c r="C128" s="32" t="n">
        <v>0</v>
      </c>
      <c r="D128" s="32" t="n">
        <v>0</v>
      </c>
      <c r="E128" s="32" t="n">
        <v>0</v>
      </c>
      <c r="F128" s="32" t="n">
        <v>0</v>
      </c>
      <c r="G128" s="32" t="n">
        <v>0</v>
      </c>
      <c r="H128" s="32" t="n">
        <v>0</v>
      </c>
      <c r="I128" s="32" t="n">
        <v>0</v>
      </c>
      <c r="J128" s="32" t="n">
        <v>0</v>
      </c>
      <c r="K128" s="32" t="n">
        <v>-195489000</v>
      </c>
      <c r="L128" s="32" t="n">
        <v>-219601171869</v>
      </c>
      <c r="M128" s="32" t="n">
        <v>-1515903193131</v>
      </c>
    </row>
    <row r="129">
      <c r="A129" s="31" t="inlineStr">
        <is>
          <t>Tăng/giảm vay và nợ thuê tài sản tài chính (Trước năm 2016)</t>
        </is>
      </c>
      <c r="B129" s="32" t="n">
        <v>0</v>
      </c>
      <c r="C129" s="32" t="n">
        <v>0</v>
      </c>
      <c r="D129" s="32" t="n">
        <v>0</v>
      </c>
      <c r="E129" s="32" t="n">
        <v>0</v>
      </c>
      <c r="F129" s="32" t="n">
        <v>0</v>
      </c>
      <c r="G129" s="32" t="n">
        <v>0</v>
      </c>
      <c r="H129" s="32" t="n">
        <v>0</v>
      </c>
      <c r="I129" s="32" t="n">
        <v>0</v>
      </c>
      <c r="J129" s="32" t="n">
        <v>0</v>
      </c>
      <c r="K129" s="32" t="n">
        <v>0</v>
      </c>
      <c r="L129" s="32" t="n">
        <v>0</v>
      </c>
      <c r="M129" s="32" t="n">
        <v>0</v>
      </c>
    </row>
    <row r="130">
      <c r="A130" s="31" t="inlineStr">
        <is>
          <t>Tăng/giảm vay tài sản tài chính (Trước năm 2016)</t>
        </is>
      </c>
      <c r="B130" s="32" t="n">
        <v>0</v>
      </c>
      <c r="C130" s="32" t="n">
        <v>0</v>
      </c>
      <c r="D130" s="32" t="n">
        <v>0</v>
      </c>
      <c r="E130" s="32" t="n">
        <v>0</v>
      </c>
      <c r="F130" s="32" t="n">
        <v>0</v>
      </c>
      <c r="G130" s="32" t="n">
        <v>0</v>
      </c>
      <c r="H130" s="32" t="n">
        <v>0</v>
      </c>
      <c r="I130" s="32" t="n">
        <v>0</v>
      </c>
      <c r="J130" s="32" t="n">
        <v>0</v>
      </c>
      <c r="K130" s="32" t="n">
        <v>0</v>
      </c>
      <c r="L130" s="32" t="n">
        <v>0</v>
      </c>
      <c r="M130" s="32" t="n">
        <v>0</v>
      </c>
    </row>
    <row r="131">
      <c r="A131" s="31" t="inlineStr">
        <is>
          <t>Tăng/giảm Trái phiếu chuyển đổi-Cấu phần nợ (Trước năm 2016)</t>
        </is>
      </c>
      <c r="B131" s="32" t="n">
        <v>0</v>
      </c>
      <c r="C131" s="32" t="n">
        <v>0</v>
      </c>
      <c r="D131" s="32" t="n">
        <v>0</v>
      </c>
      <c r="E131" s="32" t="n">
        <v>0</v>
      </c>
      <c r="F131" s="32" t="n">
        <v>0</v>
      </c>
      <c r="G131" s="32" t="n">
        <v>0</v>
      </c>
      <c r="H131" s="32" t="n">
        <v>0</v>
      </c>
      <c r="I131" s="32" t="n">
        <v>0</v>
      </c>
      <c r="J131" s="32" t="n">
        <v>0</v>
      </c>
      <c r="K131" s="32" t="n">
        <v>0</v>
      </c>
      <c r="L131" s="32" t="n">
        <v>0</v>
      </c>
      <c r="M131" s="32" t="n">
        <v>0</v>
      </c>
    </row>
    <row r="132">
      <c r="A132" s="31" t="inlineStr">
        <is>
          <t>Tăng/giảm Trái phiếu phát hành (Trước năm 2016)</t>
        </is>
      </c>
      <c r="B132" s="32" t="n">
        <v>0</v>
      </c>
      <c r="C132" s="32" t="n">
        <v>0</v>
      </c>
      <c r="D132" s="32" t="n">
        <v>0</v>
      </c>
      <c r="E132" s="32" t="n">
        <v>0</v>
      </c>
      <c r="F132" s="32" t="n">
        <v>0</v>
      </c>
      <c r="G132" s="32" t="n">
        <v>0</v>
      </c>
      <c r="H132" s="32" t="n">
        <v>0</v>
      </c>
      <c r="I132" s="32" t="n">
        <v>0</v>
      </c>
      <c r="J132" s="32" t="n">
        <v>0</v>
      </c>
      <c r="K132" s="32" t="n">
        <v>0</v>
      </c>
      <c r="L132" s="32" t="n">
        <v>0</v>
      </c>
      <c r="M132" s="32" t="n">
        <v>0</v>
      </c>
    </row>
    <row r="133">
      <c r="A133" s="31" t="inlineStr">
        <is>
          <t>Tăng/giảm vay Quỹ Hỗ trợ thanh toán (Trước năm 2016)</t>
        </is>
      </c>
      <c r="B133" s="32" t="n">
        <v>0</v>
      </c>
      <c r="C133" s="32" t="n">
        <v>0</v>
      </c>
      <c r="D133" s="32" t="n">
        <v>0</v>
      </c>
      <c r="E133" s="32" t="n">
        <v>0</v>
      </c>
      <c r="F133" s="32" t="n">
        <v>0</v>
      </c>
      <c r="G133" s="32" t="n">
        <v>0</v>
      </c>
      <c r="H133" s="32" t="n">
        <v>0</v>
      </c>
      <c r="I133" s="32" t="n">
        <v>0</v>
      </c>
      <c r="J133" s="32" t="n">
        <v>0</v>
      </c>
      <c r="K133" s="32" t="n">
        <v>0</v>
      </c>
      <c r="L133" s="32" t="n">
        <v>0</v>
      </c>
      <c r="M133" s="32" t="n">
        <v>0</v>
      </c>
    </row>
    <row r="134">
      <c r="A134" s="31" t="inlineStr">
        <is>
          <t>(-) Tăng, (+) giảm phải thu bán các tài sản tài chính</t>
        </is>
      </c>
      <c r="B134" s="32" t="n">
        <v>0</v>
      </c>
      <c r="C134" s="32" t="n">
        <v>0</v>
      </c>
      <c r="D134" s="32" t="n">
        <v>0</v>
      </c>
      <c r="E134" s="32" t="n">
        <v>0</v>
      </c>
      <c r="F134" s="32" t="n">
        <v>0</v>
      </c>
      <c r="G134" s="32" t="n">
        <v>0</v>
      </c>
      <c r="H134" s="32" t="n">
        <v>0</v>
      </c>
      <c r="I134" s="32" t="n">
        <v>0</v>
      </c>
      <c r="J134" s="32" t="n">
        <v>0</v>
      </c>
      <c r="K134" s="32" t="n">
        <v>0</v>
      </c>
      <c r="L134" s="32" t="n">
        <v>0</v>
      </c>
      <c r="M134" s="32" t="n">
        <v>0</v>
      </c>
    </row>
    <row r="135">
      <c r="A135" s="31" t="inlineStr">
        <is>
          <t>(-) Tăng, (+) giảm phải thu và dự thu cổ tức, tiền lãi các tài sản tài chính</t>
        </is>
      </c>
      <c r="B135" s="32" t="n">
        <v>50742048421</v>
      </c>
      <c r="C135" s="32" t="n">
        <v>26912391917</v>
      </c>
      <c r="D135" s="32" t="n">
        <v>-137755750217</v>
      </c>
      <c r="E135" s="32" t="n">
        <v>134816442852</v>
      </c>
      <c r="F135" s="32" t="n">
        <v>60353</v>
      </c>
      <c r="G135" s="32" t="n">
        <v>-4750805</v>
      </c>
      <c r="H135" s="32" t="n">
        <v>539116526066</v>
      </c>
      <c r="I135" s="32" t="n">
        <v>-478087</v>
      </c>
      <c r="J135" s="32" t="n">
        <v>480000</v>
      </c>
      <c r="K135" s="32" t="n">
        <v>-1199127</v>
      </c>
      <c r="L135" s="32" t="n">
        <v>686652163984</v>
      </c>
      <c r="M135" s="32" t="n">
        <v>-5988300000</v>
      </c>
    </row>
    <row r="136">
      <c r="A136" s="31" t="inlineStr">
        <is>
          <t>(-) Tăng, (+) giảm các khoản phải thu các dịch vụ CTCK cung cấp</t>
        </is>
      </c>
      <c r="B136" s="32" t="n">
        <v>-22805935831</v>
      </c>
      <c r="C136" s="32" t="n">
        <v>-51469296957</v>
      </c>
      <c r="D136" s="32" t="n">
        <v>46585760391</v>
      </c>
      <c r="E136" s="32" t="n">
        <v>-32005138589</v>
      </c>
      <c r="F136" s="32" t="n">
        <v>33890199179</v>
      </c>
      <c r="G136" s="32" t="n">
        <v>86093435123</v>
      </c>
      <c r="H136" s="32" t="n">
        <v>-139834538368</v>
      </c>
      <c r="I136" s="32" t="n">
        <v>188986736729</v>
      </c>
      <c r="J136" s="32" t="n">
        <v>-2695697162</v>
      </c>
      <c r="K136" s="32" t="n">
        <v>-111635483298</v>
      </c>
      <c r="L136" s="32" t="n">
        <v>-96786147701</v>
      </c>
      <c r="M136" s="32" t="n">
        <v>-27685662824</v>
      </c>
    </row>
    <row r="137">
      <c r="A137" s="31" t="inlineStr">
        <is>
          <t>(-) Tăng, (+) giảm các khoản phải thu về lỗi giao dịch các TSTC</t>
        </is>
      </c>
      <c r="B137" s="32" t="n">
        <v>0</v>
      </c>
      <c r="C137" s="32" t="n">
        <v>0</v>
      </c>
      <c r="D137" s="32" t="n">
        <v>0</v>
      </c>
      <c r="E137" s="32" t="n">
        <v>0</v>
      </c>
      <c r="F137" s="32" t="n">
        <v>0</v>
      </c>
      <c r="G137" s="32" t="n">
        <v>0</v>
      </c>
      <c r="H137" s="32" t="n">
        <v>0</v>
      </c>
      <c r="I137" s="32" t="n">
        <v>0</v>
      </c>
      <c r="J137" s="32" t="n">
        <v>0</v>
      </c>
      <c r="K137" s="32" t="n">
        <v>0</v>
      </c>
      <c r="L137" s="32" t="n">
        <v>0</v>
      </c>
      <c r="M137" s="32" t="n">
        <v>0</v>
      </c>
    </row>
    <row r="138">
      <c r="A138" s="31" t="inlineStr">
        <is>
          <t>(+) Tăng, (-) giảm phải trả cho người bán</t>
        </is>
      </c>
      <c r="B138" s="32" t="n">
        <v>0</v>
      </c>
      <c r="C138" s="32" t="n">
        <v>0</v>
      </c>
      <c r="D138" s="32" t="n">
        <v>0</v>
      </c>
      <c r="E138" s="32" t="n">
        <v>0</v>
      </c>
      <c r="F138" s="32" t="n">
        <v>-2412860</v>
      </c>
      <c r="G138" s="32" t="n">
        <v>126006759080</v>
      </c>
      <c r="H138" s="32" t="n">
        <v>-48021137320</v>
      </c>
      <c r="I138" s="32" t="n">
        <v>-77951878600</v>
      </c>
      <c r="J138" s="32" t="n">
        <v>48664700</v>
      </c>
      <c r="K138" s="32" t="n">
        <v>127858272883</v>
      </c>
      <c r="L138" s="32" t="n">
        <v>-427281883</v>
      </c>
      <c r="M138" s="32" t="n">
        <v>11965145711</v>
      </c>
    </row>
    <row r="139">
      <c r="A139" s="31" t="inlineStr">
        <is>
          <t>(+) Tăng, (-) giảm phải trả Tổ chức phát hành chứng khoán (Trước năm 2016)</t>
        </is>
      </c>
      <c r="B139" s="32" t="n">
        <v>0</v>
      </c>
      <c r="C139" s="32" t="n">
        <v>0</v>
      </c>
      <c r="D139" s="32" t="n">
        <v>0</v>
      </c>
      <c r="E139" s="32" t="n">
        <v>0</v>
      </c>
      <c r="F139" s="32" t="n">
        <v>0</v>
      </c>
      <c r="G139" s="32" t="n">
        <v>0</v>
      </c>
      <c r="H139" s="32" t="n">
        <v>0</v>
      </c>
      <c r="I139" s="32" t="n">
        <v>0</v>
      </c>
      <c r="J139" s="32" t="n">
        <v>0</v>
      </c>
      <c r="K139" s="32" t="n">
        <v>0</v>
      </c>
      <c r="L139" s="32" t="n">
        <v>0</v>
      </c>
      <c r="M139" s="32" t="n">
        <v>0</v>
      </c>
    </row>
    <row r="140">
      <c r="A140" s="31" t="inlineStr">
        <is>
          <t>(+) Tăng, (-) giảm các khoản trích nộp phúc lợi nhân viên</t>
        </is>
      </c>
      <c r="B140" s="32" t="n">
        <v>0</v>
      </c>
      <c r="C140" s="32" t="n">
        <v>0</v>
      </c>
      <c r="D140" s="32" t="n">
        <v>0</v>
      </c>
      <c r="E140" s="32" t="n">
        <v>0</v>
      </c>
      <c r="F140" s="32" t="n">
        <v>-548885185</v>
      </c>
      <c r="G140" s="32" t="n">
        <v>463487610</v>
      </c>
      <c r="H140" s="32" t="n">
        <v>431137330</v>
      </c>
      <c r="I140" s="32" t="n">
        <v>-657453600</v>
      </c>
      <c r="J140" s="32" t="n">
        <v>373134315</v>
      </c>
      <c r="K140" s="32" t="n">
        <v>555693600</v>
      </c>
      <c r="L140" s="32" t="n">
        <v>-1126423765</v>
      </c>
      <c r="M140" s="32" t="n">
        <v>2332113090</v>
      </c>
    </row>
    <row r="141">
      <c r="A141" s="31" t="inlineStr">
        <is>
          <t>(+) Tăng, (-) giảm thuế và các khoản phải nộp Nhà nước</t>
        </is>
      </c>
      <c r="B141" s="32" t="n">
        <v>0</v>
      </c>
      <c r="C141" s="32" t="n">
        <v>4966143190</v>
      </c>
      <c r="D141" s="32" t="n">
        <v>16342130852</v>
      </c>
      <c r="E141" s="32" t="n">
        <v>-23834000242</v>
      </c>
      <c r="F141" s="32" t="n">
        <v>-13721682867</v>
      </c>
      <c r="G141" s="32" t="n">
        <v>-11215683023</v>
      </c>
      <c r="H141" s="32" t="n">
        <v>0</v>
      </c>
      <c r="I141" s="32" t="n">
        <v>14789023539</v>
      </c>
      <c r="J141" s="32" t="n">
        <v>87235314432</v>
      </c>
      <c r="K141" s="32" t="n">
        <v>-48966924340</v>
      </c>
      <c r="L141" s="32" t="n">
        <v>28390732913</v>
      </c>
      <c r="M141" s="32" t="n">
        <v>-49536855629</v>
      </c>
    </row>
    <row r="142">
      <c r="A142" s="31" t="inlineStr">
        <is>
          <t>(+) Tăng, (-) giảm phải trả người lao động</t>
        </is>
      </c>
      <c r="B142" s="32" t="n">
        <v>13051973410</v>
      </c>
      <c r="C142" s="32" t="n">
        <v>-10247413617</v>
      </c>
      <c r="D142" s="32" t="n">
        <v>-35827269283</v>
      </c>
      <c r="E142" s="32" t="n">
        <v>44730285708</v>
      </c>
      <c r="F142" s="32" t="n">
        <v>22326992821</v>
      </c>
      <c r="G142" s="32" t="n">
        <v>65518025570</v>
      </c>
      <c r="H142" s="32" t="n">
        <v>-64054674883</v>
      </c>
      <c r="I142" s="32" t="n">
        <v>30812972657</v>
      </c>
      <c r="J142" s="32" t="n">
        <v>34095454393</v>
      </c>
      <c r="K142" s="32" t="n">
        <v>46989534442</v>
      </c>
      <c r="L142" s="32" t="n">
        <v>-66686428796</v>
      </c>
      <c r="M142" s="32" t="n">
        <v>-21529478859</v>
      </c>
    </row>
    <row r="143">
      <c r="A143" s="31" t="inlineStr">
        <is>
          <t>(+) Tăng, (-) giảm phải trả về lỗi giao dịch các tài sản tài chính</t>
        </is>
      </c>
      <c r="B143" s="32" t="n">
        <v>0</v>
      </c>
      <c r="C143" s="32" t="n">
        <v>0</v>
      </c>
      <c r="D143" s="32" t="n">
        <v>0</v>
      </c>
      <c r="E143" s="32" t="n">
        <v>0</v>
      </c>
      <c r="F143" s="32" t="n">
        <v>0</v>
      </c>
      <c r="G143" s="32" t="n">
        <v>0</v>
      </c>
      <c r="H143" s="32" t="n">
        <v>0</v>
      </c>
      <c r="I143" s="32" t="n">
        <v>0</v>
      </c>
      <c r="J143" s="32" t="n">
        <v>0</v>
      </c>
      <c r="K143" s="32" t="n">
        <v>0</v>
      </c>
      <c r="L143" s="32" t="n">
        <v>0</v>
      </c>
      <c r="M143" s="32" t="n">
        <v>0</v>
      </c>
    </row>
    <row r="144">
      <c r="A144" s="31" t="inlineStr">
        <is>
          <t>Tiền lãi đã thu</t>
        </is>
      </c>
      <c r="B144" s="32" t="n">
        <v>0</v>
      </c>
      <c r="C144" s="32" t="n">
        <v>0</v>
      </c>
      <c r="D144" s="32" t="n">
        <v>0</v>
      </c>
      <c r="E144" s="32" t="n">
        <v>0</v>
      </c>
      <c r="F144" s="32" t="n">
        <v>0</v>
      </c>
      <c r="G144" s="32" t="n">
        <v>0</v>
      </c>
      <c r="H144" s="32" t="n">
        <v>0</v>
      </c>
      <c r="I144" s="32" t="n">
        <v>0</v>
      </c>
      <c r="J144" s="32" t="n">
        <v>0</v>
      </c>
      <c r="K144" s="32" t="n">
        <v>0</v>
      </c>
      <c r="L144" s="32" t="n">
        <v>0</v>
      </c>
      <c r="M144" s="32" t="n">
        <v>0</v>
      </c>
    </row>
    <row r="145">
      <c r="A145" s="31" t="inlineStr">
        <is>
          <t>Tiền thu khác</t>
        </is>
      </c>
      <c r="B145" s="32" t="n">
        <v>-54678613789</v>
      </c>
      <c r="C145" s="32" t="n">
        <v>549883534621</v>
      </c>
      <c r="D145" s="32" t="n">
        <v>330343713350</v>
      </c>
      <c r="E145" s="32" t="n">
        <v>2041354661650</v>
      </c>
      <c r="F145" s="32" t="n">
        <v>0</v>
      </c>
      <c r="G145" s="32" t="n">
        <v>0</v>
      </c>
      <c r="H145" s="32" t="n">
        <v>0</v>
      </c>
      <c r="I145" s="32" t="n">
        <v>0</v>
      </c>
      <c r="J145" s="32" t="n">
        <v>0</v>
      </c>
      <c r="K145" s="32" t="n">
        <v>0</v>
      </c>
      <c r="L145" s="32" t="n">
        <v>0</v>
      </c>
      <c r="M145" s="32" t="n">
        <v>0</v>
      </c>
    </row>
    <row r="146">
      <c r="A146" s="31" t="inlineStr">
        <is>
          <t>Các khoản chi khác</t>
        </is>
      </c>
      <c r="B146" s="32" t="n">
        <v>0</v>
      </c>
      <c r="C146" s="32" t="n">
        <v>-569290357308</v>
      </c>
      <c r="D146" s="32" t="n">
        <v>3191410045</v>
      </c>
      <c r="E146" s="32" t="n">
        <v>-2349863583363</v>
      </c>
      <c r="F146" s="32" t="n">
        <v>0</v>
      </c>
      <c r="G146" s="32" t="n">
        <v>0</v>
      </c>
      <c r="H146" s="32" t="n">
        <v>0</v>
      </c>
      <c r="I146" s="32" t="n">
        <v>0</v>
      </c>
      <c r="J146" s="32" t="n">
        <v>0</v>
      </c>
      <c r="K146" s="32" t="n">
        <v>0</v>
      </c>
      <c r="L146" s="32" t="n">
        <v>0</v>
      </c>
      <c r="M146" s="32" t="n">
        <v>0</v>
      </c>
    </row>
    <row r="147">
      <c r="A147" s="31" t="inlineStr">
        <is>
          <t>(-) Tăng, (+) giảm chi phí phải trả (không bao gồm chi phí lãi vay)</t>
        </is>
      </c>
      <c r="B147" s="32" t="n">
        <v>0</v>
      </c>
      <c r="C147" s="32" t="n">
        <v>0</v>
      </c>
      <c r="D147" s="32" t="n">
        <v>0</v>
      </c>
      <c r="E147" s="32" t="n">
        <v>0</v>
      </c>
      <c r="F147" s="32" t="n">
        <v>103777839420</v>
      </c>
      <c r="G147" s="32" t="n">
        <v>-135852058042</v>
      </c>
      <c r="H147" s="32" t="n">
        <v>-106754987980</v>
      </c>
      <c r="I147" s="32" t="n">
        <v>125138549674</v>
      </c>
      <c r="J147" s="32" t="n">
        <v>101552502890</v>
      </c>
      <c r="K147" s="32" t="n">
        <v>-66988237501</v>
      </c>
      <c r="L147" s="32" t="n">
        <v>-8217788118</v>
      </c>
      <c r="M147" s="32" t="n">
        <v>-2313682725</v>
      </c>
    </row>
    <row r="148">
      <c r="A148" s="31" t="inlineStr">
        <is>
          <t>Chi trả thanh toán giao dịch chứng khoán của khách hàng</t>
        </is>
      </c>
      <c r="B148" s="32" t="n">
        <v>0</v>
      </c>
      <c r="C148" s="32" t="n">
        <v>0</v>
      </c>
      <c r="D148" s="32" t="n">
        <v>0</v>
      </c>
      <c r="E148" s="32" t="n">
        <v>-48369684824121</v>
      </c>
      <c r="F148" s="32" t="n">
        <v>-143209012515930</v>
      </c>
      <c r="G148" s="32" t="n">
        <v>-155398249775489</v>
      </c>
      <c r="H148" s="32" t="n">
        <v>-62518569346147</v>
      </c>
      <c r="I148" s="32" t="n">
        <v>-274891169176949</v>
      </c>
      <c r="J148" s="32" t="n">
        <v>-391481835803650</v>
      </c>
      <c r="K148" s="32" t="n">
        <v>-362705868744834</v>
      </c>
      <c r="L148" s="32" t="n">
        <v>-341058129267925</v>
      </c>
      <c r="M148" s="32" t="n">
        <v>-309260350370996</v>
      </c>
    </row>
    <row r="149">
      <c r="A149" s="31" t="inlineStr">
        <is>
          <t>Chi trả cho hoạt động ủy thác đầu tư của khách hàng</t>
        </is>
      </c>
      <c r="B149" s="32" t="n">
        <v>0</v>
      </c>
      <c r="C149" s="32" t="n">
        <v>0</v>
      </c>
      <c r="D149" s="32" t="n">
        <v>0</v>
      </c>
      <c r="E149" s="32" t="n">
        <v>0</v>
      </c>
      <c r="F149" s="32" t="n">
        <v>0</v>
      </c>
      <c r="G149" s="32" t="n">
        <v>0</v>
      </c>
      <c r="H149" s="32" t="n">
        <v>0</v>
      </c>
      <c r="I149" s="32" t="n">
        <v>0</v>
      </c>
      <c r="J149" s="32" t="n">
        <v>0</v>
      </c>
      <c r="K149" s="32" t="n">
        <v>0</v>
      </c>
      <c r="L149" s="32" t="n">
        <v>0</v>
      </c>
      <c r="M149" s="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tabSelected="1" topLeftCell="E10" workbookViewId="0">
      <selection activeCell="A10" sqref="A10"/>
    </sheetView>
  </sheetViews>
  <sheetFormatPr baseColWidth="8" defaultRowHeight="14.25"/>
  <cols>
    <col width="55.75" bestFit="1" customWidth="1" min="1" max="1"/>
    <col width="17.125" bestFit="1" customWidth="1" min="2" max="9"/>
  </cols>
  <sheetData>
    <row r="1">
      <c r="A1" s="6" t="inlineStr">
        <is>
          <t>Chỉ tiêu</t>
        </is>
      </c>
      <c r="B1" s="7">
        <f>balance_sheet!B1</f>
        <v/>
      </c>
      <c r="C1" s="7">
        <f>balance_sheet!C1</f>
        <v/>
      </c>
      <c r="D1" s="7">
        <f>balance_sheet!D1</f>
        <v/>
      </c>
      <c r="E1" s="7">
        <f>balance_sheet!E1</f>
        <v/>
      </c>
      <c r="F1" s="7">
        <f>balance_sheet!F1</f>
        <v/>
      </c>
      <c r="G1" s="7">
        <f>balance_sheet!G1</f>
        <v/>
      </c>
      <c r="H1" s="7">
        <f>balance_sheet!H1</f>
        <v/>
      </c>
      <c r="I1" s="7">
        <f>balance_sheet!I1</f>
        <v/>
      </c>
    </row>
    <row r="2">
      <c r="A2" s="8" t="inlineStr">
        <is>
          <t>ROE</t>
        </is>
      </c>
      <c r="B2" s="33">
        <f>IFERROR(B$48/((B$36+#REF!)/2),"n/a")</f>
        <v/>
      </c>
      <c r="C2" s="33">
        <f>IFERROR(C$48/((C$36+B$36)/2),"n/a")</f>
        <v/>
      </c>
      <c r="D2" s="33">
        <f>IFERROR(D$48/((D$36+C$36)/2),"n/a")</f>
        <v/>
      </c>
      <c r="E2" s="33">
        <f>IFERROR(E$48/((E$36+D$36)/2),"n/a")</f>
        <v/>
      </c>
      <c r="F2" s="33">
        <f>IFERROR(F$48/((F$36+E$36)/2),"n/a")</f>
        <v/>
      </c>
      <c r="G2" s="33">
        <f>IFERROR(G$48/((G$36+F$36)/2),"n/a")</f>
        <v/>
      </c>
      <c r="H2" s="33">
        <f>IFERROR(H$48/((H$36+G$36)/2),"n/a")</f>
        <v/>
      </c>
      <c r="I2" s="33">
        <f>IFERROR(I$48/((I$36+H$36)/2),"n/a")</f>
        <v/>
      </c>
    </row>
    <row r="3">
      <c r="A3" s="8" t="inlineStr">
        <is>
          <t>ROA</t>
        </is>
      </c>
      <c r="B3" s="33">
        <f>IFERROR(B$47/((B$28+#REF!)/2),"n/a")</f>
        <v/>
      </c>
      <c r="C3" s="33">
        <f>IFERROR(C$47/((C$28+B$28)/2),"n/a")</f>
        <v/>
      </c>
      <c r="D3" s="33">
        <f>IFERROR(D$47/((D$28+C$28)/2),"n/a")</f>
        <v/>
      </c>
      <c r="E3" s="33">
        <f>IFERROR(E$47/((E$28+D$28)/2),"n/a")</f>
        <v/>
      </c>
      <c r="F3" s="33">
        <f>IFERROR(F$47/((F$28+E$28)/2),"n/a")</f>
        <v/>
      </c>
      <c r="G3" s="33">
        <f>IFERROR(G$47/((G$28+F$28)/2),"n/a")</f>
        <v/>
      </c>
      <c r="H3" s="33">
        <f>IFERROR(H$47/((H$28+G$28)/2),"n/a")</f>
        <v/>
      </c>
      <c r="I3" s="33">
        <f>IFERROR(I$47/((I$28+H$28)/2),"n/a")</f>
        <v/>
      </c>
    </row>
    <row r="4">
      <c r="A4" s="8" t="inlineStr">
        <is>
          <t>Tăng trưởng LN Cổ đông Cty mẹ QQ</t>
        </is>
      </c>
      <c r="B4" s="33">
        <f>IFERROR((B$48-#REF!)/ABS(#REF!),"n/a")</f>
        <v/>
      </c>
      <c r="C4" s="28">
        <f>IFERROR((C$48-B$48)/ABS(B$48),"n/a")</f>
        <v/>
      </c>
      <c r="D4" s="28">
        <f>IFERROR((D$48-C$48)/ABS(C$48),"n/a")</f>
        <v/>
      </c>
      <c r="E4" s="28">
        <f>IFERROR((E$48-D$48)/ABS(D$48),"n/a")</f>
        <v/>
      </c>
      <c r="F4" s="28">
        <f>IFERROR((F$48-E$48)/ABS(E$48),"n/a")</f>
        <v/>
      </c>
      <c r="G4" s="28">
        <f>IFERROR((G$48-F$48)/ABS(F$48),"n/a")</f>
        <v/>
      </c>
      <c r="H4" s="28">
        <f>IFERROR((H$48-G$48)/ABS(G$48),"n/a")</f>
        <v/>
      </c>
      <c r="I4" s="28">
        <f>IFERROR((I$48-H$48)/ABS(H$48),"n/a")</f>
        <v/>
      </c>
    </row>
    <row r="5">
      <c r="A5" s="8" t="inlineStr">
        <is>
          <t>Tăng trưởng LN Cổ đông Cty mẹ YY</t>
        </is>
      </c>
      <c r="B5" s="33" t="n"/>
      <c r="C5" s="33" t="n"/>
      <c r="D5" s="33" t="n"/>
      <c r="E5" s="33" t="n"/>
      <c r="F5" s="33">
        <f>IFERROR((F$48-B$48)/ABS(B$48),"n/a")</f>
        <v/>
      </c>
      <c r="G5" s="33">
        <f>IFERROR((G$48-C$48)/ABS(C$48),"n/a")</f>
        <v/>
      </c>
      <c r="H5" s="33">
        <f>IFERROR((H$48-D$48)/ABS(D$48),"n/a")</f>
        <v/>
      </c>
      <c r="I5" s="33">
        <f>IFERROR((I$48-E$48)/ABS(E$48),"n/a")</f>
        <v/>
      </c>
    </row>
    <row r="6">
      <c r="A6" s="8" t="inlineStr">
        <is>
          <t>Tăng trưởng Doanh thu thuần QQ</t>
        </is>
      </c>
      <c r="B6" s="33">
        <f>IFERROR((B$40-#REF!)/ABS(#REF!),"n/a")</f>
        <v/>
      </c>
      <c r="C6" s="28">
        <f>IFERROR((C$40-B$40)/ABS(B$40),"n/a")</f>
        <v/>
      </c>
      <c r="D6" s="28">
        <f>IFERROR((D$40-C$40)/ABS(C$40),"n/a")</f>
        <v/>
      </c>
      <c r="E6" s="28">
        <f>IFERROR((E$40-D$40)/ABS(D$40),"n/a")</f>
        <v/>
      </c>
      <c r="F6" s="28">
        <f>IFERROR((F$40-E$40)/ABS(E$40),"n/a")</f>
        <v/>
      </c>
      <c r="G6" s="28">
        <f>IFERROR((G$40-F$40)/ABS(F$40),"n/a")</f>
        <v/>
      </c>
      <c r="H6" s="28">
        <f>IFERROR((H$40-G$40)/ABS(G$40),"n/a")</f>
        <v/>
      </c>
      <c r="I6" s="28">
        <f>IFERROR((I$40-H$40)/ABS(H$40),"n/a")</f>
        <v/>
      </c>
    </row>
    <row r="7">
      <c r="A7" s="8" t="inlineStr">
        <is>
          <t>Tăng trưởng Doanh thu thuần YY</t>
        </is>
      </c>
      <c r="B7" s="33" t="n"/>
      <c r="C7" s="33" t="n"/>
      <c r="D7" s="33" t="n"/>
      <c r="E7" s="33" t="n"/>
      <c r="F7" s="33">
        <f>IFERROR((F$40-B$40)/ABS(B$40),"n/a")</f>
        <v/>
      </c>
      <c r="G7" s="33">
        <f>IFERROR((G$40-C$40)/ABS(C$40),"n/a")</f>
        <v/>
      </c>
      <c r="H7" s="33">
        <f>IFERROR((H$40-D$40)/ABS(D$40),"n/a")</f>
        <v/>
      </c>
      <c r="I7" s="33">
        <f>IFERROR((I$40-E$40)/ABS(E$40),"n/a")</f>
        <v/>
      </c>
    </row>
    <row r="8">
      <c r="A8" s="8" t="inlineStr">
        <is>
          <t>Biên lợi nhuận gộp</t>
        </is>
      </c>
      <c r="B8" s="33">
        <f>IFERROR(B$42/B$40,"n/a")</f>
        <v/>
      </c>
      <c r="C8" s="33">
        <f>IFERROR(C$42/C$40,"n/a")</f>
        <v/>
      </c>
      <c r="D8" s="33">
        <f>IFERROR(D$42/D$40,"n/a")</f>
        <v/>
      </c>
      <c r="E8" s="33">
        <f>IFERROR(E$42/E$40,"n/a")</f>
        <v/>
      </c>
      <c r="F8" s="33">
        <f>IFERROR(F$42/F$40,"n/a")</f>
        <v/>
      </c>
      <c r="G8" s="33">
        <f>IFERROR(G$42/G$40,"n/a")</f>
        <v/>
      </c>
      <c r="H8" s="33">
        <f>IFERROR(H$42/H$40,"n/a")</f>
        <v/>
      </c>
      <c r="I8" s="33">
        <f>IFERROR(I$42/I$40,"n/a")</f>
        <v/>
      </c>
    </row>
    <row r="9">
      <c r="A9" s="8" t="inlineStr">
        <is>
          <t>Biên lợi nhuận ròng</t>
        </is>
      </c>
      <c r="B9" s="33">
        <f>IFERROR(B$47/B$40,"n/a")</f>
        <v/>
      </c>
      <c r="C9" s="33">
        <f>IFERROR(C$47/C$40,"n/a")</f>
        <v/>
      </c>
      <c r="D9" s="33">
        <f>IFERROR(D$47/D$40,"n/a")</f>
        <v/>
      </c>
      <c r="E9" s="33">
        <f>IFERROR(E$47/E$40,"n/a")</f>
        <v/>
      </c>
      <c r="F9" s="33">
        <f>IFERROR(F$47/F$40,"n/a")</f>
        <v/>
      </c>
      <c r="G9" s="33">
        <f>IFERROR(G$47/G$40,"n/a")</f>
        <v/>
      </c>
      <c r="H9" s="33">
        <f>IFERROR(H$47/H$40,"n/a")</f>
        <v/>
      </c>
      <c r="I9" s="33">
        <f>IFERROR(I$47/I$40,"n/a")</f>
        <v/>
      </c>
    </row>
    <row r="10">
      <c r="A10" s="8" t="inlineStr">
        <is>
          <t>D/E (Nợ vay / Vốn chủ sở hữu)</t>
        </is>
      </c>
      <c r="B10" s="9">
        <f>IFERROR((B$31+B$33)/B$36,"n/a")</f>
        <v/>
      </c>
      <c r="C10" s="9">
        <f>IFERROR((C$31+C$33)/C$36,"n/a")</f>
        <v/>
      </c>
      <c r="D10" s="9">
        <f>IFERROR((D$31+D$33)/D$36,"n/a")</f>
        <v/>
      </c>
      <c r="E10" s="9">
        <f>IFERROR((E$31+E$33)/E$36,"n/a")</f>
        <v/>
      </c>
      <c r="F10" s="9">
        <f>IFERROR((F$31+F$33)/F$36,"n/a")</f>
        <v/>
      </c>
      <c r="G10" s="9">
        <f>IFERROR((G$31+G$33)/G$36,"n/a")</f>
        <v/>
      </c>
      <c r="H10" s="9">
        <f>IFERROR((H$31+H$33)/H$36,"n/a")</f>
        <v/>
      </c>
      <c r="I10" s="9">
        <f>IFERROR((I$31+I$33)/I$36,"n/a")</f>
        <v/>
      </c>
    </row>
    <row r="11">
      <c r="A11" s="12" t="inlineStr">
        <is>
          <t xml:space="preserve">     - Nợ vay dài hạn/Vốn chủ sở hữu</t>
        </is>
      </c>
      <c r="B11" s="10">
        <f>IFERROR(B$33/B$36,"n/a")</f>
        <v/>
      </c>
      <c r="C11" s="10">
        <f>IFERROR(C$33/C$36,"n/a")</f>
        <v/>
      </c>
      <c r="D11" s="10">
        <f>IFERROR(D$33/D$36,"n/a")</f>
        <v/>
      </c>
      <c r="E11" s="10">
        <f>IFERROR(E$33/E$36,"n/a")</f>
        <v/>
      </c>
      <c r="F11" s="10">
        <f>IFERROR(F$33/F$36,"n/a")</f>
        <v/>
      </c>
      <c r="G11" s="10">
        <f>IFERROR(G$33/G$36,"n/a")</f>
        <v/>
      </c>
      <c r="H11" s="10">
        <f>IFERROR(H$33/H$36,"n/a")</f>
        <v/>
      </c>
      <c r="I11" s="10">
        <f>IFERROR(I$33/I$36,"n/a")</f>
        <v/>
      </c>
    </row>
    <row r="12">
      <c r="A12" s="12" t="inlineStr">
        <is>
          <t xml:space="preserve">     - Nợ vay ngắn hạn/Vốn chủ sở hữu</t>
        </is>
      </c>
      <c r="B12" s="10">
        <f>IFERROR(B$31/B$36,"n/a")</f>
        <v/>
      </c>
      <c r="C12" s="10">
        <f>IFERROR(C$31/C$36,"n/a")</f>
        <v/>
      </c>
      <c r="D12" s="10">
        <f>IFERROR(D$31/D$36,"n/a")</f>
        <v/>
      </c>
      <c r="E12" s="10">
        <f>IFERROR(E$31/E$36,"n/a")</f>
        <v/>
      </c>
      <c r="F12" s="10">
        <f>IFERROR(F$31/F$36,"n/a")</f>
        <v/>
      </c>
      <c r="G12" s="10">
        <f>IFERROR(G$31/G$36,"n/a")</f>
        <v/>
      </c>
      <c r="H12" s="10">
        <f>IFERROR(H$31/H$36,"n/a")</f>
        <v/>
      </c>
      <c r="I12" s="10">
        <f>IFERROR(I$31/I$36,"n/a")</f>
        <v/>
      </c>
    </row>
    <row r="13">
      <c r="A13" s="8" t="inlineStr">
        <is>
          <t>Nợ phải trả/Vốn chủ sở hữu</t>
        </is>
      </c>
      <c r="B13" s="11">
        <f>IFERROR(B$35/B$36,"n/a")</f>
        <v/>
      </c>
      <c r="C13" s="11">
        <f>IFERROR(C$35/C$36,"n/a")</f>
        <v/>
      </c>
      <c r="D13" s="11">
        <f>IFERROR(D$35/D$36,"n/a")</f>
        <v/>
      </c>
      <c r="E13" s="11">
        <f>IFERROR(E$35/E$36,"n/a")</f>
        <v/>
      </c>
      <c r="F13" s="11">
        <f>IFERROR(F$35/F$36,"n/a")</f>
        <v/>
      </c>
      <c r="G13" s="11">
        <f>IFERROR(G$35/G$36,"n/a")</f>
        <v/>
      </c>
      <c r="H13" s="11">
        <f>IFERROR(H$35/H$36,"n/a")</f>
        <v/>
      </c>
      <c r="I13" s="11">
        <f>IFERROR(I$35/I$36,"n/a")</f>
        <v/>
      </c>
    </row>
    <row r="14">
      <c r="A14" s="12" t="inlineStr">
        <is>
          <t xml:space="preserve">     - Nợ dài hạn/Vốn chủ sở hữu</t>
        </is>
      </c>
      <c r="B14" s="10">
        <f>IFERROR(B$34/B$36,"n/a")</f>
        <v/>
      </c>
      <c r="C14" s="10">
        <f>IFERROR(C$34/C$36,"n/a")</f>
        <v/>
      </c>
      <c r="D14" s="10">
        <f>IFERROR(D$34/D$36,"n/a")</f>
        <v/>
      </c>
      <c r="E14" s="10">
        <f>IFERROR(E$34/E$36,"n/a")</f>
        <v/>
      </c>
      <c r="F14" s="10">
        <f>IFERROR(F$34/F$36,"n/a")</f>
        <v/>
      </c>
      <c r="G14" s="10">
        <f>IFERROR(G$34/G$36,"n/a")</f>
        <v/>
      </c>
      <c r="H14" s="10">
        <f>IFERROR(H$34/H$36,"n/a")</f>
        <v/>
      </c>
      <c r="I14" s="10">
        <f>IFERROR(I$34/I$36,"n/a")</f>
        <v/>
      </c>
    </row>
    <row r="15">
      <c r="A15" s="12" t="inlineStr">
        <is>
          <t xml:space="preserve">     - Nợ ngắn hạn/Vốn chủ sở hữu</t>
        </is>
      </c>
      <c r="B15" s="10">
        <f>IFERROR(B$32/B$36,"n/a")</f>
        <v/>
      </c>
      <c r="C15" s="10">
        <f>IFERROR(C$32/C$36,"n/a")</f>
        <v/>
      </c>
      <c r="D15" s="10">
        <f>IFERROR(D$32/D$36,"n/a")</f>
        <v/>
      </c>
      <c r="E15" s="10">
        <f>IFERROR(E$32/E$36,"n/a")</f>
        <v/>
      </c>
      <c r="F15" s="10">
        <f>IFERROR(F$32/F$36,"n/a")</f>
        <v/>
      </c>
      <c r="G15" s="10">
        <f>IFERROR(G$32/G$36,"n/a")</f>
        <v/>
      </c>
      <c r="H15" s="10">
        <f>IFERROR(H$32/H$36,"n/a")</f>
        <v/>
      </c>
      <c r="I15" s="10">
        <f>IFERROR(I$32/I$36,"n/a")</f>
        <v/>
      </c>
    </row>
    <row r="16">
      <c r="A16" s="8" t="inlineStr">
        <is>
          <t>Chi phí bán hàng, quản lý/LN gộp</t>
        </is>
      </c>
      <c r="B16" s="1">
        <f>IFERROR((ABS(B$43)+ABS(B$44))/B$42,"n/a")</f>
        <v/>
      </c>
      <c r="C16" s="1">
        <f>IFERROR((ABS(C$43)+ABS(C$44))/C$42,"n/a")</f>
        <v/>
      </c>
      <c r="D16" s="1">
        <f>IFERROR((ABS(D$43)+ABS(D$44))/D$42,"n/a")</f>
        <v/>
      </c>
      <c r="E16" s="1">
        <f>IFERROR((ABS(E$43)+ABS(E$44))/E$42,"n/a")</f>
        <v/>
      </c>
      <c r="F16" s="1">
        <f>IFERROR((ABS(F$43)+ABS(F$44))/F$42,"n/a")</f>
        <v/>
      </c>
      <c r="G16" s="1">
        <f>IFERROR((ABS(G$43)+ABS(G$44))/G$42,"n/a")</f>
        <v/>
      </c>
      <c r="H16" s="1">
        <f>IFERROR((ABS(H$43)+ABS(H$44))/H$42,"n/a")</f>
        <v/>
      </c>
      <c r="I16" s="1">
        <f>IFERROR((ABS(I$43)+ABS(I$44))/I$42,"n/a")</f>
        <v/>
      </c>
    </row>
    <row r="17">
      <c r="A17" s="8" t="inlineStr">
        <is>
          <t>Chi phí lãi vay/LN từ hoạt động kinh doanh</t>
        </is>
      </c>
      <c r="B17" s="33">
        <f>IFERROR(ABS(B$46)/B$45,"n/a")</f>
        <v/>
      </c>
      <c r="C17" s="33">
        <f>IFERROR(ABS(C$46)/C$45,"n/a")</f>
        <v/>
      </c>
      <c r="D17" s="33">
        <f>IFERROR(ABS(D$46)/D$45,"n/a")</f>
        <v/>
      </c>
      <c r="E17" s="33">
        <f>IFERROR(ABS(E$46)/E$45,"n/a")</f>
        <v/>
      </c>
      <c r="F17" s="33">
        <f>IFERROR(ABS(F$46)/F$45,"n/a")</f>
        <v/>
      </c>
      <c r="G17" s="33">
        <f>IFERROR(ABS(G$46)/G$45,"n/a")</f>
        <v/>
      </c>
      <c r="H17" s="33">
        <f>IFERROR(ABS(H$46)/H$45,"n/a")</f>
        <v/>
      </c>
      <c r="I17" s="33">
        <f>IFERROR(ABS(I$46)/I$45,"n/a")</f>
        <v/>
      </c>
    </row>
    <row r="18">
      <c r="A18" s="8" t="inlineStr">
        <is>
          <t>Số ngày phải trả (DPO)</t>
        </is>
      </c>
      <c r="B18" s="14">
        <f>IFERROR(((B$30+#REF!)/2)/ABS(B$41)*365,"n/a")</f>
        <v/>
      </c>
      <c r="C18" s="14">
        <f>IFERROR(((C$30+B$30)/2)/ABS(C$41)*365,"n/a")</f>
        <v/>
      </c>
      <c r="D18" s="14">
        <f>IFERROR(((D$30+C$30)/2)/ABS(D$41)*365,"n/a")</f>
        <v/>
      </c>
      <c r="E18" s="14">
        <f>IFERROR(((E$30+D$30)/2)/ABS(E$41)*365,"n/a")</f>
        <v/>
      </c>
      <c r="F18" s="14">
        <f>IFERROR(((F$30+E$30)/2)/ABS(F$41)*365,"n/a")</f>
        <v/>
      </c>
      <c r="G18" s="14">
        <f>IFERROR(((G$30+F$30)/2)/ABS(G$41)*365,"n/a")</f>
        <v/>
      </c>
      <c r="H18" s="14">
        <f>IFERROR(((H$30+G$30)/2)/ABS(H$41)*365,"n/a")</f>
        <v/>
      </c>
      <c r="I18" s="14">
        <f>IFERROR(((I$30+H$30)/2)/ABS(I$41)*365,"n/a")</f>
        <v/>
      </c>
    </row>
    <row r="19">
      <c r="A19" s="8" t="inlineStr">
        <is>
          <t>Tiền và tương đương tiền/Tài sản</t>
        </is>
      </c>
      <c r="B19" s="9">
        <f>IFERROR(B$25/B$28,"n/a")</f>
        <v/>
      </c>
      <c r="C19" s="9">
        <f>IFERROR(C$25/C$28,"n/a")</f>
        <v/>
      </c>
      <c r="D19" s="9">
        <f>IFERROR(D$25/D$28,"n/a")</f>
        <v/>
      </c>
      <c r="E19" s="9">
        <f>IFERROR(E$25/E$28,"n/a")</f>
        <v/>
      </c>
      <c r="F19" s="9">
        <f>IFERROR(F$25/F$28,"n/a")</f>
        <v/>
      </c>
      <c r="G19" s="9">
        <f>IFERROR(G$25/G$28,"n/a")</f>
        <v/>
      </c>
      <c r="H19" s="9">
        <f>IFERROR(H$25/H$28,"n/a")</f>
        <v/>
      </c>
      <c r="I19" s="9">
        <f>IFERROR(I$25/I$28,"n/a")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</row>
    <row r="21">
      <c r="A21" s="15" t="inlineStr">
        <is>
          <t>II. DỮ LIỆU TRÍCH XUẤT (tự động dò theo tên khoản mục)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2" t="inlineStr">
        <is>
          <t>Khoản mục</t>
        </is>
      </c>
      <c r="B22" s="3">
        <f>balance_sheet!B1</f>
        <v/>
      </c>
      <c r="C22" s="3">
        <f>balance_sheet!C1</f>
        <v/>
      </c>
      <c r="D22" s="3">
        <f>balance_sheet!D1</f>
        <v/>
      </c>
      <c r="E22" s="3">
        <f>balance_sheet!E1</f>
        <v/>
      </c>
      <c r="F22" s="3">
        <f>balance_sheet!F1</f>
        <v/>
      </c>
      <c r="G22" s="3">
        <f>balance_sheet!G1</f>
        <v/>
      </c>
      <c r="H22" s="3">
        <f>balance_sheet!H1</f>
        <v/>
      </c>
      <c r="I22" s="3">
        <f>balance_sheet!I1</f>
        <v/>
      </c>
    </row>
    <row r="23">
      <c r="A23" s="18" t="inlineStr">
        <is>
          <t>CĐKT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18" t="inlineStr">
        <is>
          <t>Tài sản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inlineStr">
        <is>
          <t>Tiền và tương đương tiền</t>
        </is>
      </c>
      <c r="B25" s="34">
        <f>IFERROR(INDEX(balance_sheet!$B:$XFD,MATCH("Tiền và tương đương tiền",balance_sheet!$A:$A,0),MATCH(B$22,balance_sheet!$B$1:$XFD$1,0)),"")</f>
        <v/>
      </c>
      <c r="C25" s="34">
        <f>IFERROR(INDEX(balance_sheet!$B:$XFD,MATCH("Tiền và tương đương tiền",balance_sheet!$A:$A,0),MATCH(C$22,balance_sheet!$B$1:$XFD$1,0)),"")</f>
        <v/>
      </c>
      <c r="D25" s="34">
        <f>IFERROR(INDEX(balance_sheet!$B:$XFD,MATCH("Tiền và tương đương tiền",balance_sheet!$A:$A,0),MATCH(D$22,balance_sheet!$B$1:$XFD$1,0)),"")</f>
        <v/>
      </c>
      <c r="E25" s="34">
        <f>IFERROR(INDEX(balance_sheet!$B:$XFD,MATCH("Tiền và tương đương tiền",balance_sheet!$A:$A,0),MATCH(E$22,balance_sheet!$B$1:$XFD$1,0)),"")</f>
        <v/>
      </c>
      <c r="F25" s="34">
        <f>IFERROR(INDEX(balance_sheet!$B:$XFD,MATCH("Tiền và tương đương tiền",balance_sheet!$A:$A,0),MATCH(F$22,balance_sheet!$B$1:$XFD$1,0)),"")</f>
        <v/>
      </c>
      <c r="G25" s="34">
        <f>IFERROR(INDEX(balance_sheet!$B:$XFD,MATCH("Tiền và tương đương tiền",balance_sheet!$A:$A,0),MATCH(G$22,balance_sheet!$B$1:$XFD$1,0)),"")</f>
        <v/>
      </c>
      <c r="H25" s="34">
        <f>IFERROR(INDEX(balance_sheet!$B:$XFD,MATCH("Tiền và tương đương tiền",balance_sheet!$A:$A,0),MATCH(H$22,balance_sheet!$B$1:$XFD$1,0)),"")</f>
        <v/>
      </c>
      <c r="I25" s="34">
        <f>IFERROR(INDEX(balance_sheet!$B:$XFD,MATCH("Tiền và tương đương tiền",balance_sheet!$A:$A,0),MATCH(I$22,balance_sheet!$B$1:$XFD$1,0)),"")</f>
        <v/>
      </c>
    </row>
    <row r="26">
      <c r="A26" s="4" t="inlineStr">
        <is>
          <t>Phải thu khách hàng</t>
        </is>
      </c>
      <c r="B26" s="5" t="inlineStr">
        <is>
          <t>n/a</t>
        </is>
      </c>
      <c r="C26" s="5" t="inlineStr">
        <is>
          <t>n/a</t>
        </is>
      </c>
      <c r="D26" s="5" t="inlineStr">
        <is>
          <t>n/a</t>
        </is>
      </c>
      <c r="E26" s="5" t="inlineStr">
        <is>
          <t>n/a</t>
        </is>
      </c>
      <c r="F26" s="5" t="inlineStr">
        <is>
          <t>n/a</t>
        </is>
      </c>
      <c r="G26" s="5" t="inlineStr">
        <is>
          <t>n/a</t>
        </is>
      </c>
      <c r="H26" s="5" t="inlineStr">
        <is>
          <t>n/a</t>
        </is>
      </c>
      <c r="I26" s="5" t="inlineStr">
        <is>
          <t>n/a</t>
        </is>
      </c>
    </row>
    <row r="27">
      <c r="A27" s="4" t="inlineStr">
        <is>
          <t>Hàng tồn kho, ròng</t>
        </is>
      </c>
      <c r="B27" s="5" t="inlineStr">
        <is>
          <t>n/a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n/a</t>
        </is>
      </c>
      <c r="F27" s="5" t="inlineStr">
        <is>
          <t>n/a</t>
        </is>
      </c>
      <c r="G27" s="5" t="inlineStr">
        <is>
          <t>n/a</t>
        </is>
      </c>
      <c r="H27" s="5" t="inlineStr">
        <is>
          <t>n/a</t>
        </is>
      </c>
      <c r="I27" s="5" t="inlineStr">
        <is>
          <t>n/a</t>
        </is>
      </c>
    </row>
    <row r="28">
      <c r="A28" s="4" t="inlineStr">
        <is>
          <t>TỔNG CỘNG TÀI SẢN</t>
        </is>
      </c>
      <c r="B28" s="34">
        <f>IFERROR(INDEX(balance_sheet!$B:$XFD,MATCH("TỔNG CỘNG TÀI SẢN",balance_sheet!$A:$A,0),MATCH(B$22,balance_sheet!$B$1:$XFD$1,0)),"")</f>
        <v/>
      </c>
      <c r="C28" s="34">
        <f>IFERROR(INDEX(balance_sheet!$B:$XFD,MATCH("TỔNG CỘNG TÀI SẢN",balance_sheet!$A:$A,0),MATCH(C$22,balance_sheet!$B$1:$XFD$1,0)),"")</f>
        <v/>
      </c>
      <c r="D28" s="34">
        <f>IFERROR(INDEX(balance_sheet!$B:$XFD,MATCH("TỔNG CỘNG TÀI SẢN",balance_sheet!$A:$A,0),MATCH(D$22,balance_sheet!$B$1:$XFD$1,0)),"")</f>
        <v/>
      </c>
      <c r="E28" s="34">
        <f>IFERROR(INDEX(balance_sheet!$B:$XFD,MATCH("TỔNG CỘNG TÀI SẢN",balance_sheet!$A:$A,0),MATCH(E$22,balance_sheet!$B$1:$XFD$1,0)),"")</f>
        <v/>
      </c>
      <c r="F28" s="34">
        <f>IFERROR(INDEX(balance_sheet!$B:$XFD,MATCH("TỔNG CỘNG TÀI SẢN",balance_sheet!$A:$A,0),MATCH(F$22,balance_sheet!$B$1:$XFD$1,0)),"")</f>
        <v/>
      </c>
      <c r="G28" s="34">
        <f>IFERROR(INDEX(balance_sheet!$B:$XFD,MATCH("TỔNG CỘNG TÀI SẢN",balance_sheet!$A:$A,0),MATCH(G$22,balance_sheet!$B$1:$XFD$1,0)),"")</f>
        <v/>
      </c>
      <c r="H28" s="34">
        <f>IFERROR(INDEX(balance_sheet!$B:$XFD,MATCH("TỔNG CỘNG TÀI SẢN",balance_sheet!$A:$A,0),MATCH(H$22,balance_sheet!$B$1:$XFD$1,0)),"")</f>
        <v/>
      </c>
      <c r="I28" s="34">
        <f>IFERROR(INDEX(balance_sheet!$B:$XFD,MATCH("TỔNG CỘNG TÀI SẢN",balance_sheet!$A:$A,0),MATCH(I$22,balance_sheet!$B$1:$XFD$1,0)),"")</f>
        <v/>
      </c>
    </row>
    <row r="29">
      <c r="A29" s="18" t="inlineStr">
        <is>
          <t>Nguồn vốn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4" t="inlineStr">
        <is>
          <t>Phải trả người bán ngắn hạn</t>
        </is>
      </c>
      <c r="B30" s="34">
        <f>IFERROR(INDEX(balance_sheet!$B:$XFD,MATCH("Phải trả người bán ngắn hạn",balance_sheet!$A:$A,0),MATCH(B$22,balance_sheet!$B$1:$XFD$1,0)),"")</f>
        <v/>
      </c>
      <c r="C30" s="34">
        <f>IFERROR(INDEX(balance_sheet!$B:$XFD,MATCH("Phải trả người bán ngắn hạn",balance_sheet!$A:$A,0),MATCH(C$22,balance_sheet!$B$1:$XFD$1,0)),"")</f>
        <v/>
      </c>
      <c r="D30" s="34">
        <f>IFERROR(INDEX(balance_sheet!$B:$XFD,MATCH("Phải trả người bán ngắn hạn",balance_sheet!$A:$A,0),MATCH(D$22,balance_sheet!$B$1:$XFD$1,0)),"")</f>
        <v/>
      </c>
      <c r="E30" s="34">
        <f>IFERROR(INDEX(balance_sheet!$B:$XFD,MATCH("Phải trả người bán ngắn hạn",balance_sheet!$A:$A,0),MATCH(E$22,balance_sheet!$B$1:$XFD$1,0)),"")</f>
        <v/>
      </c>
      <c r="F30" s="34">
        <f>IFERROR(INDEX(balance_sheet!$B:$XFD,MATCH("Phải trả người bán ngắn hạn",balance_sheet!$A:$A,0),MATCH(F$22,balance_sheet!$B$1:$XFD$1,0)),"")</f>
        <v/>
      </c>
      <c r="G30" s="34">
        <f>IFERROR(INDEX(balance_sheet!$B:$XFD,MATCH("Phải trả người bán ngắn hạn",balance_sheet!$A:$A,0),MATCH(G$22,balance_sheet!$B$1:$XFD$1,0)),"")</f>
        <v/>
      </c>
      <c r="H30" s="34">
        <f>IFERROR(INDEX(balance_sheet!$B:$XFD,MATCH("Phải trả người bán ngắn hạn",balance_sheet!$A:$A,0),MATCH(H$22,balance_sheet!$B$1:$XFD$1,0)),"")</f>
        <v/>
      </c>
      <c r="I30" s="34">
        <f>IFERROR(INDEX(balance_sheet!$B:$XFD,MATCH("Phải trả người bán ngắn hạn",balance_sheet!$A:$A,0),MATCH(I$22,balance_sheet!$B$1:$XFD$1,0)),"")</f>
        <v/>
      </c>
    </row>
    <row r="31">
      <c r="A31" s="4" t="inlineStr">
        <is>
          <t>Vay ngắn hạn</t>
        </is>
      </c>
      <c r="B31" s="34">
        <f>IFERROR(INDEX(balance_sheet!$B:$XFD,MATCH("Vay ngắn hạn",balance_sheet!$A:$A,0),MATCH(B$22,balance_sheet!$B$1:$XFD$1,0)),"")</f>
        <v/>
      </c>
      <c r="C31" s="34">
        <f>IFERROR(INDEX(balance_sheet!$B:$XFD,MATCH("Vay ngắn hạn",balance_sheet!$A:$A,0),MATCH(C$22,balance_sheet!$B$1:$XFD$1,0)),"")</f>
        <v/>
      </c>
      <c r="D31" s="34">
        <f>IFERROR(INDEX(balance_sheet!$B:$XFD,MATCH("Vay ngắn hạn",balance_sheet!$A:$A,0),MATCH(D$22,balance_sheet!$B$1:$XFD$1,0)),"")</f>
        <v/>
      </c>
      <c r="E31" s="34">
        <f>IFERROR(INDEX(balance_sheet!$B:$XFD,MATCH("Vay ngắn hạn",balance_sheet!$A:$A,0),MATCH(E$22,balance_sheet!$B$1:$XFD$1,0)),"")</f>
        <v/>
      </c>
      <c r="F31" s="34">
        <f>IFERROR(INDEX(balance_sheet!$B:$XFD,MATCH("Vay ngắn hạn",balance_sheet!$A:$A,0),MATCH(F$22,balance_sheet!$B$1:$XFD$1,0)),"")</f>
        <v/>
      </c>
      <c r="G31" s="34">
        <f>IFERROR(INDEX(balance_sheet!$B:$XFD,MATCH("Vay ngắn hạn",balance_sheet!$A:$A,0),MATCH(G$22,balance_sheet!$B$1:$XFD$1,0)),"")</f>
        <v/>
      </c>
      <c r="H31" s="34">
        <f>IFERROR(INDEX(balance_sheet!$B:$XFD,MATCH("Vay ngắn hạn",balance_sheet!$A:$A,0),MATCH(H$22,balance_sheet!$B$1:$XFD$1,0)),"")</f>
        <v/>
      </c>
      <c r="I31" s="34">
        <f>IFERROR(INDEX(balance_sheet!$B:$XFD,MATCH("Vay ngắn hạn",balance_sheet!$A:$A,0),MATCH(I$22,balance_sheet!$B$1:$XFD$1,0)),"")</f>
        <v/>
      </c>
    </row>
    <row r="32">
      <c r="A32" s="4" t="inlineStr">
        <is>
          <t>Nợ phải trả ngắn hạn</t>
        </is>
      </c>
      <c r="B32" s="34">
        <f>IFERROR(INDEX(balance_sheet!$B:$XFD,MATCH("Nợ phải trả ngắn hạn",balance_sheet!$A:$A,0),MATCH(B$22,balance_sheet!$B$1:$XFD$1,0)),"")</f>
        <v/>
      </c>
      <c r="C32" s="34">
        <f>IFERROR(INDEX(balance_sheet!$B:$XFD,MATCH("Nợ phải trả ngắn hạn",balance_sheet!$A:$A,0),MATCH(C$22,balance_sheet!$B$1:$XFD$1,0)),"")</f>
        <v/>
      </c>
      <c r="D32" s="34">
        <f>IFERROR(INDEX(balance_sheet!$B:$XFD,MATCH("Nợ phải trả ngắn hạn",balance_sheet!$A:$A,0),MATCH(D$22,balance_sheet!$B$1:$XFD$1,0)),"")</f>
        <v/>
      </c>
      <c r="E32" s="34">
        <f>IFERROR(INDEX(balance_sheet!$B:$XFD,MATCH("Nợ phải trả ngắn hạn",balance_sheet!$A:$A,0),MATCH(E$22,balance_sheet!$B$1:$XFD$1,0)),"")</f>
        <v/>
      </c>
      <c r="F32" s="34">
        <f>IFERROR(INDEX(balance_sheet!$B:$XFD,MATCH("Nợ phải trả ngắn hạn",balance_sheet!$A:$A,0),MATCH(F$22,balance_sheet!$B$1:$XFD$1,0)),"")</f>
        <v/>
      </c>
      <c r="G32" s="34">
        <f>IFERROR(INDEX(balance_sheet!$B:$XFD,MATCH("Nợ phải trả ngắn hạn",balance_sheet!$A:$A,0),MATCH(G$22,balance_sheet!$B$1:$XFD$1,0)),"")</f>
        <v/>
      </c>
      <c r="H32" s="34">
        <f>IFERROR(INDEX(balance_sheet!$B:$XFD,MATCH("Nợ phải trả ngắn hạn",balance_sheet!$A:$A,0),MATCH(H$22,balance_sheet!$B$1:$XFD$1,0)),"")</f>
        <v/>
      </c>
      <c r="I32" s="34">
        <f>IFERROR(INDEX(balance_sheet!$B:$XFD,MATCH("Nợ phải trả ngắn hạn",balance_sheet!$A:$A,0),MATCH(I$22,balance_sheet!$B$1:$XFD$1,0)),"")</f>
        <v/>
      </c>
    </row>
    <row r="33">
      <c r="A33" s="4" t="inlineStr">
        <is>
          <t>Vay dài hạn</t>
        </is>
      </c>
      <c r="B33" s="34">
        <f>IFERROR(INDEX(balance_sheet!$B:$XFD,MATCH("Vay dài hạn",balance_sheet!$A:$A,0),MATCH(B$22,balance_sheet!$B$1:$XFD$1,0)),"")</f>
        <v/>
      </c>
      <c r="C33" s="34">
        <f>IFERROR(INDEX(balance_sheet!$B:$XFD,MATCH("Vay dài hạn",balance_sheet!$A:$A,0),MATCH(C$22,balance_sheet!$B$1:$XFD$1,0)),"")</f>
        <v/>
      </c>
      <c r="D33" s="34">
        <f>IFERROR(INDEX(balance_sheet!$B:$XFD,MATCH("Vay dài hạn",balance_sheet!$A:$A,0),MATCH(D$22,balance_sheet!$B$1:$XFD$1,0)),"")</f>
        <v/>
      </c>
      <c r="E33" s="34">
        <f>IFERROR(INDEX(balance_sheet!$B:$XFD,MATCH("Vay dài hạn",balance_sheet!$A:$A,0),MATCH(E$22,balance_sheet!$B$1:$XFD$1,0)),"")</f>
        <v/>
      </c>
      <c r="F33" s="34">
        <f>IFERROR(INDEX(balance_sheet!$B:$XFD,MATCH("Vay dài hạn",balance_sheet!$A:$A,0),MATCH(F$22,balance_sheet!$B$1:$XFD$1,0)),"")</f>
        <v/>
      </c>
      <c r="G33" s="34">
        <f>IFERROR(INDEX(balance_sheet!$B:$XFD,MATCH("Vay dài hạn",balance_sheet!$A:$A,0),MATCH(G$22,balance_sheet!$B$1:$XFD$1,0)),"")</f>
        <v/>
      </c>
      <c r="H33" s="34">
        <f>IFERROR(INDEX(balance_sheet!$B:$XFD,MATCH("Vay dài hạn",balance_sheet!$A:$A,0),MATCH(H$22,balance_sheet!$B$1:$XFD$1,0)),"")</f>
        <v/>
      </c>
      <c r="I33" s="34">
        <f>IFERROR(INDEX(balance_sheet!$B:$XFD,MATCH("Vay dài hạn",balance_sheet!$A:$A,0),MATCH(I$22,balance_sheet!$B$1:$XFD$1,0)),"")</f>
        <v/>
      </c>
    </row>
    <row r="34">
      <c r="A34" s="4" t="inlineStr">
        <is>
          <t>Nợ phải trả dài hạn</t>
        </is>
      </c>
      <c r="B34" s="34">
        <f>IFERROR(INDEX(balance_sheet!$B:$XFD,MATCH("Nợ phải trả dài hạn",balance_sheet!$A:$A,0),MATCH(B$22,balance_sheet!$B$1:$XFD$1,0)),"")</f>
        <v/>
      </c>
      <c r="C34" s="34">
        <f>IFERROR(INDEX(balance_sheet!$B:$XFD,MATCH("Nợ phải trả dài hạn",balance_sheet!$A:$A,0),MATCH(C$22,balance_sheet!$B$1:$XFD$1,0)),"")</f>
        <v/>
      </c>
      <c r="D34" s="34">
        <f>IFERROR(INDEX(balance_sheet!$B:$XFD,MATCH("Nợ phải trả dài hạn",balance_sheet!$A:$A,0),MATCH(D$22,balance_sheet!$B$1:$XFD$1,0)),"")</f>
        <v/>
      </c>
      <c r="E34" s="34">
        <f>IFERROR(INDEX(balance_sheet!$B:$XFD,MATCH("Nợ phải trả dài hạn",balance_sheet!$A:$A,0),MATCH(E$22,balance_sheet!$B$1:$XFD$1,0)),"")</f>
        <v/>
      </c>
      <c r="F34" s="34">
        <f>IFERROR(INDEX(balance_sheet!$B:$XFD,MATCH("Nợ phải trả dài hạn",balance_sheet!$A:$A,0),MATCH(F$22,balance_sheet!$B$1:$XFD$1,0)),"")</f>
        <v/>
      </c>
      <c r="G34" s="34">
        <f>IFERROR(INDEX(balance_sheet!$B:$XFD,MATCH("Nợ phải trả dài hạn",balance_sheet!$A:$A,0),MATCH(G$22,balance_sheet!$B$1:$XFD$1,0)),"")</f>
        <v/>
      </c>
      <c r="H34" s="34">
        <f>IFERROR(INDEX(balance_sheet!$B:$XFD,MATCH("Nợ phải trả dài hạn",balance_sheet!$A:$A,0),MATCH(H$22,balance_sheet!$B$1:$XFD$1,0)),"")</f>
        <v/>
      </c>
      <c r="I34" s="34">
        <f>IFERROR(INDEX(balance_sheet!$B:$XFD,MATCH("Nợ phải trả dài hạn",balance_sheet!$A:$A,0),MATCH(I$22,balance_sheet!$B$1:$XFD$1,0)),"")</f>
        <v/>
      </c>
    </row>
    <row r="35">
      <c r="A35" s="4" t="inlineStr">
        <is>
          <t>NỢ PHẢI TRẢ</t>
        </is>
      </c>
      <c r="B35" s="34">
        <f>IFERROR(INDEX(balance_sheet!$B:$XFD,MATCH("NỢ PHẢI TRẢ",balance_sheet!$A:$A,0),MATCH(B$22,balance_sheet!$B$1:$XFD$1,0)),"")</f>
        <v/>
      </c>
      <c r="C35" s="34">
        <f>IFERROR(INDEX(balance_sheet!$B:$XFD,MATCH("NỢ PHẢI TRẢ",balance_sheet!$A:$A,0),MATCH(C$22,balance_sheet!$B$1:$XFD$1,0)),"")</f>
        <v/>
      </c>
      <c r="D35" s="34">
        <f>IFERROR(INDEX(balance_sheet!$B:$XFD,MATCH("NỢ PHẢI TRẢ",balance_sheet!$A:$A,0),MATCH(D$22,balance_sheet!$B$1:$XFD$1,0)),"")</f>
        <v/>
      </c>
      <c r="E35" s="34">
        <f>IFERROR(INDEX(balance_sheet!$B:$XFD,MATCH("NỢ PHẢI TRẢ",balance_sheet!$A:$A,0),MATCH(E$22,balance_sheet!$B$1:$XFD$1,0)),"")</f>
        <v/>
      </c>
      <c r="F35" s="34">
        <f>IFERROR(INDEX(balance_sheet!$B:$XFD,MATCH("NỢ PHẢI TRẢ",balance_sheet!$A:$A,0),MATCH(F$22,balance_sheet!$B$1:$XFD$1,0)),"")</f>
        <v/>
      </c>
      <c r="G35" s="34">
        <f>IFERROR(INDEX(balance_sheet!$B:$XFD,MATCH("NỢ PHẢI TRẢ",balance_sheet!$A:$A,0),MATCH(G$22,balance_sheet!$B$1:$XFD$1,0)),"")</f>
        <v/>
      </c>
      <c r="H35" s="34">
        <f>IFERROR(INDEX(balance_sheet!$B:$XFD,MATCH("NỢ PHẢI TRẢ",balance_sheet!$A:$A,0),MATCH(H$22,balance_sheet!$B$1:$XFD$1,0)),"")</f>
        <v/>
      </c>
      <c r="I35" s="34">
        <f>IFERROR(INDEX(balance_sheet!$B:$XFD,MATCH("NỢ PHẢI TRẢ",balance_sheet!$A:$A,0),MATCH(I$22,balance_sheet!$B$1:$XFD$1,0)),"")</f>
        <v/>
      </c>
    </row>
    <row r="36" ht="15" customFormat="1" customHeight="1" s="20">
      <c r="A36" s="18" t="inlineStr">
        <is>
          <t>Vốn chủ sở hữu</t>
        </is>
      </c>
      <c r="B36" s="35">
        <f>IFERROR(INDEX(balance_sheet!$B:$XFD,MATCH("Vốn chủ sở hữu",balance_sheet!$A:$A,0),MATCH(B$22,balance_sheet!$B$1:$XFD$1,0)),"")</f>
        <v/>
      </c>
      <c r="C36" s="35">
        <f>IFERROR(INDEX(balance_sheet!$B:$XFD,MATCH("Vốn chủ sở hữu",balance_sheet!$A:$A,0),MATCH(C$22,balance_sheet!$B$1:$XFD$1,0)),"")</f>
        <v/>
      </c>
      <c r="D36" s="35">
        <f>IFERROR(INDEX(balance_sheet!$B:$XFD,MATCH("Vốn chủ sở hữu",balance_sheet!$A:$A,0),MATCH(D$22,balance_sheet!$B$1:$XFD$1,0)),"")</f>
        <v/>
      </c>
      <c r="E36" s="35">
        <f>IFERROR(INDEX(balance_sheet!$B:$XFD,MATCH("Vốn chủ sở hữu",balance_sheet!$A:$A,0),MATCH(E$22,balance_sheet!$B$1:$XFD$1,0)),"")</f>
        <v/>
      </c>
      <c r="F36" s="35">
        <f>IFERROR(INDEX(balance_sheet!$B:$XFD,MATCH("Vốn chủ sở hữu",balance_sheet!$A:$A,0),MATCH(F$22,balance_sheet!$B$1:$XFD$1,0)),"")</f>
        <v/>
      </c>
      <c r="G36" s="35">
        <f>IFERROR(INDEX(balance_sheet!$B:$XFD,MATCH("Vốn chủ sở hữu",balance_sheet!$A:$A,0),MATCH(G$22,balance_sheet!$B$1:$XFD$1,0)),"")</f>
        <v/>
      </c>
      <c r="H36" s="35">
        <f>IFERROR(INDEX(balance_sheet!$B:$XFD,MATCH("Vốn chủ sở hữu",balance_sheet!$A:$A,0),MATCH(H$22,balance_sheet!$B$1:$XFD$1,0)),"")</f>
        <v/>
      </c>
      <c r="I36" s="35">
        <f>IFERROR(INDEX(balance_sheet!$B:$XFD,MATCH("Vốn chủ sở hữu",balance_sheet!$A:$A,0),MATCH(I$22,balance_sheet!$B$1:$XFD$1,0)),"")</f>
        <v/>
      </c>
    </row>
    <row r="37" ht="15" customFormat="1" customHeight="1" s="20">
      <c r="A37" s="22" t="inlineStr">
        <is>
          <t>Tăng VCSH/LN cổ đông cty mẹ</t>
        </is>
      </c>
      <c r="B37" s="23">
        <f>(B36-#REF!)/B48</f>
        <v/>
      </c>
      <c r="C37" s="23">
        <f>(C36-B36)/C48</f>
        <v/>
      </c>
      <c r="D37" s="23">
        <f>(D36-C36)/D48</f>
        <v/>
      </c>
      <c r="E37" s="23">
        <f>(E36-D36)/E48</f>
        <v/>
      </c>
      <c r="F37" s="23">
        <f>(F36-E36)/F48</f>
        <v/>
      </c>
      <c r="G37" s="23">
        <f>(G36-F36)/G48</f>
        <v/>
      </c>
      <c r="H37" s="23">
        <f>(H36-G36)/H48</f>
        <v/>
      </c>
      <c r="I37" s="23">
        <f>(I36-H36)/I48</f>
        <v/>
      </c>
    </row>
    <row r="38" ht="15" customFormat="1" customHeight="1" s="20">
      <c r="A38" s="18" t="inlineStr">
        <is>
          <t>Lợi ích cổ đông không kiểm soát</t>
        </is>
      </c>
      <c r="B38" s="35">
        <f>IFERROR(INDEX(balance_sheet!$B:$XFD,MATCH("Lợi ích cổ đông không kiểm soát",balance_sheet!$A:$A,0),MATCH(B$22,balance_sheet!$B$1:$XFD$1,0)),"")</f>
        <v/>
      </c>
      <c r="C38" s="35">
        <f>IFERROR(INDEX(balance_sheet!$B:$XFD,MATCH("Lợi ích cổ đông không kiểm soát",balance_sheet!$A:$A,0),MATCH(C$22,balance_sheet!$B$1:$XFD$1,0)),"")</f>
        <v/>
      </c>
      <c r="D38" s="35">
        <f>IFERROR(INDEX(balance_sheet!$B:$XFD,MATCH("Lợi ích cổ đông không kiểm soát",balance_sheet!$A:$A,0),MATCH(D$22,balance_sheet!$B$1:$XFD$1,0)),"")</f>
        <v/>
      </c>
      <c r="E38" s="35">
        <f>IFERROR(INDEX(balance_sheet!$B:$XFD,MATCH("Lợi ích cổ đông không kiểm soát",balance_sheet!$A:$A,0),MATCH(E$22,balance_sheet!$B$1:$XFD$1,0)),"")</f>
        <v/>
      </c>
      <c r="F38" s="35">
        <f>IFERROR(INDEX(balance_sheet!$B:$XFD,MATCH("Lợi ích cổ đông không kiểm soát",balance_sheet!$A:$A,0),MATCH(F$22,balance_sheet!$B$1:$XFD$1,0)),"")</f>
        <v/>
      </c>
      <c r="G38" s="35">
        <f>IFERROR(INDEX(balance_sheet!$B:$XFD,MATCH("Lợi ích cổ đông không kiểm soát",balance_sheet!$A:$A,0),MATCH(G$22,balance_sheet!$B$1:$XFD$1,0)),"")</f>
        <v/>
      </c>
      <c r="H38" s="35">
        <f>IFERROR(INDEX(balance_sheet!$B:$XFD,MATCH("Lợi ích cổ đông không kiểm soát",balance_sheet!$A:$A,0),MATCH(H$22,balance_sheet!$B$1:$XFD$1,0)),"")</f>
        <v/>
      </c>
      <c r="I38" s="35">
        <f>IFERROR(INDEX(balance_sheet!$B:$XFD,MATCH("Lợi ích cổ đông không kiểm soát",balance_sheet!$A:$A,0),MATCH(I$22,balance_sheet!$B$1:$XFD$1,0)),"")</f>
        <v/>
      </c>
    </row>
    <row r="39">
      <c r="A39" s="18" t="inlineStr">
        <is>
          <t>Kết quả hoạt động kinh doanh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</row>
    <row r="40" ht="15" customFormat="1" customHeight="1" s="20">
      <c r="A40" s="18" t="inlineStr">
        <is>
          <t>Doanh thu thuần về hoạt động kinh doanh</t>
        </is>
      </c>
      <c r="B40" s="35">
        <f>IFERROR(INDEX(income_statement!$B:$XFD,MATCH("Doanh thu thuần về hoạt động kinh doanh",income_statement!$A:$A,0),MATCH(B$22,income_statement!$B$1:$XFD$1,0)),"")</f>
        <v/>
      </c>
      <c r="C40" s="35">
        <f>IFERROR(INDEX(income_statement!$B:$XFD,MATCH("Doanh thu thuần về hoạt động kinh doanh",income_statement!$A:$A,0),MATCH(C$22,income_statement!$B$1:$XFD$1,0)),"")</f>
        <v/>
      </c>
      <c r="D40" s="35">
        <f>IFERROR(INDEX(income_statement!$B:$XFD,MATCH("Doanh thu thuần về hoạt động kinh doanh",income_statement!$A:$A,0),MATCH(D$22,income_statement!$B$1:$XFD$1,0)),"")</f>
        <v/>
      </c>
      <c r="E40" s="35">
        <f>IFERROR(INDEX(income_statement!$B:$XFD,MATCH("Doanh thu thuần về hoạt động kinh doanh",income_statement!$A:$A,0),MATCH(E$22,income_statement!$B$1:$XFD$1,0)),"")</f>
        <v/>
      </c>
      <c r="F40" s="35">
        <f>IFERROR(INDEX(income_statement!$B:$XFD,MATCH("Doanh thu thuần về hoạt động kinh doanh",income_statement!$A:$A,0),MATCH(F$22,income_statement!$B$1:$XFD$1,0)),"")</f>
        <v/>
      </c>
      <c r="G40" s="35">
        <f>IFERROR(INDEX(income_statement!$B:$XFD,MATCH("Doanh thu thuần về hoạt động kinh doanh",income_statement!$A:$A,0),MATCH(G$22,income_statement!$B$1:$XFD$1,0)),"")</f>
        <v/>
      </c>
      <c r="H40" s="35">
        <f>IFERROR(INDEX(income_statement!$B:$XFD,MATCH("Doanh thu thuần về hoạt động kinh doanh",income_statement!$A:$A,0),MATCH(H$22,income_statement!$B$1:$XFD$1,0)),"")</f>
        <v/>
      </c>
      <c r="I40" s="35">
        <f>IFERROR(INDEX(income_statement!$B:$XFD,MATCH("Doanh thu thuần về hoạt động kinh doanh",income_statement!$A:$A,0),MATCH(I$22,income_statement!$B$1:$XFD$1,0)),"")</f>
        <v/>
      </c>
    </row>
    <row r="41">
      <c r="A41" s="4" t="inlineStr">
        <is>
          <t>CHI PHÍ HOẠT ĐỘNG</t>
        </is>
      </c>
      <c r="B41" s="34">
        <f>IFERROR(INDEX(income_statement!$B:$XFD,MATCH("CHI PHÍ HOẠT ĐỘNG",income_statement!$A:$A,0),MATCH(B$22,income_statement!$B$1:$XFD$1,0)),"")</f>
        <v/>
      </c>
      <c r="C41" s="34">
        <f>IFERROR(INDEX(income_statement!$B:$XFD,MATCH("CHI PHÍ HOẠT ĐỘNG",income_statement!$A:$A,0),MATCH(C$22,income_statement!$B$1:$XFD$1,0)),"")</f>
        <v/>
      </c>
      <c r="D41" s="34">
        <f>IFERROR(INDEX(income_statement!$B:$XFD,MATCH("CHI PHÍ HOẠT ĐỘNG",income_statement!$A:$A,0),MATCH(D$22,income_statement!$B$1:$XFD$1,0)),"")</f>
        <v/>
      </c>
      <c r="E41" s="34">
        <f>IFERROR(INDEX(income_statement!$B:$XFD,MATCH("CHI PHÍ HOẠT ĐỘNG",income_statement!$A:$A,0),MATCH(E$22,income_statement!$B$1:$XFD$1,0)),"")</f>
        <v/>
      </c>
      <c r="F41" s="34">
        <f>IFERROR(INDEX(income_statement!$B:$XFD,MATCH("CHI PHÍ HOẠT ĐỘNG",income_statement!$A:$A,0),MATCH(F$22,income_statement!$B$1:$XFD$1,0)),"")</f>
        <v/>
      </c>
      <c r="G41" s="34">
        <f>IFERROR(INDEX(income_statement!$B:$XFD,MATCH("CHI PHÍ HOẠT ĐỘNG",income_statement!$A:$A,0),MATCH(G$22,income_statement!$B$1:$XFD$1,0)),"")</f>
        <v/>
      </c>
      <c r="H41" s="34">
        <f>IFERROR(INDEX(income_statement!$B:$XFD,MATCH("CHI PHÍ HOẠT ĐỘNG",income_statement!$A:$A,0),MATCH(H$22,income_statement!$B$1:$XFD$1,0)),"")</f>
        <v/>
      </c>
      <c r="I41" s="34">
        <f>IFERROR(INDEX(income_statement!$B:$XFD,MATCH("CHI PHÍ HOẠT ĐỘNG",income_statement!$A:$A,0),MATCH(I$22,income_statement!$B$1:$XFD$1,0)),"")</f>
        <v/>
      </c>
    </row>
    <row r="42" ht="15" customFormat="1" customHeight="1" s="20">
      <c r="A42" s="18" t="inlineStr">
        <is>
          <t>LỢI NHUẬN GỘP</t>
        </is>
      </c>
      <c r="B42" s="35">
        <f>IFERROR(INDEX(income_statement!$B:$XFD,MATCH("LỢI NHUẬN GỘP",income_statement!$A:$A,0),MATCH(B$22,income_statement!$B$1:$XFD$1,0)),"")</f>
        <v/>
      </c>
      <c r="C42" s="35">
        <f>IFERROR(INDEX(income_statement!$B:$XFD,MATCH("LỢI NHUẬN GỘP",income_statement!$A:$A,0),MATCH(C$22,income_statement!$B$1:$XFD$1,0)),"")</f>
        <v/>
      </c>
      <c r="D42" s="35">
        <f>IFERROR(INDEX(income_statement!$B:$XFD,MATCH("LỢI NHUẬN GỘP",income_statement!$A:$A,0),MATCH(D$22,income_statement!$B$1:$XFD$1,0)),"")</f>
        <v/>
      </c>
      <c r="E42" s="35">
        <f>IFERROR(INDEX(income_statement!$B:$XFD,MATCH("LỢI NHUẬN GỘP",income_statement!$A:$A,0),MATCH(E$22,income_statement!$B$1:$XFD$1,0)),"")</f>
        <v/>
      </c>
      <c r="F42" s="35">
        <f>IFERROR(INDEX(income_statement!$B:$XFD,MATCH("LỢI NHUẬN GỘP",income_statement!$A:$A,0),MATCH(F$22,income_statement!$B$1:$XFD$1,0)),"")</f>
        <v/>
      </c>
      <c r="G42" s="35">
        <f>IFERROR(INDEX(income_statement!$B:$XFD,MATCH("LỢI NHUẬN GỘP",income_statement!$A:$A,0),MATCH(G$22,income_statement!$B$1:$XFD$1,0)),"")</f>
        <v/>
      </c>
      <c r="H42" s="35">
        <f>IFERROR(INDEX(income_statement!$B:$XFD,MATCH("LỢI NHUẬN GỘP",income_statement!$A:$A,0),MATCH(H$22,income_statement!$B$1:$XFD$1,0)),"")</f>
        <v/>
      </c>
      <c r="I42" s="35">
        <f>IFERROR(INDEX(income_statement!$B:$XFD,MATCH("LỢI NHUẬN GỘP",income_statement!$A:$A,0),MATCH(I$22,income_statement!$B$1:$XFD$1,0)),"")</f>
        <v/>
      </c>
    </row>
    <row r="43">
      <c r="A43" s="4" t="inlineStr">
        <is>
          <t>CHI PHÍ BÁN HÀNG</t>
        </is>
      </c>
      <c r="B43" s="34">
        <f>IFERROR(INDEX(income_statement!$B:$XFD,MATCH("CHI PHÍ BÁN HÀNG",income_statement!$A:$A,0),MATCH(B$22,income_statement!$B$1:$XFD$1,0)),"")</f>
        <v/>
      </c>
      <c r="C43" s="34">
        <f>IFERROR(INDEX(income_statement!$B:$XFD,MATCH("CHI PHÍ BÁN HÀNG",income_statement!$A:$A,0),MATCH(C$22,income_statement!$B$1:$XFD$1,0)),"")</f>
        <v/>
      </c>
      <c r="D43" s="34">
        <f>IFERROR(INDEX(income_statement!$B:$XFD,MATCH("CHI PHÍ BÁN HÀNG",income_statement!$A:$A,0),MATCH(D$22,income_statement!$B$1:$XFD$1,0)),"")</f>
        <v/>
      </c>
      <c r="E43" s="34">
        <f>IFERROR(INDEX(income_statement!$B:$XFD,MATCH("CHI PHÍ BÁN HÀNG",income_statement!$A:$A,0),MATCH(E$22,income_statement!$B$1:$XFD$1,0)),"")</f>
        <v/>
      </c>
      <c r="F43" s="34">
        <f>IFERROR(INDEX(income_statement!$B:$XFD,MATCH("CHI PHÍ BÁN HÀNG",income_statement!$A:$A,0),MATCH(F$22,income_statement!$B$1:$XFD$1,0)),"")</f>
        <v/>
      </c>
      <c r="G43" s="34">
        <f>IFERROR(INDEX(income_statement!$B:$XFD,MATCH("CHI PHÍ BÁN HÀNG",income_statement!$A:$A,0),MATCH(G$22,income_statement!$B$1:$XFD$1,0)),"")</f>
        <v/>
      </c>
      <c r="H43" s="34">
        <f>IFERROR(INDEX(income_statement!$B:$XFD,MATCH("CHI PHÍ BÁN HÀNG",income_statement!$A:$A,0),MATCH(H$22,income_statement!$B$1:$XFD$1,0)),"")</f>
        <v/>
      </c>
      <c r="I43" s="34">
        <f>IFERROR(INDEX(income_statement!$B:$XFD,MATCH("CHI PHÍ BÁN HÀNG",income_statement!$A:$A,0),MATCH(I$22,income_statement!$B$1:$XFD$1,0)),"")</f>
        <v/>
      </c>
    </row>
    <row r="44">
      <c r="A44" s="4" t="inlineStr">
        <is>
          <t>CHI PHÍ QUẢN LÝ CÔNG TY CHỨNG KHOÁN</t>
        </is>
      </c>
      <c r="B44" s="34">
        <f>IFERROR(INDEX(income_statement!$B:$XFD,MATCH("CHI PHÍ QUẢN LÝ CÔNG TY CHỨNG KHOÁN",income_statement!$A:$A,0),MATCH(B$22,income_statement!$B$1:$XFD$1,0)),"")</f>
        <v/>
      </c>
      <c r="C44" s="34">
        <f>IFERROR(INDEX(income_statement!$B:$XFD,MATCH("CHI PHÍ QUẢN LÝ CÔNG TY CHỨNG KHOÁN",income_statement!$A:$A,0),MATCH(C$22,income_statement!$B$1:$XFD$1,0)),"")</f>
        <v/>
      </c>
      <c r="D44" s="34">
        <f>IFERROR(INDEX(income_statement!$B:$XFD,MATCH("CHI PHÍ QUẢN LÝ CÔNG TY CHỨNG KHOÁN",income_statement!$A:$A,0),MATCH(D$22,income_statement!$B$1:$XFD$1,0)),"")</f>
        <v/>
      </c>
      <c r="E44" s="34">
        <f>IFERROR(INDEX(income_statement!$B:$XFD,MATCH("CHI PHÍ QUẢN LÝ CÔNG TY CHỨNG KHOÁN",income_statement!$A:$A,0),MATCH(E$22,income_statement!$B$1:$XFD$1,0)),"")</f>
        <v/>
      </c>
      <c r="F44" s="34">
        <f>IFERROR(INDEX(income_statement!$B:$XFD,MATCH("CHI PHÍ QUẢN LÝ CÔNG TY CHỨNG KHOÁN",income_statement!$A:$A,0),MATCH(F$22,income_statement!$B$1:$XFD$1,0)),"")</f>
        <v/>
      </c>
      <c r="G44" s="34">
        <f>IFERROR(INDEX(income_statement!$B:$XFD,MATCH("CHI PHÍ QUẢN LÝ CÔNG TY CHỨNG KHOÁN",income_statement!$A:$A,0),MATCH(G$22,income_statement!$B$1:$XFD$1,0)),"")</f>
        <v/>
      </c>
      <c r="H44" s="34">
        <f>IFERROR(INDEX(income_statement!$B:$XFD,MATCH("CHI PHÍ QUẢN LÝ CÔNG TY CHỨNG KHOÁN",income_statement!$A:$A,0),MATCH(H$22,income_statement!$B$1:$XFD$1,0)),"")</f>
        <v/>
      </c>
      <c r="I44" s="34">
        <f>IFERROR(INDEX(income_statement!$B:$XFD,MATCH("CHI PHÍ QUẢN LÝ CÔNG TY CHỨNG KHOÁN",income_statement!$A:$A,0),MATCH(I$22,income_statement!$B$1:$XFD$1,0)),"")</f>
        <v/>
      </c>
    </row>
    <row r="45">
      <c r="A45" s="4" t="inlineStr">
        <is>
          <t>KẾT QUẢ HOẠT ĐỘNG</t>
        </is>
      </c>
      <c r="B45" s="34">
        <f>IFERROR(INDEX(income_statement!$B:$XFD,MATCH("KẾT QUẢ HOẠT ĐỘNG",income_statement!$A:$A,0),MATCH(B$22,income_statement!$B$1:$XFD$1,0)),"")</f>
        <v/>
      </c>
      <c r="C45" s="34">
        <f>IFERROR(INDEX(income_statement!$B:$XFD,MATCH("KẾT QUẢ HOẠT ĐỘNG",income_statement!$A:$A,0),MATCH(C$22,income_statement!$B$1:$XFD$1,0)),"")</f>
        <v/>
      </c>
      <c r="D45" s="34">
        <f>IFERROR(INDEX(income_statement!$B:$XFD,MATCH("KẾT QUẢ HOẠT ĐỘNG",income_statement!$A:$A,0),MATCH(D$22,income_statement!$B$1:$XFD$1,0)),"")</f>
        <v/>
      </c>
      <c r="E45" s="34">
        <f>IFERROR(INDEX(income_statement!$B:$XFD,MATCH("KẾT QUẢ HOẠT ĐỘNG",income_statement!$A:$A,0),MATCH(E$22,income_statement!$B$1:$XFD$1,0)),"")</f>
        <v/>
      </c>
      <c r="F45" s="34">
        <f>IFERROR(INDEX(income_statement!$B:$XFD,MATCH("KẾT QUẢ HOẠT ĐỘNG",income_statement!$A:$A,0),MATCH(F$22,income_statement!$B$1:$XFD$1,0)),"")</f>
        <v/>
      </c>
      <c r="G45" s="34">
        <f>IFERROR(INDEX(income_statement!$B:$XFD,MATCH("KẾT QUẢ HOẠT ĐỘNG",income_statement!$A:$A,0),MATCH(G$22,income_statement!$B$1:$XFD$1,0)),"")</f>
        <v/>
      </c>
      <c r="H45" s="34">
        <f>IFERROR(INDEX(income_statement!$B:$XFD,MATCH("KẾT QUẢ HOẠT ĐỘNG",income_statement!$A:$A,0),MATCH(H$22,income_statement!$B$1:$XFD$1,0)),"")</f>
        <v/>
      </c>
      <c r="I45" s="34">
        <f>IFERROR(INDEX(income_statement!$B:$XFD,MATCH("KẾT QUẢ HOẠT ĐỘNG",income_statement!$A:$A,0),MATCH(I$22,income_statement!$B$1:$XFD$1,0)),"")</f>
        <v/>
      </c>
    </row>
    <row r="46">
      <c r="A46" s="4" t="inlineStr">
        <is>
          <t>Chi phí lãi vay</t>
        </is>
      </c>
      <c r="B46" s="34">
        <f>IFERROR(INDEX(income_statement!$B:$XFD,MATCH("Chi phí lãi vay",income_statement!$A:$A,0),MATCH(B$22,income_statement!$B$1:$XFD$1,0)),"")</f>
        <v/>
      </c>
      <c r="C46" s="34">
        <f>IFERROR(INDEX(income_statement!$B:$XFD,MATCH("Chi phí lãi vay",income_statement!$A:$A,0),MATCH(C$22,income_statement!$B$1:$XFD$1,0)),"")</f>
        <v/>
      </c>
      <c r="D46" s="34">
        <f>IFERROR(INDEX(income_statement!$B:$XFD,MATCH("Chi phí lãi vay",income_statement!$A:$A,0),MATCH(D$22,income_statement!$B$1:$XFD$1,0)),"")</f>
        <v/>
      </c>
      <c r="E46" s="34">
        <f>IFERROR(INDEX(income_statement!$B:$XFD,MATCH("Chi phí lãi vay",income_statement!$A:$A,0),MATCH(E$22,income_statement!$B$1:$XFD$1,0)),"")</f>
        <v/>
      </c>
      <c r="F46" s="34">
        <f>IFERROR(INDEX(income_statement!$B:$XFD,MATCH("Chi phí lãi vay",income_statement!$A:$A,0),MATCH(F$22,income_statement!$B$1:$XFD$1,0)),"")</f>
        <v/>
      </c>
      <c r="G46" s="34">
        <f>IFERROR(INDEX(income_statement!$B:$XFD,MATCH("Chi phí lãi vay",income_statement!$A:$A,0),MATCH(G$22,income_statement!$B$1:$XFD$1,0)),"")</f>
        <v/>
      </c>
      <c r="H46" s="34">
        <f>IFERROR(INDEX(income_statement!$B:$XFD,MATCH("Chi phí lãi vay",income_statement!$A:$A,0),MATCH(H$22,income_statement!$B$1:$XFD$1,0)),"")</f>
        <v/>
      </c>
      <c r="I46" s="34">
        <f>IFERROR(INDEX(income_statement!$B:$XFD,MATCH("Chi phí lãi vay",income_statement!$A:$A,0),MATCH(I$22,income_statement!$B$1:$XFD$1,0)),"")</f>
        <v/>
      </c>
    </row>
    <row r="47" ht="15" customFormat="1" customHeight="1" s="20">
      <c r="A47" s="18" t="inlineStr">
        <is>
          <t>LỢI NHUẬN KẾ TOÁN SAU THUẾ</t>
        </is>
      </c>
      <c r="B47" s="35">
        <f>IFERROR(INDEX(income_statement!$B:$XFD,MATCH("LỢI NHUẬN KẾ TOÁN SAU THUẾ",income_statement!$A:$A,0),MATCH(B$22,income_statement!$B$1:$XFD$1,0)),"")</f>
        <v/>
      </c>
      <c r="C47" s="35">
        <f>IFERROR(INDEX(income_statement!$B:$XFD,MATCH("LỢI NHUẬN KẾ TOÁN SAU THUẾ",income_statement!$A:$A,0),MATCH(C$22,income_statement!$B$1:$XFD$1,0)),"")</f>
        <v/>
      </c>
      <c r="D47" s="35">
        <f>IFERROR(INDEX(income_statement!$B:$XFD,MATCH("LỢI NHUẬN KẾ TOÁN SAU THUẾ",income_statement!$A:$A,0),MATCH(D$22,income_statement!$B$1:$XFD$1,0)),"")</f>
        <v/>
      </c>
      <c r="E47" s="35">
        <f>IFERROR(INDEX(income_statement!$B:$XFD,MATCH("LỢI NHUẬN KẾ TOÁN SAU THUẾ",income_statement!$A:$A,0),MATCH(E$22,income_statement!$B$1:$XFD$1,0)),"")</f>
        <v/>
      </c>
      <c r="F47" s="35">
        <f>IFERROR(INDEX(income_statement!$B:$XFD,MATCH("LỢI NHUẬN KẾ TOÁN SAU THUẾ",income_statement!$A:$A,0),MATCH(F$22,income_statement!$B$1:$XFD$1,0)),"")</f>
        <v/>
      </c>
      <c r="G47" s="35">
        <f>IFERROR(INDEX(income_statement!$B:$XFD,MATCH("LỢI NHUẬN KẾ TOÁN SAU THUẾ",income_statement!$A:$A,0),MATCH(G$22,income_statement!$B$1:$XFD$1,0)),"")</f>
        <v/>
      </c>
      <c r="H47" s="35">
        <f>IFERROR(INDEX(income_statement!$B:$XFD,MATCH("LỢI NHUẬN KẾ TOÁN SAU THUẾ",income_statement!$A:$A,0),MATCH(H$22,income_statement!$B$1:$XFD$1,0)),"")</f>
        <v/>
      </c>
      <c r="I47" s="35">
        <f>IFERROR(INDEX(income_statement!$B:$XFD,MATCH("LỢI NHUẬN KẾ TOÁN SAU THUẾ",income_statement!$A:$A,0),MATCH(I$22,income_statement!$B$1:$XFD$1,0)),"")</f>
        <v/>
      </c>
    </row>
    <row r="48" ht="15" customFormat="1" customHeight="1" s="20">
      <c r="A48" s="18" t="inlineStr">
        <is>
          <t>Lợi nhuận sau thuế phân bổ cho chủ sở hữu</t>
        </is>
      </c>
      <c r="B48" s="35">
        <f>IFERROR(INDEX(income_statement!$B:$XFD,MATCH("Lợi nhuận sau thuế phân bổ cho chủ sở hữu",income_statement!$A:$A,0),MATCH(B$22,income_statement!$B$1:$XFD$1,0)),"")</f>
        <v/>
      </c>
      <c r="C48" s="35">
        <f>IFERROR(INDEX(income_statement!$B:$XFD,MATCH("Lợi nhuận sau thuế phân bổ cho chủ sở hữu",income_statement!$A:$A,0),MATCH(C$22,income_statement!$B$1:$XFD$1,0)),"")</f>
        <v/>
      </c>
      <c r="D48" s="35">
        <f>IFERROR(INDEX(income_statement!$B:$XFD,MATCH("Lợi nhuận sau thuế phân bổ cho chủ sở hữu",income_statement!$A:$A,0),MATCH(D$22,income_statement!$B$1:$XFD$1,0)),"")</f>
        <v/>
      </c>
      <c r="E48" s="35">
        <f>IFERROR(INDEX(income_statement!$B:$XFD,MATCH("Lợi nhuận sau thuế phân bổ cho chủ sở hữu",income_statement!$A:$A,0),MATCH(E$22,income_statement!$B$1:$XFD$1,0)),"")</f>
        <v/>
      </c>
      <c r="F48" s="35">
        <f>IFERROR(INDEX(income_statement!$B:$XFD,MATCH("Lợi nhuận sau thuế phân bổ cho chủ sở hữu",income_statement!$A:$A,0),MATCH(F$22,income_statement!$B$1:$XFD$1,0)),"")</f>
        <v/>
      </c>
      <c r="G48" s="35">
        <f>IFERROR(INDEX(income_statement!$B:$XFD,MATCH("Lợi nhuận sau thuế phân bổ cho chủ sở hữu",income_statement!$A:$A,0),MATCH(G$22,income_statement!$B$1:$XFD$1,0)),"")</f>
        <v/>
      </c>
      <c r="H48" s="35">
        <f>IFERROR(INDEX(income_statement!$B:$XFD,MATCH("Lợi nhuận sau thuế phân bổ cho chủ sở hữu",income_statement!$A:$A,0),MATCH(H$22,income_statement!$B$1:$XFD$1,0)),"")</f>
        <v/>
      </c>
      <c r="I48" s="35">
        <f>IFERROR(INDEX(income_statement!$B:$XFD,MATCH("Lợi nhuận sau thuế phân bổ cho chủ sở hữu",income_statement!$A:$A,0),MATCH(I$22,income_statement!$B$1:$XFD$1,0)),"")</f>
        <v/>
      </c>
    </row>
  </sheetData>
  <conditionalFormatting sqref="B10:I10 B13:I13">
    <cfRule type="cellIs" priority="23" operator="lessThanOrEqual" dxfId="1">
      <formula>0.5</formula>
    </cfRule>
  </conditionalFormatting>
  <conditionalFormatting sqref="B16:I16">
    <cfRule type="cellIs" priority="14" operator="greaterThan" dxfId="2">
      <formula>0.7</formula>
    </cfRule>
    <cfRule type="cellIs" priority="15" operator="lessThanOrEqual" dxfId="1">
      <formula>0.3</formula>
    </cfRule>
  </conditionalFormatting>
  <conditionalFormatting sqref="B19:I19">
    <cfRule type="cellIs" priority="16" operator="notBetween" dxfId="2">
      <formula>0.02</formula>
      <formula>0.3</formula>
    </cfRule>
    <cfRule type="cellIs" priority="17" operator="between" dxfId="1">
      <formula>0.02</formula>
      <formula>0.3</formula>
    </cfRule>
  </conditionalFormatting>
  <conditionalFormatting sqref="B8:I8">
    <cfRule type="cellIs" priority="6" operator="greaterThanOrEqual" dxfId="1">
      <formula>0.3</formula>
    </cfRule>
    <cfRule type="cellIs" priority="7" operator="lessThanOrEqual" dxfId="2">
      <formula>0.1</formula>
    </cfRule>
    <cfRule type="cellIs" priority="8" operator="between" dxfId="0">
      <formula>0.1</formula>
      <formula>0.3</formula>
    </cfRule>
  </conditionalFormatting>
  <conditionalFormatting sqref="B9:I9">
    <cfRule type="cellIs" priority="5" operator="greaterThanOrEqual" dxfId="1">
      <formula>0.1</formula>
    </cfRule>
  </conditionalFormatting>
  <conditionalFormatting sqref="C2:I2">
    <cfRule type="cellIs" priority="12" operator="greaterThanOrEqual" dxfId="1">
      <formula>0.15/4</formula>
    </cfRule>
    <cfRule type="cellIs" priority="13" operator="lessThan" dxfId="2">
      <formula>0.15/4</formula>
    </cfRule>
  </conditionalFormatting>
  <conditionalFormatting sqref="C4:I4">
    <cfRule type="cellIs" priority="3" operator="lessThan" dxfId="4">
      <formula>0.1/4</formula>
    </cfRule>
    <cfRule type="cellIs" priority="4" operator="greaterThan" dxfId="3">
      <formula>0.15/4</formula>
    </cfRule>
  </conditionalFormatting>
  <conditionalFormatting sqref="C6:I6">
    <cfRule type="cellIs" priority="1" operator="lessThan" dxfId="4">
      <formula>0.1/4</formula>
    </cfRule>
    <cfRule type="cellIs" priority="2" operator="greaterThan" dxfId="3">
      <formula>0.15/4</formula>
    </cfRule>
  </conditionalFormatting>
  <conditionalFormatting sqref="F5:I5 F7:I7">
    <cfRule type="cellIs" priority="9" operator="lessThan" dxfId="2">
      <formula>0.1</formula>
    </cfRule>
    <cfRule type="cellIs" priority="10" operator="greaterThanOrEqual" dxfId="1">
      <formula>0.15</formula>
    </cfRule>
    <cfRule type="cellIs" priority="11" operator="between" dxfId="0">
      <formula>0.1</formula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2026-08-21T13:08:30Z</dcterms:created>
  <dcterms:modified xsi:type="dcterms:W3CDTF">2026-10-28T04:39:08Z</dcterms:modified>
  <cp:lastModifiedBy>Anh Thai</cp:lastModifiedBy>
</cp:coreProperties>
</file>
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&quot;-&quot;"/>
    <numFmt numFmtId="167" formatCode="#,##0;\(#,##0\);\-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b val="1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0" fillId="4" borderId="3" pivotButton="0" quotePrefix="0" xfId="0"/>
    <xf numFmtId="0" fontId="0" fillId="0" borderId="3" pivotButton="0" quotePrefix="0" xfId="0"/>
    <xf numFmtId="10" fontId="6" fillId="3" borderId="3" pivotButton="0" quotePrefix="0" xfId="0"/>
    <xf numFmtId="10" fontId="0" fillId="5" borderId="3" pivotButton="0" quotePrefix="0" xfId="0"/>
    <xf numFmtId="0" fontId="7" fillId="3" borderId="3" pivotButton="0" quotePrefix="0" xfId="0"/>
    <xf numFmtId="10" fontId="0" fillId="6" borderId="3" pivotButton="0" quotePrefix="0" xfId="0"/>
    <xf numFmtId="165" fontId="6" fillId="3" borderId="3" pivotButton="0" quotePrefix="0" xfId="0"/>
    <xf numFmtId="0" fontId="8" fillId="3" borderId="3" pivotButton="0" quotePrefix="0" xfId="0"/>
    <xf numFmtId="3" fontId="6" fillId="3" borderId="3" pivotButton="0" quotePrefix="0" xfId="0"/>
    <xf numFmtId="0" fontId="4" fillId="7" borderId="3" pivotButton="0" quotePrefix="0" xfId="0"/>
    <xf numFmtId="0" fontId="0" fillId="7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0" fontId="7" fillId="0" borderId="3" pivotButton="0" quotePrefix="0" xfId="0"/>
    <xf numFmtId="166" fontId="9" fillId="0" borderId="3" pivotButton="0" quotePrefix="0" xfId="0"/>
    <xf numFmtId="0" fontId="8" fillId="0" borderId="3" pivotButton="0" quotePrefix="0" xfId="0"/>
    <xf numFmtId="166" fontId="10" fillId="0" borderId="3" pivotButton="0" quotePrefix="0" xfId="0"/>
    <xf numFmtId="0" fontId="11" fillId="0" borderId="3" pivotButton="0" quotePrefix="0" xfId="0"/>
    <xf numFmtId="167" fontId="11" fillId="0" borderId="3" pivotButton="0" quotePrefix="0" xfId="0"/>
    <xf numFmtId="9" fontId="11" fillId="0" borderId="3" pivotButton="0" quotePrefix="0" xfId="0"/>
    <xf numFmtId="0" fontId="12" fillId="0" borderId="3" pivotButton="0" quotePrefix="0" xfId="0"/>
    <xf numFmtId="0" fontId="13" fillId="0" borderId="3" pivotButton="0" quotePrefix="0" xfId="0"/>
    <xf numFmtId="3" fontId="13" fillId="0" borderId="3" pivotButton="0" quotePrefix="0" xfId="0"/>
    <xf numFmtId="43" fontId="13" fillId="0" borderId="0" pivotButton="0" quotePrefix="0" xfId="0"/>
    <xf numFmtId="168" fontId="13" fillId="0" borderId="3" pivotButton="0" quotePrefix="0" xfId="0"/>
    <xf numFmtId="0" fontId="14" fillId="0" borderId="0" pivotButton="0" quotePrefix="0" xfId="0"/>
    <xf numFmtId="0" fontId="14" fillId="0" borderId="3" pivotButton="0" quotePrefix="0" xfId="0"/>
    <xf numFmtId="3" fontId="14" fillId="0" borderId="3" pivotButton="0" quotePrefix="0" xfId="0"/>
    <xf numFmtId="2" fontId="14" fillId="0" borderId="3" pivotButton="0" quotePrefix="0" xfId="0"/>
    <xf numFmtId="9" fontId="13" fillId="0" borderId="3" pivotButton="0" quotePrefix="0" xfId="0"/>
    <xf numFmtId="0" fontId="13" fillId="0" borderId="0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  <c r="J2" s="4" t="n">
        <v>46537938169842</v>
      </c>
      <c r="K2" s="4" t="n">
        <v>49394749963613</v>
      </c>
      <c r="L2" s="4" t="n">
        <v>52968968277078</v>
      </c>
      <c r="M2" s="4" t="n">
        <v>61740702018288</v>
      </c>
      <c r="N2" s="4" t="n">
        <v>78382769920190</v>
      </c>
      <c r="O2" s="4" t="n">
        <v>76612765855403</v>
      </c>
      <c r="P2" s="4" t="n">
        <v>85027423981731</v>
      </c>
      <c r="Q2" s="4" t="n">
        <v>97180152540672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  <c r="J3" s="4" t="n">
        <v>3265767728843</v>
      </c>
      <c r="K3" s="4" t="n">
        <v>2864601041636</v>
      </c>
      <c r="L3" s="4" t="n">
        <v>2310027768246</v>
      </c>
      <c r="M3" s="4" t="n">
        <v>2997602183062</v>
      </c>
      <c r="N3" s="4" t="n">
        <v>5291517936798</v>
      </c>
      <c r="O3" s="4" t="n">
        <v>3108078221717</v>
      </c>
      <c r="P3" s="4" t="n">
        <v>5493172934162</v>
      </c>
      <c r="Q3" s="4" t="n">
        <v>6154505245964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  <c r="J4" s="4" t="n">
        <v>3265767728843</v>
      </c>
      <c r="K4" s="4" t="n">
        <v>2864601041636</v>
      </c>
      <c r="L4" s="4" t="n">
        <v>2273027768246</v>
      </c>
      <c r="M4" s="4" t="n">
        <v>2910602183062</v>
      </c>
      <c r="N4" s="4" t="n">
        <v>5130517936798</v>
      </c>
      <c r="O4" s="4" t="n">
        <v>3108078221717</v>
      </c>
      <c r="P4" s="4" t="n">
        <v>5326172934162</v>
      </c>
      <c r="Q4" s="4" t="n">
        <v>6154505245964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37000000000</v>
      </c>
      <c r="M5" s="4" t="n">
        <v>87000000000</v>
      </c>
      <c r="N5" s="4" t="n">
        <v>161000000000</v>
      </c>
      <c r="O5" s="4" t="n">
        <v>0</v>
      </c>
      <c r="P5" s="4" t="n">
        <v>167000000000</v>
      </c>
      <c r="Q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  <c r="J6" s="4" t="n">
        <v>0</v>
      </c>
      <c r="K6" s="4" t="n">
        <v>17278163500</v>
      </c>
      <c r="L6" s="4" t="n">
        <v>33872594500</v>
      </c>
      <c r="M6" s="4" t="n">
        <v>51182161900</v>
      </c>
      <c r="N6" s="4" t="n">
        <v>38832202200</v>
      </c>
      <c r="O6" s="4" t="n">
        <v>38923020900</v>
      </c>
      <c r="P6" s="4" t="n">
        <v>55937732900</v>
      </c>
      <c r="Q6" s="4" t="n">
        <v>295964797150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  <c r="J7" s="4" t="n">
        <v>-9727352788</v>
      </c>
      <c r="K7" s="4" t="n">
        <v>-10806072274</v>
      </c>
      <c r="L7" s="4" t="n">
        <v>-11506571201</v>
      </c>
      <c r="M7" s="4" t="n">
        <v>-12345953462</v>
      </c>
      <c r="N7" s="4" t="n">
        <v>-11866416736</v>
      </c>
      <c r="O7" s="4" t="n">
        <v>-12757948678</v>
      </c>
      <c r="P7" s="4" t="n">
        <v>-11783320309</v>
      </c>
      <c r="Q7" s="4" t="n">
        <v>-10253768528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  <c r="J8" s="4" t="n">
        <v>2203073674403</v>
      </c>
      <c r="K8" s="4" t="n">
        <v>656597329458</v>
      </c>
      <c r="L8" s="4" t="n">
        <v>996008362522</v>
      </c>
      <c r="M8" s="4" t="n">
        <v>874079299667</v>
      </c>
      <c r="N8" s="4" t="n">
        <v>787897805756</v>
      </c>
      <c r="O8" s="4" t="n">
        <v>727456098295</v>
      </c>
      <c r="P8" s="4" t="n">
        <v>1011891732598</v>
      </c>
      <c r="Q8" s="4" t="n">
        <v>2958224791790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  <c r="J10" s="4" t="n">
        <v>8701139638</v>
      </c>
      <c r="K10" s="4" t="n">
        <v>1949853033</v>
      </c>
      <c r="L10" s="4" t="n">
        <v>3435219019</v>
      </c>
      <c r="M10" s="4" t="n">
        <v>6902531025</v>
      </c>
      <c r="N10" s="4" t="n">
        <v>3596683895</v>
      </c>
      <c r="O10" s="4" t="n">
        <v>5729878954</v>
      </c>
      <c r="P10" s="4" t="n">
        <v>11052033343</v>
      </c>
      <c r="Q10" s="4" t="n">
        <v>6790687225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  <c r="J13" s="4" t="n">
        <v>1558793428622</v>
      </c>
      <c r="K13" s="4" t="n">
        <v>22076558945</v>
      </c>
      <c r="L13" s="4" t="n">
        <v>286954331576</v>
      </c>
      <c r="M13" s="4" t="n">
        <v>244187804555</v>
      </c>
      <c r="N13" s="4" t="n">
        <v>210474055456</v>
      </c>
      <c r="O13" s="4" t="n">
        <v>2271195630</v>
      </c>
      <c r="P13" s="4" t="n">
        <v>5519758032</v>
      </c>
      <c r="Q13" s="4" t="n">
        <v>13292610728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  <c r="J19" s="4" t="n">
        <v>68237406443</v>
      </c>
      <c r="K19" s="4" t="n">
        <v>52699169656</v>
      </c>
      <c r="L19" s="4" t="n">
        <v>84330483562</v>
      </c>
      <c r="M19" s="4" t="n">
        <v>49725105981</v>
      </c>
      <c r="N19" s="4" t="n">
        <v>31232953660</v>
      </c>
      <c r="O19" s="4" t="n">
        <v>13408458353</v>
      </c>
      <c r="P19" s="4" t="n">
        <v>67762199748</v>
      </c>
      <c r="Q19" s="4" t="n">
        <v>110694665172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  <c r="J22" s="4" t="inlineStr"/>
      <c r="K22" s="4" t="inlineStr"/>
      <c r="L22" s="4" t="inlineStr"/>
      <c r="M22" s="4" t="inlineStr"/>
      <c r="N22" s="4" t="inlineStr"/>
      <c r="O22" s="4" t="inlineStr"/>
      <c r="P22" s="4" t="inlineStr"/>
      <c r="Q22" s="4" t="inlineStr"/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  <c r="J23" s="4" t="n">
        <v>3330054972010</v>
      </c>
      <c r="K23" s="4" t="n">
        <v>3849383856581</v>
      </c>
      <c r="L23" s="4" t="n">
        <v>3360594808902</v>
      </c>
      <c r="M23" s="4" t="n">
        <v>3393485968453</v>
      </c>
      <c r="N23" s="4" t="n">
        <v>3390212189913</v>
      </c>
      <c r="O23" s="4" t="n">
        <v>4019491143606</v>
      </c>
      <c r="P23" s="4" t="n">
        <v>3637467753045</v>
      </c>
      <c r="Q23" s="4" t="n">
        <v>3411907280610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  <c r="J29" s="4" t="n">
        <v>47000960029</v>
      </c>
      <c r="K29" s="4" t="n">
        <v>50740739690</v>
      </c>
      <c r="L29" s="4" t="n">
        <v>50059922585</v>
      </c>
      <c r="M29" s="4" t="n">
        <v>67889896187</v>
      </c>
      <c r="N29" s="4" t="n">
        <v>65675916039</v>
      </c>
      <c r="O29" s="4" t="n">
        <v>107181206706</v>
      </c>
      <c r="P29" s="4" t="n">
        <v>99261590948</v>
      </c>
      <c r="Q29" s="4" t="n">
        <v>103445113819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  <c r="J30" s="4" t="n">
        <v>36875524953</v>
      </c>
      <c r="K30" s="4" t="n">
        <v>39993555777</v>
      </c>
      <c r="L30" s="4" t="n">
        <v>40602366921</v>
      </c>
      <c r="M30" s="4" t="n">
        <v>36928419675</v>
      </c>
      <c r="N30" s="4" t="n">
        <v>37233603012</v>
      </c>
      <c r="O30" s="4" t="n">
        <v>33220423249</v>
      </c>
      <c r="P30" s="4" t="n">
        <v>29637344161</v>
      </c>
      <c r="Q30" s="4" t="n">
        <v>33373987097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  <c r="J31" s="4" t="n">
        <v>110167904200</v>
      </c>
      <c r="K31" s="4" t="n">
        <v>117475687200</v>
      </c>
      <c r="L31" s="4" t="n">
        <v>121971999900</v>
      </c>
      <c r="M31" s="4" t="n">
        <v>122197849900</v>
      </c>
      <c r="N31" s="4" t="n">
        <v>126511586020</v>
      </c>
      <c r="O31" s="4" t="n">
        <v>126797126020</v>
      </c>
      <c r="P31" s="4" t="n">
        <v>126797126020</v>
      </c>
      <c r="Q31" s="4" t="n">
        <v>134206292060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  <c r="J32" s="4" t="n">
        <v>-73292379247</v>
      </c>
      <c r="K32" s="4" t="n">
        <v>-77482131423</v>
      </c>
      <c r="L32" s="4" t="n">
        <v>-81369632979</v>
      </c>
      <c r="M32" s="4" t="n">
        <v>-85269430225</v>
      </c>
      <c r="N32" s="4" t="n">
        <v>-89277983008</v>
      </c>
      <c r="O32" s="4" t="n">
        <v>-93576702771</v>
      </c>
      <c r="P32" s="4" t="n">
        <v>-97159781859</v>
      </c>
      <c r="Q32" s="4" t="n">
        <v>-100832304963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  <c r="J36" s="4" t="n">
        <v>10125435076</v>
      </c>
      <c r="K36" s="4" t="n">
        <v>10747183913</v>
      </c>
      <c r="L36" s="4" t="n">
        <v>9457555664</v>
      </c>
      <c r="M36" s="4" t="n">
        <v>30961476512</v>
      </c>
      <c r="N36" s="4" t="n">
        <v>28442313027</v>
      </c>
      <c r="O36" s="4" t="n">
        <v>73960783457</v>
      </c>
      <c r="P36" s="4" t="n">
        <v>69624246787</v>
      </c>
      <c r="Q36" s="4" t="n">
        <v>70071126722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  <c r="J37" s="4" t="n">
        <v>64600335490</v>
      </c>
      <c r="K37" s="4" t="n">
        <v>66775606490</v>
      </c>
      <c r="L37" s="4" t="n">
        <v>66775606490</v>
      </c>
      <c r="M37" s="4" t="n">
        <v>90229842713</v>
      </c>
      <c r="N37" s="4" t="n">
        <v>90229842713</v>
      </c>
      <c r="O37" s="4" t="n">
        <v>138768470729</v>
      </c>
      <c r="P37" s="4" t="n">
        <v>138768470729</v>
      </c>
      <c r="Q37" s="4" t="n">
        <v>143373692729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  <c r="J38" s="4" t="n">
        <v>-54474900414</v>
      </c>
      <c r="K38" s="4" t="n">
        <v>-56028422577</v>
      </c>
      <c r="L38" s="4" t="n">
        <v>-57318050826</v>
      </c>
      <c r="M38" s="4" t="n">
        <v>-59268366201</v>
      </c>
      <c r="N38" s="4" t="n">
        <v>-61787529686</v>
      </c>
      <c r="O38" s="4" t="n">
        <v>-64807687272</v>
      </c>
      <c r="P38" s="4" t="n">
        <v>-69144223942</v>
      </c>
      <c r="Q38" s="4" t="n">
        <v>-73302566007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  <c r="J43" s="4" t="n">
        <v>3033431775000</v>
      </c>
      <c r="K43" s="4" t="n">
        <v>3533431775000</v>
      </c>
      <c r="L43" s="4" t="n">
        <v>3033431775000</v>
      </c>
      <c r="M43" s="4" t="n">
        <v>3043681255890</v>
      </c>
      <c r="N43" s="4" t="n">
        <v>3043681255890</v>
      </c>
      <c r="O43" s="4" t="n">
        <v>3610268431824</v>
      </c>
      <c r="P43" s="4" t="n">
        <v>3200268431824</v>
      </c>
      <c r="Q43" s="4" t="n">
        <v>3035268431824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  <c r="J46" s="4" t="n">
        <v>3033431775000</v>
      </c>
      <c r="K46" s="4" t="n">
        <v>3033431775000</v>
      </c>
      <c r="L46" s="4" t="n">
        <v>3033431775000</v>
      </c>
      <c r="M46" s="4" t="n">
        <v>3043681255890</v>
      </c>
      <c r="N46" s="4" t="n">
        <v>3043681255890</v>
      </c>
      <c r="O46" s="4" t="n">
        <v>3200268431824</v>
      </c>
      <c r="P46" s="4" t="n">
        <v>3200268431824</v>
      </c>
      <c r="Q46" s="4" t="n">
        <v>3035268431824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  <c r="J48" s="4" t="n">
        <v>241150917749</v>
      </c>
      <c r="K48" s="4" t="n">
        <v>256740022659</v>
      </c>
      <c r="L48" s="4" t="n">
        <v>260582593122</v>
      </c>
      <c r="M48" s="4" t="n">
        <v>267102202449</v>
      </c>
      <c r="N48" s="4" t="n">
        <v>246239159782</v>
      </c>
      <c r="O48" s="4" t="n">
        <v>248276291750</v>
      </c>
      <c r="P48" s="4" t="n">
        <v>264435446241</v>
      </c>
      <c r="Q48" s="4" t="n">
        <v>245372332899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  <c r="J49" s="4" t="n">
        <v>7701633394</v>
      </c>
      <c r="K49" s="4" t="n">
        <v>8909838294</v>
      </c>
      <c r="L49" s="4" t="n">
        <v>8133371598</v>
      </c>
      <c r="M49" s="4" t="n">
        <v>8780941145</v>
      </c>
      <c r="N49" s="4" t="n">
        <v>10857104111</v>
      </c>
      <c r="O49" s="4" t="n">
        <v>16980000795</v>
      </c>
      <c r="P49" s="4" t="n">
        <v>27085726995</v>
      </c>
      <c r="Q49" s="4" t="n">
        <v>13281981916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  <c r="J50" s="4" t="n">
        <v>9465493213</v>
      </c>
      <c r="K50" s="4" t="n">
        <v>23846393223</v>
      </c>
      <c r="L50" s="4" t="n">
        <v>27129516453</v>
      </c>
      <c r="M50" s="4" t="n">
        <v>32996597917</v>
      </c>
      <c r="N50" s="4" t="n">
        <v>16734953961</v>
      </c>
      <c r="O50" s="4" t="n">
        <v>17804201744</v>
      </c>
      <c r="P50" s="4" t="n">
        <v>22975770797</v>
      </c>
      <c r="Q50" s="4" t="n">
        <v>28034019633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  <c r="J51" s="4" t="n">
        <v>10000000000</v>
      </c>
      <c r="K51" s="4" t="n">
        <v>10000000000</v>
      </c>
      <c r="L51" s="4" t="n">
        <v>10070406241</v>
      </c>
      <c r="M51" s="4" t="n">
        <v>10075364557</v>
      </c>
      <c r="N51" s="4" t="n">
        <v>10078677278</v>
      </c>
      <c r="O51" s="4" t="n">
        <v>10083869378</v>
      </c>
      <c r="P51" s="4" t="n">
        <v>10087129632</v>
      </c>
      <c r="Q51" s="4" t="n">
        <v>10092250536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  <c r="J52" s="4" t="n">
        <v>49867993141852</v>
      </c>
      <c r="K52" s="4" t="n">
        <v>53244133820194</v>
      </c>
      <c r="L52" s="4" t="n">
        <v>56329563085980</v>
      </c>
      <c r="M52" s="4" t="n">
        <v>65134187986741</v>
      </c>
      <c r="N52" s="4" t="n">
        <v>81772982110103</v>
      </c>
      <c r="O52" s="4" t="n">
        <v>80632256999009</v>
      </c>
      <c r="P52" s="4" t="n">
        <v>88664891734776</v>
      </c>
      <c r="Q52" s="4" t="n">
        <v>100592059821282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  <c r="J53" s="4" t="n">
        <v>24278844247212</v>
      </c>
      <c r="K53" s="4" t="n">
        <v>26947161543516</v>
      </c>
      <c r="L53" s="4" t="n">
        <v>29034864968810</v>
      </c>
      <c r="M53" s="4" t="n">
        <v>35070953344400</v>
      </c>
      <c r="N53" s="4" t="n">
        <v>39294666746150</v>
      </c>
      <c r="O53" s="4" t="n">
        <v>36532676815634</v>
      </c>
      <c r="P53" s="4" t="n">
        <v>43198457639720</v>
      </c>
      <c r="Q53" s="4" t="n">
        <v>54809609915262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  <c r="J54" s="4" t="n">
        <v>20399876486004</v>
      </c>
      <c r="K54" s="4" t="n">
        <v>25934267565771</v>
      </c>
      <c r="L54" s="4" t="n">
        <v>29024790354591</v>
      </c>
      <c r="M54" s="4" t="n">
        <v>33563528724306</v>
      </c>
      <c r="N54" s="4" t="n">
        <v>38288931011481</v>
      </c>
      <c r="O54" s="4" t="n">
        <v>35016932279815</v>
      </c>
      <c r="P54" s="4" t="n">
        <v>40601152377163</v>
      </c>
      <c r="Q54" s="4" t="n">
        <v>51489473495504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  <c r="J55" s="4" t="n">
        <v>18250517591201</v>
      </c>
      <c r="K55" s="4" t="n">
        <v>20522995942980</v>
      </c>
      <c r="L55" s="4" t="n">
        <v>23174721054788</v>
      </c>
      <c r="M55" s="4" t="n">
        <v>27437860000000</v>
      </c>
      <c r="N55" s="4" t="n">
        <v>30374680600000</v>
      </c>
      <c r="O55" s="4" t="n">
        <v>31079695096211</v>
      </c>
      <c r="P55" s="4" t="n">
        <v>37356285415843</v>
      </c>
      <c r="Q55" s="4" t="n">
        <v>48116836647405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  <c r="J56" s="4" t="n">
        <v>59730140</v>
      </c>
      <c r="K56" s="4" t="n">
        <v>66489220</v>
      </c>
      <c r="L56" s="4" t="n">
        <v>45351900</v>
      </c>
      <c r="M56" s="4" t="n">
        <v>93473300</v>
      </c>
      <c r="N56" s="4" t="n">
        <v>142138000</v>
      </c>
      <c r="O56" s="4" t="n">
        <v>2000410883</v>
      </c>
      <c r="P56" s="4" t="n">
        <v>1573129000</v>
      </c>
      <c r="Q56" s="4" t="n">
        <v>13538274711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  <c r="J57" s="4" t="n">
        <v>0</v>
      </c>
      <c r="K57" s="4" t="n">
        <v>126000000000</v>
      </c>
      <c r="L57" s="4" t="n">
        <v>78000000000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  <c r="J58" s="4" t="n">
        <v>698326625773</v>
      </c>
      <c r="K58" s="4" t="n">
        <v>878447688270</v>
      </c>
      <c r="L58" s="4" t="n">
        <v>380993533971</v>
      </c>
      <c r="M58" s="4" t="n">
        <v>603658220969</v>
      </c>
      <c r="N58" s="4" t="n">
        <v>1035870778440</v>
      </c>
      <c r="O58" s="4" t="n">
        <v>1384739664586</v>
      </c>
      <c r="P58" s="4" t="n">
        <v>448591050393</v>
      </c>
      <c r="Q58" s="4" t="n">
        <v>748797692892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  <c r="J59" s="4" t="n">
        <v>118468968369</v>
      </c>
      <c r="K59" s="4" t="n">
        <v>183986993939</v>
      </c>
      <c r="L59" s="4" t="n">
        <v>119932319056</v>
      </c>
      <c r="M59" s="4" t="n">
        <v>150745291713</v>
      </c>
      <c r="N59" s="4" t="n">
        <v>184840746106</v>
      </c>
      <c r="O59" s="4" t="n">
        <v>231830280548</v>
      </c>
      <c r="P59" s="4" t="n">
        <v>165143851752</v>
      </c>
      <c r="Q59" s="4" t="n">
        <v>143614372893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  <c r="J60" s="4" t="n">
        <v>168574079706</v>
      </c>
      <c r="K60" s="4" t="n">
        <v>191122324100</v>
      </c>
      <c r="L60" s="4" t="n">
        <v>206892777590</v>
      </c>
      <c r="M60" s="4" t="n">
        <v>231795877749</v>
      </c>
      <c r="N60" s="4" t="n">
        <v>343722189940</v>
      </c>
      <c r="O60" s="4" t="n">
        <v>265828841247</v>
      </c>
      <c r="P60" s="4" t="n">
        <v>378550561794</v>
      </c>
      <c r="Q60" s="4" t="n">
        <v>636655677530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  <c r="J63" s="4" t="n">
        <v>163411165799</v>
      </c>
      <c r="K63" s="4" t="n">
        <v>174100135424</v>
      </c>
      <c r="L63" s="4" t="n">
        <v>167782281746</v>
      </c>
      <c r="M63" s="4" t="n">
        <v>131171841356</v>
      </c>
      <c r="N63" s="4" t="n">
        <v>128087426588</v>
      </c>
      <c r="O63" s="4" t="n">
        <v>120138271307</v>
      </c>
      <c r="P63" s="4" t="n">
        <v>335913028935</v>
      </c>
      <c r="Q63" s="4" t="n">
        <v>114291342508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  <c r="J65" s="4" t="n">
        <v>290000000</v>
      </c>
      <c r="K65" s="4" t="n">
        <v>290000000</v>
      </c>
      <c r="L65" s="4" t="n">
        <v>290000000</v>
      </c>
      <c r="M65" s="4" t="n">
        <v>290000000</v>
      </c>
      <c r="N65" s="4" t="n">
        <v>290000000</v>
      </c>
      <c r="O65" s="4" t="n">
        <v>290000000</v>
      </c>
      <c r="P65" s="4" t="n">
        <v>290000000</v>
      </c>
      <c r="Q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  <c r="J66" s="4" t="n">
        <v>3878967761208</v>
      </c>
      <c r="K66" s="4" t="n">
        <v>1012893977745</v>
      </c>
      <c r="L66" s="4" t="n">
        <v>10074614219</v>
      </c>
      <c r="M66" s="4" t="n">
        <v>1507424620094</v>
      </c>
      <c r="N66" s="4" t="n">
        <v>1005735734669</v>
      </c>
      <c r="O66" s="4" t="n">
        <v>1515744535819</v>
      </c>
      <c r="P66" s="4" t="n">
        <v>2597305262557</v>
      </c>
      <c r="Q66" s="4" t="n">
        <v>3320136419758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0</v>
      </c>
      <c r="Q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1092556605020</v>
      </c>
      <c r="Q70" s="4" t="n">
        <v>1314886041778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  <c r="Q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  <c r="J74" s="4" t="n">
        <v>5507335795</v>
      </c>
      <c r="K74" s="4" t="n">
        <v>6512947402</v>
      </c>
      <c r="L74" s="4" t="n">
        <v>5687567755</v>
      </c>
      <c r="M74" s="4" t="n">
        <v>7339307052</v>
      </c>
      <c r="N74" s="4" t="n">
        <v>5759347833</v>
      </c>
      <c r="O74" s="4" t="n">
        <v>5743148982</v>
      </c>
      <c r="P74" s="4" t="n">
        <v>4231749757</v>
      </c>
      <c r="Q74" s="4" t="n">
        <v>5219824480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  <c r="J76" s="4" t="n">
        <v>25589148894640</v>
      </c>
      <c r="K76" s="4" t="n">
        <v>26296972276678</v>
      </c>
      <c r="L76" s="4" t="n">
        <v>27294698117170</v>
      </c>
      <c r="M76" s="4" t="n">
        <v>30063234642341</v>
      </c>
      <c r="N76" s="4" t="n">
        <v>42478315363953</v>
      </c>
      <c r="O76" s="4" t="n">
        <v>44099580183375</v>
      </c>
      <c r="P76" s="4" t="n">
        <v>45466434095056</v>
      </c>
      <c r="Q76" s="4" t="n">
        <v>45782449906020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  <c r="J77" s="4" t="n">
        <v>2179246800000</v>
      </c>
      <c r="K77" s="4" t="n">
        <v>19613221200000</v>
      </c>
      <c r="L77" s="4" t="n">
        <v>19613221200000</v>
      </c>
      <c r="M77" s="4" t="n">
        <v>20801580210000</v>
      </c>
      <c r="N77" s="4" t="n">
        <v>23113080210000</v>
      </c>
      <c r="O77" s="4" t="n">
        <v>23113080210000</v>
      </c>
      <c r="P77" s="4" t="n">
        <v>23115834960000</v>
      </c>
      <c r="Q77" s="4" t="n">
        <v>27738968030000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  <c r="J78" s="4" t="n">
        <v>9191910000000</v>
      </c>
      <c r="K78" s="4" t="n">
        <v>0</v>
      </c>
      <c r="L78" s="4" t="n">
        <v>0</v>
      </c>
      <c r="M78" s="4" t="n">
        <v>188354903085</v>
      </c>
      <c r="N78" s="4" t="n">
        <v>8606980418518</v>
      </c>
      <c r="O78" s="4" t="n">
        <v>8606980418518</v>
      </c>
      <c r="P78" s="4" t="n">
        <v>8606980418518</v>
      </c>
      <c r="Q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0</v>
      </c>
      <c r="Q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  <c r="J81" s="4" t="n">
        <v>33451347139</v>
      </c>
      <c r="K81" s="4" t="n">
        <v>-4961252868</v>
      </c>
      <c r="L81" s="4" t="n">
        <v>-17886305897</v>
      </c>
      <c r="M81" s="4" t="n">
        <v>-46137523695</v>
      </c>
      <c r="N81" s="4" t="n">
        <v>19292279895</v>
      </c>
      <c r="O81" s="4" t="n">
        <v>7475370203</v>
      </c>
      <c r="P81" s="4" t="n">
        <v>-4618466108</v>
      </c>
      <c r="Q81" s="4" t="n">
        <v>-6107606719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  <c r="J86" s="4" t="n">
        <v>14184540747501</v>
      </c>
      <c r="K86" s="4" t="n">
        <v>6688712329546</v>
      </c>
      <c r="L86" s="4" t="n">
        <v>7699363223067</v>
      </c>
      <c r="M86" s="4" t="n">
        <v>9119437052951</v>
      </c>
      <c r="N86" s="4" t="n">
        <v>10738962455540</v>
      </c>
      <c r="O86" s="4" t="n">
        <v>12372044184654</v>
      </c>
      <c r="P86" s="4" t="n">
        <v>13519677614146</v>
      </c>
      <c r="Q86" s="4" t="n">
        <v>9432646400614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0</v>
      </c>
      <c r="L89" s="4" t="n">
        <v>0</v>
      </c>
      <c r="M89" s="4" t="n">
        <v>0</v>
      </c>
      <c r="N89" s="4" t="n">
        <v>0</v>
      </c>
      <c r="O89" s="4" t="n">
        <v>0</v>
      </c>
      <c r="P89" s="4" t="n">
        <v>0</v>
      </c>
      <c r="Q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  <c r="J91" s="4" t="n">
        <v>49867993141852</v>
      </c>
      <c r="K91" s="4" t="n">
        <v>53244133820194</v>
      </c>
      <c r="L91" s="4" t="n">
        <v>56329563085980</v>
      </c>
      <c r="M91" s="4" t="n">
        <v>65134187986741</v>
      </c>
      <c r="N91" s="4" t="n">
        <v>81772982110103</v>
      </c>
      <c r="O91" s="4" t="n">
        <v>80632256999009</v>
      </c>
      <c r="P91" s="4" t="n">
        <v>88664891734776</v>
      </c>
      <c r="Q91" s="4" t="n">
        <v>100592059821282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  <c r="N92" s="4" t="inlineStr"/>
      <c r="O92" s="4" t="inlineStr"/>
      <c r="P92" s="4" t="inlineStr"/>
      <c r="Q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  <c r="J93" s="4" t="n">
        <v>2031105785348</v>
      </c>
      <c r="K93" s="4" t="n">
        <v>2232105785348</v>
      </c>
      <c r="L93" s="4" t="n">
        <v>2854426333293</v>
      </c>
      <c r="M93" s="4" t="n">
        <v>2800679117067</v>
      </c>
      <c r="N93" s="4" t="n">
        <v>3451358569122</v>
      </c>
      <c r="O93" s="4" t="n">
        <v>3657418739619</v>
      </c>
      <c r="P93" s="4" t="n">
        <v>1405918739619</v>
      </c>
      <c r="Q93" s="4" t="n">
        <v>1588198577180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  <c r="J96" s="4" t="n">
        <v>82795997063</v>
      </c>
      <c r="K96" s="4" t="n">
        <v>30358344178</v>
      </c>
      <c r="L96" s="4" t="n">
        <v>45950131687</v>
      </c>
      <c r="M96" s="4" t="n">
        <v>71989880958</v>
      </c>
      <c r="N96" s="4" t="n">
        <v>1383113176263</v>
      </c>
      <c r="O96" s="4" t="n">
        <v>51121802352</v>
      </c>
      <c r="P96" s="4" t="n">
        <v>63272414917</v>
      </c>
      <c r="Q96" s="4" t="n">
        <v>134533283705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  <c r="J99" s="4" t="n">
        <v>30553500</v>
      </c>
      <c r="K99" s="4" t="n">
        <v>30553500</v>
      </c>
      <c r="L99" s="4" t="n">
        <v>30553500</v>
      </c>
      <c r="M99" s="4" t="n">
        <v>30553500</v>
      </c>
      <c r="N99" s="4" t="n">
        <v>30553500</v>
      </c>
      <c r="O99" s="4" t="n">
        <v>30553500</v>
      </c>
      <c r="P99" s="4" t="n">
        <v>30553500</v>
      </c>
      <c r="Q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  <c r="J105" s="4" t="n">
        <v>8471319232</v>
      </c>
      <c r="K105" s="4" t="n">
        <v>8471319232</v>
      </c>
      <c r="L105" s="4" t="n">
        <v>16520518195</v>
      </c>
      <c r="M105" s="4" t="n">
        <v>14812613927</v>
      </c>
      <c r="N105" s="4" t="n">
        <v>34615858202</v>
      </c>
      <c r="O105" s="4" t="n">
        <v>53765213326</v>
      </c>
      <c r="P105" s="4" t="n">
        <v>73502284032</v>
      </c>
      <c r="Q105" s="4" t="n">
        <v>27821402068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  <c r="J108" s="4" t="n">
        <v>166387273361</v>
      </c>
      <c r="K108" s="4" t="n">
        <v>251238807204</v>
      </c>
      <c r="L108" s="4" t="n">
        <v>273220636298</v>
      </c>
      <c r="M108" s="4" t="n">
        <v>366167493322</v>
      </c>
      <c r="N108" s="4" t="n">
        <v>469664056104</v>
      </c>
      <c r="O108" s="4" t="n">
        <v>375518055392</v>
      </c>
      <c r="P108" s="4" t="n">
        <v>344600150873</v>
      </c>
      <c r="Q108" s="4" t="n">
        <v>509305277939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  <c r="J116" s="4" t="n">
        <v>2179246800000</v>
      </c>
      <c r="K116" s="4" t="n">
        <v>19613221200000</v>
      </c>
      <c r="L116" s="4" t="n">
        <v>19613221200000</v>
      </c>
      <c r="M116" s="4" t="n">
        <v>20801580210000</v>
      </c>
      <c r="N116" s="4" t="n">
        <v>23113080210000</v>
      </c>
      <c r="O116" s="4" t="n">
        <v>23113080210000</v>
      </c>
      <c r="P116" s="4" t="n">
        <v>23115834960000</v>
      </c>
      <c r="Q116" s="4" t="n">
        <v>27738968030000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228559568500</v>
      </c>
      <c r="Q117" s="4" t="n">
        <v>9962663607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  <c r="J119" s="4" t="n">
        <v>14165679904250</v>
      </c>
      <c r="K119" s="4" t="n">
        <v>6665324621285</v>
      </c>
      <c r="L119" s="4" t="n">
        <v>7676909714250</v>
      </c>
      <c r="M119" s="4" t="n">
        <v>9096831320287</v>
      </c>
      <c r="N119" s="4" t="n">
        <v>10713649221674</v>
      </c>
      <c r="O119" s="4" t="n">
        <v>12347939323386</v>
      </c>
      <c r="P119" s="4" t="n">
        <v>13494660535593</v>
      </c>
      <c r="Q119" s="4" t="n">
        <v>9408032062368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  <c r="J120" s="4" t="n">
        <v>8471319232</v>
      </c>
      <c r="K120" s="4" t="n">
        <v>8471319232</v>
      </c>
      <c r="L120" s="4" t="n">
        <v>16520518195</v>
      </c>
      <c r="M120" s="4" t="n">
        <v>14812613927</v>
      </c>
      <c r="N120" s="4" t="n">
        <v>34615858202</v>
      </c>
      <c r="O120" s="4" t="n">
        <v>53765213326</v>
      </c>
      <c r="P120" s="4" t="n">
        <v>73502284032</v>
      </c>
      <c r="Q120" s="4" t="n">
        <v>27821402068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  <c r="J124" s="4" t="n">
        <v>18754492342</v>
      </c>
      <c r="K124" s="4" t="n">
        <v>18754492342</v>
      </c>
      <c r="L124" s="4" t="n">
        <v>20000000030</v>
      </c>
      <c r="M124" s="4" t="n">
        <v>20000000030</v>
      </c>
      <c r="N124" s="4" t="n">
        <v>20000000030</v>
      </c>
      <c r="O124" s="4" t="n">
        <v>20000000030</v>
      </c>
      <c r="P124" s="4" t="n">
        <v>20854599014</v>
      </c>
      <c r="Q124" s="4" t="n">
        <v>20854599014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  <c r="J125" s="4" t="n">
        <v>46469079043399</v>
      </c>
      <c r="K125" s="4" t="n">
        <v>49341572003957</v>
      </c>
      <c r="L125" s="4" t="n">
        <v>52883371583516</v>
      </c>
      <c r="M125" s="4" t="n">
        <v>61688842642307</v>
      </c>
      <c r="N125" s="4" t="n">
        <v>78349422229172</v>
      </c>
      <c r="O125" s="4" t="n">
        <v>76597293421692</v>
      </c>
      <c r="P125" s="4" t="n">
        <v>84958517220625</v>
      </c>
      <c r="Q125" s="4" t="n">
        <v>97067447204142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  <c r="J126" s="4" t="n">
        <v>25483299379217</v>
      </c>
      <c r="K126" s="4" t="n">
        <v>25911246001189</v>
      </c>
      <c r="L126" s="4" t="n">
        <v>30471557082792</v>
      </c>
      <c r="M126" s="4" t="n">
        <v>33805854891155</v>
      </c>
      <c r="N126" s="4" t="n">
        <v>41712992337150</v>
      </c>
      <c r="O126" s="4" t="n">
        <v>43859732477143</v>
      </c>
      <c r="P126" s="4" t="n">
        <v>44754440486749</v>
      </c>
      <c r="Q126" s="4" t="n">
        <v>51522435194856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  <c r="J127" s="4" t="n">
        <v>13495559828376</v>
      </c>
      <c r="K127" s="4" t="n">
        <v>17670549755100</v>
      </c>
      <c r="L127" s="4" t="n">
        <v>16228986013364</v>
      </c>
      <c r="M127" s="4" t="n">
        <v>21171790942918</v>
      </c>
      <c r="N127" s="4" t="n">
        <v>27078689794882</v>
      </c>
      <c r="O127" s="4" t="n">
        <v>25218442812696</v>
      </c>
      <c r="P127" s="4" t="n">
        <v>32248938914906</v>
      </c>
      <c r="Q127" s="4" t="n">
        <v>34558372365730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  <c r="J128" s="4" t="n">
        <v>457741282392</v>
      </c>
      <c r="K128" s="4" t="n">
        <v>539116528852</v>
      </c>
      <c r="L128" s="4" t="n">
        <v>472346384931</v>
      </c>
      <c r="M128" s="4" t="n">
        <v>578703273820</v>
      </c>
      <c r="N128" s="4" t="n">
        <v>526862178976</v>
      </c>
      <c r="O128" s="4" t="n">
        <v>686848052984</v>
      </c>
      <c r="P128" s="4" t="n">
        <v>865926822795</v>
      </c>
      <c r="Q128" s="4" t="n">
        <v>2781062712585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195489000</v>
      </c>
      <c r="P129" s="4" t="n">
        <v>219796660869</v>
      </c>
      <c r="Q129" s="4" t="n">
        <v>1735699854000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  <c r="J130" s="4" t="n">
        <v>457741282392</v>
      </c>
      <c r="K130" s="4" t="n">
        <v>539116528852</v>
      </c>
      <c r="L130" s="4" t="n">
        <v>472346384931</v>
      </c>
      <c r="M130" s="4" t="n">
        <v>578703273820</v>
      </c>
      <c r="N130" s="4" t="n">
        <v>526862178976</v>
      </c>
      <c r="O130" s="4" t="n">
        <v>686652563984</v>
      </c>
      <c r="P130" s="4" t="n">
        <v>646130161926</v>
      </c>
      <c r="Q130" s="4" t="n">
        <v>1045362858585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  <c r="J131" s="4" t="n">
        <v>1981</v>
      </c>
      <c r="K131" s="4" t="n">
        <v>4752786</v>
      </c>
      <c r="L131" s="4" t="n">
        <v>2786</v>
      </c>
      <c r="M131" s="4" t="n">
        <v>480873</v>
      </c>
      <c r="N131" s="4" t="n">
        <v>873</v>
      </c>
      <c r="O131" s="4" t="n">
        <v>1200000</v>
      </c>
      <c r="P131" s="4" t="n">
        <v>400000</v>
      </c>
      <c r="Q131" s="4" t="n">
        <v>5988700000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  <c r="J133" s="4" t="n">
        <v>457741280411</v>
      </c>
      <c r="K133" s="4" t="n">
        <v>539111776066</v>
      </c>
      <c r="L133" s="4" t="n">
        <v>472346382145</v>
      </c>
      <c r="M133" s="4" t="n">
        <v>578702792947</v>
      </c>
      <c r="N133" s="4" t="n">
        <v>526862178103</v>
      </c>
      <c r="O133" s="4" t="n">
        <v>686651363984</v>
      </c>
      <c r="P133" s="4" t="n">
        <v>646129761926</v>
      </c>
      <c r="Q133" s="4" t="n">
        <v>1039374158585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  <c r="J135" s="4" t="n">
        <v>179719423751</v>
      </c>
      <c r="K135" s="4" t="n">
        <v>93625988628</v>
      </c>
      <c r="L135" s="4" t="n">
        <v>233460526996</v>
      </c>
      <c r="M135" s="4" t="n">
        <v>44473790267</v>
      </c>
      <c r="N135" s="4" t="n">
        <v>47169487429</v>
      </c>
      <c r="O135" s="4" t="n">
        <v>32804970727</v>
      </c>
      <c r="P135" s="4" t="n">
        <v>129591118428</v>
      </c>
      <c r="Q135" s="4" t="n">
        <v>157276781252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  <c r="J137" s="4" t="n">
        <v>-1881600000</v>
      </c>
      <c r="K137" s="4" t="n">
        <v>-171600000</v>
      </c>
      <c r="L137" s="4" t="n">
        <v>-188100000</v>
      </c>
      <c r="M137" s="4" t="n">
        <v>-188100000</v>
      </c>
      <c r="N137" s="4" t="n">
        <v>-204600000</v>
      </c>
      <c r="O137" s="4" t="n">
        <v>-198000000</v>
      </c>
      <c r="P137" s="4" t="n">
        <v>-198000000</v>
      </c>
      <c r="Q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  <c r="J138" s="4" t="n">
        <v>201900000</v>
      </c>
      <c r="K138" s="4" t="n">
        <v>219400000</v>
      </c>
      <c r="L138" s="4" t="n">
        <v>332000000</v>
      </c>
      <c r="M138" s="4" t="n">
        <v>289100000</v>
      </c>
      <c r="N138" s="4" t="n">
        <v>315700000</v>
      </c>
      <c r="O138" s="4" t="n">
        <v>410200000</v>
      </c>
      <c r="P138" s="4" t="n">
        <v>455600000</v>
      </c>
      <c r="Q138" s="4" t="n">
        <v>368600000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  <c r="J139" s="4" t="n">
        <v>419820000</v>
      </c>
      <c r="K139" s="4" t="n">
        <v>259390000</v>
      </c>
      <c r="L139" s="4" t="n">
        <v>934210000</v>
      </c>
      <c r="M139" s="4" t="n">
        <v>1845170000</v>
      </c>
      <c r="N139" s="4" t="n">
        <v>1794936000</v>
      </c>
      <c r="O139" s="4" t="n">
        <v>1640794000</v>
      </c>
      <c r="P139" s="4" t="n">
        <v>658940000</v>
      </c>
      <c r="Q139" s="4" t="n">
        <v>1627420000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4101358</v>
      </c>
      <c r="O140" s="4" t="n">
        <v>12981358</v>
      </c>
      <c r="P140" s="4" t="n">
        <v>30021358</v>
      </c>
      <c r="Q140" s="4" t="n">
        <v>14651358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  <c r="J142" s="4" t="n">
        <v>3033431775000</v>
      </c>
      <c r="K142" s="4" t="n">
        <v>3533431775000</v>
      </c>
      <c r="L142" s="4" t="n">
        <v>3033431775000</v>
      </c>
      <c r="M142" s="4" t="n">
        <v>3043681255890</v>
      </c>
      <c r="N142" s="4" t="n">
        <v>3043681255890</v>
      </c>
      <c r="O142" s="4" t="n">
        <v>3610268431824</v>
      </c>
      <c r="P142" s="4" t="n">
        <v>3200268431824</v>
      </c>
      <c r="Q142" s="4" t="n">
        <v>3035268431824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  <c r="J147" s="4" t="n">
        <v>195229298800</v>
      </c>
      <c r="K147" s="4" t="n">
        <v>195229298800</v>
      </c>
      <c r="L147" s="4" t="n">
        <v>195249298800</v>
      </c>
      <c r="M147" s="4" t="n">
        <v>195249298800</v>
      </c>
      <c r="N147" s="4" t="n">
        <v>188568424402</v>
      </c>
      <c r="O147" s="4" t="n">
        <v>183408219803</v>
      </c>
      <c r="P147" s="4" t="n">
        <v>183432219803</v>
      </c>
      <c r="Q147" s="4" t="n">
        <v>173109481800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  <c r="J149" s="4" t="n">
        <v>18250517591201</v>
      </c>
      <c r="K149" s="4" t="n">
        <v>20522995942980</v>
      </c>
      <c r="L149" s="4" t="n">
        <v>23174721054788</v>
      </c>
      <c r="M149" s="4" t="n">
        <v>27437860000000</v>
      </c>
      <c r="N149" s="4" t="n">
        <v>30374680600000</v>
      </c>
      <c r="O149" s="4" t="n">
        <v>31079695096211</v>
      </c>
      <c r="P149" s="4" t="n">
        <v>37356285415843</v>
      </c>
      <c r="Q149" s="4" t="n">
        <v>48116836647405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  <c r="J153" s="4" t="n">
        <v>750752043752</v>
      </c>
      <c r="K153" s="4" t="n">
        <v>3574904342006</v>
      </c>
      <c r="L153" s="4" t="n">
        <v>4575774631775</v>
      </c>
      <c r="M153" s="4" t="n">
        <v>4569226462759</v>
      </c>
      <c r="N153" s="4" t="n">
        <v>4367616583545</v>
      </c>
      <c r="O153" s="4" t="n">
        <v>1504310847194</v>
      </c>
      <c r="P153" s="4" t="n">
        <v>1506600187326</v>
      </c>
      <c r="Q153" s="4" t="n">
        <v>1068946226501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0</v>
      </c>
      <c r="P155" s="4" t="n">
        <v>0</v>
      </c>
      <c r="Q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  <c r="J156" s="4" t="n">
        <v>293010840</v>
      </c>
      <c r="K156" s="4" t="n">
        <v>756498450</v>
      </c>
      <c r="L156" s="4" t="n">
        <v>1187635780</v>
      </c>
      <c r="M156" s="4" t="n">
        <v>530182180</v>
      </c>
      <c r="N156" s="4" t="n">
        <v>903316495</v>
      </c>
      <c r="O156" s="4" t="n">
        <v>1459010095</v>
      </c>
      <c r="P156" s="4" t="n">
        <v>332586330</v>
      </c>
      <c r="Q156" s="4" t="n">
        <v>2664699420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1092556605020</v>
      </c>
      <c r="Q158" s="4" t="n">
        <v>1314886041778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  <c r="J161" s="4" t="n">
        <v>3873429871913</v>
      </c>
      <c r="K161" s="4" t="n">
        <v>1006350476843</v>
      </c>
      <c r="L161" s="4" t="n">
        <v>4356492964</v>
      </c>
      <c r="M161" s="4" t="n">
        <v>1500054759542</v>
      </c>
      <c r="N161" s="4" t="n">
        <v>999945833336</v>
      </c>
      <c r="O161" s="4" t="n">
        <v>1509970833337</v>
      </c>
      <c r="P161" s="4" t="n">
        <v>1500486354280</v>
      </c>
      <c r="Q161" s="4" t="n">
        <v>2000000000000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  <c r="J163" s="4" t="n">
        <v>11371156800000</v>
      </c>
      <c r="K163" s="4" t="n">
        <v>19613221200000</v>
      </c>
      <c r="L163" s="4" t="n">
        <v>19613221200000</v>
      </c>
      <c r="M163" s="4" t="n">
        <v>20989935113085</v>
      </c>
      <c r="N163" s="4" t="n">
        <v>31720060628518</v>
      </c>
      <c r="O163" s="4" t="n">
        <v>31720060628518</v>
      </c>
      <c r="P163" s="4" t="n">
        <v>31951374947018</v>
      </c>
      <c r="Q163" s="4" t="n">
        <v>36355911112125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  <c r="J165" s="4" t="n">
        <v>14165679904250</v>
      </c>
      <c r="K165" s="4" t="n">
        <v>6665324621285</v>
      </c>
      <c r="L165" s="4" t="n">
        <v>7676909714250</v>
      </c>
      <c r="M165" s="4" t="n">
        <v>9096831320287</v>
      </c>
      <c r="N165" s="4" t="n">
        <v>10713649221674</v>
      </c>
      <c r="O165" s="4" t="n">
        <v>12347939323386</v>
      </c>
      <c r="P165" s="4" t="n">
        <v>13494660535593</v>
      </c>
      <c r="Q165" s="4" t="n">
        <v>9408032062368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  <c r="J166" s="4" t="n">
        <v>18860843251</v>
      </c>
      <c r="K166" s="4" t="n">
        <v>23387708261</v>
      </c>
      <c r="L166" s="4" t="n">
        <v>22453508817</v>
      </c>
      <c r="M166" s="4" t="n">
        <v>22605732664</v>
      </c>
      <c r="N166" s="4" t="n">
        <v>25313233866</v>
      </c>
      <c r="O166" s="4" t="n">
        <v>24104861268</v>
      </c>
      <c r="P166" s="4" t="n">
        <v>25017078553</v>
      </c>
      <c r="Q166" s="4" t="n">
        <v>24614338246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0</v>
      </c>
      <c r="N167" s="4" t="n">
        <v>0</v>
      </c>
      <c r="O167" s="4" t="n">
        <v>0</v>
      </c>
      <c r="P167" s="4" t="n">
        <v>0</v>
      </c>
      <c r="Q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0</v>
      </c>
      <c r="Q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0</v>
      </c>
      <c r="Q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  <c r="J172" s="4" t="n">
        <v>217924680</v>
      </c>
      <c r="K172" s="4" t="n">
        <v>1961322120</v>
      </c>
      <c r="L172" s="4" t="n">
        <v>1961322120</v>
      </c>
      <c r="M172" s="4" t="n">
        <v>2080158021</v>
      </c>
      <c r="N172" s="4" t="n">
        <v>2311308021</v>
      </c>
      <c r="O172" s="4" t="n">
        <v>2311308021</v>
      </c>
      <c r="P172" s="4" t="n">
        <v>2311583496</v>
      </c>
      <c r="Q172" s="4" t="n">
        <v>2773896803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0</v>
      </c>
      <c r="O173" s="4" t="n">
        <v>0</v>
      </c>
      <c r="P173" s="4" t="n">
        <v>0</v>
      </c>
      <c r="Q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  <c r="J174" s="4" t="n">
        <v>11451512840000</v>
      </c>
      <c r="K174" s="4" t="n">
        <v>17055403900000</v>
      </c>
      <c r="L174" s="4" t="n">
        <v>8869668060000</v>
      </c>
      <c r="M174" s="4" t="n">
        <v>15060085260000</v>
      </c>
      <c r="N174" s="4" t="n">
        <v>12304136260000</v>
      </c>
      <c r="O174" s="4" t="n">
        <v>22556742060000</v>
      </c>
      <c r="P174" s="4" t="n">
        <v>14592300130000</v>
      </c>
      <c r="Q174" s="4" t="n">
        <v>25479978420000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  <c r="J175" s="4" t="n">
        <v>0</v>
      </c>
      <c r="K175" s="4" t="n">
        <v>20000</v>
      </c>
      <c r="L175" s="4" t="n">
        <v>6490000010000</v>
      </c>
      <c r="M175" s="4" t="n">
        <v>3720000</v>
      </c>
      <c r="N175" s="4" t="n">
        <v>851360000</v>
      </c>
      <c r="O175" s="4" t="n">
        <v>2720000</v>
      </c>
      <c r="P175" s="4" t="n">
        <v>14592300130000</v>
      </c>
      <c r="Q175" s="4" t="n">
        <v>6001773240000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  <c r="J176" s="4" t="n">
        <v>64487000000</v>
      </c>
      <c r="K176" s="4" t="n">
        <v>7282100000</v>
      </c>
      <c r="L176" s="4" t="n">
        <v>10938880000</v>
      </c>
      <c r="M176" s="4" t="n">
        <v>23629500000</v>
      </c>
      <c r="N176" s="4" t="n">
        <v>1658196400000</v>
      </c>
      <c r="O176" s="4" t="n">
        <v>1860100000</v>
      </c>
      <c r="P176" s="4" t="n">
        <v>12217100000</v>
      </c>
      <c r="Q176" s="4" t="n">
        <v>17904000000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  <c r="J178" s="4" t="n">
        <v>247322024800</v>
      </c>
      <c r="K178" s="4" t="n">
        <v>18786720000</v>
      </c>
      <c r="L178" s="4" t="n">
        <v>305385324800</v>
      </c>
      <c r="M178" s="4" t="n">
        <v>4673672794800</v>
      </c>
      <c r="N178" s="4" t="n">
        <v>11992972794800</v>
      </c>
      <c r="O178" s="4" t="n">
        <v>1230262890000</v>
      </c>
      <c r="P178" s="4" t="n">
        <v>16002185420000</v>
      </c>
      <c r="Q178" s="4" t="n">
        <v>2772265990000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4510700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  <c r="J180" s="4" t="n">
        <v>232495994033500</v>
      </c>
      <c r="K180" s="4" t="n">
        <v>231123600446000</v>
      </c>
      <c r="L180" s="4" t="n">
        <v>240808383098000</v>
      </c>
      <c r="M180" s="4" t="n">
        <v>272320283940000</v>
      </c>
      <c r="N180" s="4" t="n">
        <v>289765371720000</v>
      </c>
      <c r="O180" s="4" t="n">
        <v>325307278790000</v>
      </c>
      <c r="P180" s="4" t="n">
        <v>343116345880000</v>
      </c>
      <c r="Q180" s="4" t="n">
        <v>321905725570000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  <c r="J181" s="4" t="n">
        <v>157666485443500</v>
      </c>
      <c r="K181" s="4" t="n">
        <v>141951366816000</v>
      </c>
      <c r="L181" s="4" t="n">
        <v>150290250098000</v>
      </c>
      <c r="M181" s="4" t="n">
        <v>183797882200000</v>
      </c>
      <c r="N181" s="4" t="n">
        <v>208931380430000</v>
      </c>
      <c r="O181" s="4" t="n">
        <v>240019596860000</v>
      </c>
      <c r="P181" s="4" t="n">
        <v>252087370070000</v>
      </c>
      <c r="Q181" s="4" t="n">
        <v>228201492180000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  <c r="J182" s="4" t="n">
        <v>1013021950000</v>
      </c>
      <c r="K182" s="4" t="n">
        <v>1013558230000</v>
      </c>
      <c r="L182" s="4" t="n">
        <v>862925110000</v>
      </c>
      <c r="M182" s="4" t="n">
        <v>999678440000</v>
      </c>
      <c r="N182" s="4" t="n">
        <v>851866580000</v>
      </c>
      <c r="O182" s="4" t="n">
        <v>1467945100000</v>
      </c>
      <c r="P182" s="4" t="n">
        <v>1396588880000</v>
      </c>
      <c r="Q182" s="4" t="n">
        <v>1414039620000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  <c r="J183" s="4" t="n">
        <v>69789593760000</v>
      </c>
      <c r="K183" s="4" t="n">
        <v>72409443760000</v>
      </c>
      <c r="L183" s="4" t="n">
        <v>72274708260000</v>
      </c>
      <c r="M183" s="4" t="n">
        <v>69534867010000</v>
      </c>
      <c r="N183" s="4" t="n">
        <v>61922452860000</v>
      </c>
      <c r="O183" s="4" t="n">
        <v>56063707010000</v>
      </c>
      <c r="P183" s="4" t="n">
        <v>68182758330000</v>
      </c>
      <c r="Q183" s="4" t="n">
        <v>76380714340000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  <c r="J184" s="4" t="n">
        <v>2664032170000</v>
      </c>
      <c r="K184" s="4" t="n">
        <v>15028179710000</v>
      </c>
      <c r="L184" s="4" t="n">
        <v>15852637570000</v>
      </c>
      <c r="M184" s="4" t="n">
        <v>16751028930000</v>
      </c>
      <c r="N184" s="4" t="n">
        <v>16384812940000</v>
      </c>
      <c r="O184" s="4" t="n">
        <v>26601662760000</v>
      </c>
      <c r="P184" s="4" t="n">
        <v>19897594570000</v>
      </c>
      <c r="Q184" s="4" t="n">
        <v>15036072530000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  <c r="J185" s="4" t="n">
        <v>1362860710000</v>
      </c>
      <c r="K185" s="4" t="n">
        <v>721051930000</v>
      </c>
      <c r="L185" s="4" t="n">
        <v>1527862060000</v>
      </c>
      <c r="M185" s="4" t="n">
        <v>1236827360000</v>
      </c>
      <c r="N185" s="4" t="n">
        <v>1674858910000</v>
      </c>
      <c r="O185" s="4" t="n">
        <v>1154367060000</v>
      </c>
      <c r="P185" s="4" t="n">
        <v>1552034030000</v>
      </c>
      <c r="Q185" s="4" t="n">
        <v>873406900000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  <c r="J187" s="4" t="n">
        <v>677527520000</v>
      </c>
      <c r="K187" s="4" t="n">
        <v>348405300000</v>
      </c>
      <c r="L187" s="4" t="n">
        <v>1012968410000</v>
      </c>
      <c r="M187" s="4" t="n">
        <v>1044677620000</v>
      </c>
      <c r="N187" s="4" t="n">
        <v>2681747190000</v>
      </c>
      <c r="O187" s="4" t="n">
        <v>192827990000</v>
      </c>
      <c r="P187" s="4" t="n">
        <v>2271489250000</v>
      </c>
      <c r="Q187" s="4" t="n">
        <v>1676650850000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  <c r="J188" s="4" t="n">
        <v>614831230000</v>
      </c>
      <c r="K188" s="4" t="n">
        <v>132398410000</v>
      </c>
      <c r="L188" s="4" t="n">
        <v>794976170000</v>
      </c>
      <c r="M188" s="4" t="n">
        <v>720884870000</v>
      </c>
      <c r="N188" s="4" t="n">
        <v>2114855960000</v>
      </c>
      <c r="O188" s="4" t="n">
        <v>174185350000</v>
      </c>
      <c r="P188" s="4" t="n">
        <v>2244221360000</v>
      </c>
      <c r="Q188" s="4" t="n">
        <v>1542280290000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  <c r="J189" s="4" t="n">
        <v>62696290000</v>
      </c>
      <c r="K189" s="4" t="n">
        <v>216006890000</v>
      </c>
      <c r="L189" s="4" t="n">
        <v>216142940000</v>
      </c>
      <c r="M189" s="4" t="n">
        <v>211823960000</v>
      </c>
      <c r="N189" s="4" t="n">
        <v>439271640000</v>
      </c>
      <c r="O189" s="4" t="n">
        <v>18642640000</v>
      </c>
      <c r="P189" s="4" t="n">
        <v>27267890000</v>
      </c>
      <c r="Q189" s="4" t="n">
        <v>17856800000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1849300000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111968790000</v>
      </c>
      <c r="N191" s="4" t="n">
        <v>127619590000</v>
      </c>
      <c r="O191" s="4" t="n">
        <v>0</v>
      </c>
      <c r="P191" s="4" t="n">
        <v>0</v>
      </c>
      <c r="Q191" s="4" t="n">
        <v>116513760000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  <c r="J192" s="4" t="n">
        <v>0</v>
      </c>
      <c r="K192" s="4" t="n">
        <v>875589460000</v>
      </c>
      <c r="L192" s="4" t="n">
        <v>1375801370000</v>
      </c>
      <c r="M192" s="4" t="n">
        <v>1333356800000</v>
      </c>
      <c r="N192" s="4" t="n">
        <v>2125620860000</v>
      </c>
      <c r="O192" s="4" t="n">
        <v>1291904460000</v>
      </c>
      <c r="P192" s="4" t="n">
        <v>1418289910000</v>
      </c>
      <c r="Q192" s="4" t="n">
        <v>962409270000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  <c r="J194" s="4" t="n">
        <v>1322561780000</v>
      </c>
      <c r="K194" s="4" t="n">
        <v>15338753340000</v>
      </c>
      <c r="L194" s="4" t="n">
        <v>12079388510000</v>
      </c>
      <c r="M194" s="4" t="n">
        <v>10411317650000</v>
      </c>
      <c r="N194" s="4" t="n">
        <v>10550171970000</v>
      </c>
      <c r="O194" s="4" t="n">
        <v>9407201530000</v>
      </c>
      <c r="P194" s="4" t="n">
        <v>6894712020000</v>
      </c>
      <c r="Q194" s="4" t="n">
        <v>6072264500000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0</v>
      </c>
      <c r="N195" s="4" t="n">
        <v>0</v>
      </c>
      <c r="O195" s="4" t="n">
        <v>0</v>
      </c>
      <c r="P195" s="4" t="n">
        <v>0</v>
      </c>
      <c r="Q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  <c r="J196" s="4" t="n">
        <v>8006921852278</v>
      </c>
      <c r="K196" s="4" t="n">
        <v>10024246349048</v>
      </c>
      <c r="L196" s="4" t="n">
        <v>3220068688178</v>
      </c>
      <c r="M196" s="4" t="n">
        <v>11849786662404</v>
      </c>
      <c r="N196" s="4" t="n">
        <v>12762472660272</v>
      </c>
      <c r="O196" s="4" t="n">
        <v>10702593296252</v>
      </c>
      <c r="P196" s="4" t="n">
        <v>10360816794093</v>
      </c>
      <c r="Q196" s="4" t="n">
        <v>9046562592920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  <c r="J197" s="4" t="n">
        <v>5271018481763</v>
      </c>
      <c r="K197" s="4" t="n">
        <v>8245482244688</v>
      </c>
      <c r="L197" s="4" t="n">
        <v>218266095226</v>
      </c>
      <c r="M197" s="4" t="n">
        <v>8952421177072</v>
      </c>
      <c r="N197" s="4" t="n">
        <v>7078720120248</v>
      </c>
      <c r="O197" s="4" t="n">
        <v>6447211380125</v>
      </c>
      <c r="P197" s="4" t="n">
        <v>6861737169799</v>
      </c>
      <c r="Q197" s="4" t="n">
        <v>6582257677129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0</v>
      </c>
      <c r="P200" s="4" t="n">
        <v>0</v>
      </c>
      <c r="Q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0</v>
      </c>
      <c r="M203" s="4" t="n">
        <v>0</v>
      </c>
      <c r="N203" s="4" t="n">
        <v>0</v>
      </c>
      <c r="O203" s="4" t="n">
        <v>0</v>
      </c>
      <c r="P203" s="4" t="n">
        <v>0</v>
      </c>
      <c r="Q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0</v>
      </c>
      <c r="Q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  <c r="J209" s="4" t="n">
        <v>4293695969</v>
      </c>
      <c r="K209" s="4" t="n">
        <v>44613698630</v>
      </c>
      <c r="L209" s="4" t="n">
        <v>35009400</v>
      </c>
      <c r="M209" s="4" t="n">
        <v>0</v>
      </c>
      <c r="N209" s="4" t="n">
        <v>0</v>
      </c>
      <c r="O209" s="4" t="n">
        <v>49373986618</v>
      </c>
      <c r="P209" s="4" t="n">
        <v>0</v>
      </c>
      <c r="Q20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  <c r="J2" s="4" t="n">
        <v>1844805107025</v>
      </c>
      <c r="K2" s="4" t="n">
        <v>1843230736579</v>
      </c>
      <c r="L2" s="4" t="n">
        <v>2028164685825</v>
      </c>
      <c r="M2" s="4" t="n">
        <v>2659998744458</v>
      </c>
      <c r="N2" s="4" t="n">
        <v>3164274146538</v>
      </c>
      <c r="O2" s="4" t="n">
        <v>3364988937829</v>
      </c>
      <c r="P2" s="4" t="n">
        <v>2783203426368</v>
      </c>
      <c r="Q2" s="4" t="n">
        <v>3744618689735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  <c r="J4" s="4" t="n">
        <v>1844805107025</v>
      </c>
      <c r="K4" s="4" t="n">
        <v>1843230736579</v>
      </c>
      <c r="L4" s="4" t="n">
        <v>2028164685825</v>
      </c>
      <c r="M4" s="4" t="n">
        <v>2659998744458</v>
      </c>
      <c r="N4" s="4" t="n">
        <v>3164274146538</v>
      </c>
      <c r="O4" s="4" t="n">
        <v>3364988937829</v>
      </c>
      <c r="P4" s="4" t="n">
        <v>2783203426368</v>
      </c>
      <c r="Q4" s="4" t="n">
        <v>3744618689735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  <c r="J5" s="4" t="n">
        <v>-140001708018</v>
      </c>
      <c r="K5" s="4" t="n">
        <v>-251453839072</v>
      </c>
      <c r="L5" s="4" t="n">
        <v>-127056494784</v>
      </c>
      <c r="M5" s="4" t="n">
        <v>-219102604818</v>
      </c>
      <c r="N5" s="4" t="n">
        <v>-403418061247</v>
      </c>
      <c r="O5" s="4" t="n">
        <v>-463977528886</v>
      </c>
      <c r="P5" s="4" t="n">
        <v>-432669955217</v>
      </c>
      <c r="Q5" s="4" t="n">
        <v>-494598914337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  <c r="J6" s="4" t="n">
        <v>1704803399007</v>
      </c>
      <c r="K6" s="4" t="n">
        <v>1591776897507</v>
      </c>
      <c r="L6" s="4" t="n">
        <v>1901108191041</v>
      </c>
      <c r="M6" s="4" t="n">
        <v>2440896139640</v>
      </c>
      <c r="N6" s="4" t="n">
        <v>2760856085291</v>
      </c>
      <c r="O6" s="4" t="n">
        <v>2901011408943</v>
      </c>
      <c r="P6" s="4" t="n">
        <v>2350533471151</v>
      </c>
      <c r="Q6" s="4" t="n">
        <v>3250019775398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  <c r="J7" s="4" t="n">
        <v>-136461459136</v>
      </c>
      <c r="K7" s="4" t="n">
        <v>-190531149547</v>
      </c>
      <c r="L7" s="4" t="n">
        <v>-137726487123</v>
      </c>
      <c r="M7" s="4" t="n">
        <v>-147960661005</v>
      </c>
      <c r="N7" s="4" t="n">
        <v>-170652269576</v>
      </c>
      <c r="O7" s="4" t="n">
        <v>-202636046006</v>
      </c>
      <c r="P7" s="4" t="n">
        <v>-161180842697</v>
      </c>
      <c r="Q7" s="4" t="n">
        <v>-140103237495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  <c r="J8" s="4" t="n">
        <v>1096495486270</v>
      </c>
      <c r="K8" s="4" t="n">
        <v>932813189265</v>
      </c>
      <c r="L8" s="4" t="n">
        <v>1310685315274</v>
      </c>
      <c r="M8" s="4" t="n">
        <v>1733125373166</v>
      </c>
      <c r="N8" s="4" t="n">
        <v>2023925521519</v>
      </c>
      <c r="O8" s="4" t="n">
        <v>2041387739975</v>
      </c>
      <c r="P8" s="4" t="n">
        <v>1458655329949</v>
      </c>
      <c r="Q8" s="4" t="n">
        <v>2096645870954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  <c r="J9" s="4" t="n">
        <v>1097052077972</v>
      </c>
      <c r="K9" s="4" t="n">
        <v>932794977555</v>
      </c>
      <c r="L9" s="4" t="n">
        <v>1309844216298</v>
      </c>
      <c r="M9" s="4" t="n">
        <v>1733101500233</v>
      </c>
      <c r="N9" s="4" t="n">
        <v>2024406838686</v>
      </c>
      <c r="O9" s="4" t="n">
        <v>2041348186392</v>
      </c>
      <c r="P9" s="4" t="n">
        <v>1458425492628</v>
      </c>
      <c r="Q9" s="4" t="n">
        <v>2096955197698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  <c r="J10" s="4" t="n">
        <v>-218319529056</v>
      </c>
      <c r="K10" s="4" t="n">
        <v>-191336745520</v>
      </c>
      <c r="L10" s="4" t="n">
        <v>-298212624523</v>
      </c>
      <c r="M10" s="4" t="n">
        <v>-311831947363</v>
      </c>
      <c r="N10" s="4" t="n">
        <v>-404977243039</v>
      </c>
      <c r="O10" s="4" t="n">
        <v>-407835810486</v>
      </c>
      <c r="P10" s="4" t="n">
        <v>-311488840262</v>
      </c>
      <c r="Q10" s="4" t="n">
        <v>-409747556919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  <c r="J11" s="4" t="n">
        <v>-1090886538</v>
      </c>
      <c r="K11" s="4" t="n">
        <v>4777750010</v>
      </c>
      <c r="L11" s="4" t="n">
        <v>-980698254</v>
      </c>
      <c r="M11" s="4" t="n">
        <v>-1195722986</v>
      </c>
      <c r="N11" s="4" t="n">
        <v>95806942</v>
      </c>
      <c r="O11" s="4" t="n">
        <v>-433646792</v>
      </c>
      <c r="P11" s="4" t="n">
        <v>696777126</v>
      </c>
      <c r="Q11" s="4" t="n">
        <v>4685963689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  <c r="J12" s="4" t="n">
        <v>877641662378</v>
      </c>
      <c r="K12" s="4" t="n">
        <v>746235982045</v>
      </c>
      <c r="L12" s="4" t="n">
        <v>1010650893521</v>
      </c>
      <c r="M12" s="4" t="n">
        <v>1420073829884</v>
      </c>
      <c r="N12" s="4" t="n">
        <v>1619525402589</v>
      </c>
      <c r="O12" s="4" t="n">
        <v>1633078729114</v>
      </c>
      <c r="P12" s="4" t="n">
        <v>1147633429492</v>
      </c>
      <c r="Q12" s="4" t="n">
        <v>1691893604468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  <c r="J14" s="4" t="n">
        <v>877641662378</v>
      </c>
      <c r="K14" s="4" t="n">
        <v>746235982045</v>
      </c>
      <c r="L14" s="4" t="n">
        <v>1010650893521</v>
      </c>
      <c r="M14" s="4" t="n">
        <v>1420073829884</v>
      </c>
      <c r="N14" s="4" t="n">
        <v>1619525402589</v>
      </c>
      <c r="O14" s="4" t="n">
        <v>1633078729114</v>
      </c>
      <c r="P14" s="4" t="n">
        <v>1147633429492</v>
      </c>
      <c r="Q14" s="4" t="n">
        <v>1691893604468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  <c r="J15" s="4" t="n">
        <v>0</v>
      </c>
      <c r="K15" s="4" t="n">
        <v>0</v>
      </c>
      <c r="L15" s="4" t="n">
        <v>0</v>
      </c>
      <c r="M15" s="4" t="n">
        <v>1230</v>
      </c>
      <c r="N15" s="4" t="n">
        <v>767</v>
      </c>
      <c r="O15" s="4" t="n">
        <v>0</v>
      </c>
      <c r="P15" s="4" t="n">
        <v>497</v>
      </c>
      <c r="Q15" s="4" t="n">
        <v>527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493</v>
      </c>
      <c r="Q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  <c r="J17" s="4" t="n">
        <v>133689401707</v>
      </c>
      <c r="K17" s="4" t="n">
        <v>165328870784</v>
      </c>
      <c r="L17" s="4" t="n">
        <v>152784768764</v>
      </c>
      <c r="M17" s="4" t="n">
        <v>201109749466</v>
      </c>
      <c r="N17" s="4" t="n">
        <v>318349111690</v>
      </c>
      <c r="O17" s="4" t="n">
        <v>285365355514</v>
      </c>
      <c r="P17" s="4" t="n">
        <v>266264275146</v>
      </c>
      <c r="Q17" s="4" t="n">
        <v>227007227285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  <c r="J19" s="4" t="n">
        <v>307146234263</v>
      </c>
      <c r="K19" s="4" t="n">
        <v>206780619276</v>
      </c>
      <c r="L19" s="4" t="n">
        <v>361042025554</v>
      </c>
      <c r="M19" s="4" t="n">
        <v>495527897790</v>
      </c>
      <c r="N19" s="4" t="n">
        <v>420952896435</v>
      </c>
      <c r="O19" s="4" t="n">
        <v>437728746139</v>
      </c>
      <c r="P19" s="4" t="n">
        <v>480902457106</v>
      </c>
      <c r="Q19" s="4" t="n">
        <v>733703277398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  <c r="J21" s="4" t="n">
        <v>13077896644</v>
      </c>
      <c r="K21" s="4" t="n">
        <v>13406905966</v>
      </c>
      <c r="L21" s="4" t="n">
        <v>13274838561</v>
      </c>
      <c r="M21" s="4" t="n">
        <v>24408239434</v>
      </c>
      <c r="N21" s="4" t="n">
        <v>21544862381</v>
      </c>
      <c r="O21" s="4" t="n">
        <v>50752232364</v>
      </c>
      <c r="P21" s="4" t="n">
        <v>19324350467</v>
      </c>
      <c r="Q21" s="4" t="n">
        <v>29103475027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  <c r="J24" s="4" t="n">
        <v>1117730137</v>
      </c>
      <c r="K24" s="4" t="n">
        <v>1020940795</v>
      </c>
      <c r="L24" s="4" t="n">
        <v>1157078010</v>
      </c>
      <c r="M24" s="4" t="n">
        <v>1011719425</v>
      </c>
      <c r="N24" s="4" t="n">
        <v>3072811762</v>
      </c>
      <c r="O24" s="4" t="n">
        <v>1361588490</v>
      </c>
      <c r="P24" s="4" t="n">
        <v>2546205068</v>
      </c>
      <c r="Q24" s="4" t="n">
        <v>2354316306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  <c r="J26" s="4" t="n">
        <v>486643912660</v>
      </c>
      <c r="K26" s="4" t="n">
        <v>632288936875</v>
      </c>
      <c r="L26" s="4" t="n">
        <v>523097068369</v>
      </c>
      <c r="M26" s="4" t="n">
        <v>841134572280</v>
      </c>
      <c r="N26" s="4" t="n">
        <v>1171271827710</v>
      </c>
      <c r="O26" s="4" t="n">
        <v>1133950463523</v>
      </c>
      <c r="P26" s="4" t="n">
        <v>532304490744</v>
      </c>
      <c r="Q26" s="4" t="n">
        <v>754937952671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  <c r="J27" s="4" t="n">
        <v>486643912660</v>
      </c>
      <c r="K27" s="4" t="n">
        <v>631580149913</v>
      </c>
      <c r="L27" s="4" t="n">
        <v>522066432666</v>
      </c>
      <c r="M27" s="4" t="n">
        <v>839176508394</v>
      </c>
      <c r="N27" s="4" t="n">
        <v>1168119433987</v>
      </c>
      <c r="O27" s="4" t="n">
        <v>1133054212780</v>
      </c>
      <c r="P27" s="4" t="n">
        <v>529374514661</v>
      </c>
      <c r="Q27" s="4" t="n">
        <v>731432595273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  <c r="J28" s="4" t="n">
        <v>0</v>
      </c>
      <c r="K28" s="4" t="n">
        <v>683706962</v>
      </c>
      <c r="L28" s="4" t="n">
        <v>1030635703</v>
      </c>
      <c r="M28" s="4" t="n">
        <v>1928349086</v>
      </c>
      <c r="N28" s="4" t="n">
        <v>3073415723</v>
      </c>
      <c r="O28" s="4" t="n">
        <v>878574743</v>
      </c>
      <c r="P28" s="4" t="n">
        <v>2927576083</v>
      </c>
      <c r="Q28" s="4" t="n">
        <v>16015828998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  <c r="J29" s="4" t="n">
        <v>0</v>
      </c>
      <c r="K29" s="4" t="n">
        <v>25080000</v>
      </c>
      <c r="L29" s="4" t="n">
        <v>0</v>
      </c>
      <c r="M29" s="4" t="n">
        <v>29714800</v>
      </c>
      <c r="N29" s="4" t="n">
        <v>78978000</v>
      </c>
      <c r="O29" s="4" t="n">
        <v>17676000</v>
      </c>
      <c r="P29" s="4" t="n">
        <v>2400000</v>
      </c>
      <c r="Q29" s="4" t="n">
        <v>7489528400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  <c r="J30" s="4" t="n">
        <v>24982287730</v>
      </c>
      <c r="K30" s="4" t="n">
        <v>28310668554</v>
      </c>
      <c r="L30" s="4" t="n">
        <v>33807231145</v>
      </c>
      <c r="M30" s="4" t="n">
        <v>39621088339</v>
      </c>
      <c r="N30" s="4" t="n">
        <v>44219712164</v>
      </c>
      <c r="O30" s="4" t="n">
        <v>62411487216</v>
      </c>
      <c r="P30" s="4" t="n">
        <v>46669287672</v>
      </c>
      <c r="Q30" s="4" t="n">
        <v>23830417225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  <c r="J31" s="4" t="n">
        <v>706030635948</v>
      </c>
      <c r="K31" s="4" t="n">
        <v>706001547802</v>
      </c>
      <c r="L31" s="4" t="n">
        <v>731734778172</v>
      </c>
      <c r="M31" s="4" t="n">
        <v>844018795543</v>
      </c>
      <c r="N31" s="4" t="n">
        <v>1014938366630</v>
      </c>
      <c r="O31" s="4" t="n">
        <v>1136825938296</v>
      </c>
      <c r="P31" s="4" t="n">
        <v>1228605407177</v>
      </c>
      <c r="Q31" s="4" t="n">
        <v>1398229266879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  <c r="J32" s="4" t="n">
        <v>126282007934</v>
      </c>
      <c r="K32" s="4" t="n">
        <v>75877046527</v>
      </c>
      <c r="L32" s="4" t="n">
        <v>158676897251</v>
      </c>
      <c r="M32" s="4" t="n">
        <v>81756682182</v>
      </c>
      <c r="N32" s="4" t="n">
        <v>81944557764</v>
      </c>
      <c r="O32" s="4" t="n">
        <v>226142118287</v>
      </c>
      <c r="P32" s="4" t="n">
        <v>161176952987</v>
      </c>
      <c r="Q32" s="4" t="n">
        <v>472443756943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  <c r="J34" s="4" t="n">
        <v>45835000002</v>
      </c>
      <c r="K34" s="4" t="n">
        <v>14215200000</v>
      </c>
      <c r="L34" s="4" t="n">
        <v>52589999999</v>
      </c>
      <c r="M34" s="4" t="n">
        <v>131409999999</v>
      </c>
      <c r="N34" s="4" t="n">
        <v>87980000002</v>
      </c>
      <c r="O34" s="4" t="n">
        <v>30451008000</v>
      </c>
      <c r="P34" s="4" t="n">
        <v>45410000001</v>
      </c>
      <c r="Q34" s="4" t="n">
        <v>103009000001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  <c r="J35" s="4" t="n">
        <v>-20819968064</v>
      </c>
      <c r="K35" s="4" t="n">
        <v>-126836479313</v>
      </c>
      <c r="L35" s="4" t="n">
        <v>-19069780433</v>
      </c>
      <c r="M35" s="4" t="n">
        <v>-65732339822</v>
      </c>
      <c r="N35" s="4" t="n">
        <v>-149146244688</v>
      </c>
      <c r="O35" s="4" t="n">
        <v>-197691717126</v>
      </c>
      <c r="P35" s="4" t="n">
        <v>-212695088043</v>
      </c>
      <c r="Q35" s="4" t="n">
        <v>-287479887707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  <c r="J36" s="4" t="n">
        <v>-20819968064</v>
      </c>
      <c r="K36" s="4" t="n">
        <v>-126585594313</v>
      </c>
      <c r="L36" s="4" t="n">
        <v>-18085643540</v>
      </c>
      <c r="M36" s="4" t="n">
        <v>-65151937569</v>
      </c>
      <c r="N36" s="4" t="n">
        <v>-148684523225</v>
      </c>
      <c r="O36" s="4" t="n">
        <v>-196035416577</v>
      </c>
      <c r="P36" s="4" t="n">
        <v>-209982952119</v>
      </c>
      <c r="Q36" s="4" t="n">
        <v>-266375354713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  <c r="J37" s="4" t="n">
        <v>0</v>
      </c>
      <c r="K37" s="4" t="n">
        <v>-250885000</v>
      </c>
      <c r="L37" s="4" t="n">
        <v>-984136893</v>
      </c>
      <c r="M37" s="4" t="n">
        <v>-580402253</v>
      </c>
      <c r="N37" s="4" t="n">
        <v>-461721463</v>
      </c>
      <c r="O37" s="4" t="n">
        <v>-1656300549</v>
      </c>
      <c r="P37" s="4" t="n">
        <v>-2712135924</v>
      </c>
      <c r="Q37" s="4" t="n">
        <v>-21104532994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  <c r="J42" s="4" t="n">
        <v>-981043051</v>
      </c>
      <c r="K42" s="4" t="n">
        <v>-1078719486</v>
      </c>
      <c r="L42" s="4" t="n">
        <v>-700498927</v>
      </c>
      <c r="M42" s="4" t="n">
        <v>-839382261</v>
      </c>
      <c r="N42" s="4" t="n">
        <v>479536726</v>
      </c>
      <c r="O42" s="4" t="n">
        <v>-891531942</v>
      </c>
      <c r="P42" s="4" t="n">
        <v>974628369</v>
      </c>
      <c r="Q42" s="4" t="n">
        <v>1529551781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  <c r="J44" s="4" t="n">
        <v>0</v>
      </c>
      <c r="K44" s="4" t="n">
        <v>0</v>
      </c>
      <c r="L44" s="4" t="n">
        <v>-7476000</v>
      </c>
      <c r="M44" s="4" t="n">
        <v>-1744159</v>
      </c>
      <c r="N44" s="4" t="n">
        <v>-1229000</v>
      </c>
      <c r="O44" s="4" t="n">
        <v>-3010000</v>
      </c>
      <c r="P44" s="4" t="n">
        <v>0</v>
      </c>
      <c r="Q44" s="4" t="n">
        <v>0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  <c r="J45" s="4" t="n">
        <v>-57988277358</v>
      </c>
      <c r="K45" s="4" t="n">
        <v>-60473428281</v>
      </c>
      <c r="L45" s="4" t="n">
        <v>-53096430817</v>
      </c>
      <c r="M45" s="4" t="n">
        <v>-76600690429</v>
      </c>
      <c r="N45" s="4" t="n">
        <v>-141988613950</v>
      </c>
      <c r="O45" s="4" t="n">
        <v>-119769061225</v>
      </c>
      <c r="P45" s="4" t="n">
        <v>-114310683737</v>
      </c>
      <c r="Q45" s="4" t="n">
        <v>-95877944171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  <c r="J49" s="4" t="n">
        <v>-11422180299</v>
      </c>
      <c r="K49" s="4" t="n">
        <v>-11708880698</v>
      </c>
      <c r="L49" s="4" t="n">
        <v>-11726007400</v>
      </c>
      <c r="M49" s="4" t="n">
        <v>-21455816281</v>
      </c>
      <c r="N49" s="4" t="n">
        <v>-21510812097</v>
      </c>
      <c r="O49" s="4" t="n">
        <v>-47026940796</v>
      </c>
      <c r="P49" s="4" t="n">
        <v>-17127624142</v>
      </c>
      <c r="Q49" s="4" t="n">
        <v>-27446297651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  <c r="J51" s="4" t="n">
        <v>-48790239246</v>
      </c>
      <c r="K51" s="4" t="n">
        <v>-51356331294</v>
      </c>
      <c r="L51" s="4" t="n">
        <v>-42456301207</v>
      </c>
      <c r="M51" s="4" t="n">
        <v>-54472631866</v>
      </c>
      <c r="N51" s="4" t="n">
        <v>-91250698238</v>
      </c>
      <c r="O51" s="4" t="n">
        <v>-98595267797</v>
      </c>
      <c r="P51" s="4" t="n">
        <v>-89511187664</v>
      </c>
      <c r="Q51" s="4" t="n">
        <v>-85324336589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  <c r="J53" s="4" t="n">
        <v>5684781466</v>
      </c>
      <c r="K53" s="4" t="n">
        <v>6723655139</v>
      </c>
      <c r="L53" s="4" t="n">
        <v>7221162086</v>
      </c>
      <c r="M53" s="4" t="n">
        <v>9610461095</v>
      </c>
      <c r="N53" s="4" t="n">
        <v>17491774068</v>
      </c>
      <c r="O53" s="4" t="n">
        <v>11771387986</v>
      </c>
      <c r="P53" s="4" t="n">
        <v>10790870005</v>
      </c>
      <c r="Q53" s="4" t="n">
        <v>10177834027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  <c r="J55" s="4" t="n">
        <v>5581473133</v>
      </c>
      <c r="K55" s="4" t="n">
        <v>6447680138</v>
      </c>
      <c r="L55" s="4" t="n">
        <v>6945187085</v>
      </c>
      <c r="M55" s="4" t="n">
        <v>9340551094</v>
      </c>
      <c r="N55" s="4" t="n">
        <v>17319107404</v>
      </c>
      <c r="O55" s="4" t="n">
        <v>11771387986</v>
      </c>
      <c r="P55" s="4" t="n">
        <v>10790870005</v>
      </c>
      <c r="Q55" s="4" t="n">
        <v>10177834027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  <c r="J57" s="4" t="n">
        <v>103308333</v>
      </c>
      <c r="K57" s="4" t="n">
        <v>275975001</v>
      </c>
      <c r="L57" s="4" t="n">
        <v>275975001</v>
      </c>
      <c r="M57" s="4" t="n">
        <v>269910001</v>
      </c>
      <c r="N57" s="4" t="n">
        <v>172666664</v>
      </c>
      <c r="O57" s="4" t="n">
        <v>0</v>
      </c>
      <c r="P57" s="4" t="n">
        <v>0</v>
      </c>
      <c r="Q57" s="4" t="n">
        <v>0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  <c r="J58" s="4" t="n">
        <v>-477531235067</v>
      </c>
      <c r="K58" s="4" t="n">
        <v>-475156213834</v>
      </c>
      <c r="L58" s="4" t="n">
        <v>-459917550730</v>
      </c>
      <c r="M58" s="4" t="n">
        <v>-569420566564</v>
      </c>
      <c r="N58" s="4" t="n">
        <v>-583770068264</v>
      </c>
      <c r="O58" s="4" t="n">
        <v>-668759010948</v>
      </c>
      <c r="P58" s="4" t="n">
        <v>-741488168510</v>
      </c>
      <c r="Q58" s="4" t="n">
        <v>-1023448500976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-4529567730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  <c r="J60" s="4" t="n">
        <v>-454532798330</v>
      </c>
      <c r="K60" s="4" t="n">
        <v>-416133486235</v>
      </c>
      <c r="L60" s="4" t="n">
        <v>-402089293017</v>
      </c>
      <c r="M60" s="4" t="n">
        <v>-497334006930</v>
      </c>
      <c r="N60" s="4" t="n">
        <v>-536214064771</v>
      </c>
      <c r="O60" s="4" t="n">
        <v>-619374013780</v>
      </c>
      <c r="P60" s="4" t="n">
        <v>-688724696403</v>
      </c>
      <c r="Q60" s="4" t="n">
        <v>-888967633276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  <c r="J63" s="4" t="n">
        <v>-22998436737</v>
      </c>
      <c r="K63" s="4" t="n">
        <v>-59022727599</v>
      </c>
      <c r="L63" s="4" t="n">
        <v>-57828257713</v>
      </c>
      <c r="M63" s="4" t="n">
        <v>-72086559634</v>
      </c>
      <c r="N63" s="4" t="n">
        <v>-47556003493</v>
      </c>
      <c r="O63" s="4" t="n">
        <v>-49384997168</v>
      </c>
      <c r="P63" s="4" t="n">
        <v>-52763472107</v>
      </c>
      <c r="Q63" s="4" t="n">
        <v>-129951299970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  <c r="J65" s="4" t="n">
        <v>1097052077972</v>
      </c>
      <c r="K65" s="4" t="n">
        <v>932362155593</v>
      </c>
      <c r="L65" s="4" t="n">
        <v>1309797717488</v>
      </c>
      <c r="M65" s="4" t="n">
        <v>1731753553400</v>
      </c>
      <c r="N65" s="4" t="n">
        <v>2021795144426</v>
      </c>
      <c r="O65" s="4" t="n">
        <v>2042125912198</v>
      </c>
      <c r="P65" s="4" t="n">
        <v>1458210052469</v>
      </c>
      <c r="Q65" s="4" t="n">
        <v>2102043901694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  <c r="J66" s="4" t="n">
        <v>0</v>
      </c>
      <c r="K66" s="4" t="n">
        <v>432821962</v>
      </c>
      <c r="L66" s="4" t="n">
        <v>46498810</v>
      </c>
      <c r="M66" s="4" t="n">
        <v>1347946833</v>
      </c>
      <c r="N66" s="4" t="n">
        <v>2611694260</v>
      </c>
      <c r="O66" s="4" t="n">
        <v>-777725806</v>
      </c>
      <c r="P66" s="4" t="n">
        <v>215440159</v>
      </c>
      <c r="Q66" s="4" t="n">
        <v>-5088703996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0</v>
      </c>
      <c r="Q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  <c r="J69" s="4" t="n">
        <v>68204994067</v>
      </c>
      <c r="K69" s="4" t="n">
        <v>-38412600007</v>
      </c>
      <c r="L69" s="4" t="n">
        <v>-12925053029</v>
      </c>
      <c r="M69" s="4" t="n">
        <v>-28251217798</v>
      </c>
      <c r="N69" s="4" t="n">
        <v>65429803590</v>
      </c>
      <c r="O69" s="4" t="n">
        <v>-11816909692</v>
      </c>
      <c r="P69" s="4" t="n">
        <v>-12093836311</v>
      </c>
      <c r="Q69" s="4" t="n">
        <v>-1489140611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  <c r="Q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  <c r="J76" s="4" t="n">
        <v>945846656445</v>
      </c>
      <c r="K76" s="4" t="n">
        <v>707823382038</v>
      </c>
      <c r="L76" s="4" t="n">
        <v>997725840492</v>
      </c>
      <c r="M76" s="4" t="n">
        <v>1391822612086</v>
      </c>
      <c r="N76" s="4" t="n">
        <v>1684955206179</v>
      </c>
      <c r="O76" s="4" t="n">
        <v>1621261819422</v>
      </c>
      <c r="P76" s="4" t="n">
        <v>1135539593181</v>
      </c>
      <c r="Q76" s="4" t="n">
        <v>1690404463857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  <c r="J77" s="4" t="n">
        <v>945846656445</v>
      </c>
      <c r="K77" s="4" t="n">
        <v>707823382038</v>
      </c>
      <c r="L77" s="4" t="n">
        <v>997725840492</v>
      </c>
      <c r="M77" s="4" t="n">
        <v>1391822612086</v>
      </c>
      <c r="N77" s="4" t="n">
        <v>1684955206179</v>
      </c>
      <c r="O77" s="4" t="n">
        <v>1621261819422</v>
      </c>
      <c r="P77" s="4" t="n">
        <v>1135539593181</v>
      </c>
      <c r="Q77" s="4" t="n">
        <v>1690404463857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  <c r="J80" s="4" t="n">
        <v>68204994067</v>
      </c>
      <c r="K80" s="4" t="n">
        <v>-38412600007</v>
      </c>
      <c r="L80" s="4" t="n">
        <v>-12925053029</v>
      </c>
      <c r="M80" s="4" t="n">
        <v>-28251217798</v>
      </c>
      <c r="N80" s="4" t="n">
        <v>65429803590</v>
      </c>
      <c r="O80" s="4" t="n">
        <v>-11816909692</v>
      </c>
      <c r="P80" s="4" t="n">
        <v>-12093836311</v>
      </c>
      <c r="Q80" s="4" t="n">
        <v>-1489140611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22" customWidth="1" min="10" max="10"/>
    <col width="22" customWidth="1" min="11" max="11"/>
    <col width="21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  <c r="J2" s="4" t="n">
        <v>1097052077972</v>
      </c>
      <c r="K2" s="4" t="n">
        <v>932794977555</v>
      </c>
      <c r="L2" s="4" t="n">
        <v>1309844216298</v>
      </c>
      <c r="M2" s="4" t="n">
        <v>1733101500233</v>
      </c>
      <c r="N2" s="4" t="n">
        <v>2024406838686</v>
      </c>
      <c r="O2" s="4" t="n">
        <v>2041351186392</v>
      </c>
      <c r="P2" s="4" t="n">
        <v>1458425492628</v>
      </c>
      <c r="Q2" s="4" t="n">
        <v>2096955197698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  <c r="J3" s="4" t="n">
        <v>5613191511</v>
      </c>
      <c r="K3" s="4" t="n">
        <v>5743274339</v>
      </c>
      <c r="L3" s="4" t="n">
        <v>5177129805</v>
      </c>
      <c r="M3" s="4" t="n">
        <v>5850112621</v>
      </c>
      <c r="N3" s="4" t="n">
        <v>6527716268</v>
      </c>
      <c r="O3" s="4" t="n">
        <v>7318877349</v>
      </c>
      <c r="P3" s="4" t="n">
        <v>7919615758</v>
      </c>
      <c r="Q3" s="4" t="n">
        <v>7875394766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  <c r="J4" s="4" t="n">
        <v>2697643051</v>
      </c>
      <c r="K4" s="4" t="n">
        <v>-631280514</v>
      </c>
      <c r="L4" s="4" t="n">
        <v>716998927</v>
      </c>
      <c r="M4" s="4" t="n">
        <v>-700498927</v>
      </c>
      <c r="N4" s="4" t="n">
        <v>16500000</v>
      </c>
      <c r="O4" s="4" t="n">
        <v>-6600000</v>
      </c>
      <c r="P4" s="4" t="n">
        <v>0</v>
      </c>
      <c r="Q4" s="4" t="n">
        <v>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  <c r="J7" s="4" t="n">
        <v>454532798330</v>
      </c>
      <c r="K7" s="4" t="n">
        <v>416133486235</v>
      </c>
      <c r="L7" s="4" t="n">
        <v>402089293017</v>
      </c>
      <c r="M7" s="4" t="n">
        <v>497334006930</v>
      </c>
      <c r="N7" s="4" t="n">
        <v>536214064771</v>
      </c>
      <c r="O7" s="4" t="n">
        <v>619374013780</v>
      </c>
      <c r="P7" s="4" t="n">
        <v>688724696403</v>
      </c>
      <c r="Q7" s="4" t="n">
        <v>888967633276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  <c r="J8" s="4" t="n">
        <v>-22641118223</v>
      </c>
      <c r="K8" s="4" t="n">
        <v>-81370495655</v>
      </c>
      <c r="L8" s="4" t="n">
        <v>-472346382145</v>
      </c>
      <c r="M8" s="4" t="n">
        <v>-106356410802</v>
      </c>
      <c r="N8" s="4" t="n">
        <v>51840614844</v>
      </c>
      <c r="O8" s="4" t="n">
        <v>-159789185881</v>
      </c>
      <c r="P8" s="4" t="n">
        <v>-646129761926</v>
      </c>
      <c r="Q8" s="4" t="n">
        <v>-393244396659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  <c r="J9" s="4" t="n">
        <v>2313492907820</v>
      </c>
      <c r="K9" s="4" t="n">
        <v>-3131141523946</v>
      </c>
      <c r="L9" s="4" t="n">
        <v>-4482890413341</v>
      </c>
      <c r="M9" s="4" t="n">
        <v>-8496074642332</v>
      </c>
      <c r="N9" s="4" t="n">
        <v>-13263997284885</v>
      </c>
      <c r="O9" s="4" t="n">
        <v>-2822108061606</v>
      </c>
      <c r="P9" s="4" t="n">
        <v>-6872671353632</v>
      </c>
      <c r="Q9" s="4" t="n">
        <v>-11536382348883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  <c r="J10" s="4" t="n">
        <v>-1503891251796</v>
      </c>
      <c r="K10" s="4" t="n">
        <v>1543468156282</v>
      </c>
      <c r="L10" s="4" t="n">
        <v>-266433544858</v>
      </c>
      <c r="M10" s="4" t="n">
        <v>39294256699</v>
      </c>
      <c r="N10" s="4" t="n">
        <v>37094960786</v>
      </c>
      <c r="O10" s="4" t="n">
        <v>206069664767</v>
      </c>
      <c r="P10" s="4" t="n">
        <v>-8570716791</v>
      </c>
      <c r="Q10" s="4" t="n">
        <v>-3511506578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  <c r="J12" s="4" t="n">
        <v>1645816470460</v>
      </c>
      <c r="K12" s="4" t="n">
        <v>806871788374</v>
      </c>
      <c r="L12" s="4" t="n">
        <v>114150383285</v>
      </c>
      <c r="M12" s="4" t="n">
        <v>-1965691353</v>
      </c>
      <c r="N12" s="4" t="n">
        <v>1409067278680</v>
      </c>
      <c r="O12" s="4" t="n">
        <v>-1435683465105</v>
      </c>
      <c r="P12" s="4" t="n">
        <v>19009008228</v>
      </c>
      <c r="Q12" s="4" t="n">
        <v>344396056120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  <c r="J13" s="4" t="n">
        <v>-17051800466</v>
      </c>
      <c r="K13" s="4" t="n">
        <v>14330031888</v>
      </c>
      <c r="L13" s="4" t="n">
        <v>-30854847211</v>
      </c>
      <c r="M13" s="4" t="n">
        <v>33957808035</v>
      </c>
      <c r="N13" s="4" t="n">
        <v>16415989355</v>
      </c>
      <c r="O13" s="4" t="n">
        <v>11701598623</v>
      </c>
      <c r="P13" s="4" t="n">
        <v>-64459467595</v>
      </c>
      <c r="Q13" s="4" t="n">
        <v>-29128720345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  <c r="J14" s="4" t="n">
        <v>-526672535141</v>
      </c>
      <c r="K14" s="4" t="n">
        <v>-257733183799</v>
      </c>
      <c r="L14" s="4" t="n">
        <v>-364107545664</v>
      </c>
      <c r="M14" s="4" t="n">
        <v>-513025762328</v>
      </c>
      <c r="N14" s="4" t="n">
        <v>-525840255470</v>
      </c>
      <c r="O14" s="4" t="n">
        <v>-630279124972</v>
      </c>
      <c r="P14" s="4" t="n">
        <v>-567785187738</v>
      </c>
      <c r="Q14" s="4" t="n">
        <v>-682240521525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  <c r="J15" s="4" t="n">
        <v>0</v>
      </c>
      <c r="K15" s="4" t="n">
        <v>0</v>
      </c>
      <c r="L15" s="4" t="n">
        <v>-839623062726</v>
      </c>
      <c r="M15" s="4" t="n">
        <v>-60000000000</v>
      </c>
      <c r="N15" s="4" t="n">
        <v>-60000000000</v>
      </c>
      <c r="O15" s="4" t="n">
        <v>-10000000000</v>
      </c>
      <c r="P15" s="4" t="n">
        <v>-1276028187368</v>
      </c>
      <c r="Q15" s="4" t="n">
        <v>-60004058791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  <c r="J18" s="4" t="n">
        <v>3850747500461</v>
      </c>
      <c r="K18" s="4" t="n">
        <v>-1858471561986</v>
      </c>
      <c r="L18" s="4" t="n">
        <v>-3237409157439</v>
      </c>
      <c r="M18" s="4" t="n">
        <v>-6366700496732</v>
      </c>
      <c r="N18" s="4" t="n">
        <v>-10648082781302</v>
      </c>
      <c r="O18" s="4" t="n">
        <v>-312193512218</v>
      </c>
      <c r="P18" s="4" t="n">
        <v>-5364921379297</v>
      </c>
      <c r="Q18" s="4" t="n">
        <v>-8932269367587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  <c r="J19" s="4" t="n">
        <v>-43490000</v>
      </c>
      <c r="K19" s="4" t="n">
        <v>-9483054000</v>
      </c>
      <c r="L19" s="4" t="n">
        <v>-12545511663</v>
      </c>
      <c r="M19" s="4" t="n">
        <v>-21972181955</v>
      </c>
      <c r="N19" s="4" t="n">
        <v>-24116980395</v>
      </c>
      <c r="O19" s="4" t="n">
        <v>-67973523140</v>
      </c>
      <c r="P19" s="4" t="n">
        <v>-19737070706</v>
      </c>
      <c r="Q19" s="4" t="n">
        <v>-16048859224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49670823551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  <c r="J23" s="4" t="n">
        <v>0</v>
      </c>
      <c r="K23" s="4" t="n">
        <v>0</v>
      </c>
      <c r="L23" s="4" t="n">
        <v>0</v>
      </c>
      <c r="M23" s="4" t="n">
        <v>-10249480890</v>
      </c>
      <c r="N23" s="4" t="n">
        <v>0</v>
      </c>
      <c r="O23" s="4" t="n">
        <v>-165000000000</v>
      </c>
      <c r="P23" s="4" t="n">
        <v>0</v>
      </c>
      <c r="Q23" s="4" t="n">
        <v>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8412824066</v>
      </c>
      <c r="P24" s="4" t="n">
        <v>0</v>
      </c>
      <c r="Q24" s="4" t="n">
        <v>165000000000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  <c r="J26" s="4" t="n">
        <v>-43490000</v>
      </c>
      <c r="K26" s="4" t="n">
        <v>-9483054000</v>
      </c>
      <c r="L26" s="4" t="n">
        <v>-12545511663</v>
      </c>
      <c r="M26" s="4" t="n">
        <v>-32221662845</v>
      </c>
      <c r="N26" s="4" t="n">
        <v>-24116980395</v>
      </c>
      <c r="O26" s="4" t="n">
        <v>-224560699074</v>
      </c>
      <c r="P26" s="4" t="n">
        <v>-19737070706</v>
      </c>
      <c r="Q26" s="4" t="n">
        <v>198621964327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  <c r="J27" s="4" t="n">
        <v>0</v>
      </c>
      <c r="K27" s="4" t="n">
        <v>0</v>
      </c>
      <c r="L27" s="4" t="n">
        <v>0</v>
      </c>
      <c r="M27" s="4" t="n">
        <v>1376713913085</v>
      </c>
      <c r="N27" s="4" t="n">
        <v>10730125515433</v>
      </c>
      <c r="O27" s="4" t="n">
        <v>0</v>
      </c>
      <c r="P27" s="4" t="n">
        <v>231314318500</v>
      </c>
      <c r="Q27" s="4" t="n">
        <v>-218596904893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  <c r="J29" s="4" t="n">
        <v>17994834331684</v>
      </c>
      <c r="K29" s="4" t="n">
        <v>13936331998331</v>
      </c>
      <c r="L29" s="4" t="n">
        <v>18154937808278</v>
      </c>
      <c r="M29" s="4" t="n">
        <v>21042150649671</v>
      </c>
      <c r="N29" s="4" t="n">
        <v>21459842530254</v>
      </c>
      <c r="O29" s="4" t="n">
        <v>34919362991551</v>
      </c>
      <c r="P29" s="4" t="n">
        <v>32601186688865</v>
      </c>
      <c r="Q29" s="4" t="n">
        <v>37683404324476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  <c r="J30" s="4" t="n">
        <v>-20159228002065</v>
      </c>
      <c r="K30" s="4" t="n">
        <v>-12469519346552</v>
      </c>
      <c r="L30" s="4" t="n">
        <v>-15503512696470</v>
      </c>
      <c r="M30" s="4" t="n">
        <v>-15288411704459</v>
      </c>
      <c r="N30" s="4" t="n">
        <v>-19223852530254</v>
      </c>
      <c r="O30" s="4" t="n">
        <v>-36566048495340</v>
      </c>
      <c r="P30" s="4" t="n">
        <v>-25062747844917</v>
      </c>
      <c r="Q30" s="4" t="n">
        <v>-26914035956521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  <c r="J32" s="4" t="n">
        <v>-1196015890480</v>
      </c>
      <c r="K32" s="4" t="n">
        <v>-24723000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-1155791748000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  <c r="J33" s="4" t="n">
        <v>-3360409560861</v>
      </c>
      <c r="K33" s="4" t="n">
        <v>1466787928779</v>
      </c>
      <c r="L33" s="4" t="n">
        <v>2651425111808</v>
      </c>
      <c r="M33" s="4" t="n">
        <v>7130452858297</v>
      </c>
      <c r="N33" s="4" t="n">
        <v>12966115515433</v>
      </c>
      <c r="O33" s="4" t="n">
        <v>-1646685503789</v>
      </c>
      <c r="P33" s="4" t="n">
        <v>7769753162448</v>
      </c>
      <c r="Q33" s="4" t="n">
        <v>9394979715062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  <c r="J34" s="4" t="n">
        <v>490294449600</v>
      </c>
      <c r="K34" s="4" t="n">
        <v>-401166687207</v>
      </c>
      <c r="L34" s="4" t="n">
        <v>-598529557294</v>
      </c>
      <c r="M34" s="4" t="n">
        <v>731530698720</v>
      </c>
      <c r="N34" s="4" t="n">
        <v>2293915753736</v>
      </c>
      <c r="O34" s="4" t="n">
        <v>-2183439715081</v>
      </c>
      <c r="P34" s="4" t="n">
        <v>2385094712445</v>
      </c>
      <c r="Q34" s="4" t="n">
        <v>661332311802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  <c r="J35" s="4" t="n">
        <v>2775473279243</v>
      </c>
      <c r="K35" s="4" t="n">
        <v>3265767728843</v>
      </c>
      <c r="L35" s="4" t="n">
        <v>2864601041636</v>
      </c>
      <c r="M35" s="4" t="n">
        <v>2266071484342</v>
      </c>
      <c r="N35" s="4" t="n">
        <v>2997602183062</v>
      </c>
      <c r="O35" s="4" t="n">
        <v>5291517936798</v>
      </c>
      <c r="P35" s="4" t="n">
        <v>3108078221717</v>
      </c>
      <c r="Q35" s="4" t="n">
        <v>5493172934162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  <c r="J37" s="4" t="n">
        <v>3265767728843</v>
      </c>
      <c r="K37" s="4" t="n">
        <v>2864601041636</v>
      </c>
      <c r="L37" s="4" t="n">
        <v>2266071484342</v>
      </c>
      <c r="M37" s="4" t="n">
        <v>2997602183062</v>
      </c>
      <c r="N37" s="4" t="n">
        <v>5291517936798</v>
      </c>
      <c r="O37" s="4" t="n">
        <v>3108078221717</v>
      </c>
      <c r="P37" s="4" t="n">
        <v>5493172934162</v>
      </c>
      <c r="Q37" s="4" t="n">
        <v>6154505245964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  <c r="J42" s="4" t="n">
        <v>17994834331684</v>
      </c>
      <c r="K42" s="4" t="n">
        <v>13936331998331</v>
      </c>
      <c r="L42" s="4" t="n">
        <v>18154937808278</v>
      </c>
      <c r="M42" s="4" t="n">
        <v>21042150649671</v>
      </c>
      <c r="N42" s="4" t="n">
        <v>21459842530254</v>
      </c>
      <c r="O42" s="4" t="n">
        <v>34919362991551</v>
      </c>
      <c r="P42" s="4" t="n">
        <v>32601186688865</v>
      </c>
      <c r="Q42" s="4" t="n">
        <v>37683404324476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  <c r="J45" s="4" t="n">
        <v>-20159228002065</v>
      </c>
      <c r="K45" s="4" t="n">
        <v>-12469519346552</v>
      </c>
      <c r="L45" s="4" t="n">
        <v>-15503512696470</v>
      </c>
      <c r="M45" s="4" t="n">
        <v>-15288411704459</v>
      </c>
      <c r="N45" s="4" t="n">
        <v>-19223852530254</v>
      </c>
      <c r="O45" s="4" t="n">
        <v>-36566048495340</v>
      </c>
      <c r="P45" s="4" t="n">
        <v>-25062747844917</v>
      </c>
      <c r="Q45" s="4" t="n">
        <v>-26914035956521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  <c r="J46" s="4" t="n">
        <v>2538473279243</v>
      </c>
      <c r="K46" s="4" t="n">
        <v>3265767728843</v>
      </c>
      <c r="L46" s="4" t="n">
        <v>2864601041636</v>
      </c>
      <c r="M46" s="4" t="n">
        <v>2273027768246</v>
      </c>
      <c r="N46" s="4" t="n">
        <v>2910602183062</v>
      </c>
      <c r="O46" s="4" t="n">
        <v>5130517936798</v>
      </c>
      <c r="P46" s="4" t="n">
        <v>3108078221717</v>
      </c>
      <c r="Q46" s="4" t="n">
        <v>5326172934162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  <c r="J49" s="4" t="n">
        <v>3265767728843</v>
      </c>
      <c r="K49" s="4" t="n">
        <v>2864601041636</v>
      </c>
      <c r="L49" s="4" t="n">
        <v>2273027768246</v>
      </c>
      <c r="M49" s="4" t="n">
        <v>2910602183062</v>
      </c>
      <c r="N49" s="4" t="n">
        <v>5130517936798</v>
      </c>
      <c r="O49" s="4" t="n">
        <v>3108078221717</v>
      </c>
      <c r="P49" s="4" t="n">
        <v>5326172934162</v>
      </c>
      <c r="Q49" s="4" t="n">
        <v>6154505245964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  <c r="J51" s="4" t="inlineStr"/>
      <c r="K51" s="4" t="inlineStr"/>
      <c r="L51" s="4" t="inlineStr"/>
      <c r="M51" s="4" t="inlineStr"/>
      <c r="N51" s="4" t="inlineStr"/>
      <c r="O51" s="4" t="inlineStr"/>
      <c r="P51" s="4" t="inlineStr"/>
      <c r="Q51" s="4" t="inlineStr"/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  <c r="J52" s="4" t="inlineStr"/>
      <c r="K52" s="4" t="inlineStr"/>
      <c r="L52" s="4" t="inlineStr"/>
      <c r="M52" s="4" t="inlineStr"/>
      <c r="N52" s="4" t="inlineStr"/>
      <c r="O52" s="4" t="inlineStr"/>
      <c r="P52" s="4" t="inlineStr"/>
      <c r="Q52" s="4" t="inlineStr"/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  <c r="J53" s="4" t="n">
        <v>112520012185222</v>
      </c>
      <c r="K53" s="4" t="n">
        <v>91526868176106</v>
      </c>
      <c r="L53" s="4" t="n">
        <v>48299768588252</v>
      </c>
      <c r="M53" s="4" t="n">
        <v>188068900792582</v>
      </c>
      <c r="N53" s="4" t="n">
        <v>260780853291467</v>
      </c>
      <c r="O53" s="4" t="n">
        <v>240896925667002</v>
      </c>
      <c r="P53" s="4" t="n">
        <v>229667292803035</v>
      </c>
      <c r="Q53" s="4" t="n">
        <v>195679101327756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  <c r="J54" s="4" t="n">
        <v>-118237820347227</v>
      </c>
      <c r="K54" s="4" t="n">
        <v>-129630632144442</v>
      </c>
      <c r="L54" s="4" t="n">
        <v>-56329482442643</v>
      </c>
      <c r="M54" s="4" t="n">
        <v>-227319267322220</v>
      </c>
      <c r="N54" s="4" t="n">
        <v>-303429003111004</v>
      </c>
      <c r="O54" s="4" t="n">
        <v>-256895363008217</v>
      </c>
      <c r="P54" s="4" t="n">
        <v>-258298866169193</v>
      </c>
      <c r="Q54" s="4" t="n">
        <v>-246221730680806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  <c r="P58" s="4" t="n">
        <v>0</v>
      </c>
      <c r="Q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  <c r="J61" s="4" t="n">
        <v>146035202953049</v>
      </c>
      <c r="K61" s="4" t="n">
        <v>195446462572917</v>
      </c>
      <c r="L61" s="4" t="n">
        <v>75360296265900</v>
      </c>
      <c r="M61" s="4" t="n">
        <v>311228333521497</v>
      </c>
      <c r="N61" s="4" t="n">
        <v>435057092242924</v>
      </c>
      <c r="O61" s="4" t="n">
        <v>376587178344379</v>
      </c>
      <c r="P61" s="4" t="n">
        <v>369409013782727</v>
      </c>
      <c r="Q61" s="4" t="n">
        <v>358514676963077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  <c r="J62" s="4" t="n">
        <v>0</v>
      </c>
      <c r="K62" s="4" t="n">
        <v>43719133278</v>
      </c>
      <c r="L62" s="4" t="n">
        <v>45659051710</v>
      </c>
      <c r="M62" s="4" t="n">
        <v>-45659051710</v>
      </c>
      <c r="N62" s="4" t="n">
        <v>0</v>
      </c>
      <c r="O62" s="4" t="n">
        <v>25613581008</v>
      </c>
      <c r="P62" s="4" t="n">
        <v>6364832859</v>
      </c>
      <c r="Q62" s="4" t="n">
        <v>-6364832859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  <c r="J63" s="4" t="n">
        <v>-11486555148</v>
      </c>
      <c r="K63" s="4" t="n">
        <v>-11163468261</v>
      </c>
      <c r="L63" s="4" t="n">
        <v>-3794194904</v>
      </c>
      <c r="M63" s="4" t="n">
        <v>-24862673382</v>
      </c>
      <c r="N63" s="4" t="n">
        <v>-14420621869</v>
      </c>
      <c r="O63" s="4" t="n">
        <v>-17739189976</v>
      </c>
      <c r="P63" s="4" t="n">
        <v>-18078497044</v>
      </c>
      <c r="Q63" s="4" t="n">
        <v>-19586607345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  <c r="J66" s="4" t="n">
        <v>69212296799678</v>
      </c>
      <c r="K66" s="4" t="n">
        <v>22731772892268</v>
      </c>
      <c r="L66" s="4" t="n">
        <v>24205849580756</v>
      </c>
      <c r="M66" s="4" t="n">
        <v>38224813866093</v>
      </c>
      <c r="N66" s="4" t="n">
        <v>35916703245671</v>
      </c>
      <c r="O66" s="4" t="n">
        <v>41007768105291</v>
      </c>
      <c r="P66" s="4" t="n">
        <v>19467662160580</v>
      </c>
      <c r="Q66" s="4" t="n">
        <v>74743716066290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  <c r="J67" s="4" t="n">
        <v>-69316268235982</v>
      </c>
      <c r="K67" s="4" t="n">
        <v>-22691452889607</v>
      </c>
      <c r="L67" s="4" t="n">
        <v>-24250428269986</v>
      </c>
      <c r="M67" s="4" t="n">
        <v>-38224848875493</v>
      </c>
      <c r="N67" s="4" t="n">
        <v>-35916703245671</v>
      </c>
      <c r="O67" s="4" t="n">
        <v>-40958394118673</v>
      </c>
      <c r="P67" s="4" t="n">
        <v>-19517036147198</v>
      </c>
      <c r="Q67" s="4" t="n">
        <v>-74743716066290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  <c r="J68" s="4" t="n">
        <v>-3007075716338</v>
      </c>
      <c r="K68" s="4" t="n">
        <v>2017324496770</v>
      </c>
      <c r="L68" s="4" t="n">
        <v>4809299232938</v>
      </c>
      <c r="M68" s="4" t="n">
        <v>-2983758919582</v>
      </c>
      <c r="N68" s="4" t="n">
        <v>912685997868</v>
      </c>
      <c r="O68" s="4" t="n">
        <v>-2059879364020</v>
      </c>
      <c r="P68" s="4" t="n">
        <v>-341776502159</v>
      </c>
      <c r="Q68" s="4" t="n">
        <v>-1314254201173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  <c r="J69" s="4" t="n">
        <v>11013997568616</v>
      </c>
      <c r="K69" s="4" t="n">
        <v>8006921852278</v>
      </c>
      <c r="L69" s="4" t="n">
        <v>10024246349048</v>
      </c>
      <c r="M69" s="4" t="n">
        <v>14833545581986</v>
      </c>
      <c r="N69" s="4" t="n">
        <v>11849786662404</v>
      </c>
      <c r="O69" s="4" t="n">
        <v>12762472660272</v>
      </c>
      <c r="P69" s="4" t="n">
        <v>10702593296252</v>
      </c>
      <c r="Q69" s="4" t="n">
        <v>10360816794093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  <c r="J70" s="4" t="n">
        <v>11013997568616</v>
      </c>
      <c r="K70" s="4" t="n">
        <v>8006921852278</v>
      </c>
      <c r="L70" s="4" t="n">
        <v>10024246349048</v>
      </c>
      <c r="M70" s="4" t="n">
        <v>14833545581986</v>
      </c>
      <c r="N70" s="4" t="n">
        <v>11849786662404</v>
      </c>
      <c r="O70" s="4" t="n">
        <v>12762472660272</v>
      </c>
      <c r="P70" s="4" t="n">
        <v>10702593296252</v>
      </c>
      <c r="Q70" s="4" t="n">
        <v>10360816794093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  <c r="J71" s="4" t="n">
        <v>5271018481763</v>
      </c>
      <c r="K71" s="4" t="n">
        <v>8245482244688</v>
      </c>
      <c r="L71" s="4" t="n">
        <v>11831742989034</v>
      </c>
      <c r="M71" s="4" t="n">
        <v>8952421177072</v>
      </c>
      <c r="N71" s="4" t="n">
        <v>7078720120248</v>
      </c>
      <c r="O71" s="4" t="n">
        <v>6447211380125</v>
      </c>
      <c r="P71" s="4" t="n">
        <v>6861737169799</v>
      </c>
      <c r="Q71" s="4" t="n">
        <v>6582257677129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  <c r="J74" s="4" t="n">
        <v>2731609674546</v>
      </c>
      <c r="K74" s="4" t="n">
        <v>1734150405730</v>
      </c>
      <c r="L74" s="4" t="n">
        <v>3001767583552</v>
      </c>
      <c r="M74" s="4" t="n">
        <v>2897365485332</v>
      </c>
      <c r="N74" s="4" t="n">
        <v>5683752540024</v>
      </c>
      <c r="O74" s="4" t="n">
        <v>4206007929509</v>
      </c>
      <c r="P74" s="4" t="n">
        <v>3499079624294</v>
      </c>
      <c r="Q74" s="4" t="n">
        <v>2464304915791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  <c r="J75" s="4" t="n">
        <v>4293695969</v>
      </c>
      <c r="K75" s="4" t="n">
        <v>44613698630</v>
      </c>
      <c r="L75" s="4" t="n">
        <v>35009400</v>
      </c>
      <c r="M75" s="4" t="n">
        <v>0</v>
      </c>
      <c r="N75" s="4" t="n">
        <v>0</v>
      </c>
      <c r="O75" s="4" t="n">
        <v>49373986618</v>
      </c>
      <c r="P75" s="4" t="n">
        <v>0</v>
      </c>
      <c r="Q75" s="4" t="n">
        <v>0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  <c r="J76" s="4" t="inlineStr"/>
      <c r="K76" s="4" t="inlineStr"/>
      <c r="L76" s="4" t="inlineStr"/>
      <c r="M76" s="4" t="inlineStr"/>
      <c r="N76" s="4" t="inlineStr"/>
      <c r="O76" s="4" t="inlineStr"/>
      <c r="P76" s="4" t="inlineStr"/>
      <c r="Q76" s="4" t="inlineStr"/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  <c r="J79" s="4" t="inlineStr"/>
      <c r="K79" s="4" t="inlineStr"/>
      <c r="L79" s="4" t="inlineStr"/>
      <c r="M79" s="4" t="inlineStr"/>
      <c r="N79" s="4" t="inlineStr"/>
      <c r="O79" s="4" t="inlineStr"/>
      <c r="P79" s="4" t="inlineStr"/>
      <c r="Q79" s="4" t="inlineStr"/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  <c r="J80" s="4" t="inlineStr"/>
      <c r="K80" s="4" t="inlineStr"/>
      <c r="L80" s="4" t="inlineStr"/>
      <c r="M80" s="4" t="inlineStr"/>
      <c r="N80" s="4" t="inlineStr"/>
      <c r="O80" s="4" t="inlineStr"/>
      <c r="P80" s="4" t="inlineStr"/>
      <c r="Q80" s="4" t="inlineStr"/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  <c r="J81" s="4" t="n">
        <v>8006921852278</v>
      </c>
      <c r="K81" s="4" t="n">
        <v>10024246349048</v>
      </c>
      <c r="L81" s="4" t="n">
        <v>14833545581986</v>
      </c>
      <c r="M81" s="4" t="n">
        <v>11849786662404</v>
      </c>
      <c r="N81" s="4" t="n">
        <v>12762472660272</v>
      </c>
      <c r="O81" s="4" t="n">
        <v>10702593296252</v>
      </c>
      <c r="P81" s="4" t="n">
        <v>10360816794093</v>
      </c>
      <c r="Q81" s="4" t="n">
        <v>9046562592920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  <c r="J82" s="4" t="n">
        <v>8006921852278</v>
      </c>
      <c r="K82" s="4" t="n">
        <v>10024246349048</v>
      </c>
      <c r="L82" s="4" t="n">
        <v>14833545581986</v>
      </c>
      <c r="M82" s="4" t="n">
        <v>11849786662404</v>
      </c>
      <c r="N82" s="4" t="n">
        <v>12762472660272</v>
      </c>
      <c r="O82" s="4" t="n">
        <v>10702593296252</v>
      </c>
      <c r="P82" s="4" t="n">
        <v>10360816794093</v>
      </c>
      <c r="Q82" s="4" t="n">
        <v>9046562592920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  <c r="J83" s="4" t="inlineStr"/>
      <c r="K83" s="4" t="inlineStr"/>
      <c r="L83" s="4" t="inlineStr"/>
      <c r="M83" s="4" t="inlineStr"/>
      <c r="N83" s="4" t="inlineStr"/>
      <c r="O83" s="4" t="inlineStr"/>
      <c r="P83" s="4" t="inlineStr"/>
      <c r="Q83" s="4" t="inlineStr"/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  <c r="J84" s="4" t="inlineStr"/>
      <c r="K84" s="4" t="inlineStr"/>
      <c r="L84" s="4" t="inlineStr"/>
      <c r="M84" s="4" t="inlineStr"/>
      <c r="N84" s="4" t="inlineStr"/>
      <c r="O84" s="4" t="inlineStr"/>
      <c r="P84" s="4" t="inlineStr"/>
      <c r="Q84" s="4" t="inlineStr"/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  <c r="J85" s="4" t="inlineStr"/>
      <c r="K85" s="4" t="inlineStr"/>
      <c r="L85" s="4" t="inlineStr"/>
      <c r="M85" s="4" t="inlineStr"/>
      <c r="N85" s="4" t="inlineStr"/>
      <c r="O85" s="4" t="inlineStr"/>
      <c r="P85" s="4" t="inlineStr"/>
      <c r="Q85" s="4" t="inlineStr"/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  <c r="J86" s="4" t="inlineStr"/>
      <c r="K86" s="4" t="inlineStr"/>
      <c r="L86" s="4" t="inlineStr"/>
      <c r="M86" s="4" t="inlineStr"/>
      <c r="N86" s="4" t="inlineStr"/>
      <c r="O86" s="4" t="inlineStr"/>
      <c r="P86" s="4" t="inlineStr"/>
      <c r="Q86" s="4" t="inlineStr"/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  <c r="J87" s="4" t="inlineStr"/>
      <c r="K87" s="4" t="inlineStr"/>
      <c r="L87" s="4" t="inlineStr"/>
      <c r="M87" s="4" t="inlineStr"/>
      <c r="N87" s="4" t="inlineStr"/>
      <c r="O87" s="4" t="inlineStr"/>
      <c r="P87" s="4" t="inlineStr"/>
      <c r="Q87" s="4" t="inlineStr"/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  <c r="J88" s="4" t="inlineStr"/>
      <c r="K88" s="4" t="inlineStr"/>
      <c r="L88" s="4" t="inlineStr"/>
      <c r="M88" s="4" t="inlineStr"/>
      <c r="N88" s="4" t="inlineStr"/>
      <c r="O88" s="4" t="inlineStr"/>
      <c r="P88" s="4" t="inlineStr"/>
      <c r="Q88" s="4" t="inlineStr"/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  <c r="J89" s="4" t="inlineStr"/>
      <c r="K89" s="4" t="inlineStr"/>
      <c r="L89" s="4" t="inlineStr"/>
      <c r="M89" s="4" t="inlineStr"/>
      <c r="N89" s="4" t="inlineStr"/>
      <c r="O89" s="4" t="inlineStr"/>
      <c r="P89" s="4" t="inlineStr"/>
      <c r="Q89" s="4" t="inlineStr"/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  <c r="J90" s="4" t="inlineStr"/>
      <c r="K90" s="4" t="inlineStr"/>
      <c r="L90" s="4" t="inlineStr"/>
      <c r="M90" s="4" t="inlineStr"/>
      <c r="N90" s="4" t="inlineStr"/>
      <c r="O90" s="4" t="inlineStr"/>
      <c r="P90" s="4" t="inlineStr"/>
      <c r="Q90" s="4" t="inlineStr"/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  <c r="J91" s="4" t="inlineStr"/>
      <c r="K91" s="4" t="inlineStr"/>
      <c r="L91" s="4" t="inlineStr"/>
      <c r="M91" s="4" t="inlineStr"/>
      <c r="N91" s="4" t="inlineStr"/>
      <c r="O91" s="4" t="inlineStr"/>
      <c r="P91" s="4" t="inlineStr"/>
      <c r="Q91" s="4" t="inlineStr"/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  <c r="J92" s="4" t="inlineStr"/>
      <c r="K92" s="4" t="inlineStr"/>
      <c r="L92" s="4" t="inlineStr"/>
      <c r="M92" s="4" t="inlineStr"/>
      <c r="N92" s="4" t="inlineStr"/>
      <c r="O92" s="4" t="inlineStr"/>
      <c r="P92" s="4" t="inlineStr"/>
      <c r="Q92" s="4" t="inlineStr"/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  <c r="J93" s="4" t="n">
        <v>440202514669</v>
      </c>
      <c r="K93" s="4" t="n">
        <v>339874984405</v>
      </c>
      <c r="L93" s="4" t="n">
        <v>-64362960396</v>
      </c>
      <c r="M93" s="4" t="n">
        <v>396127209822</v>
      </c>
      <c r="N93" s="4" t="n">
        <v>594598895883</v>
      </c>
      <c r="O93" s="4" t="n">
        <v>466897105248</v>
      </c>
      <c r="P93" s="4" t="n">
        <v>50514550235</v>
      </c>
      <c r="Q93" s="4" t="n">
        <v>503598631383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  <c r="J95" s="4" t="n">
        <v>0</v>
      </c>
      <c r="K95" s="4" t="n">
        <v>0</v>
      </c>
      <c r="L95" s="4" t="n">
        <v>0</v>
      </c>
      <c r="M95" s="4" t="n">
        <v>3104420334</v>
      </c>
      <c r="N95" s="4" t="n">
        <v>-17815263</v>
      </c>
      <c r="O95" s="4" t="n">
        <v>2544832491</v>
      </c>
      <c r="P95" s="4" t="n">
        <v>1737507555</v>
      </c>
      <c r="Q95" s="4" t="n">
        <v>19574981213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  <c r="J96" s="4" t="n">
        <v>0</v>
      </c>
      <c r="K96" s="4" t="n">
        <v>0</v>
      </c>
      <c r="L96" s="4" t="n">
        <v>0</v>
      </c>
      <c r="M96" s="4" t="n">
        <v>1564539146</v>
      </c>
      <c r="N96" s="4" t="n">
        <v>461721463</v>
      </c>
      <c r="O96" s="4" t="n">
        <v>1653300549</v>
      </c>
      <c r="P96" s="4" t="n">
        <v>2712135924</v>
      </c>
      <c r="Q96" s="4" t="n">
        <v>21104532994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  <c r="J102" s="4" t="n">
        <v>0</v>
      </c>
      <c r="K102" s="4" t="n">
        <v>0</v>
      </c>
      <c r="L102" s="4" t="n">
        <v>0</v>
      </c>
      <c r="M102" s="4" t="n">
        <v>1539881188</v>
      </c>
      <c r="N102" s="4" t="n">
        <v>-479536726</v>
      </c>
      <c r="O102" s="4" t="n">
        <v>891531942</v>
      </c>
      <c r="P102" s="4" t="n">
        <v>-974628369</v>
      </c>
      <c r="Q102" s="4" t="n">
        <v>-1529551781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  <c r="J110" s="4" t="n">
        <v>0</v>
      </c>
      <c r="K110" s="4" t="n">
        <v>0</v>
      </c>
      <c r="L110" s="4" t="n">
        <v>0</v>
      </c>
      <c r="M110" s="4" t="n">
        <v>-2958984789</v>
      </c>
      <c r="N110" s="4" t="n">
        <v>-3073415723</v>
      </c>
      <c r="O110" s="4" t="n">
        <v>-878574743</v>
      </c>
      <c r="P110" s="4" t="n">
        <v>-2927576083</v>
      </c>
      <c r="Q110" s="4" t="n">
        <v>-16015828998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  <c r="J111" s="4" t="n">
        <v>0</v>
      </c>
      <c r="K111" s="4" t="n">
        <v>0</v>
      </c>
      <c r="L111" s="4" t="n">
        <v>0</v>
      </c>
      <c r="M111" s="4" t="n">
        <v>-2958984789</v>
      </c>
      <c r="N111" s="4" t="n">
        <v>-3073415723</v>
      </c>
      <c r="O111" s="4" t="n">
        <v>-878574743</v>
      </c>
      <c r="P111" s="4" t="n">
        <v>-2927576083</v>
      </c>
      <c r="Q111" s="4" t="n">
        <v>-16015828998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0</v>
      </c>
      <c r="Q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  <c r="J122" s="4" t="n">
        <v>2569569913902</v>
      </c>
      <c r="K122" s="4" t="n">
        <v>-5369087532204</v>
      </c>
      <c r="L122" s="4" t="n">
        <v>-3276904121012</v>
      </c>
      <c r="M122" s="4" t="n">
        <v>-8275452725697</v>
      </c>
      <c r="N122" s="4" t="n">
        <v>-14361345111804</v>
      </c>
      <c r="O122" s="4" t="n">
        <v>-911728391578</v>
      </c>
      <c r="P122" s="4" t="n">
        <v>-5516635629002</v>
      </c>
      <c r="Q122" s="4" t="n">
        <v>-11013136876528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  <c r="J123" s="4" t="n">
        <v>0</v>
      </c>
      <c r="K123" s="4" t="n">
        <v>-17278163500</v>
      </c>
      <c r="L123" s="4" t="n">
        <v>-16594431000</v>
      </c>
      <c r="M123" s="4" t="n">
        <v>-15915121757</v>
      </c>
      <c r="N123" s="4" t="n">
        <v>14961653960</v>
      </c>
      <c r="O123" s="4" t="n">
        <v>-865544506</v>
      </c>
      <c r="P123" s="4" t="n">
        <v>-16799271841</v>
      </c>
      <c r="Q123" s="4" t="n">
        <v>-245115768246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  <c r="J124" s="4" t="n">
        <v>-180000000000</v>
      </c>
      <c r="K124" s="4" t="n">
        <v>-701000000000</v>
      </c>
      <c r="L124" s="4" t="n">
        <v>-122320547945</v>
      </c>
      <c r="M124" s="4" t="n">
        <v>53747216226</v>
      </c>
      <c r="N124" s="4" t="n">
        <v>-650679452055</v>
      </c>
      <c r="O124" s="4" t="n">
        <v>-616060170497</v>
      </c>
      <c r="P124" s="4" t="n">
        <v>2661500000000</v>
      </c>
      <c r="Q124" s="4" t="n">
        <v>-182279837561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  <c r="J125" s="4" t="n">
        <v>-789535139363</v>
      </c>
      <c r="K125" s="4" t="n">
        <v>-427946621972</v>
      </c>
      <c r="L125" s="4" t="n">
        <v>-4560311081603</v>
      </c>
      <c r="M125" s="4" t="n">
        <v>-3334297808363</v>
      </c>
      <c r="N125" s="4" t="n">
        <v>-7907137445995</v>
      </c>
      <c r="O125" s="4" t="n">
        <v>-2146740139993</v>
      </c>
      <c r="P125" s="4" t="n">
        <v>-894708009606</v>
      </c>
      <c r="Q125" s="4" t="n">
        <v>-6767994708107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  <c r="J126" s="4" t="n">
        <v>3733757153265</v>
      </c>
      <c r="K126" s="4" t="n">
        <v>-4223005676732</v>
      </c>
      <c r="L126" s="4" t="n">
        <v>1424374867224</v>
      </c>
      <c r="M126" s="4" t="n">
        <v>-4978118951803</v>
      </c>
      <c r="N126" s="4" t="n">
        <v>-5825111597476</v>
      </c>
      <c r="O126" s="4" t="n">
        <v>1846927177919</v>
      </c>
      <c r="P126" s="4" t="n">
        <v>-7047064730448</v>
      </c>
      <c r="Q126" s="4" t="n">
        <v>-2311294876582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  <c r="J127" s="4" t="n">
        <v>-194652100000</v>
      </c>
      <c r="K127" s="4" t="n">
        <v>142930000</v>
      </c>
      <c r="L127" s="4" t="n">
        <v>-2052927688</v>
      </c>
      <c r="M127" s="4" t="n">
        <v>-868060000</v>
      </c>
      <c r="N127" s="4" t="n">
        <v>6621729762</v>
      </c>
      <c r="O127" s="4" t="n">
        <v>5205774499</v>
      </c>
      <c r="P127" s="4" t="n">
        <v>37554762</v>
      </c>
      <c r="Q127" s="4" t="n">
        <v>9451507099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-195489000</v>
      </c>
      <c r="P128" s="4" t="n">
        <v>-219601171869</v>
      </c>
      <c r="Q128" s="4" t="n">
        <v>-1515903193131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0</v>
      </c>
      <c r="Q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  <c r="J135" s="4" t="n">
        <v>60353</v>
      </c>
      <c r="K135" s="4" t="n">
        <v>-4750805</v>
      </c>
      <c r="L135" s="4" t="n">
        <v>539116526066</v>
      </c>
      <c r="M135" s="4" t="n">
        <v>-478087</v>
      </c>
      <c r="N135" s="4" t="n">
        <v>480000</v>
      </c>
      <c r="O135" s="4" t="n">
        <v>-1199127</v>
      </c>
      <c r="P135" s="4" t="n">
        <v>686652163984</v>
      </c>
      <c r="Q135" s="4" t="n">
        <v>-5988300000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  <c r="J136" s="4" t="n">
        <v>33890199179</v>
      </c>
      <c r="K136" s="4" t="n">
        <v>86093435123</v>
      </c>
      <c r="L136" s="4" t="n">
        <v>-139834538368</v>
      </c>
      <c r="M136" s="4" t="n">
        <v>188986736729</v>
      </c>
      <c r="N136" s="4" t="n">
        <v>-2695697162</v>
      </c>
      <c r="O136" s="4" t="n">
        <v>-111635483298</v>
      </c>
      <c r="P136" s="4" t="n">
        <v>-96786147701</v>
      </c>
      <c r="Q136" s="4" t="n">
        <v>-27685662824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0</v>
      </c>
      <c r="Q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  <c r="J138" s="4" t="n">
        <v>-2412860</v>
      </c>
      <c r="K138" s="4" t="n">
        <v>126006759080</v>
      </c>
      <c r="L138" s="4" t="n">
        <v>-48021137320</v>
      </c>
      <c r="M138" s="4" t="n">
        <v>-77951878600</v>
      </c>
      <c r="N138" s="4" t="n">
        <v>48664700</v>
      </c>
      <c r="O138" s="4" t="n">
        <v>127858272883</v>
      </c>
      <c r="P138" s="4" t="n">
        <v>-427281883</v>
      </c>
      <c r="Q138" s="4" t="n">
        <v>11965145711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  <c r="J140" s="4" t="n">
        <v>-548885185</v>
      </c>
      <c r="K140" s="4" t="n">
        <v>463487610</v>
      </c>
      <c r="L140" s="4" t="n">
        <v>431137330</v>
      </c>
      <c r="M140" s="4" t="n">
        <v>-657453600</v>
      </c>
      <c r="N140" s="4" t="n">
        <v>373134315</v>
      </c>
      <c r="O140" s="4" t="n">
        <v>555693600</v>
      </c>
      <c r="P140" s="4" t="n">
        <v>-1126423765</v>
      </c>
      <c r="Q140" s="4" t="n">
        <v>2332113090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  <c r="J141" s="4" t="n">
        <v>-13721682867</v>
      </c>
      <c r="K141" s="4" t="n">
        <v>-11215683023</v>
      </c>
      <c r="L141" s="4" t="n">
        <v>0</v>
      </c>
      <c r="M141" s="4" t="n">
        <v>14789023539</v>
      </c>
      <c r="N141" s="4" t="n">
        <v>87235314432</v>
      </c>
      <c r="O141" s="4" t="n">
        <v>-48966924340</v>
      </c>
      <c r="P141" s="4" t="n">
        <v>28390732913</v>
      </c>
      <c r="Q141" s="4" t="n">
        <v>-49536855629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  <c r="J142" s="4" t="n">
        <v>22326992821</v>
      </c>
      <c r="K142" s="4" t="n">
        <v>65518025570</v>
      </c>
      <c r="L142" s="4" t="n">
        <v>-64054674883</v>
      </c>
      <c r="M142" s="4" t="n">
        <v>30812972657</v>
      </c>
      <c r="N142" s="4" t="n">
        <v>34095454393</v>
      </c>
      <c r="O142" s="4" t="n">
        <v>46989534442</v>
      </c>
      <c r="P142" s="4" t="n">
        <v>-66686428796</v>
      </c>
      <c r="Q142" s="4" t="n">
        <v>-21529478859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  <c r="J147" s="4" t="n">
        <v>103777839420</v>
      </c>
      <c r="K147" s="4" t="n">
        <v>-135852058042</v>
      </c>
      <c r="L147" s="4" t="n">
        <v>-106754987980</v>
      </c>
      <c r="M147" s="4" t="n">
        <v>125138549674</v>
      </c>
      <c r="N147" s="4" t="n">
        <v>101552502890</v>
      </c>
      <c r="O147" s="4" t="n">
        <v>-66988237501</v>
      </c>
      <c r="P147" s="4" t="n">
        <v>-8217788118</v>
      </c>
      <c r="Q147" s="4" t="n">
        <v>-2313682725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  <c r="J148" s="4" t="n">
        <v>-143209012515930</v>
      </c>
      <c r="K148" s="4" t="n">
        <v>-155398249775489</v>
      </c>
      <c r="L148" s="4" t="n">
        <v>-62518569346147</v>
      </c>
      <c r="M148" s="4" t="n">
        <v>-274891169176949</v>
      </c>
      <c r="N148" s="4" t="n">
        <v>-391481835803650</v>
      </c>
      <c r="O148" s="4" t="n">
        <v>-362705868744834</v>
      </c>
      <c r="P148" s="4" t="n">
        <v>-341058129267925</v>
      </c>
      <c r="Q148" s="4" t="n">
        <v>-309260350370996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</v>
      </c>
      <c r="P149" s="4" t="n">
        <v>0</v>
      </c>
      <c r="Q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3.109375" customWidth="1" min="2" max="2"/>
    <col width="20.5546875" customWidth="1" min="9" max="9"/>
    <col width="19.33203125" customWidth="1" min="10" max="10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inlineStr">
        <is>
          <t>n/a</t>
        </is>
      </c>
      <c r="C2" s="8">
        <f>IFERROR(C$46/((C$34+B$34)/2),"n/a")</f>
        <v/>
      </c>
      <c r="D2" s="8">
        <f>IFERROR(D$46/((D$34+C$34)/2),"n/a")</f>
        <v/>
      </c>
      <c r="E2" s="8">
        <f>IFERROR(E$46/((E$34+D$34)/2),"n/a")</f>
        <v/>
      </c>
      <c r="F2" s="8">
        <f>IFERROR(F$46/((F$34+E$34)/2),"n/a")</f>
        <v/>
      </c>
      <c r="G2" s="8">
        <f>IFERROR(G$46/((G$34+F$34)/2),"n/a")</f>
        <v/>
      </c>
      <c r="H2" s="8">
        <f>IFERROR(H$46/((H$34+G$34)/2),"n/a")</f>
        <v/>
      </c>
      <c r="I2" s="8">
        <f>IFERROR(I$46/((I$34+H$34)/2),"n/a")</f>
        <v/>
      </c>
      <c r="J2" s="9" t="n"/>
    </row>
    <row r="3">
      <c r="A3" s="7" t="inlineStr">
        <is>
          <t>ROA</t>
        </is>
      </c>
      <c r="B3" s="10" t="inlineStr">
        <is>
          <t>n/a</t>
        </is>
      </c>
      <c r="C3" s="10">
        <f>IFERROR(C$45/((C$26+B$26)/2),"n/a")</f>
        <v/>
      </c>
      <c r="D3" s="10">
        <f>IFERROR(D$45/((D$26+C$26)/2),"n/a")</f>
        <v/>
      </c>
      <c r="E3" s="10">
        <f>IFERROR(E$45/((E$26+D$26)/2),"n/a")</f>
        <v/>
      </c>
      <c r="F3" s="10">
        <f>IFERROR(F$45/((F$26+E$26)/2),"n/a")</f>
        <v/>
      </c>
      <c r="G3" s="10">
        <f>IFERROR(G$45/((G$26+F$26)/2),"n/a")</f>
        <v/>
      </c>
      <c r="H3" s="10">
        <f>IFERROR(H$45/((H$26+G$26)/2),"n/a")</f>
        <v/>
      </c>
      <c r="I3" s="10">
        <f>IFERROR(I$45/((I$26+H$26)/2),"n/a")</f>
        <v/>
      </c>
      <c r="J3" s="9" t="n"/>
    </row>
    <row r="4">
      <c r="A4" s="7" t="inlineStr">
        <is>
          <t>Tăng trưởng LN Cổ đông Cty mẹ</t>
        </is>
      </c>
      <c r="B4" s="8" t="inlineStr">
        <is>
          <t>n/a</t>
        </is>
      </c>
      <c r="C4" s="8">
        <f>IFERROR((C$46-B$46)/ABS(B$46),"n/a")</f>
        <v/>
      </c>
      <c r="D4" s="8">
        <f>IFERROR((D$46-C$46)/ABS(C$46),"n/a")</f>
        <v/>
      </c>
      <c r="E4" s="8">
        <f>IFERROR((E$46-D$46)/ABS(D$46),"n/a")</f>
        <v/>
      </c>
      <c r="F4" s="8">
        <f>IFERROR((F$46-E$46)/ABS(E$46),"n/a")</f>
        <v/>
      </c>
      <c r="G4" s="8">
        <f>IFERROR((G$46-F$46)/ABS(F$46),"n/a")</f>
        <v/>
      </c>
      <c r="H4" s="8">
        <f>IFERROR((H$46-G$46)/ABS(G$46),"n/a")</f>
        <v/>
      </c>
      <c r="I4" s="8">
        <f>IFERROR((I$46-H$46)/ABS(H$46),"n/a")</f>
        <v/>
      </c>
      <c r="J4" s="9" t="n"/>
    </row>
    <row r="5">
      <c r="A5" s="7" t="inlineStr">
        <is>
          <t>Tăng trưởng Doanh thu thuần</t>
        </is>
      </c>
      <c r="B5" s="8" t="inlineStr">
        <is>
          <t>n/a</t>
        </is>
      </c>
      <c r="C5" s="8">
        <f>IFERROR((C$38-B$38)/ABS(B$38),"n/a")</f>
        <v/>
      </c>
      <c r="D5" s="8">
        <f>IFERROR((D$38-C$38)/ABS(C$38),"n/a")</f>
        <v/>
      </c>
      <c r="E5" s="8">
        <f>IFERROR((E$38-D$38)/ABS(D$38),"n/a")</f>
        <v/>
      </c>
      <c r="F5" s="8">
        <f>IFERROR((F$38-E$38)/ABS(E$38),"n/a")</f>
        <v/>
      </c>
      <c r="G5" s="8">
        <f>IFERROR((G$38-F$38)/ABS(F$38),"n/a")</f>
        <v/>
      </c>
      <c r="H5" s="8">
        <f>IFERROR((H$38-G$38)/ABS(G$38),"n/a")</f>
        <v/>
      </c>
      <c r="I5" s="8">
        <f>IFERROR((I$38-H$38)/ABS(H$38),"n/a")</f>
        <v/>
      </c>
      <c r="J5" s="9" t="n"/>
    </row>
    <row r="6">
      <c r="A6" s="7" t="inlineStr">
        <is>
          <t>Biên lợi nhuận gộp</t>
        </is>
      </c>
      <c r="B6" s="8">
        <f>IFERROR(B$40/B$38,"n/a")</f>
        <v/>
      </c>
      <c r="C6" s="8">
        <f>IFERROR(C$40/C$38,"n/a")</f>
        <v/>
      </c>
      <c r="D6" s="8">
        <f>IFERROR(D$40/D$38,"n/a")</f>
        <v/>
      </c>
      <c r="E6" s="8">
        <f>IFERROR(E$40/E$38,"n/a")</f>
        <v/>
      </c>
      <c r="F6" s="8">
        <f>IFERROR(F$40/F$38,"n/a")</f>
        <v/>
      </c>
      <c r="G6" s="8">
        <f>IFERROR(G$40/G$38,"n/a")</f>
        <v/>
      </c>
      <c r="H6" s="8">
        <f>IFERROR(H$40/H$38,"n/a")</f>
        <v/>
      </c>
      <c r="I6" s="8">
        <f>IFERROR(I$40/I$38,"n/a")</f>
        <v/>
      </c>
      <c r="J6" s="9" t="n"/>
    </row>
    <row r="7">
      <c r="A7" s="7" t="inlineStr">
        <is>
          <t>Biên lợi nhuận ròng</t>
        </is>
      </c>
      <c r="B7" s="11">
        <f>IFERROR(B$45/B$38,"n/a")</f>
        <v/>
      </c>
      <c r="C7" s="11">
        <f>IFERROR(C$45/C$38,"n/a")</f>
        <v/>
      </c>
      <c r="D7" s="11">
        <f>IFERROR(D$45/D$38,"n/a")</f>
        <v/>
      </c>
      <c r="E7" s="11">
        <f>IFERROR(E$45/E$38,"n/a")</f>
        <v/>
      </c>
      <c r="F7" s="11">
        <f>IFERROR(F$45/F$38,"n/a")</f>
        <v/>
      </c>
      <c r="G7" s="11">
        <f>IFERROR(G$45/G$38,"n/a")</f>
        <v/>
      </c>
      <c r="H7" s="11">
        <f>IFERROR(H$45/H$38,"n/a")</f>
        <v/>
      </c>
      <c r="I7" s="11">
        <f>IFERROR(I$45/I$38,"n/a")</f>
        <v/>
      </c>
      <c r="J7" s="9" t="n"/>
    </row>
    <row r="8">
      <c r="A8" s="7" t="inlineStr">
        <is>
          <t>D/E (Nợ vay / Vốn chủ sở hữu)</t>
        </is>
      </c>
      <c r="B8" s="8">
        <f>IFERROR((B$29+B$31)/B$34,"n/a")</f>
        <v/>
      </c>
      <c r="C8" s="8">
        <f>IFERROR((C$29+C$31)/C$34,"n/a")</f>
        <v/>
      </c>
      <c r="D8" s="8">
        <f>IFERROR((D$29+D$31)/D$34,"n/a")</f>
        <v/>
      </c>
      <c r="E8" s="8">
        <f>IFERROR((E$29+E$31)/E$34,"n/a")</f>
        <v/>
      </c>
      <c r="F8" s="8">
        <f>IFERROR((F$29+F$31)/F$34,"n/a")</f>
        <v/>
      </c>
      <c r="G8" s="8">
        <f>IFERROR((G$29+G$31)/G$34,"n/a")</f>
        <v/>
      </c>
      <c r="H8" s="8">
        <f>IFERROR((H$29+H$31)/H$34,"n/a")</f>
        <v/>
      </c>
      <c r="I8" s="8">
        <f>IFERROR((I$29+I$31)/I$34,"n/a")</f>
        <v/>
      </c>
      <c r="J8" s="9" t="n"/>
    </row>
    <row r="9">
      <c r="A9" s="12" t="inlineStr">
        <is>
          <t xml:space="preserve">     - Nợ vay dài hạn/Vốn chủ sở hữu</t>
        </is>
      </c>
      <c r="B9" s="10">
        <f>IFERROR(B$31/B$34,"n/a")</f>
        <v/>
      </c>
      <c r="C9" s="10">
        <f>IFERROR(C$31/C$34,"n/a")</f>
        <v/>
      </c>
      <c r="D9" s="10">
        <f>IFERROR(D$31/D$34,"n/a")</f>
        <v/>
      </c>
      <c r="E9" s="10">
        <f>IFERROR(E$31/E$34,"n/a")</f>
        <v/>
      </c>
      <c r="F9" s="10">
        <f>IFERROR(F$31/F$34,"n/a")</f>
        <v/>
      </c>
      <c r="G9" s="10">
        <f>IFERROR(G$31/G$34,"n/a")</f>
        <v/>
      </c>
      <c r="H9" s="10">
        <f>IFERROR(H$31/H$34,"n/a")</f>
        <v/>
      </c>
      <c r="I9" s="10">
        <f>IFERROR(I$31/I$34,"n/a")</f>
        <v/>
      </c>
      <c r="J9" s="9" t="n"/>
    </row>
    <row r="10">
      <c r="A10" s="12" t="inlineStr">
        <is>
          <t xml:space="preserve">     - Nợ vay ngắn hạn/Vốn chủ sở hữu</t>
        </is>
      </c>
      <c r="B10" s="10">
        <f>IFERROR(B$29/B$34,"n/a")</f>
        <v/>
      </c>
      <c r="C10" s="10">
        <f>IFERROR(C$29/C$34,"n/a")</f>
        <v/>
      </c>
      <c r="D10" s="10">
        <f>IFERROR(D$29/D$34,"n/a")</f>
        <v/>
      </c>
      <c r="E10" s="10">
        <f>IFERROR(E$29/E$34,"n/a")</f>
        <v/>
      </c>
      <c r="F10" s="10">
        <f>IFERROR(F$29/F$34,"n/a")</f>
        <v/>
      </c>
      <c r="G10" s="10">
        <f>IFERROR(G$29/G$34,"n/a")</f>
        <v/>
      </c>
      <c r="H10" s="10">
        <f>IFERROR(H$29/H$34,"n/a")</f>
        <v/>
      </c>
      <c r="I10" s="10">
        <f>IFERROR(I$29/I$34,"n/a")</f>
        <v/>
      </c>
      <c r="J10" s="9" t="n"/>
    </row>
    <row r="11">
      <c r="A11" s="7" t="inlineStr">
        <is>
          <t>Nợ phải trả/Vốn chủ sở hữu</t>
        </is>
      </c>
      <c r="B11" s="11">
        <f>IFERROR(B$33/B$34,"n/a")</f>
        <v/>
      </c>
      <c r="C11" s="11">
        <f>IFERROR(C$33/C$34,"n/a")</f>
        <v/>
      </c>
      <c r="D11" s="11">
        <f>IFERROR(D$33/D$34,"n/a")</f>
        <v/>
      </c>
      <c r="E11" s="11">
        <f>IFERROR(E$33/E$34,"n/a")</f>
        <v/>
      </c>
      <c r="F11" s="11">
        <f>IFERROR(F$33/F$34,"n/a")</f>
        <v/>
      </c>
      <c r="G11" s="11">
        <f>IFERROR(G$33/G$34,"n/a")</f>
        <v/>
      </c>
      <c r="H11" s="11">
        <f>IFERROR(H$33/H$34,"n/a")</f>
        <v/>
      </c>
      <c r="I11" s="11">
        <f>IFERROR(I$33/I$34,"n/a")</f>
        <v/>
      </c>
      <c r="J11" s="9" t="n"/>
    </row>
    <row r="12">
      <c r="A12" s="12" t="inlineStr">
        <is>
          <t xml:space="preserve">     - Nợ dài hạn/Vốn chủ sở hữu</t>
        </is>
      </c>
      <c r="B12" s="10">
        <f>IFERROR(B$32/B$34,"n/a")</f>
        <v/>
      </c>
      <c r="C12" s="10">
        <f>IFERROR(C$32/C$34,"n/a")</f>
        <v/>
      </c>
      <c r="D12" s="10">
        <f>IFERROR(D$32/D$34,"n/a")</f>
        <v/>
      </c>
      <c r="E12" s="10">
        <f>IFERROR(E$32/E$34,"n/a")</f>
        <v/>
      </c>
      <c r="F12" s="10">
        <f>IFERROR(F$32/F$34,"n/a")</f>
        <v/>
      </c>
      <c r="G12" s="10">
        <f>IFERROR(G$32/G$34,"n/a")</f>
        <v/>
      </c>
      <c r="H12" s="10">
        <f>IFERROR(H$32/H$34,"n/a")</f>
        <v/>
      </c>
      <c r="I12" s="10">
        <f>IFERROR(I$32/I$34,"n/a")</f>
        <v/>
      </c>
      <c r="J12" s="9" t="n"/>
    </row>
    <row r="13">
      <c r="A13" s="12" t="inlineStr">
        <is>
          <t xml:space="preserve">     - Nợ ngắn hạn/Vốn chủ sở hữu</t>
        </is>
      </c>
      <c r="B13" s="10">
        <f>IFERROR(B$30/B$34,"n/a")</f>
        <v/>
      </c>
      <c r="C13" s="10">
        <f>IFERROR(C$30/C$34,"n/a")</f>
        <v/>
      </c>
      <c r="D13" s="10">
        <f>IFERROR(D$30/D$34,"n/a")</f>
        <v/>
      </c>
      <c r="E13" s="10">
        <f>IFERROR(E$30/E$34,"n/a")</f>
        <v/>
      </c>
      <c r="F13" s="10">
        <f>IFERROR(F$30/F$34,"n/a")</f>
        <v/>
      </c>
      <c r="G13" s="10">
        <f>IFERROR(G$30/G$34,"n/a")</f>
        <v/>
      </c>
      <c r="H13" s="10">
        <f>IFERROR(H$30/H$34,"n/a")</f>
        <v/>
      </c>
      <c r="I13" s="10">
        <f>IFERROR(I$30/I$34,"n/a")</f>
        <v/>
      </c>
      <c r="J13" s="9" t="n"/>
    </row>
    <row r="14">
      <c r="A14" s="7" t="inlineStr">
        <is>
          <t>Chi phí bán hàng, quản lý/LN gộp</t>
        </is>
      </c>
      <c r="B14" s="13">
        <f>IFERROR((ABS(B$41)+ABS(B$42))/B$40,"n/a")</f>
        <v/>
      </c>
      <c r="C14" s="13">
        <f>IFERROR((ABS(C$41)+ABS(C$42))/C$40,"n/a")</f>
        <v/>
      </c>
      <c r="D14" s="13">
        <f>IFERROR((ABS(D$41)+ABS(D$42))/D$40,"n/a")</f>
        <v/>
      </c>
      <c r="E14" s="13">
        <f>IFERROR((ABS(E$41)+ABS(E$42))/E$40,"n/a")</f>
        <v/>
      </c>
      <c r="F14" s="13">
        <f>IFERROR((ABS(F$41)+ABS(F$42))/F$40,"n/a")</f>
        <v/>
      </c>
      <c r="G14" s="13">
        <f>IFERROR((ABS(G$41)+ABS(G$42))/G$40,"n/a")</f>
        <v/>
      </c>
      <c r="H14" s="13">
        <f>IFERROR((ABS(H$41)+ABS(H$42))/H$40,"n/a")</f>
        <v/>
      </c>
      <c r="I14" s="13">
        <f>IFERROR((ABS(I$41)+ABS(I$42))/I$40,"n/a")</f>
        <v/>
      </c>
      <c r="J14" s="9" t="n"/>
    </row>
    <row r="15">
      <c r="A15" s="7" t="inlineStr">
        <is>
          <t>Chi phí lãi vay/LN từ hoạt động kinh doanh</t>
        </is>
      </c>
      <c r="B15" s="14">
        <f>IFERROR(ABS(B$44)/B$43,"n/a")</f>
        <v/>
      </c>
      <c r="C15" s="14">
        <f>IFERROR(ABS(C$44)/C$43,"n/a")</f>
        <v/>
      </c>
      <c r="D15" s="14">
        <f>IFERROR(ABS(D$44)/D$43,"n/a")</f>
        <v/>
      </c>
      <c r="E15" s="14">
        <f>IFERROR(ABS(E$44)/E$43,"n/a")</f>
        <v/>
      </c>
      <c r="F15" s="14">
        <f>IFERROR(ABS(F$44)/F$43,"n/a")</f>
        <v/>
      </c>
      <c r="G15" s="14">
        <f>IFERROR(ABS(G$44)/G$43,"n/a")</f>
        <v/>
      </c>
      <c r="H15" s="14">
        <f>IFERROR(ABS(H$44)/H$43,"n/a")</f>
        <v/>
      </c>
      <c r="I15" s="14">
        <f>IFERROR(ABS(I$44)/I$43,"n/a")</f>
        <v/>
      </c>
      <c r="J15" s="9" t="n"/>
    </row>
    <row r="16">
      <c r="A16" s="7" t="inlineStr">
        <is>
          <t>Số ngày phải trả (DPO)</t>
        </is>
      </c>
      <c r="B16" s="15" t="inlineStr">
        <is>
          <t>n/a</t>
        </is>
      </c>
      <c r="C16" s="16">
        <f>IFERROR(((C$28+B$28)/2)/ABS(C$39)*365,"n/a")</f>
        <v/>
      </c>
      <c r="D16" s="16">
        <f>IFERROR(((D$28+C$28)/2)/ABS(D$39)*365,"n/a")</f>
        <v/>
      </c>
      <c r="E16" s="16">
        <f>IFERROR(((E$28+D$28)/2)/ABS(E$39)*365,"n/a")</f>
        <v/>
      </c>
      <c r="F16" s="16">
        <f>IFERROR(((F$28+E$28)/2)/ABS(F$39)*365,"n/a")</f>
        <v/>
      </c>
      <c r="G16" s="16">
        <f>IFERROR(((G$28+F$28)/2)/ABS(G$39)*365,"n/a")</f>
        <v/>
      </c>
      <c r="H16" s="16">
        <f>IFERROR(((H$28+G$28)/2)/ABS(H$39)*365,"n/a")</f>
        <v/>
      </c>
      <c r="I16" s="16">
        <f>IFERROR(((I$28+H$28)/2)/ABS(I$39)*365,"n/a")</f>
        <v/>
      </c>
      <c r="J16" s="9" t="n"/>
    </row>
    <row r="17">
      <c r="A17" s="7" t="inlineStr">
        <is>
          <t>Tiền và tương đương tiền/Tài sản</t>
        </is>
      </c>
      <c r="B17" s="8">
        <f>IFERROR(B$23/B$26,"n/a")</f>
        <v/>
      </c>
      <c r="C17" s="8">
        <f>IFERROR(C$23/C$26,"n/a")</f>
        <v/>
      </c>
      <c r="D17" s="8">
        <f>IFERROR(D$23/D$26,"n/a")</f>
        <v/>
      </c>
      <c r="E17" s="8">
        <f>IFERROR(E$23/E$26,"n/a")</f>
        <v/>
      </c>
      <c r="F17" s="8">
        <f>IFERROR(F$23/F$26,"n/a")</f>
        <v/>
      </c>
      <c r="G17" s="8">
        <f>IFERROR(G$23/G$26,"n/a")</f>
        <v/>
      </c>
      <c r="H17" s="8">
        <f>IFERROR(H$23/H$26,"n/a")</f>
        <v/>
      </c>
      <c r="I17" s="8">
        <f>IFERROR(I$23/I$26,"n/a")</f>
        <v/>
      </c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17" t="inlineStr">
        <is>
          <t>II. DỮ LIỆU TRÍCH XUẤT (tự động dò theo tên khoản mục)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9" t="n"/>
    </row>
    <row r="20">
      <c r="A20" s="19" t="inlineStr">
        <is>
          <t>Khoản mục</t>
        </is>
      </c>
      <c r="B20" s="20">
        <f>balance_sheet!B1</f>
        <v/>
      </c>
      <c r="C20" s="20">
        <f>balance_sheet!C1</f>
        <v/>
      </c>
      <c r="D20" s="20">
        <f>balance_sheet!D1</f>
        <v/>
      </c>
      <c r="E20" s="20">
        <f>balance_sheet!E1</f>
        <v/>
      </c>
      <c r="F20" s="20">
        <f>balance_sheet!F1</f>
        <v/>
      </c>
      <c r="G20" s="20">
        <f>balance_sheet!G1</f>
        <v/>
      </c>
      <c r="H20" s="20">
        <f>balance_sheet!H1</f>
        <v/>
      </c>
      <c r="I20" s="20">
        <f>balance_sheet!I1</f>
        <v/>
      </c>
      <c r="J20" s="9" t="n"/>
    </row>
    <row r="21">
      <c r="A21" s="21" t="inlineStr">
        <is>
          <t>CĐKT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9" t="n"/>
    </row>
    <row r="22">
      <c r="A22" s="21" t="inlineStr">
        <is>
          <t>Tài sản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9" t="n"/>
    </row>
    <row r="23">
      <c r="A23" s="22" t="inlineStr">
        <is>
          <t>Tiền và tương đương tiền</t>
        </is>
      </c>
      <c r="B23" s="23">
        <f>IFERROR(INDEX(balance_sheet!$B:$I,MATCH("Tiền và tương đương tiền",balance_sheet!$A:$A,0),MATCH(B$20,balance_sheet!$B$1:$I$1,0)),"")</f>
        <v/>
      </c>
      <c r="C23" s="23">
        <f>IFERROR(INDEX(balance_sheet!$B:$I,MATCH("Tiền và tương đương tiền",balance_sheet!$A:$A,0),MATCH(C$20,balance_sheet!$B$1:$I$1,0)),"")</f>
        <v/>
      </c>
      <c r="D23" s="23">
        <f>IFERROR(INDEX(balance_sheet!$B:$I,MATCH("Tiền và tương đương tiền",balance_sheet!$A:$A,0),MATCH(D$20,balance_sheet!$B$1:$I$1,0)),"")</f>
        <v/>
      </c>
      <c r="E23" s="23">
        <f>IFERROR(INDEX(balance_sheet!$B:$I,MATCH("Tiền và tương đương tiền",balance_sheet!$A:$A,0),MATCH(E$20,balance_sheet!$B$1:$I$1,0)),"")</f>
        <v/>
      </c>
      <c r="F23" s="23">
        <f>IFERROR(INDEX(balance_sheet!$B:$I,MATCH("Tiền và tương đương tiền",balance_sheet!$A:$A,0),MATCH(F$20,balance_sheet!$B$1:$I$1,0)),"")</f>
        <v/>
      </c>
      <c r="G23" s="23">
        <f>IFERROR(INDEX(balance_sheet!$B:$I,MATCH("Tiền và tương đương tiền",balance_sheet!$A:$A,0),MATCH(G$20,balance_sheet!$B$1:$I$1,0)),"")</f>
        <v/>
      </c>
      <c r="H23" s="23">
        <f>IFERROR(INDEX(balance_sheet!$B:$I,MATCH("Tiền và tương đương tiền",balance_sheet!$A:$A,0),MATCH(H$20,balance_sheet!$B$1:$I$1,0)),"")</f>
        <v/>
      </c>
      <c r="I23" s="23">
        <f>IFERROR(INDEX(balance_sheet!$B:$I,MATCH("Tiền và tương đương tiền",balance_sheet!$A:$A,0),MATCH(I$20,balance_sheet!$B$1:$I$1,0)),"")</f>
        <v/>
      </c>
      <c r="J23" s="9" t="n"/>
    </row>
    <row r="24">
      <c r="A24" s="22" t="inlineStr">
        <is>
          <t>Phải thu khách hàng</t>
        </is>
      </c>
      <c r="B24" s="24" t="inlineStr">
        <is>
          <t>n/a</t>
        </is>
      </c>
      <c r="C24" s="24" t="inlineStr">
        <is>
          <t>n/a</t>
        </is>
      </c>
      <c r="D24" s="24" t="inlineStr">
        <is>
          <t>n/a</t>
        </is>
      </c>
      <c r="E24" s="24" t="inlineStr">
        <is>
          <t>n/a</t>
        </is>
      </c>
      <c r="F24" s="24" t="inlineStr">
        <is>
          <t>n/a</t>
        </is>
      </c>
      <c r="G24" s="24" t="inlineStr">
        <is>
          <t>n/a</t>
        </is>
      </c>
      <c r="H24" s="24" t="inlineStr">
        <is>
          <t>n/a</t>
        </is>
      </c>
      <c r="I24" s="24" t="inlineStr">
        <is>
          <t>n/a</t>
        </is>
      </c>
      <c r="J24" s="9" t="n"/>
    </row>
    <row r="25">
      <c r="A25" s="22" t="inlineStr">
        <is>
          <t>Hàng tồn kho, ròng</t>
        </is>
      </c>
      <c r="B25" s="24" t="inlineStr">
        <is>
          <t>n/a</t>
        </is>
      </c>
      <c r="C25" s="24" t="inlineStr">
        <is>
          <t>n/a</t>
        </is>
      </c>
      <c r="D25" s="24" t="inlineStr">
        <is>
          <t>n/a</t>
        </is>
      </c>
      <c r="E25" s="24" t="inlineStr">
        <is>
          <t>n/a</t>
        </is>
      </c>
      <c r="F25" s="24" t="inlineStr">
        <is>
          <t>n/a</t>
        </is>
      </c>
      <c r="G25" s="24" t="inlineStr">
        <is>
          <t>n/a</t>
        </is>
      </c>
      <c r="H25" s="24" t="inlineStr">
        <is>
          <t>n/a</t>
        </is>
      </c>
      <c r="I25" s="24" t="inlineStr">
        <is>
          <t>n/a</t>
        </is>
      </c>
      <c r="J25" s="9" t="n"/>
    </row>
    <row r="26">
      <c r="A26" s="22" t="inlineStr">
        <is>
          <t>TỔNG CỘNG TÀI SẢN</t>
        </is>
      </c>
      <c r="B26" s="23">
        <f>IFERROR(INDEX(balance_sheet!$B:$I,MATCH("TỔNG CỘNG TÀI SẢN",balance_sheet!$A:$A,0),MATCH(B$20,balance_sheet!$B$1:$I$1,0)),"")</f>
        <v/>
      </c>
      <c r="C26" s="23">
        <f>IFERROR(INDEX(balance_sheet!$B:$I,MATCH("TỔNG CỘNG TÀI SẢN",balance_sheet!$A:$A,0),MATCH(C$20,balance_sheet!$B$1:$I$1,0)),"")</f>
        <v/>
      </c>
      <c r="D26" s="23">
        <f>IFERROR(INDEX(balance_sheet!$B:$I,MATCH("TỔNG CỘNG TÀI SẢN",balance_sheet!$A:$A,0),MATCH(D$20,balance_sheet!$B$1:$I$1,0)),"")</f>
        <v/>
      </c>
      <c r="E26" s="23">
        <f>IFERROR(INDEX(balance_sheet!$B:$I,MATCH("TỔNG CỘNG TÀI SẢN",balance_sheet!$A:$A,0),MATCH(E$20,balance_sheet!$B$1:$I$1,0)),"")</f>
        <v/>
      </c>
      <c r="F26" s="23">
        <f>IFERROR(INDEX(balance_sheet!$B:$I,MATCH("TỔNG CỘNG TÀI SẢN",balance_sheet!$A:$A,0),MATCH(F$20,balance_sheet!$B$1:$I$1,0)),"")</f>
        <v/>
      </c>
      <c r="G26" s="23">
        <f>IFERROR(INDEX(balance_sheet!$B:$I,MATCH("TỔNG CỘNG TÀI SẢN",balance_sheet!$A:$A,0),MATCH(G$20,balance_sheet!$B$1:$I$1,0)),"")</f>
        <v/>
      </c>
      <c r="H26" s="23">
        <f>IFERROR(INDEX(balance_sheet!$B:$I,MATCH("TỔNG CỘNG TÀI SẢN",balance_sheet!$A:$A,0),MATCH(H$20,balance_sheet!$B$1:$I$1,0)),"")</f>
        <v/>
      </c>
      <c r="I26" s="23">
        <f>IFERROR(INDEX(balance_sheet!$B:$I,MATCH("TỔNG CỘNG TÀI SẢN",balance_sheet!$A:$A,0),MATCH(I$20,balance_sheet!$B$1:$I$1,0)),"")</f>
        <v/>
      </c>
      <c r="J26" s="9" t="n"/>
    </row>
    <row r="27">
      <c r="A27" s="21" t="inlineStr">
        <is>
          <t>Nguồn vốn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9" t="n"/>
    </row>
    <row r="28">
      <c r="A28" s="22" t="inlineStr">
        <is>
          <t>Phải trả người bán ngắn hạn</t>
        </is>
      </c>
      <c r="B28" s="23">
        <f>IFERROR(INDEX(balance_sheet!$B:$I,MATCH("Phải trả người bán ngắn hạn",balance_sheet!$A:$A,0),MATCH(B$20,balance_sheet!$B$1:$I$1,0)),"")</f>
        <v/>
      </c>
      <c r="C28" s="23">
        <f>IFERROR(INDEX(balance_sheet!$B:$I,MATCH("Phải trả người bán ngắn hạn",balance_sheet!$A:$A,0),MATCH(C$20,balance_sheet!$B$1:$I$1,0)),"")</f>
        <v/>
      </c>
      <c r="D28" s="23">
        <f>IFERROR(INDEX(balance_sheet!$B:$I,MATCH("Phải trả người bán ngắn hạn",balance_sheet!$A:$A,0),MATCH(D$20,balance_sheet!$B$1:$I$1,0)),"")</f>
        <v/>
      </c>
      <c r="E28" s="23">
        <f>IFERROR(INDEX(balance_sheet!$B:$I,MATCH("Phải trả người bán ngắn hạn",balance_sheet!$A:$A,0),MATCH(E$20,balance_sheet!$B$1:$I$1,0)),"")</f>
        <v/>
      </c>
      <c r="F28" s="23">
        <f>IFERROR(INDEX(balance_sheet!$B:$I,MATCH("Phải trả người bán ngắn hạn",balance_sheet!$A:$A,0),MATCH(F$20,balance_sheet!$B$1:$I$1,0)),"")</f>
        <v/>
      </c>
      <c r="G28" s="23">
        <f>IFERROR(INDEX(balance_sheet!$B:$I,MATCH("Phải trả người bán ngắn hạn",balance_sheet!$A:$A,0),MATCH(G$20,balance_sheet!$B$1:$I$1,0)),"")</f>
        <v/>
      </c>
      <c r="H28" s="23">
        <f>IFERROR(INDEX(balance_sheet!$B:$I,MATCH("Phải trả người bán ngắn hạn",balance_sheet!$A:$A,0),MATCH(H$20,balance_sheet!$B$1:$I$1,0)),"")</f>
        <v/>
      </c>
      <c r="I28" s="23">
        <f>IFERROR(INDEX(balance_sheet!$B:$I,MATCH("Phải trả người bán ngắn hạn",balance_sheet!$A:$A,0),MATCH(I$20,balance_sheet!$B$1:$I$1,0)),"")</f>
        <v/>
      </c>
      <c r="J28" s="9" t="n"/>
    </row>
    <row r="29">
      <c r="A29" s="22" t="inlineStr">
        <is>
          <t>Vay ngắn hạn</t>
        </is>
      </c>
      <c r="B29" s="23">
        <f>IFERROR(INDEX(balance_sheet!$B:$I,MATCH("Vay ngắn hạn",balance_sheet!$A:$A,0),MATCH(B$20,balance_sheet!$B$1:$I$1,0)),"")</f>
        <v/>
      </c>
      <c r="C29" s="23">
        <f>IFERROR(INDEX(balance_sheet!$B:$I,MATCH("Vay ngắn hạn",balance_sheet!$A:$A,0),MATCH(C$20,balance_sheet!$B$1:$I$1,0)),"")</f>
        <v/>
      </c>
      <c r="D29" s="23">
        <f>IFERROR(INDEX(balance_sheet!$B:$I,MATCH("Vay ngắn hạn",balance_sheet!$A:$A,0),MATCH(D$20,balance_sheet!$B$1:$I$1,0)),"")</f>
        <v/>
      </c>
      <c r="E29" s="23">
        <f>IFERROR(INDEX(balance_sheet!$B:$I,MATCH("Vay ngắn hạn",balance_sheet!$A:$A,0),MATCH(E$20,balance_sheet!$B$1:$I$1,0)),"")</f>
        <v/>
      </c>
      <c r="F29" s="23">
        <f>IFERROR(INDEX(balance_sheet!$B:$I,MATCH("Vay ngắn hạn",balance_sheet!$A:$A,0),MATCH(F$20,balance_sheet!$B$1:$I$1,0)),"")</f>
        <v/>
      </c>
      <c r="G29" s="23">
        <f>IFERROR(INDEX(balance_sheet!$B:$I,MATCH("Vay ngắn hạn",balance_sheet!$A:$A,0),MATCH(G$20,balance_sheet!$B$1:$I$1,0)),"")</f>
        <v/>
      </c>
      <c r="H29" s="23">
        <f>IFERROR(INDEX(balance_sheet!$B:$I,MATCH("Vay ngắn hạn",balance_sheet!$A:$A,0),MATCH(H$20,balance_sheet!$B$1:$I$1,0)),"")</f>
        <v/>
      </c>
      <c r="I29" s="23">
        <f>IFERROR(INDEX(balance_sheet!$B:$I,MATCH("Vay ngắn hạn",balance_sheet!$A:$A,0),MATCH(I$20,balance_sheet!$B$1:$I$1,0)),"")</f>
        <v/>
      </c>
      <c r="J29" s="9" t="n"/>
    </row>
    <row r="30">
      <c r="A30" s="22" t="inlineStr">
        <is>
          <t>Nợ phải trả ngắn hạn</t>
        </is>
      </c>
      <c r="B30" s="23">
        <f>IFERROR(INDEX(balance_sheet!$B:$I,MATCH("Nợ phải trả ngắn hạn",balance_sheet!$A:$A,0),MATCH(B$20,balance_sheet!$B$1:$I$1,0)),"")</f>
        <v/>
      </c>
      <c r="C30" s="23">
        <f>IFERROR(INDEX(balance_sheet!$B:$I,MATCH("Nợ phải trả ngắn hạn",balance_sheet!$A:$A,0),MATCH(C$20,balance_sheet!$B$1:$I$1,0)),"")</f>
        <v/>
      </c>
      <c r="D30" s="23">
        <f>IFERROR(INDEX(balance_sheet!$B:$I,MATCH("Nợ phải trả ngắn hạn",balance_sheet!$A:$A,0),MATCH(D$20,balance_sheet!$B$1:$I$1,0)),"")</f>
        <v/>
      </c>
      <c r="E30" s="23">
        <f>IFERROR(INDEX(balance_sheet!$B:$I,MATCH("Nợ phải trả ngắn hạn",balance_sheet!$A:$A,0),MATCH(E$20,balance_sheet!$B$1:$I$1,0)),"")</f>
        <v/>
      </c>
      <c r="F30" s="23">
        <f>IFERROR(INDEX(balance_sheet!$B:$I,MATCH("Nợ phải trả ngắn hạn",balance_sheet!$A:$A,0),MATCH(F$20,balance_sheet!$B$1:$I$1,0)),"")</f>
        <v/>
      </c>
      <c r="G30" s="23">
        <f>IFERROR(INDEX(balance_sheet!$B:$I,MATCH("Nợ phải trả ngắn hạn",balance_sheet!$A:$A,0),MATCH(G$20,balance_sheet!$B$1:$I$1,0)),"")</f>
        <v/>
      </c>
      <c r="H30" s="23">
        <f>IFERROR(INDEX(balance_sheet!$B:$I,MATCH("Nợ phải trả ngắn hạn",balance_sheet!$A:$A,0),MATCH(H$20,balance_sheet!$B$1:$I$1,0)),"")</f>
        <v/>
      </c>
      <c r="I30" s="23">
        <f>IFERROR(INDEX(balance_sheet!$B:$I,MATCH("Nợ phải trả ngắn hạn",balance_sheet!$A:$A,0),MATCH(I$20,balance_sheet!$B$1:$I$1,0)),"")</f>
        <v/>
      </c>
      <c r="J30" s="9" t="n"/>
    </row>
    <row r="31">
      <c r="A31" s="22" t="inlineStr">
        <is>
          <t>Vay dài hạn</t>
        </is>
      </c>
      <c r="B31" s="23">
        <f>IFERROR(INDEX(balance_sheet!$B:$I,MATCH("Vay dài hạn",balance_sheet!$A:$A,0),MATCH(B$20,balance_sheet!$B$1:$I$1,0)),"")</f>
        <v/>
      </c>
      <c r="C31" s="23">
        <f>IFERROR(INDEX(balance_sheet!$B:$I,MATCH("Vay dài hạn",balance_sheet!$A:$A,0),MATCH(C$20,balance_sheet!$B$1:$I$1,0)),"")</f>
        <v/>
      </c>
      <c r="D31" s="23">
        <f>IFERROR(INDEX(balance_sheet!$B:$I,MATCH("Vay dài hạn",balance_sheet!$A:$A,0),MATCH(D$20,balance_sheet!$B$1:$I$1,0)),"")</f>
        <v/>
      </c>
      <c r="E31" s="23">
        <f>IFERROR(INDEX(balance_sheet!$B:$I,MATCH("Vay dài hạn",balance_sheet!$A:$A,0),MATCH(E$20,balance_sheet!$B$1:$I$1,0)),"")</f>
        <v/>
      </c>
      <c r="F31" s="23">
        <f>IFERROR(INDEX(balance_sheet!$B:$I,MATCH("Vay dài hạn",balance_sheet!$A:$A,0),MATCH(F$20,balance_sheet!$B$1:$I$1,0)),"")</f>
        <v/>
      </c>
      <c r="G31" s="23">
        <f>IFERROR(INDEX(balance_sheet!$B:$I,MATCH("Vay dài hạn",balance_sheet!$A:$A,0),MATCH(G$20,balance_sheet!$B$1:$I$1,0)),"")</f>
        <v/>
      </c>
      <c r="H31" s="23">
        <f>IFERROR(INDEX(balance_sheet!$B:$I,MATCH("Vay dài hạn",balance_sheet!$A:$A,0),MATCH(H$20,balance_sheet!$B$1:$I$1,0)),"")</f>
        <v/>
      </c>
      <c r="I31" s="23">
        <f>IFERROR(INDEX(balance_sheet!$B:$I,MATCH("Vay dài hạn",balance_sheet!$A:$A,0),MATCH(I$20,balance_sheet!$B$1:$I$1,0)),"")</f>
        <v/>
      </c>
      <c r="J31" s="9" t="n"/>
    </row>
    <row r="32">
      <c r="A32" s="22" t="inlineStr">
        <is>
          <t>Nợ phải trả dài hạn</t>
        </is>
      </c>
      <c r="B32" s="23">
        <f>IFERROR(INDEX(balance_sheet!$B:$I,MATCH("Nợ phải trả dài hạn",balance_sheet!$A:$A,0),MATCH(B$20,balance_sheet!$B$1:$I$1,0)),"")</f>
        <v/>
      </c>
      <c r="C32" s="23">
        <f>IFERROR(INDEX(balance_sheet!$B:$I,MATCH("Nợ phải trả dài hạn",balance_sheet!$A:$A,0),MATCH(C$20,balance_sheet!$B$1:$I$1,0)),"")</f>
        <v/>
      </c>
      <c r="D32" s="23">
        <f>IFERROR(INDEX(balance_sheet!$B:$I,MATCH("Nợ phải trả dài hạn",balance_sheet!$A:$A,0),MATCH(D$20,balance_sheet!$B$1:$I$1,0)),"")</f>
        <v/>
      </c>
      <c r="E32" s="23">
        <f>IFERROR(INDEX(balance_sheet!$B:$I,MATCH("Nợ phải trả dài hạn",balance_sheet!$A:$A,0),MATCH(E$20,balance_sheet!$B$1:$I$1,0)),"")</f>
        <v/>
      </c>
      <c r="F32" s="23">
        <f>IFERROR(INDEX(balance_sheet!$B:$I,MATCH("Nợ phải trả dài hạn",balance_sheet!$A:$A,0),MATCH(F$20,balance_sheet!$B$1:$I$1,0)),"")</f>
        <v/>
      </c>
      <c r="G32" s="23">
        <f>IFERROR(INDEX(balance_sheet!$B:$I,MATCH("Nợ phải trả dài hạn",balance_sheet!$A:$A,0),MATCH(G$20,balance_sheet!$B$1:$I$1,0)),"")</f>
        <v/>
      </c>
      <c r="H32" s="23">
        <f>IFERROR(INDEX(balance_sheet!$B:$I,MATCH("Nợ phải trả dài hạn",balance_sheet!$A:$A,0),MATCH(H$20,balance_sheet!$B$1:$I$1,0)),"")</f>
        <v/>
      </c>
      <c r="I32" s="23">
        <f>IFERROR(INDEX(balance_sheet!$B:$I,MATCH("Nợ phải trả dài hạn",balance_sheet!$A:$A,0),MATCH(I$20,balance_sheet!$B$1:$I$1,0)),"")</f>
        <v/>
      </c>
      <c r="J32" s="9" t="n"/>
    </row>
    <row r="33">
      <c r="A33" s="22" t="inlineStr">
        <is>
          <t>NỢ PHẢI TRẢ</t>
        </is>
      </c>
      <c r="B33" s="23">
        <f>IFERROR(INDEX(balance_sheet!$B:$I,MATCH("NỢ PHẢI TRẢ",balance_sheet!$A:$A,0),MATCH(B$20,balance_sheet!$B$1:$I$1,0)),"")</f>
        <v/>
      </c>
      <c r="C33" s="23">
        <f>IFERROR(INDEX(balance_sheet!$B:$I,MATCH("NỢ PHẢI TRẢ",balance_sheet!$A:$A,0),MATCH(C$20,balance_sheet!$B$1:$I$1,0)),"")</f>
        <v/>
      </c>
      <c r="D33" s="23">
        <f>IFERROR(INDEX(balance_sheet!$B:$I,MATCH("NỢ PHẢI TRẢ",balance_sheet!$A:$A,0),MATCH(D$20,balance_sheet!$B$1:$I$1,0)),"")</f>
        <v/>
      </c>
      <c r="E33" s="23">
        <f>IFERROR(INDEX(balance_sheet!$B:$I,MATCH("NỢ PHẢI TRẢ",balance_sheet!$A:$A,0),MATCH(E$20,balance_sheet!$B$1:$I$1,0)),"")</f>
        <v/>
      </c>
      <c r="F33" s="23">
        <f>IFERROR(INDEX(balance_sheet!$B:$I,MATCH("NỢ PHẢI TRẢ",balance_sheet!$A:$A,0),MATCH(F$20,balance_sheet!$B$1:$I$1,0)),"")</f>
        <v/>
      </c>
      <c r="G33" s="23">
        <f>IFERROR(INDEX(balance_sheet!$B:$I,MATCH("NỢ PHẢI TRẢ",balance_sheet!$A:$A,0),MATCH(G$20,balance_sheet!$B$1:$I$1,0)),"")</f>
        <v/>
      </c>
      <c r="H33" s="23">
        <f>IFERROR(INDEX(balance_sheet!$B:$I,MATCH("NỢ PHẢI TRẢ",balance_sheet!$A:$A,0),MATCH(H$20,balance_sheet!$B$1:$I$1,0)),"")</f>
        <v/>
      </c>
      <c r="I33" s="23">
        <f>IFERROR(INDEX(balance_sheet!$B:$I,MATCH("NỢ PHẢI TRẢ",balance_sheet!$A:$A,0),MATCH(I$20,balance_sheet!$B$1:$I$1,0)),"")</f>
        <v/>
      </c>
      <c r="J33" s="9" t="n"/>
    </row>
    <row r="34">
      <c r="A34" s="21" t="inlineStr">
        <is>
          <t>Vốn chủ sở hữu</t>
        </is>
      </c>
      <c r="B34" s="25">
        <f>IFERROR(INDEX(balance_sheet!$B:$I,MATCH("Vốn chủ sở hữu",balance_sheet!$A:$A,0),MATCH(B$20,balance_sheet!$B$1:$I$1,0)),"")</f>
        <v/>
      </c>
      <c r="C34" s="25">
        <f>IFERROR(INDEX(balance_sheet!$B:$I,MATCH("Vốn chủ sở hữu",balance_sheet!$A:$A,0),MATCH(C$20,balance_sheet!$B$1:$I$1,0)),"")</f>
        <v/>
      </c>
      <c r="D34" s="25">
        <f>IFERROR(INDEX(balance_sheet!$B:$I,MATCH("Vốn chủ sở hữu",balance_sheet!$A:$A,0),MATCH(D$20,balance_sheet!$B$1:$I$1,0)),"")</f>
        <v/>
      </c>
      <c r="E34" s="25">
        <f>IFERROR(INDEX(balance_sheet!$B:$I,MATCH("Vốn chủ sở hữu",balance_sheet!$A:$A,0),MATCH(E$20,balance_sheet!$B$1:$I$1,0)),"")</f>
        <v/>
      </c>
      <c r="F34" s="25">
        <f>IFERROR(INDEX(balance_sheet!$B:$I,MATCH("Vốn chủ sở hữu",balance_sheet!$A:$A,0),MATCH(F$20,balance_sheet!$B$1:$I$1,0)),"")</f>
        <v/>
      </c>
      <c r="G34" s="25">
        <f>IFERROR(INDEX(balance_sheet!$B:$I,MATCH("Vốn chủ sở hữu",balance_sheet!$A:$A,0),MATCH(G$20,balance_sheet!$B$1:$I$1,0)),"")</f>
        <v/>
      </c>
      <c r="H34" s="25">
        <f>IFERROR(INDEX(balance_sheet!$B:$I,MATCH("Vốn chủ sở hữu",balance_sheet!$A:$A,0),MATCH(H$20,balance_sheet!$B$1:$I$1,0)),"")</f>
        <v/>
      </c>
      <c r="I34" s="25">
        <f>IFERROR(INDEX(balance_sheet!$B:$I,MATCH("Vốn chủ sở hữu",balance_sheet!$A:$A,0),MATCH(I$20,balance_sheet!$B$1:$I$1,0)),"")</f>
        <v/>
      </c>
      <c r="J34" s="25">
        <f>I34+J46*0.7</f>
        <v/>
      </c>
    </row>
    <row r="35">
      <c r="A35" s="26" t="inlineStr">
        <is>
          <t>Tăng VCSH/LN cổ đông cty mẹ</t>
        </is>
      </c>
      <c r="B35" s="27" t="n"/>
      <c r="C35" s="28">
        <f>(C34-B34)/C46</f>
        <v/>
      </c>
      <c r="D35" s="28">
        <f>(D34-C34)/D46</f>
        <v/>
      </c>
      <c r="E35" s="28">
        <f>(E34-D34)/E46</f>
        <v/>
      </c>
      <c r="F35" s="28">
        <f>(F34-E34)/F46</f>
        <v/>
      </c>
      <c r="G35" s="28">
        <f>(G34-F34)/G46</f>
        <v/>
      </c>
      <c r="H35" s="28">
        <f>(H34-G34)/H46</f>
        <v/>
      </c>
      <c r="I35" s="28">
        <f>(I34-H34)/I46</f>
        <v/>
      </c>
      <c r="J35" s="29" t="n"/>
    </row>
    <row r="36">
      <c r="A36" s="21" t="inlineStr">
        <is>
          <t>Lợi ích cổ đông không kiểm soát</t>
        </is>
      </c>
      <c r="B36" s="25">
        <f>IFERROR(INDEX(balance_sheet!$B:$I,MATCH("Lợi ích cổ đông không kiểm soát",balance_sheet!$A:$A,0),MATCH(B$20,balance_sheet!$B$1:$I$1,0)),"")</f>
        <v/>
      </c>
      <c r="C36" s="25">
        <f>IFERROR(INDEX(balance_sheet!$B:$I,MATCH("Lợi ích cổ đông không kiểm soát",balance_sheet!$A:$A,0),MATCH(C$20,balance_sheet!$B$1:$I$1,0)),"")</f>
        <v/>
      </c>
      <c r="D36" s="25">
        <f>IFERROR(INDEX(balance_sheet!$B:$I,MATCH("Lợi ích cổ đông không kiểm soát",balance_sheet!$A:$A,0),MATCH(D$20,balance_sheet!$B$1:$I$1,0)),"")</f>
        <v/>
      </c>
      <c r="E36" s="25">
        <f>IFERROR(INDEX(balance_sheet!$B:$I,MATCH("Lợi ích cổ đông không kiểm soát",balance_sheet!$A:$A,0),MATCH(E$20,balance_sheet!$B$1:$I$1,0)),"")</f>
        <v/>
      </c>
      <c r="F36" s="25">
        <f>IFERROR(INDEX(balance_sheet!$B:$I,MATCH("Lợi ích cổ đông không kiểm soát",balance_sheet!$A:$A,0),MATCH(F$20,balance_sheet!$B$1:$I$1,0)),"")</f>
        <v/>
      </c>
      <c r="G36" s="25">
        <f>IFERROR(INDEX(balance_sheet!$B:$I,MATCH("Lợi ích cổ đông không kiểm soát",balance_sheet!$A:$A,0),MATCH(G$20,balance_sheet!$B$1:$I$1,0)),"")</f>
        <v/>
      </c>
      <c r="H36" s="25">
        <f>IFERROR(INDEX(balance_sheet!$B:$I,MATCH("Lợi ích cổ đông không kiểm soát",balance_sheet!$A:$A,0),MATCH(H$20,balance_sheet!$B$1:$I$1,0)),"")</f>
        <v/>
      </c>
      <c r="I36" s="25">
        <f>IFERROR(INDEX(balance_sheet!$B:$I,MATCH("Lợi ích cổ đông không kiểm soát",balance_sheet!$A:$A,0),MATCH(I$20,balance_sheet!$B$1:$I$1,0)),"")</f>
        <v/>
      </c>
      <c r="J36" s="29" t="n"/>
    </row>
    <row r="37">
      <c r="A37" s="21" t="inlineStr">
        <is>
          <t>Kết quả hoạt động kinh doanh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 s="21" t="inlineStr">
        <is>
          <t>Doanh thu thuần về hoạt động kinh doanh</t>
        </is>
      </c>
      <c r="B38" s="25">
        <f>IFERROR(INDEX(income_statement!$B:$I,MATCH("Doanh thu thuần về hoạt động kinh doanh",income_statement!$A:$A,0),MATCH(B$20,income_statement!$B$1:$I$1,0)),"")</f>
        <v/>
      </c>
      <c r="C38" s="25">
        <f>IFERROR(INDEX(income_statement!$B:$I,MATCH("Doanh thu thuần về hoạt động kinh doanh",income_statement!$A:$A,0),MATCH(C$20,income_statement!$B$1:$I$1,0)),"")</f>
        <v/>
      </c>
      <c r="D38" s="25">
        <f>IFERROR(INDEX(income_statement!$B:$I,MATCH("Doanh thu thuần về hoạt động kinh doanh",income_statement!$A:$A,0),MATCH(D$20,income_statement!$B$1:$I$1,0)),"")</f>
        <v/>
      </c>
      <c r="E38" s="25">
        <f>IFERROR(INDEX(income_statement!$B:$I,MATCH("Doanh thu thuần về hoạt động kinh doanh",income_statement!$A:$A,0),MATCH(E$20,income_statement!$B$1:$I$1,0)),"")</f>
        <v/>
      </c>
      <c r="F38" s="25">
        <f>IFERROR(INDEX(income_statement!$B:$I,MATCH("Doanh thu thuần về hoạt động kinh doanh",income_statement!$A:$A,0),MATCH(F$20,income_statement!$B$1:$I$1,0)),"")</f>
        <v/>
      </c>
      <c r="G38" s="25">
        <f>IFERROR(INDEX(income_statement!$B:$I,MATCH("Doanh thu thuần về hoạt động kinh doanh",income_statement!$A:$A,0),MATCH(G$20,income_statement!$B$1:$I$1,0)),"")</f>
        <v/>
      </c>
      <c r="H38" s="25">
        <f>IFERROR(INDEX(income_statement!$B:$I,MATCH("Doanh thu thuần về hoạt động kinh doanh",income_statement!$A:$A,0),MATCH(H$20,income_statement!$B$1:$I$1,0)),"")</f>
        <v/>
      </c>
      <c r="I38" s="25">
        <f>IFERROR(INDEX(income_statement!$B:$I,MATCH("Doanh thu thuần về hoạt động kinh doanh",income_statement!$A:$A,0),MATCH(I$20,income_statement!$B$1:$I$1,0)),"")</f>
        <v/>
      </c>
      <c r="J38" s="25" t="n">
        <v>13227000000000</v>
      </c>
    </row>
    <row r="39">
      <c r="A39" s="22" t="inlineStr">
        <is>
          <t>CHI PHÍ HOẠT ĐỘNG</t>
        </is>
      </c>
      <c r="B39" s="23">
        <f>IFERROR(INDEX(income_statement!$B:$I,MATCH("CHI PHÍ HOẠT ĐỘNG",income_statement!$A:$A,0),MATCH(B$20,income_statement!$B$1:$I$1,0)),"")</f>
        <v/>
      </c>
      <c r="C39" s="23">
        <f>IFERROR(INDEX(income_statement!$B:$I,MATCH("CHI PHÍ HOẠT ĐỘNG",income_statement!$A:$A,0),MATCH(C$20,income_statement!$B$1:$I$1,0)),"")</f>
        <v/>
      </c>
      <c r="D39" s="23">
        <f>IFERROR(INDEX(income_statement!$B:$I,MATCH("CHI PHÍ HOẠT ĐỘNG",income_statement!$A:$A,0),MATCH(D$20,income_statement!$B$1:$I$1,0)),"")</f>
        <v/>
      </c>
      <c r="E39" s="23">
        <f>IFERROR(INDEX(income_statement!$B:$I,MATCH("CHI PHÍ HOẠT ĐỘNG",income_statement!$A:$A,0),MATCH(E$20,income_statement!$B$1:$I$1,0)),"")</f>
        <v/>
      </c>
      <c r="F39" s="23">
        <f>IFERROR(INDEX(income_statement!$B:$I,MATCH("CHI PHÍ HOẠT ĐỘNG",income_statement!$A:$A,0),MATCH(F$20,income_statement!$B$1:$I$1,0)),"")</f>
        <v/>
      </c>
      <c r="G39" s="23">
        <f>IFERROR(INDEX(income_statement!$B:$I,MATCH("CHI PHÍ HOẠT ĐỘNG",income_statement!$A:$A,0),MATCH(G$20,income_statement!$B$1:$I$1,0)),"")</f>
        <v/>
      </c>
      <c r="H39" s="23">
        <f>IFERROR(INDEX(income_statement!$B:$I,MATCH("CHI PHÍ HOẠT ĐỘNG",income_statement!$A:$A,0),MATCH(H$20,income_statement!$B$1:$I$1,0)),"")</f>
        <v/>
      </c>
      <c r="I39" s="23">
        <f>IFERROR(INDEX(income_statement!$B:$I,MATCH("CHI PHÍ HOẠT ĐỘNG",income_statement!$A:$A,0),MATCH(I$20,income_statement!$B$1:$I$1,0)),"")</f>
        <v/>
      </c>
      <c r="J39" s="9" t="n"/>
    </row>
    <row r="40">
      <c r="A40" s="21" t="inlineStr">
        <is>
          <t>LỢI NHUẬN GỘP</t>
        </is>
      </c>
      <c r="B40" s="25">
        <f>IFERROR(INDEX(income_statement!$B:$I,MATCH("LỢI NHUẬN GỘP",income_statement!$A:$A,0),MATCH(B$20,income_statement!$B$1:$I$1,0)),"")</f>
        <v/>
      </c>
      <c r="C40" s="25">
        <f>IFERROR(INDEX(income_statement!$B:$I,MATCH("LỢI NHUẬN GỘP",income_statement!$A:$A,0),MATCH(C$20,income_statement!$B$1:$I$1,0)),"")</f>
        <v/>
      </c>
      <c r="D40" s="25">
        <f>IFERROR(INDEX(income_statement!$B:$I,MATCH("LỢI NHUẬN GỘP",income_statement!$A:$A,0),MATCH(D$20,income_statement!$B$1:$I$1,0)),"")</f>
        <v/>
      </c>
      <c r="E40" s="25">
        <f>IFERROR(INDEX(income_statement!$B:$I,MATCH("LỢI NHUẬN GỘP",income_statement!$A:$A,0),MATCH(E$20,income_statement!$B$1:$I$1,0)),"")</f>
        <v/>
      </c>
      <c r="F40" s="25">
        <f>IFERROR(INDEX(income_statement!$B:$I,MATCH("LỢI NHUẬN GỘP",income_statement!$A:$A,0),MATCH(F$20,income_statement!$B$1:$I$1,0)),"")</f>
        <v/>
      </c>
      <c r="G40" s="25">
        <f>IFERROR(INDEX(income_statement!$B:$I,MATCH("LỢI NHUẬN GỘP",income_statement!$A:$A,0),MATCH(G$20,income_statement!$B$1:$I$1,0)),"")</f>
        <v/>
      </c>
      <c r="H40" s="25">
        <f>IFERROR(INDEX(income_statement!$B:$I,MATCH("LỢI NHUẬN GỘP",income_statement!$A:$A,0),MATCH(H$20,income_statement!$B$1:$I$1,0)),"")</f>
        <v/>
      </c>
      <c r="I40" s="25">
        <f>IFERROR(INDEX(income_statement!$B:$I,MATCH("LỢI NHUẬN GỘP",income_statement!$A:$A,0),MATCH(I$20,income_statement!$B$1:$I$1,0)),"")</f>
        <v/>
      </c>
      <c r="J40" s="29" t="n"/>
    </row>
    <row r="41">
      <c r="A41" s="22" t="inlineStr">
        <is>
          <t>CHI PHÍ BÁN HÀNG</t>
        </is>
      </c>
      <c r="B41" s="23">
        <f>IFERROR(INDEX(income_statement!$B:$I,MATCH("CHI PHÍ BÁN HÀNG",income_statement!$A:$A,0),MATCH(B$20,income_statement!$B$1:$I$1,0)),"")</f>
        <v/>
      </c>
      <c r="C41" s="23">
        <f>IFERROR(INDEX(income_statement!$B:$I,MATCH("CHI PHÍ BÁN HÀNG",income_statement!$A:$A,0),MATCH(C$20,income_statement!$B$1:$I$1,0)),"")</f>
        <v/>
      </c>
      <c r="D41" s="23">
        <f>IFERROR(INDEX(income_statement!$B:$I,MATCH("CHI PHÍ BÁN HÀNG",income_statement!$A:$A,0),MATCH(D$20,income_statement!$B$1:$I$1,0)),"")</f>
        <v/>
      </c>
      <c r="E41" s="23">
        <f>IFERROR(INDEX(income_statement!$B:$I,MATCH("CHI PHÍ BÁN HÀNG",income_statement!$A:$A,0),MATCH(E$20,income_statement!$B$1:$I$1,0)),"")</f>
        <v/>
      </c>
      <c r="F41" s="23">
        <f>IFERROR(INDEX(income_statement!$B:$I,MATCH("CHI PHÍ BÁN HÀNG",income_statement!$A:$A,0),MATCH(F$20,income_statement!$B$1:$I$1,0)),"")</f>
        <v/>
      </c>
      <c r="G41" s="23">
        <f>IFERROR(INDEX(income_statement!$B:$I,MATCH("CHI PHÍ BÁN HÀNG",income_statement!$A:$A,0),MATCH(G$20,income_statement!$B$1:$I$1,0)),"")</f>
        <v/>
      </c>
      <c r="H41" s="23">
        <f>IFERROR(INDEX(income_statement!$B:$I,MATCH("CHI PHÍ BÁN HÀNG",income_statement!$A:$A,0),MATCH(H$20,income_statement!$B$1:$I$1,0)),"")</f>
        <v/>
      </c>
      <c r="I41" s="23">
        <f>IFERROR(INDEX(income_statement!$B:$I,MATCH("CHI PHÍ BÁN HÀNG",income_statement!$A:$A,0),MATCH(I$20,income_statement!$B$1:$I$1,0)),"")</f>
        <v/>
      </c>
      <c r="J41" s="9" t="n"/>
    </row>
    <row r="42">
      <c r="A42" s="22" t="inlineStr">
        <is>
          <t>CHI PHÍ QUẢN LÝ CÔNG TY CHỨNG KHOÁN</t>
        </is>
      </c>
      <c r="B42" s="23">
        <f>IFERROR(INDEX(income_statement!$B:$I,MATCH("CHI PHÍ QUẢN LÝ CÔNG TY CHỨNG KHOÁN",income_statement!$A:$A,0),MATCH(B$20,income_statement!$B$1:$I$1,0)),"")</f>
        <v/>
      </c>
      <c r="C42" s="23">
        <f>IFERROR(INDEX(income_statement!$B:$I,MATCH("CHI PHÍ QUẢN LÝ CÔNG TY CHỨNG KHOÁN",income_statement!$A:$A,0),MATCH(C$20,income_statement!$B$1:$I$1,0)),"")</f>
        <v/>
      </c>
      <c r="D42" s="23">
        <f>IFERROR(INDEX(income_statement!$B:$I,MATCH("CHI PHÍ QUẢN LÝ CÔNG TY CHỨNG KHOÁN",income_statement!$A:$A,0),MATCH(D$20,income_statement!$B$1:$I$1,0)),"")</f>
        <v/>
      </c>
      <c r="E42" s="23">
        <f>IFERROR(INDEX(income_statement!$B:$I,MATCH("CHI PHÍ QUẢN LÝ CÔNG TY CHỨNG KHOÁN",income_statement!$A:$A,0),MATCH(E$20,income_statement!$B$1:$I$1,0)),"")</f>
        <v/>
      </c>
      <c r="F42" s="23">
        <f>IFERROR(INDEX(income_statement!$B:$I,MATCH("CHI PHÍ QUẢN LÝ CÔNG TY CHỨNG KHOÁN",income_statement!$A:$A,0),MATCH(F$20,income_statement!$B$1:$I$1,0)),"")</f>
        <v/>
      </c>
      <c r="G42" s="23">
        <f>IFERROR(INDEX(income_statement!$B:$I,MATCH("CHI PHÍ QUẢN LÝ CÔNG TY CHỨNG KHOÁN",income_statement!$A:$A,0),MATCH(G$20,income_statement!$B$1:$I$1,0)),"")</f>
        <v/>
      </c>
      <c r="H42" s="23">
        <f>IFERROR(INDEX(income_statement!$B:$I,MATCH("CHI PHÍ QUẢN LÝ CÔNG TY CHỨNG KHOÁN",income_statement!$A:$A,0),MATCH(H$20,income_statement!$B$1:$I$1,0)),"")</f>
        <v/>
      </c>
      <c r="I42" s="23">
        <f>IFERROR(INDEX(income_statement!$B:$I,MATCH("CHI PHÍ QUẢN LÝ CÔNG TY CHỨNG KHOÁN",income_statement!$A:$A,0),MATCH(I$20,income_statement!$B$1:$I$1,0)),"")</f>
        <v/>
      </c>
      <c r="J42" s="9" t="n"/>
    </row>
    <row r="43">
      <c r="A43" s="22" t="inlineStr">
        <is>
          <t>KẾT QUẢ HOẠT ĐỘNG</t>
        </is>
      </c>
      <c r="B43" s="23">
        <f>IFERROR(INDEX(income_statement!$B:$I,MATCH("KẾT QUẢ HOẠT ĐỘNG",income_statement!$A:$A,0),MATCH(B$20,income_statement!$B$1:$I$1,0)),"")</f>
        <v/>
      </c>
      <c r="C43" s="23">
        <f>IFERROR(INDEX(income_statement!$B:$I,MATCH("KẾT QUẢ HOẠT ĐỘNG",income_statement!$A:$A,0),MATCH(C$20,income_statement!$B$1:$I$1,0)),"")</f>
        <v/>
      </c>
      <c r="D43" s="23">
        <f>IFERROR(INDEX(income_statement!$B:$I,MATCH("KẾT QUẢ HOẠT ĐỘNG",income_statement!$A:$A,0),MATCH(D$20,income_statement!$B$1:$I$1,0)),"")</f>
        <v/>
      </c>
      <c r="E43" s="23">
        <f>IFERROR(INDEX(income_statement!$B:$I,MATCH("KẾT QUẢ HOẠT ĐỘNG",income_statement!$A:$A,0),MATCH(E$20,income_statement!$B$1:$I$1,0)),"")</f>
        <v/>
      </c>
      <c r="F43" s="23">
        <f>IFERROR(INDEX(income_statement!$B:$I,MATCH("KẾT QUẢ HOẠT ĐỘNG",income_statement!$A:$A,0),MATCH(F$20,income_statement!$B$1:$I$1,0)),"")</f>
        <v/>
      </c>
      <c r="G43" s="23">
        <f>IFERROR(INDEX(income_statement!$B:$I,MATCH("KẾT QUẢ HOẠT ĐỘNG",income_statement!$A:$A,0),MATCH(G$20,income_statement!$B$1:$I$1,0)),"")</f>
        <v/>
      </c>
      <c r="H43" s="23">
        <f>IFERROR(INDEX(income_statement!$B:$I,MATCH("KẾT QUẢ HOẠT ĐỘNG",income_statement!$A:$A,0),MATCH(H$20,income_statement!$B$1:$I$1,0)),"")</f>
        <v/>
      </c>
      <c r="I43" s="23">
        <f>IFERROR(INDEX(income_statement!$B:$I,MATCH("KẾT QUẢ HOẠT ĐỘNG",income_statement!$A:$A,0),MATCH(I$20,income_statement!$B$1:$I$1,0)),"")</f>
        <v/>
      </c>
      <c r="J43" s="9" t="n"/>
    </row>
    <row r="44">
      <c r="A44" s="22" t="inlineStr">
        <is>
          <t>Chi phí lãi vay</t>
        </is>
      </c>
      <c r="B44" s="23">
        <f>IFERROR(INDEX(income_statement!$B:$I,MATCH("Chi phí lãi vay",income_statement!$A:$A,0),MATCH(B$20,income_statement!$B$1:$I$1,0)),"")</f>
        <v/>
      </c>
      <c r="C44" s="23">
        <f>IFERROR(INDEX(income_statement!$B:$I,MATCH("Chi phí lãi vay",income_statement!$A:$A,0),MATCH(C$20,income_statement!$B$1:$I$1,0)),"")</f>
        <v/>
      </c>
      <c r="D44" s="23">
        <f>IFERROR(INDEX(income_statement!$B:$I,MATCH("Chi phí lãi vay",income_statement!$A:$A,0),MATCH(D$20,income_statement!$B$1:$I$1,0)),"")</f>
        <v/>
      </c>
      <c r="E44" s="23">
        <f>IFERROR(INDEX(income_statement!$B:$I,MATCH("Chi phí lãi vay",income_statement!$A:$A,0),MATCH(E$20,income_statement!$B$1:$I$1,0)),"")</f>
        <v/>
      </c>
      <c r="F44" s="23">
        <f>IFERROR(INDEX(income_statement!$B:$I,MATCH("Chi phí lãi vay",income_statement!$A:$A,0),MATCH(F$20,income_statement!$B$1:$I$1,0)),"")</f>
        <v/>
      </c>
      <c r="G44" s="23">
        <f>IFERROR(INDEX(income_statement!$B:$I,MATCH("Chi phí lãi vay",income_statement!$A:$A,0),MATCH(G$20,income_statement!$B$1:$I$1,0)),"")</f>
        <v/>
      </c>
      <c r="H44" s="23">
        <f>IFERROR(INDEX(income_statement!$B:$I,MATCH("Chi phí lãi vay",income_statement!$A:$A,0),MATCH(H$20,income_statement!$B$1:$I$1,0)),"")</f>
        <v/>
      </c>
      <c r="I44" s="23">
        <f>IFERROR(INDEX(income_statement!$B:$I,MATCH("Chi phí lãi vay",income_statement!$A:$A,0),MATCH(I$20,income_statement!$B$1:$I$1,0)),"")</f>
        <v/>
      </c>
      <c r="J44" s="9" t="n"/>
    </row>
    <row r="45">
      <c r="A45" s="21" t="inlineStr">
        <is>
          <t>LỢI NHUẬN KẾ TOÁN SAU THUẾ</t>
        </is>
      </c>
      <c r="B45" s="25">
        <f>IFERROR(INDEX(income_statement!$B:$I,MATCH("LỢI NHUẬN KẾ TOÁN SAU THUẾ",income_statement!$A:$A,0),MATCH(B$20,income_statement!$B$1:$I$1,0)),"")</f>
        <v/>
      </c>
      <c r="C45" s="25">
        <f>IFERROR(INDEX(income_statement!$B:$I,MATCH("LỢI NHUẬN KẾ TOÁN SAU THUẾ",income_statement!$A:$A,0),MATCH(C$20,income_statement!$B$1:$I$1,0)),"")</f>
        <v/>
      </c>
      <c r="D45" s="25">
        <f>IFERROR(INDEX(income_statement!$B:$I,MATCH("LỢI NHUẬN KẾ TOÁN SAU THUẾ",income_statement!$A:$A,0),MATCH(D$20,income_statement!$B$1:$I$1,0)),"")</f>
        <v/>
      </c>
      <c r="E45" s="25">
        <f>IFERROR(INDEX(income_statement!$B:$I,MATCH("LỢI NHUẬN KẾ TOÁN SAU THUẾ",income_statement!$A:$A,0),MATCH(E$20,income_statement!$B$1:$I$1,0)),"")</f>
        <v/>
      </c>
      <c r="F45" s="25">
        <f>IFERROR(INDEX(income_statement!$B:$I,MATCH("LỢI NHUẬN KẾ TOÁN SAU THUẾ",income_statement!$A:$A,0),MATCH(F$20,income_statement!$B$1:$I$1,0)),"")</f>
        <v/>
      </c>
      <c r="G45" s="25">
        <f>IFERROR(INDEX(income_statement!$B:$I,MATCH("LỢI NHUẬN KẾ TOÁN SAU THUẾ",income_statement!$A:$A,0),MATCH(G$20,income_statement!$B$1:$I$1,0)),"")</f>
        <v/>
      </c>
      <c r="H45" s="25">
        <f>IFERROR(INDEX(income_statement!$B:$I,MATCH("LỢI NHUẬN KẾ TOÁN SAU THUẾ",income_statement!$A:$A,0),MATCH(H$20,income_statement!$B$1:$I$1,0)),"")</f>
        <v/>
      </c>
      <c r="I45" s="25">
        <f>IFERROR(INDEX(income_statement!$B:$I,MATCH("LỢI NHUẬN KẾ TOÁN SAU THUẾ",income_statement!$A:$A,0),MATCH(I$20,income_statement!$B$1:$I$1,0)),"")</f>
        <v/>
      </c>
      <c r="J45" s="25" t="n">
        <v>7535000000000</v>
      </c>
    </row>
    <row r="46">
      <c r="A46" s="21" t="inlineStr">
        <is>
          <t>Lợi nhuận sau thuế phân bổ cho chủ sở hữu</t>
        </is>
      </c>
      <c r="B46" s="25">
        <f>IFERROR(INDEX(income_statement!$B:$I,MATCH("Lợi nhuận sau thuế phân bổ cho chủ sở hữu",income_statement!$A:$A,0),MATCH(B$20,income_statement!$B$1:$I$1,0)),"")</f>
        <v/>
      </c>
      <c r="C46" s="25">
        <f>IFERROR(INDEX(income_statement!$B:$I,MATCH("Lợi nhuận sau thuế phân bổ cho chủ sở hữu",income_statement!$A:$A,0),MATCH(C$20,income_statement!$B$1:$I$1,0)),"")</f>
        <v/>
      </c>
      <c r="D46" s="25">
        <f>IFERROR(INDEX(income_statement!$B:$I,MATCH("Lợi nhuận sau thuế phân bổ cho chủ sở hữu",income_statement!$A:$A,0),MATCH(D$20,income_statement!$B$1:$I$1,0)),"")</f>
        <v/>
      </c>
      <c r="E46" s="25">
        <f>IFERROR(INDEX(income_statement!$B:$I,MATCH("Lợi nhuận sau thuế phân bổ cho chủ sở hữu",income_statement!$A:$A,0),MATCH(E$20,income_statement!$B$1:$I$1,0)),"")</f>
        <v/>
      </c>
      <c r="F46" s="25">
        <f>IFERROR(INDEX(income_statement!$B:$I,MATCH("Lợi nhuận sau thuế phân bổ cho chủ sở hữu",income_statement!$A:$A,0),MATCH(F$20,income_statement!$B$1:$I$1,0)),"")</f>
        <v/>
      </c>
      <c r="G46" s="25">
        <f>IFERROR(INDEX(income_statement!$B:$I,MATCH("Lợi nhuận sau thuế phân bổ cho chủ sở hữu",income_statement!$A:$A,0),MATCH(G$20,income_statement!$B$1:$I$1,0)),"")</f>
        <v/>
      </c>
      <c r="H46" s="25">
        <f>IFERROR(INDEX(income_statement!$B:$I,MATCH("Lợi nhuận sau thuế phân bổ cho chủ sở hữu",income_statement!$A:$A,0),MATCH(H$20,income_statement!$B$1:$I$1,0)),"")</f>
        <v/>
      </c>
      <c r="I46" s="25">
        <f>IFERROR(INDEX(income_statement!$B:$I,MATCH("Lợi nhuận sau thuế phân bổ cho chủ sở hữu",income_statement!$A:$A,0),MATCH(I$20,income_statement!$B$1:$I$1,0)),"")</f>
        <v/>
      </c>
      <c r="J46" s="25" t="n">
        <v>7535000000000</v>
      </c>
    </row>
  </sheetData>
  <conditionalFormatting sqref="B2:I2">
    <cfRule type="cellIs" priority="13" operator="lessThan" dxfId="0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0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0">
      <formula>0.1</formula>
    </cfRule>
    <cfRule type="cellIs" priority="7" operator="between" dxfId="2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0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0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.21875" customWidth="1" min="1" max="1"/>
    <col width="19" customWidth="1" min="2" max="2"/>
    <col width="20.44140625" customWidth="1" min="7" max="7"/>
    <col width="9.33203125" customWidth="1" min="9" max="9"/>
  </cols>
  <sheetData>
    <row r="1">
      <c r="A1" s="30" t="n"/>
      <c r="B1" s="30" t="inlineStr">
        <is>
          <t>Q4/2025</t>
        </is>
      </c>
      <c r="C1" s="30" t="inlineStr">
        <is>
          <t>Q1/2026</t>
        </is>
      </c>
      <c r="D1" s="30" t="inlineStr">
        <is>
          <t>Q2/2026</t>
        </is>
      </c>
      <c r="E1" s="30" t="inlineStr">
        <is>
          <t>Q3/2026</t>
        </is>
      </c>
      <c r="F1" s="30" t="inlineStr">
        <is>
          <t>Q4/2026</t>
        </is>
      </c>
    </row>
    <row r="2" ht="14.25" customHeight="1">
      <c r="A2" s="30" t="inlineStr">
        <is>
          <t>Số CP</t>
        </is>
      </c>
      <c r="B2" s="31" t="n">
        <v>2774453325</v>
      </c>
      <c r="C2" s="31" t="n">
        <v>2774453325</v>
      </c>
      <c r="D2" s="31" t="n">
        <v>2774453325</v>
      </c>
      <c r="E2" s="31" t="n">
        <v>2774453325</v>
      </c>
      <c r="F2" s="31" t="n">
        <v>2774453325</v>
      </c>
    </row>
    <row r="3" ht="14.25" customHeight="1">
      <c r="A3" s="30" t="inlineStr">
        <is>
          <t>Thị giá</t>
        </is>
      </c>
      <c r="B3" s="31" t="n">
        <v>40800</v>
      </c>
      <c r="C3" s="31" t="n">
        <v>40800</v>
      </c>
      <c r="D3" s="31" t="n">
        <v>40800</v>
      </c>
      <c r="E3" s="31" t="n">
        <v>40800</v>
      </c>
      <c r="F3" s="31" t="n">
        <v>40800</v>
      </c>
    </row>
    <row r="4" ht="14.25" customHeight="1">
      <c r="A4" s="30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  <c r="F4" s="31">
        <f>F2*F3</f>
        <v/>
      </c>
      <c r="G4" s="32" t="n"/>
    </row>
    <row r="5" ht="14.25" customHeight="1"/>
    <row r="6" ht="14.25" customHeight="1">
      <c r="A6" s="30" t="inlineStr">
        <is>
          <t>VCSH</t>
        </is>
      </c>
      <c r="B6" s="31">
        <f>chi_so_tai_chinh!I34</f>
        <v/>
      </c>
      <c r="C6" s="31" t="n">
        <v>45782000000000</v>
      </c>
      <c r="D6" s="31">
        <f>B$6*(($F$6/$B$6)^(2/4))</f>
        <v/>
      </c>
      <c r="E6" s="31">
        <f>B$6*(($F$6/$B$6)^(3/4))</f>
        <v/>
      </c>
      <c r="F6" s="31">
        <f>chi_so_tai_chinh!J34</f>
        <v/>
      </c>
    </row>
    <row r="7" ht="14.25" customHeight="1">
      <c r="A7" s="30" t="inlineStr">
        <is>
          <t>LICĐKKS</t>
        </is>
      </c>
      <c r="B7" s="31">
        <f>chi_so_tai_chinh!I36</f>
        <v/>
      </c>
      <c r="C7" s="31" t="n">
        <v>0</v>
      </c>
      <c r="D7" s="31" t="n">
        <v>0</v>
      </c>
      <c r="E7" s="31" t="n">
        <v>0</v>
      </c>
      <c r="F7" s="31">
        <f>[1]CĐKT!K157*1000000000</f>
        <v/>
      </c>
    </row>
    <row r="8" ht="14.25" customHeight="1">
      <c r="A8" s="30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  <c r="F8" s="33">
        <f>F6-F7</f>
        <v/>
      </c>
      <c r="G8" s="34" t="n"/>
      <c r="H8" s="34" t="n"/>
      <c r="I8" s="34" t="n"/>
      <c r="J8" s="34" t="n"/>
      <c r="K8" s="34" t="n"/>
      <c r="L8" s="34" t="n"/>
      <c r="M8" s="34" t="n"/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6">
        <f>F8/F2</f>
        <v/>
      </c>
      <c r="H9" s="34" t="n"/>
      <c r="I9" s="34" t="n"/>
      <c r="J9" s="34" t="n"/>
      <c r="K9" s="34" t="n"/>
      <c r="L9" s="34" t="n"/>
      <c r="M9" s="34" t="n"/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F10" s="37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.88671875" customWidth="1" min="1" max="1"/>
    <col width="10.109375" customWidth="1" min="2" max="2"/>
    <col width="11.109375" customWidth="1" min="3" max="3"/>
  </cols>
  <sheetData>
    <row r="1">
      <c r="A1" s="30" t="inlineStr">
        <is>
          <t>Chỉ tiêu</t>
        </is>
      </c>
      <c r="B1" s="30" t="n">
        <v>2025</v>
      </c>
      <c r="C1" s="30" t="n">
        <v>2026</v>
      </c>
    </row>
    <row r="2">
      <c r="A2" s="30" t="inlineStr">
        <is>
          <t>Doanh thu kế hoạch</t>
        </is>
      </c>
      <c r="B2" s="31" t="n">
        <v>9323</v>
      </c>
      <c r="C2" s="31" t="n">
        <v>13227</v>
      </c>
    </row>
    <row r="3">
      <c r="A3" s="30" t="inlineStr">
        <is>
          <t>Doanh thu thuần về bán hàng và cung cấp dịch vụ</t>
        </is>
      </c>
      <c r="B3" s="31" t="n">
        <v>11217.42651465</v>
      </c>
      <c r="C3" s="31" t="n"/>
    </row>
    <row r="4">
      <c r="A4" s="30" t="inlineStr">
        <is>
          <t>%thực hiện</t>
        </is>
      </c>
      <c r="B4" s="38">
        <f>B3/B2</f>
        <v/>
      </c>
      <c r="C4" s="38" t="n"/>
    </row>
    <row r="5">
      <c r="A5" s="30" t="inlineStr">
        <is>
          <t>Lợi nhuận trước thuế kế hoạch</t>
        </is>
      </c>
      <c r="B5" s="31" t="n">
        <v>5765</v>
      </c>
      <c r="C5" s="31" t="n">
        <v>7535</v>
      </c>
    </row>
    <row r="6">
      <c r="A6" s="30" t="inlineStr">
        <is>
          <t>Lợi nhuận trước thuế thu nhập doanh nghiệp</t>
        </is>
      </c>
      <c r="B6" s="31" t="n">
        <v>7109</v>
      </c>
      <c r="C6" s="31" t="n"/>
    </row>
    <row r="7">
      <c r="A7" s="30" t="inlineStr">
        <is>
          <t>%thực hiện</t>
        </is>
      </c>
      <c r="B7" s="38">
        <f>B6/B5</f>
        <v/>
      </c>
      <c r="C7" s="38" t="n"/>
    </row>
    <row r="8">
      <c r="A8" s="39" t="n"/>
      <c r="B8" s="39" t="n"/>
      <c r="C8" s="39" t="n"/>
    </row>
    <row r="9">
      <c r="A9" s="30" t="inlineStr">
        <is>
          <t>Trung vị %thực hiện DT</t>
        </is>
      </c>
      <c r="B9" s="38">
        <f>MEDIAN(B4:C4)</f>
        <v/>
      </c>
      <c r="C9" s="39" t="n"/>
    </row>
    <row r="10">
      <c r="A10" s="30" t="inlineStr">
        <is>
          <t>Trung vị %thực hiện LNST</t>
        </is>
      </c>
      <c r="B10" s="38">
        <f>MEDIAN(B7:C7)</f>
        <v/>
      </c>
      <c r="C10" s="39" t="n"/>
    </row>
    <row r="11">
      <c r="A11" s="39" t="n"/>
      <c r="B11" s="39" t="n"/>
      <c r="C11" s="39" t="n"/>
    </row>
    <row r="12">
      <c r="A12" s="30" t="inlineStr">
        <is>
          <t>Tỷ lệ hoàn thành DT trên 95%</t>
        </is>
      </c>
      <c r="B12" s="38">
        <f>COUNTIF(B4:C4,"&gt;=95%")/COUNT(B4:C4)</f>
        <v/>
      </c>
      <c r="C12" s="39" t="n"/>
    </row>
    <row r="13">
      <c r="A13" s="30" t="inlineStr">
        <is>
          <t>Tỷ lệ hoàn thành LNST trên 95%</t>
        </is>
      </c>
      <c r="B13" s="38">
        <f>COUNTIF(B7:C7,"&gt;=95%")/COUNT(B7:C7)</f>
        <v/>
      </c>
      <c r="C13" s="39" t="n"/>
    </row>
  </sheetData>
  <conditionalFormatting sqref="B9:B10">
    <cfRule type="cellIs" priority="4" operator="lessThanOrEqual" dxfId="0" stopIfTrue="1">
      <formula>0.9</formula>
    </cfRule>
    <cfRule type="cellIs" priority="5" operator="greaterThanOrEqual" dxfId="1" stopIfTrue="1">
      <formula>0.95</formula>
    </cfRule>
    <cfRule type="cellIs" priority="6" operator="between" dxfId="2">
      <formula>0.9</formula>
      <formula>0.95</formula>
    </cfRule>
  </conditionalFormatting>
  <conditionalFormatting sqref="B12:B13">
    <cfRule type="cellIs" priority="2" operator="lessThan" dxfId="0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2026-09-23T03:42:34Z</dcterms:created>
  <dcterms:modified xsi:type="dcterms:W3CDTF">2026-09-23T03:42:35Z</dcterms:modified>
</cp:coreProperties>
</file>
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inlineStr"/>
      <c r="C22" s="4" t="inlineStr"/>
      <c r="D22" s="4" t="inlineStr"/>
      <c r="E22" s="4" t="inlineStr"/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inlineStr"/>
      <c r="C50" s="4" t="inlineStr"/>
      <c r="D50" s="4" t="inlineStr"/>
      <c r="E50" s="4" t="inlineStr"/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inlineStr"/>
      <c r="C51" s="4" t="inlineStr"/>
      <c r="D51" s="4" t="inlineStr"/>
      <c r="E51" s="4" t="inlineStr"/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inlineStr"/>
      <c r="C52" s="4" t="inlineStr"/>
      <c r="D52" s="4" t="inlineStr"/>
      <c r="E52" s="4" t="inlineStr"/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inlineStr"/>
      <c r="C76" s="4" t="inlineStr"/>
      <c r="D76" s="4" t="inlineStr"/>
      <c r="E76" s="4" t="inlineStr"/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inlineStr"/>
      <c r="C79" s="4" t="inlineStr"/>
      <c r="D79" s="4" t="inlineStr"/>
      <c r="E79" s="4" t="inlineStr"/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inlineStr"/>
      <c r="C80" s="4" t="inlineStr"/>
      <c r="D80" s="4" t="inlineStr"/>
      <c r="E80" s="4" t="inlineStr"/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inlineStr"/>
      <c r="C83" s="4" t="inlineStr"/>
      <c r="D83" s="4" t="inlineStr"/>
      <c r="E83" s="4" t="inlineStr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inlineStr"/>
      <c r="C84" s="4" t="inlineStr"/>
      <c r="D84" s="4" t="inlineStr"/>
      <c r="E84" s="4" t="inlineStr"/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inlineStr"/>
      <c r="C85" s="4" t="inlineStr"/>
      <c r="D85" s="4" t="inlineStr"/>
      <c r="E85" s="4" t="inlineStr"/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inlineStr"/>
      <c r="C86" s="4" t="inlineStr"/>
      <c r="D86" s="4" t="inlineStr"/>
      <c r="E86" s="4" t="inlineStr"/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inlineStr"/>
      <c r="C87" s="4" t="inlineStr"/>
      <c r="D87" s="4" t="inlineStr"/>
      <c r="E87" s="4" t="inlineStr"/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inlineStr"/>
      <c r="C88" s="4" t="inlineStr"/>
      <c r="D88" s="4" t="inlineStr"/>
      <c r="E88" s="4" t="inlineStr"/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inlineStr"/>
      <c r="C89" s="4" t="inlineStr"/>
      <c r="D89" s="4" t="inlineStr"/>
      <c r="E89" s="4" t="inlineStr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inlineStr"/>
      <c r="C90" s="4" t="inlineStr"/>
      <c r="D90" s="4" t="inlineStr"/>
      <c r="E90" s="4" t="inlineStr"/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inlineStr"/>
      <c r="C91" s="4" t="inlineStr"/>
      <c r="D91" s="4" t="inlineStr"/>
      <c r="E91" s="4" t="inlineStr"/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inlineStr"/>
      <c r="C92" s="4" t="inlineStr"/>
      <c r="D92" s="4" t="inlineStr"/>
      <c r="E92" s="4" t="inlineStr"/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3" customWidth="1" min="10" max="10"/>
  </cols>
  <sheetData>
    <row r="1" ht="22" customHeight="1">
      <c r="A1" s="5" t="inlineStr">
        <is>
          <t>CHỈ SỐ TÀI CHÍNH — TCX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phải trả ngắn hạn</t>
        </is>
      </c>
      <c r="B35" s="16">
        <f>IFERROR(INDEX(balance_sheet!$B:$I,MATCH("Nợ phải trả ngắn hạn",balance_sheet!$A:$A,0),MATCH(B$31,balance_sheet!$B$1:$I$1,0)),"")</f>
        <v/>
      </c>
      <c r="C35" s="16">
        <f>IFERROR(INDEX(balance_sheet!$B:$I,MATCH("Nợ phải trả ngắn hạn",balance_sheet!$A:$A,0),MATCH(C$31,balance_sheet!$B$1:$I$1,0)),"")</f>
        <v/>
      </c>
      <c r="D35" s="16">
        <f>IFERROR(INDEX(balance_sheet!$B:$I,MATCH("Nợ phải trả ngắn hạn",balance_sheet!$A:$A,0),MATCH(D$31,balance_sheet!$B$1:$I$1,0)),"")</f>
        <v/>
      </c>
      <c r="E35" s="16">
        <f>IFERROR(INDEX(balance_sheet!$B:$I,MATCH("Nợ phải trả ngắn hạn",balance_sheet!$A:$A,0),MATCH(E$31,balance_sheet!$B$1:$I$1,0)),"")</f>
        <v/>
      </c>
      <c r="F35" s="16">
        <f>IFERROR(INDEX(balance_sheet!$B:$I,MATCH("Nợ phải trả ngắn hạn",balance_sheet!$A:$A,0),MATCH(F$31,balance_sheet!$B$1:$I$1,0)),"")</f>
        <v/>
      </c>
      <c r="G35" s="16">
        <f>IFERROR(INDEX(balance_sheet!$B:$I,MATCH("Nợ phải trả ngắn hạn",balance_sheet!$A:$A,0),MATCH(G$31,balance_sheet!$B$1:$I$1,0)),"")</f>
        <v/>
      </c>
      <c r="H35" s="16">
        <f>IFERROR(INDEX(balance_sheet!$B:$I,MATCH("Nợ phải trả ngắn hạn",balance_sheet!$A:$A,0),MATCH(H$31,balance_sheet!$B$1:$I$1,0)),"")</f>
        <v/>
      </c>
      <c r="I35" s="16">
        <f>IFERROR(INDEX(balance_sheet!$B:$I,MATCH("Nợ phải trả ngắn hạn",balance_sheet!$A:$A,0),MATCH(I$31,balance_sheet!$B$1:$I$1,0)),"")</f>
        <v/>
      </c>
    </row>
    <row r="36">
      <c r="A36" s="3" t="inlineStr">
        <is>
          <t>Nợ phải trả dài hạn</t>
        </is>
      </c>
      <c r="B36" s="16">
        <f>IFERROR(INDEX(balance_sheet!$B:$I,MATCH("Nợ phải trả dài hạn",balance_sheet!$A:$A,0),MATCH(B$31,balance_sheet!$B$1:$I$1,0)),"")</f>
        <v/>
      </c>
      <c r="C36" s="16">
        <f>IFERROR(INDEX(balance_sheet!$B:$I,MATCH("Nợ phải trả dài hạn",balance_sheet!$A:$A,0),MATCH(C$31,balance_sheet!$B$1:$I$1,0)),"")</f>
        <v/>
      </c>
      <c r="D36" s="16">
        <f>IFERROR(INDEX(balance_sheet!$B:$I,MATCH("Nợ phải trả dài hạn",balance_sheet!$A:$A,0),MATCH(D$31,balance_sheet!$B$1:$I$1,0)),"")</f>
        <v/>
      </c>
      <c r="E36" s="16">
        <f>IFERROR(INDEX(balance_sheet!$B:$I,MATCH("Nợ phải trả dài hạn",balance_sheet!$A:$A,0),MATCH(E$31,balance_sheet!$B$1:$I$1,0)),"")</f>
        <v/>
      </c>
      <c r="F36" s="16">
        <f>IFERROR(INDEX(balance_sheet!$B:$I,MATCH("Nợ phải trả dài hạn",balance_sheet!$A:$A,0),MATCH(F$31,balance_sheet!$B$1:$I$1,0)),"")</f>
        <v/>
      </c>
      <c r="G36" s="16">
        <f>IFERROR(INDEX(balance_sheet!$B:$I,MATCH("Nợ phải trả dài hạn",balance_sheet!$A:$A,0),MATCH(G$31,balance_sheet!$B$1:$I$1,0)),"")</f>
        <v/>
      </c>
      <c r="H36" s="16">
        <f>IFERROR(INDEX(balance_sheet!$B:$I,MATCH("Nợ phải trả dài hạn",balance_sheet!$A:$A,0),MATCH(H$31,balance_sheet!$B$1:$I$1,0)),"")</f>
        <v/>
      </c>
      <c r="I36" s="16">
        <f>IFERROR(INDEX(balance_sheet!$B:$I,MATCH("Nợ phải trả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 về hoạt động kinh doanh</t>
        </is>
      </c>
      <c r="B39" s="16">
        <f>IFERROR(INDEX(income_statement!$B:$I,MATCH("Doanh thu thuần về hoạt động kinh doanh",income_statement!$A:$A,0),MATCH(B$31,income_statement!$B$1:$I$1,0)),"")</f>
        <v/>
      </c>
      <c r="C39" s="16">
        <f>IFERROR(INDEX(income_statement!$B:$I,MATCH("Doanh thu thuần về hoạt động kinh doanh",income_statement!$A:$A,0),MATCH(C$31,income_statement!$B$1:$I$1,0)),"")</f>
        <v/>
      </c>
      <c r="D39" s="16">
        <f>IFERROR(INDEX(income_statement!$B:$I,MATCH("Doanh thu thuần về hoạt động kinh doanh",income_statement!$A:$A,0),MATCH(D$31,income_statement!$B$1:$I$1,0)),"")</f>
        <v/>
      </c>
      <c r="E39" s="16">
        <f>IFERROR(INDEX(income_statement!$B:$I,MATCH("Doanh thu thuần về hoạt động kinh doanh",income_statement!$A:$A,0),MATCH(E$31,income_statement!$B$1:$I$1,0)),"")</f>
        <v/>
      </c>
      <c r="F39" s="16">
        <f>IFERROR(INDEX(income_statement!$B:$I,MATCH("Doanh thu thuần về hoạt động kinh doanh",income_statement!$A:$A,0),MATCH(F$31,income_statement!$B$1:$I$1,0)),"")</f>
        <v/>
      </c>
      <c r="G39" s="16">
        <f>IFERROR(INDEX(income_statement!$B:$I,MATCH("Doanh thu thuần về hoạt động kinh doanh",income_statement!$A:$A,0),MATCH(G$31,income_statement!$B$1:$I$1,0)),"")</f>
        <v/>
      </c>
      <c r="H39" s="16">
        <f>IFERROR(INDEX(income_statement!$B:$I,MATCH("Doanh thu thuần về hoạt động kinh doanh",income_statement!$A:$A,0),MATCH(H$31,income_statement!$B$1:$I$1,0)),"")</f>
        <v/>
      </c>
      <c r="I39" s="16">
        <f>IFERROR(INDEX(income_statement!$B:$I,MATCH("Doanh thu thuần về hoạt động kinh doanh",income_statement!$A:$A,0),MATCH(I$31,income_statement!$B$1:$I$1,0)),"")</f>
        <v/>
      </c>
    </row>
    <row r="40">
      <c r="A40" s="3" t="inlineStr">
        <is>
          <t>CHI PHÍ HOẠT ĐỘNG</t>
        </is>
      </c>
      <c r="B40" s="16">
        <f>IFERROR(INDEX(income_statement!$B:$I,MATCH("CHI PHÍ HOẠT ĐỘNG",income_statement!$A:$A,0),MATCH(B$31,income_statement!$B$1:$I$1,0)),"")</f>
        <v/>
      </c>
      <c r="C40" s="16">
        <f>IFERROR(INDEX(income_statement!$B:$I,MATCH("CHI PHÍ HOẠT ĐỘNG",income_statement!$A:$A,0),MATCH(C$31,income_statement!$B$1:$I$1,0)),"")</f>
        <v/>
      </c>
      <c r="D40" s="16">
        <f>IFERROR(INDEX(income_statement!$B:$I,MATCH("CHI PHÍ HOẠT ĐỘNG",income_statement!$A:$A,0),MATCH(D$31,income_statement!$B$1:$I$1,0)),"")</f>
        <v/>
      </c>
      <c r="E40" s="16">
        <f>IFERROR(INDEX(income_statement!$B:$I,MATCH("CHI PHÍ HOẠT ĐỘNG",income_statement!$A:$A,0),MATCH(E$31,income_statement!$B$1:$I$1,0)),"")</f>
        <v/>
      </c>
      <c r="F40" s="16">
        <f>IFERROR(INDEX(income_statement!$B:$I,MATCH("CHI PHÍ HOẠT ĐỘNG",income_statement!$A:$A,0),MATCH(F$31,income_statement!$B$1:$I$1,0)),"")</f>
        <v/>
      </c>
      <c r="G40" s="16">
        <f>IFERROR(INDEX(income_statement!$B:$I,MATCH("CHI PHÍ HOẠT ĐỘNG",income_statement!$A:$A,0),MATCH(G$31,income_statement!$B$1:$I$1,0)),"")</f>
        <v/>
      </c>
      <c r="H40" s="16">
        <f>IFERROR(INDEX(income_statement!$B:$I,MATCH("CHI PHÍ HOẠT ĐỘNG",income_statement!$A:$A,0),MATCH(H$31,income_statement!$B$1:$I$1,0)),"")</f>
        <v/>
      </c>
      <c r="I40" s="16">
        <f>IFERROR(INDEX(income_statement!$B:$I,MATCH("CHI PHÍ HOẠT ĐỘNG",income_statement!$A:$A,0),MATCH(I$31,income_statement!$B$1:$I$1,0)),"")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CÔNG TY CHỨNG KHOÁN</t>
        </is>
      </c>
      <c r="B43" s="16">
        <f>IFERROR(INDEX(income_statement!$B:$I,MATCH("CHI PHÍ QUẢN LÝ CÔNG TY CHỨNG KHOÁN",income_statement!$A:$A,0),MATCH(B$31,income_statement!$B$1:$I$1,0)),"")</f>
        <v/>
      </c>
      <c r="C43" s="16">
        <f>IFERROR(INDEX(income_statement!$B:$I,MATCH("CHI PHÍ QUẢN LÝ CÔNG TY CHỨNG KHOÁN",income_statement!$A:$A,0),MATCH(C$31,income_statement!$B$1:$I$1,0)),"")</f>
        <v/>
      </c>
      <c r="D43" s="16">
        <f>IFERROR(INDEX(income_statement!$B:$I,MATCH("CHI PHÍ QUẢN LÝ CÔNG TY CHỨNG KHOÁN",income_statement!$A:$A,0),MATCH(D$31,income_statement!$B$1:$I$1,0)),"")</f>
        <v/>
      </c>
      <c r="E43" s="16">
        <f>IFERROR(INDEX(income_statement!$B:$I,MATCH("CHI PHÍ QUẢN LÝ CÔNG TY CHỨNG KHOÁN",income_statement!$A:$A,0),MATCH(E$31,income_statement!$B$1:$I$1,0)),"")</f>
        <v/>
      </c>
      <c r="F43" s="16">
        <f>IFERROR(INDEX(income_statement!$B:$I,MATCH("CHI PHÍ QUẢN LÝ CÔNG TY CHỨNG KHOÁN",income_statement!$A:$A,0),MATCH(F$31,income_statement!$B$1:$I$1,0)),"")</f>
        <v/>
      </c>
      <c r="G43" s="16">
        <f>IFERROR(INDEX(income_statement!$B:$I,MATCH("CHI PHÍ QUẢN LÝ CÔNG TY CHỨNG KHOÁN",income_statement!$A:$A,0),MATCH(G$31,income_statement!$B$1:$I$1,0)),"")</f>
        <v/>
      </c>
      <c r="H43" s="16">
        <f>IFERROR(INDEX(income_statement!$B:$I,MATCH("CHI PHÍ QUẢN LÝ CÔNG TY CHỨNG KHOÁN",income_statement!$A:$A,0),MATCH(H$31,income_statement!$B$1:$I$1,0)),"")</f>
        <v/>
      </c>
      <c r="I43" s="16">
        <f>IFERROR(INDEX(income_statement!$B:$I,MATCH("CHI PHÍ QUẢN LÝ CÔNG TY CHỨNG KHOÁN",income_statement!$A:$A,0),MATCH(I$31,income_statement!$B$1:$I$1,0)),"")</f>
        <v/>
      </c>
    </row>
    <row r="44">
      <c r="A44" s="3" t="inlineStr">
        <is>
          <t>KẾT QUẢ HOẠT ĐỘNG</t>
        </is>
      </c>
      <c r="B44" s="16">
        <f>IFERROR(INDEX(income_statement!$B:$I,MATCH("KẾT QUẢ HOẠT ĐỘNG",income_statement!$A:$A,0),MATCH(B$31,income_statement!$B$1:$I$1,0)),"")</f>
        <v/>
      </c>
      <c r="C44" s="16">
        <f>IFERROR(INDEX(income_statement!$B:$I,MATCH("KẾT QUẢ HOẠT ĐỘNG",income_statement!$A:$A,0),MATCH(C$31,income_statement!$B$1:$I$1,0)),"")</f>
        <v/>
      </c>
      <c r="D44" s="16">
        <f>IFERROR(INDEX(income_statement!$B:$I,MATCH("KẾT QUẢ HOẠT ĐỘNG",income_statement!$A:$A,0),MATCH(D$31,income_statement!$B$1:$I$1,0)),"")</f>
        <v/>
      </c>
      <c r="E44" s="16">
        <f>IFERROR(INDEX(income_statement!$B:$I,MATCH("KẾT QUẢ HOẠT ĐỘNG",income_statement!$A:$A,0),MATCH(E$31,income_statement!$B$1:$I$1,0)),"")</f>
        <v/>
      </c>
      <c r="F44" s="16">
        <f>IFERROR(INDEX(income_statement!$B:$I,MATCH("KẾT QUẢ HOẠT ĐỘNG",income_statement!$A:$A,0),MATCH(F$31,income_statement!$B$1:$I$1,0)),"")</f>
        <v/>
      </c>
      <c r="G44" s="16">
        <f>IFERROR(INDEX(income_statement!$B:$I,MATCH("KẾT QUẢ HOẠT ĐỘNG",income_statement!$A:$A,0),MATCH(G$31,income_statement!$B$1:$I$1,0)),"")</f>
        <v/>
      </c>
      <c r="H44" s="16">
        <f>IFERROR(INDEX(income_statement!$B:$I,MATCH("KẾT QUẢ HOẠT ĐỘNG",income_statement!$A:$A,0),MATCH(H$31,income_statement!$B$1:$I$1,0)),"")</f>
        <v/>
      </c>
      <c r="I44" s="16">
        <f>IFERROR(INDEX(income_statement!$B:$I,MATCH("KẾT QUẢ HOẠT ĐỘNG",income_statement!$A:$A,0),MATCH(I$31,income_statement!$B$1:$I$1,0)),"")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LỢI NHUẬN KẾ TOÁN SAU THUẾ</t>
        </is>
      </c>
      <c r="B46" s="16">
        <f>IFERROR(INDEX(income_statement!$B:$I,MATCH("LỢI NHUẬN KẾ TOÁN SAU THUẾ",income_statement!$A:$A,0),MATCH(B$31,income_statement!$B$1:$I$1,0)),"")</f>
        <v/>
      </c>
      <c r="C46" s="16">
        <f>IFERROR(INDEX(income_statement!$B:$I,MATCH("LỢI NHUẬN KẾ TOÁN SAU THUẾ",income_statement!$A:$A,0),MATCH(C$31,income_statement!$B$1:$I$1,0)),"")</f>
        <v/>
      </c>
      <c r="D46" s="16">
        <f>IFERROR(INDEX(income_statement!$B:$I,MATCH("LỢI NHUẬN KẾ TOÁN SAU THUẾ",income_statement!$A:$A,0),MATCH(D$31,income_statement!$B$1:$I$1,0)),"")</f>
        <v/>
      </c>
      <c r="E46" s="16">
        <f>IFERROR(INDEX(income_statement!$B:$I,MATCH("LỢI NHUẬN KẾ TOÁN SAU THUẾ",income_statement!$A:$A,0),MATCH(E$31,income_statement!$B$1:$I$1,0)),"")</f>
        <v/>
      </c>
      <c r="F46" s="16">
        <f>IFERROR(INDEX(income_statement!$B:$I,MATCH("LỢI NHUẬN KẾ TOÁN SAU THUẾ",income_statement!$A:$A,0),MATCH(F$31,income_statement!$B$1:$I$1,0)),"")</f>
        <v/>
      </c>
      <c r="G46" s="16">
        <f>IFERROR(INDEX(income_statement!$B:$I,MATCH("LỢI NHUẬN KẾ TOÁN SAU THUẾ",income_statement!$A:$A,0),MATCH(G$31,income_statement!$B$1:$I$1,0)),"")</f>
        <v/>
      </c>
      <c r="H46" s="16">
        <f>IFERROR(INDEX(income_statement!$B:$I,MATCH("LỢI NHUẬN KẾ TOÁN SAU THUẾ",income_statement!$A:$A,0),MATCH(H$31,income_statement!$B$1:$I$1,0)),"")</f>
        <v/>
      </c>
      <c r="I46" s="16">
        <f>IFERROR(INDEX(income_statement!$B:$I,MATCH("LỢI NHUẬN KẾ TOÁN SAU THUẾ",income_statement!$A:$A,0),MATCH(I$31,income_statement!$B$1:$I$1,0)),"")</f>
        <v/>
      </c>
    </row>
    <row r="47">
      <c r="A47" s="3" t="inlineStr">
        <is>
          <t>Lợi nhuận sau thuế phân bổ cho chủ sở hữu</t>
        </is>
      </c>
      <c r="B47" s="16">
        <f>IFERROR(INDEX(income_statement!$B:$I,MATCH("Lợi nhuận sau thuế phân bổ cho chủ sở hữu",income_statement!$A:$A,0),MATCH(B$31,income_statement!$B$1:$I$1,0)),"")</f>
        <v/>
      </c>
      <c r="C47" s="16">
        <f>IFERROR(INDEX(income_statement!$B:$I,MATCH("Lợi nhuận sau thuế phân bổ cho chủ sở hữu",income_statement!$A:$A,0),MATCH(C$31,income_statement!$B$1:$I$1,0)),"")</f>
        <v/>
      </c>
      <c r="D47" s="16">
        <f>IFERROR(INDEX(income_statement!$B:$I,MATCH("Lợi nhuận sau thuế phân bổ cho chủ sở hữu",income_statement!$A:$A,0),MATCH(D$31,income_statement!$B$1:$I$1,0)),"")</f>
        <v/>
      </c>
      <c r="E47" s="16">
        <f>IFERROR(INDEX(income_statement!$B:$I,MATCH("Lợi nhuận sau thuế phân bổ cho chủ sở hữu",income_statement!$A:$A,0),MATCH(E$31,income_statement!$B$1:$I$1,0)),"")</f>
        <v/>
      </c>
      <c r="F47" s="16">
        <f>IFERROR(INDEX(income_statement!$B:$I,MATCH("Lợi nhuận sau thuế phân bổ cho chủ sở hữu",income_statement!$A:$A,0),MATCH(F$31,income_statement!$B$1:$I$1,0)),"")</f>
        <v/>
      </c>
      <c r="G47" s="16">
        <f>IFERROR(INDEX(income_statement!$B:$I,MATCH("Lợi nhuận sau thuế phân bổ cho chủ sở hữu",income_statement!$A:$A,0),MATCH(G$31,income_statement!$B$1:$I$1,0)),"")</f>
        <v/>
      </c>
      <c r="H47" s="16">
        <f>IFERROR(INDEX(income_statement!$B:$I,MATCH("Lợi nhuận sau thuế phân bổ cho chủ sở hữu",income_statement!$A:$A,0),MATCH(H$31,income_statement!$B$1:$I$1,0)),"")</f>
        <v/>
      </c>
      <c r="I47" s="16">
        <f>IFERROR(INDEX(income_statement!$B:$I,MATCH("Lợi nhuận sau thuế phân bổ cho chủ sở hữu",income_statement!$A:$A,0),MATCH(I$31,income_statement!$B$1:$I$1,0)),"")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 ngắn hạn</t>
        </is>
      </c>
      <c r="B49" s="16">
        <f>IFERROR(INDEX(balance_sheet!$B:$I,MATCH("Phải trả người bán ngắn hạn",balance_sheet!$A:$A,0),MATCH(B$31,balance_sheet!$B$1:$I$1,0)),"")</f>
        <v/>
      </c>
      <c r="C49" s="16">
        <f>IFERROR(INDEX(balance_sheet!$B:$I,MATCH("Phải trả người bán ngắn hạn",balance_sheet!$A:$A,0),MATCH(C$31,balance_sheet!$B$1:$I$1,0)),"")</f>
        <v/>
      </c>
      <c r="D49" s="16">
        <f>IFERROR(INDEX(balance_sheet!$B:$I,MATCH("Phải trả người bán ngắn hạn",balance_sheet!$A:$A,0),MATCH(D$31,balance_sheet!$B$1:$I$1,0)),"")</f>
        <v/>
      </c>
      <c r="E49" s="16">
        <f>IFERROR(INDEX(balance_sheet!$B:$I,MATCH("Phải trả người bán ngắn hạn",balance_sheet!$A:$A,0),MATCH(E$31,balance_sheet!$B$1:$I$1,0)),"")</f>
        <v/>
      </c>
      <c r="F49" s="16">
        <f>IFERROR(INDEX(balance_sheet!$B:$I,MATCH("Phải trả người bán ngắn hạn",balance_sheet!$A:$A,0),MATCH(F$31,balance_sheet!$B$1:$I$1,0)),"")</f>
        <v/>
      </c>
      <c r="G49" s="16">
        <f>IFERROR(INDEX(balance_sheet!$B:$I,MATCH("Phải trả người bán ngắn hạn",balance_sheet!$A:$A,0),MATCH(G$31,balance_sheet!$B$1:$I$1,0)),"")</f>
        <v/>
      </c>
      <c r="H49" s="16">
        <f>IFERROR(INDEX(balance_sheet!$B:$I,MATCH("Phải trả người bán ngắn hạn",balance_sheet!$A:$A,0),MATCH(H$31,balance_sheet!$B$1:$I$1,0)),"")</f>
        <v/>
      </c>
      <c r="I49" s="16">
        <f>IFERROR(INDEX(balance_sheet!$B:$I,MATCH("Phải trả người bán ngắn hạn",balance_sheet!$A:$A,0),MATCH(I$31,balance_sheet!$B$1:$I$1,0)),"")</f>
        <v/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2026-08-20T09:06:14Z</dcterms:created>
  <dcterms:modified xsi:type="dcterms:W3CDTF">2026-08-20T09:06:15Z</dcterms:modified>
</cp:coreProperties>
</file>
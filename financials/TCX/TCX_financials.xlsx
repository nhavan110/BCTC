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chi_so_tai_ch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0.00&quot;x&quot;"/>
    <numFmt numFmtId="167" formatCode="#,##0 &quot;ngày&quot;"/>
  </numFmts>
  <fonts count="15">
    <font>
      <name val="Calibri"/>
      <family val="2"/>
      <color theme="1"/>
      <sz val="11"/>
      <scheme val="minor"/>
    </font>
    <font>
      <b val="1"/>
    </font>
    <font>
      <name val="Tahoma"/>
      <b val="1"/>
      <color rgb="00FFFFFF"/>
    </font>
    <font>
      <name val="Tahoma"/>
      <sz val="10"/>
    </font>
    <font>
      <name val="Tahoma"/>
      <b val="1"/>
      <color rgb="00FFFFFF"/>
      <sz val="14"/>
    </font>
    <font>
      <name val="Tahoma"/>
      <i val="1"/>
      <color rgb="00808080"/>
      <sz val="9"/>
    </font>
    <font>
      <name val="Tahoma"/>
      <i val="1"/>
      <color rgb="00C00000"/>
      <sz val="9"/>
    </font>
    <font>
      <name val="Tahoma"/>
      <b val="1"/>
      <sz val="11"/>
    </font>
    <font>
      <name val="Calibri"/>
      <charset val="1"/>
      <family val="2"/>
      <color theme="1"/>
      <sz val="11"/>
    </font>
    <font>
      <name val="Tahoma"/>
      <b val="1"/>
    </font>
    <font>
      <name val="Tahoma"/>
      <b val="1"/>
      <i val="1"/>
      <sz val="10"/>
    </font>
    <font>
      <name val="Tahoma"/>
      <b val="1"/>
      <sz val="10"/>
    </font>
    <font>
      <name val="Tahoma"/>
      <i val="1"/>
      <color rgb="00808080"/>
      <sz val="10"/>
    </font>
    <font>
      <name val="Tahoma"/>
      <color rgb="00000000"/>
      <sz val="10"/>
    </font>
    <font>
      <name val="Tahoma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3" borderId="0" pivotButton="0" quotePrefix="0" xfId="0"/>
    <xf numFmtId="0" fontId="9" fillId="0" borderId="2" pivotButton="0" quotePrefix="0" xfId="0"/>
    <xf numFmtId="1" fontId="9" fillId="0" borderId="2" applyAlignment="1" pivotButton="0" quotePrefix="0" xfId="0">
      <alignment horizontal="center"/>
    </xf>
    <xf numFmtId="0" fontId="10" fillId="0" borderId="0" pivotButton="0" quotePrefix="0" xfId="0"/>
    <xf numFmtId="0" fontId="11" fillId="0" borderId="2" pivotButton="0" quotePrefix="0" xfId="0"/>
    <xf numFmtId="0" fontId="12" fillId="0" borderId="2" pivotButton="0" quotePrefix="0" xfId="0"/>
    <xf numFmtId="165" fontId="13" fillId="0" borderId="2" pivotButton="0" quotePrefix="0" xfId="0"/>
    <xf numFmtId="166" fontId="13" fillId="0" borderId="2" pivotButton="0" quotePrefix="0" xfId="0"/>
    <xf numFmtId="167" fontId="13" fillId="0" borderId="2" pivotButton="0" quotePrefix="0" xfId="0"/>
    <xf numFmtId="164" fontId="14" fillId="0" borderId="2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auto</author>
  </authors>
  <commentList>
    <comment ref="B48" authorId="0" shapeId="0">
      <text>
        <t>Không có khoản mục tương ứng trong báo cáo tài chính của công ty này.</t>
      </text>
    </comment>
    <comment ref="C48" authorId="0" shapeId="0">
      <text>
        <t>Không có khoản mục tương ứng trong báo cáo tài chính của công ty này.</t>
      </text>
    </comment>
    <comment ref="D48" authorId="0" shapeId="0">
      <text>
        <t>Không có khoản mục tương ứng trong báo cáo tài chính của công ty này.</t>
      </text>
    </comment>
    <comment ref="E48" authorId="0" shapeId="0">
      <text>
        <t>Không có khoản mục tương ứng trong báo cáo tài chính của công ty này.</t>
      </text>
    </comment>
    <comment ref="F48" authorId="0" shapeId="0">
      <text>
        <t>Không có khoản mục tương ứng trong báo cáo tài chính của công ty này.</t>
      </text>
    </comment>
    <comment ref="G48" authorId="0" shapeId="0">
      <text>
        <t>Không có khoản mục tương ứng trong báo cáo tài chính của công ty này.</t>
      </text>
    </comment>
    <comment ref="H48" authorId="0" shapeId="0">
      <text>
        <t>Không có khoản mục tương ứng trong báo cáo tài chính của công ty này.</t>
      </text>
    </comment>
    <comment ref="I48" authorId="0" shapeId="0">
      <text>
        <t>Không có khoản mục tương ứng trong báo cáo tài chính của công ty này.</t>
      </text>
    </comment>
    <comment ref="B50" authorId="0" shapeId="0">
      <text>
        <t>Không có khoản mục tương ứng trong báo cáo tài chính của công ty này.</t>
      </text>
    </comment>
    <comment ref="C50" authorId="0" shapeId="0">
      <text>
        <t>Không có khoản mục tương ứng trong báo cáo tài chính của công ty này.</t>
      </text>
    </comment>
    <comment ref="D50" authorId="0" shapeId="0">
      <text>
        <t>Không có khoản mục tương ứng trong báo cáo tài chính của công ty này.</t>
      </text>
    </comment>
    <comment ref="E50" authorId="0" shapeId="0">
      <text>
        <t>Không có khoản mục tương ứng trong báo cáo tài chính của công ty này.</t>
      </text>
    </comment>
    <comment ref="F50" authorId="0" shapeId="0">
      <text>
        <t>Không có khoản mục tương ứng trong báo cáo tài chính của công ty này.</t>
      </text>
    </comment>
    <comment ref="G50" authorId="0" shapeId="0">
      <text>
        <t>Không có khoản mục tương ứng trong báo cáo tài chính của công ty này.</t>
      </text>
    </comment>
    <comment ref="H50" authorId="0" shapeId="0">
      <text>
        <t>Không có khoản mục tương ứng trong báo cáo tài chính của công ty này.</t>
      </text>
    </comment>
    <comment ref="I50" authorId="0" shapeId="0">
      <text>
        <t>Không có khoản mục tương ứng trong báo cáo tài chính của công ty này.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4301904075538</v>
      </c>
      <c r="C2" s="4" t="n">
        <v>6236687163858</v>
      </c>
      <c r="D2" s="4" t="n">
        <v>8691434634717</v>
      </c>
      <c r="E2" s="4" t="n">
        <v>24409547106803</v>
      </c>
      <c r="F2" s="4" t="n">
        <v>25948479990644</v>
      </c>
      <c r="G2" s="4" t="n">
        <v>40628257426641</v>
      </c>
      <c r="H2" s="4" t="n">
        <v>49394749963613</v>
      </c>
      <c r="I2" s="4" t="n">
        <v>76612765855403</v>
      </c>
    </row>
    <row r="3">
      <c r="A3" s="3" t="inlineStr">
        <is>
          <t>Tiền và tương đương tiền</t>
        </is>
      </c>
      <c r="B3" s="4" t="n">
        <v>1305429385691</v>
      </c>
      <c r="C3" s="4" t="n">
        <v>1642859612192</v>
      </c>
      <c r="D3" s="4" t="n">
        <v>1609026026030</v>
      </c>
      <c r="E3" s="4" t="n">
        <v>1125203259229</v>
      </c>
      <c r="F3" s="4" t="n">
        <v>2404813202406</v>
      </c>
      <c r="G3" s="4" t="n">
        <v>4582180994188</v>
      </c>
      <c r="H3" s="4" t="n">
        <v>2864601041636</v>
      </c>
      <c r="I3" s="4" t="n">
        <v>3108078221717</v>
      </c>
    </row>
    <row r="4">
      <c r="A4" s="3" t="inlineStr">
        <is>
          <t>Tiền</t>
        </is>
      </c>
      <c r="B4" s="4" t="n">
        <v>905429385691</v>
      </c>
      <c r="C4" s="4" t="n">
        <v>1642859612192</v>
      </c>
      <c r="D4" s="4" t="n">
        <v>1609026026030</v>
      </c>
      <c r="E4" s="4" t="n">
        <v>1125203259229</v>
      </c>
      <c r="F4" s="4" t="n">
        <v>2404813202406</v>
      </c>
      <c r="G4" s="4" t="n">
        <v>4547180994188</v>
      </c>
      <c r="H4" s="4" t="n">
        <v>2864601041636</v>
      </c>
      <c r="I4" s="4" t="n">
        <v>3108078221717</v>
      </c>
    </row>
    <row r="5">
      <c r="A5" s="3" t="inlineStr">
        <is>
          <t>Các khoản tương đương tiền</t>
        </is>
      </c>
      <c r="B5" s="4" t="n">
        <v>400000000000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35000000000</v>
      </c>
      <c r="H5" s="4" t="n">
        <v>0</v>
      </c>
      <c r="I5" s="4" t="n">
        <v>0</v>
      </c>
    </row>
    <row r="6">
      <c r="A6" s="3" t="inlineStr">
        <is>
          <t>Các tài sản tài chính ghi nhận thông qua lãi lỗ (FVTPL)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17278163500</v>
      </c>
      <c r="I6" s="4" t="n">
        <v>38923020900</v>
      </c>
    </row>
    <row r="7">
      <c r="A7" s="3" t="inlineStr">
        <is>
          <t>Dự phòng suy giảm giá trị tài sản tài chính và tài sản thế chấp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-3599620</v>
      </c>
      <c r="G7" s="4" t="n">
        <v>-4774603364</v>
      </c>
      <c r="H7" s="4" t="n">
        <v>-10806072274</v>
      </c>
      <c r="I7" s="4" t="n">
        <v>-12757948678</v>
      </c>
    </row>
    <row r="8">
      <c r="A8" s="3" t="inlineStr">
        <is>
          <t>Tổng các khoản phải thu</t>
        </is>
      </c>
      <c r="B8" s="4" t="n">
        <v>112392910182</v>
      </c>
      <c r="C8" s="4" t="n">
        <v>200795290236</v>
      </c>
      <c r="D8" s="4" t="n">
        <v>140016694848</v>
      </c>
      <c r="E8" s="4" t="n">
        <v>338219978947</v>
      </c>
      <c r="F8" s="4" t="n">
        <v>3658318396519</v>
      </c>
      <c r="G8" s="4" t="n">
        <v>3064760726090</v>
      </c>
      <c r="H8" s="4" t="n">
        <v>656597329458</v>
      </c>
      <c r="I8" s="4" t="n">
        <v>727456098295</v>
      </c>
    </row>
    <row r="9">
      <c r="A9" s="3" t="inlineStr">
        <is>
          <t>Phải thu khách hàng (Trước năm 2016)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Trả trước người bán</t>
        </is>
      </c>
      <c r="B10" s="4" t="n">
        <v>777927372</v>
      </c>
      <c r="C10" s="4" t="n">
        <v>3959538551</v>
      </c>
      <c r="D10" s="4" t="n">
        <v>1073097835</v>
      </c>
      <c r="E10" s="4" t="n">
        <v>6403936795</v>
      </c>
      <c r="F10" s="4" t="n">
        <v>1512267704</v>
      </c>
      <c r="G10" s="4" t="n">
        <v>1707458921</v>
      </c>
      <c r="H10" s="4" t="n">
        <v>1949853033</v>
      </c>
      <c r="I10" s="4" t="n">
        <v>5729878954</v>
      </c>
    </row>
    <row r="11">
      <c r="A11" s="3" t="inlineStr">
        <is>
          <t>Phải thu nội bộ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3" t="inlineStr">
        <is>
          <t>Phải thu về XDCB (Trước năm 2016)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khác</t>
        </is>
      </c>
      <c r="B13" s="4" t="n">
        <v>4844100000</v>
      </c>
      <c r="C13" s="4" t="n">
        <v>44505938241</v>
      </c>
      <c r="D13" s="4" t="n">
        <v>24625755</v>
      </c>
      <c r="E13" s="4" t="n">
        <v>1213818</v>
      </c>
      <c r="F13" s="4" t="n">
        <v>3450110238837</v>
      </c>
      <c r="G13" s="4" t="n">
        <v>2709273571142</v>
      </c>
      <c r="H13" s="4" t="n">
        <v>22076558945</v>
      </c>
      <c r="I13" s="4" t="n">
        <v>2271195630</v>
      </c>
    </row>
    <row r="14">
      <c r="A14" s="3" t="inlineStr">
        <is>
          <t>Dự phòng nợ khó đòi (Trước năm 2016)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3" t="inlineStr">
        <is>
          <t>Hàng tồn kho, ròng (Trước năm 2016)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3" t="inlineStr">
        <is>
          <t>Hàng tồn kho (Trước năm 2016)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Dự phòng giảm giá HTK (Trước năm 2016)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Tài sản ngắn hạn khác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Chi phí trả trước ngắn hạn</t>
        </is>
      </c>
      <c r="B19" s="4" t="n">
        <v>0</v>
      </c>
      <c r="C19" s="4" t="n">
        <v>0</v>
      </c>
      <c r="D19" s="4" t="n">
        <v>0</v>
      </c>
      <c r="E19" s="4" t="n">
        <v>6178350508</v>
      </c>
      <c r="F19" s="4" t="n">
        <v>7373703649</v>
      </c>
      <c r="G19" s="4" t="n">
        <v>33780597159</v>
      </c>
      <c r="H19" s="4" t="n">
        <v>52699169656</v>
      </c>
      <c r="I19" s="4" t="n">
        <v>13408458353</v>
      </c>
    </row>
    <row r="20">
      <c r="A20" s="3" t="inlineStr">
        <is>
          <t>Thuế giá trị gia tăng được khấu trừ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3" t="inlineStr">
        <is>
          <t>Thuế và các khoản khác phải thu Nhà nước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3" t="inlineStr">
        <is>
          <t>Tài sản ngắn hạn khác</t>
        </is>
      </c>
      <c r="B22" s="4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TÀI SẢN DÀI HẠN</t>
        </is>
      </c>
      <c r="B23" s="4" t="n">
        <v>49147334360</v>
      </c>
      <c r="C23" s="4" t="n">
        <v>67319084866</v>
      </c>
      <c r="D23" s="4" t="n">
        <v>67718122390</v>
      </c>
      <c r="E23" s="4" t="n">
        <v>137708014026</v>
      </c>
      <c r="F23" s="4" t="n">
        <v>143067748219</v>
      </c>
      <c r="G23" s="4" t="n">
        <v>3160172027968</v>
      </c>
      <c r="H23" s="4" t="n">
        <v>3849383856581</v>
      </c>
      <c r="I23" s="4" t="n">
        <v>4019491143606</v>
      </c>
    </row>
    <row r="24">
      <c r="A24" s="3" t="inlineStr">
        <is>
          <t>Phải thu dài hạn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</row>
    <row r="25">
      <c r="A25" s="3" t="inlineStr">
        <is>
          <t>Phải thu khách hàng dài hạn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Phải thu nội bộ dài hạn (Trước năm 2016)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dài hạn khác (Trước năm 2016)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Dự phòng phải thu dài hạn (Trước năm 2016)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</row>
    <row r="29">
      <c r="A29" s="3" t="inlineStr">
        <is>
          <t>Tài sản cố định</t>
        </is>
      </c>
      <c r="B29" s="4" t="n">
        <v>37111999508</v>
      </c>
      <c r="C29" s="4" t="n">
        <v>49557894955</v>
      </c>
      <c r="D29" s="4" t="n">
        <v>46974194404</v>
      </c>
      <c r="E29" s="4" t="n">
        <v>88485615590</v>
      </c>
      <c r="F29" s="4" t="n">
        <v>84726784106</v>
      </c>
      <c r="G29" s="4" t="n">
        <v>64589748067</v>
      </c>
      <c r="H29" s="4" t="n">
        <v>50740739690</v>
      </c>
      <c r="I29" s="4" t="n">
        <v>107181206706</v>
      </c>
    </row>
    <row r="30">
      <c r="A30" s="3" t="inlineStr">
        <is>
          <t>GTCL TSCĐ hữu hình</t>
        </is>
      </c>
      <c r="B30" s="4" t="n">
        <v>23568693328</v>
      </c>
      <c r="C30" s="4" t="n">
        <v>32754590464</v>
      </c>
      <c r="D30" s="4" t="n">
        <v>29833833523</v>
      </c>
      <c r="E30" s="4" t="n">
        <v>72155697438</v>
      </c>
      <c r="F30" s="4" t="n">
        <v>68067359617</v>
      </c>
      <c r="G30" s="4" t="n">
        <v>50134678668</v>
      </c>
      <c r="H30" s="4" t="n">
        <v>39993555777</v>
      </c>
      <c r="I30" s="4" t="n">
        <v>33220423249</v>
      </c>
    </row>
    <row r="31">
      <c r="A31" s="3" t="inlineStr">
        <is>
          <t>Nguyên giá TSCĐ hữu hình</t>
        </is>
      </c>
      <c r="B31" s="4" t="n">
        <v>27624998111</v>
      </c>
      <c r="C31" s="4" t="n">
        <v>41361320496</v>
      </c>
      <c r="D31" s="4" t="n">
        <v>45393191940</v>
      </c>
      <c r="E31" s="4" t="n">
        <v>97038507040</v>
      </c>
      <c r="F31" s="4" t="n">
        <v>110681859040</v>
      </c>
      <c r="G31" s="4" t="n">
        <v>109934766200</v>
      </c>
      <c r="H31" s="4" t="n">
        <v>117475687200</v>
      </c>
      <c r="I31" s="4" t="n">
        <v>126797126020</v>
      </c>
    </row>
    <row r="32">
      <c r="A32" s="3" t="inlineStr">
        <is>
          <t>Khấu hao lũy kế TSCĐ hữu hình</t>
        </is>
      </c>
      <c r="B32" s="4" t="n">
        <v>-4056304783</v>
      </c>
      <c r="C32" s="4" t="n">
        <v>-8606730032</v>
      </c>
      <c r="D32" s="4" t="n">
        <v>-15559358417</v>
      </c>
      <c r="E32" s="4" t="n">
        <v>-24882809602</v>
      </c>
      <c r="F32" s="4" t="n">
        <v>-42614499423</v>
      </c>
      <c r="G32" s="4" t="n">
        <v>-59800087532</v>
      </c>
      <c r="H32" s="4" t="n">
        <v>-77482131423</v>
      </c>
      <c r="I32" s="4" t="n">
        <v>-93576702771</v>
      </c>
    </row>
    <row r="33">
      <c r="A33" s="3" t="inlineStr">
        <is>
          <t>GTCL Tài sản thuê tài chính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3" t="inlineStr">
        <is>
          <t>Nguyên giá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Khấu hao lũy kế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GTCL tài sản cố định vô hình</t>
        </is>
      </c>
      <c r="B36" s="4" t="n">
        <v>13543306180</v>
      </c>
      <c r="C36" s="4" t="n">
        <v>16803304491</v>
      </c>
      <c r="D36" s="4" t="n">
        <v>17140360881</v>
      </c>
      <c r="E36" s="4" t="n">
        <v>16329918152</v>
      </c>
      <c r="F36" s="4" t="n">
        <v>16659424489</v>
      </c>
      <c r="G36" s="4" t="n">
        <v>14455069399</v>
      </c>
      <c r="H36" s="4" t="n">
        <v>10747183913</v>
      </c>
      <c r="I36" s="4" t="n">
        <v>73960783457</v>
      </c>
    </row>
    <row r="37">
      <c r="A37" s="3" t="inlineStr">
        <is>
          <t>Nguyên giá TSCĐ vô hình</t>
        </is>
      </c>
      <c r="B37" s="4" t="n">
        <v>25454854000</v>
      </c>
      <c r="C37" s="4" t="n">
        <v>34869134903</v>
      </c>
      <c r="D37" s="4" t="n">
        <v>51902116490</v>
      </c>
      <c r="E37" s="4" t="n">
        <v>56182347490</v>
      </c>
      <c r="F37" s="4" t="n">
        <v>61426279490</v>
      </c>
      <c r="G37" s="4" t="n">
        <v>64600335490</v>
      </c>
      <c r="H37" s="4" t="n">
        <v>66775606490</v>
      </c>
      <c r="I37" s="4" t="n">
        <v>138768470729</v>
      </c>
    </row>
    <row r="38">
      <c r="A38" s="3" t="inlineStr">
        <is>
          <t>Khấu khao lũy kế TSCĐ vô hình</t>
        </is>
      </c>
      <c r="B38" s="4" t="n">
        <v>-11911547820</v>
      </c>
      <c r="C38" s="4" t="n">
        <v>-18065830412</v>
      </c>
      <c r="D38" s="4" t="n">
        <v>-34761755609</v>
      </c>
      <c r="E38" s="4" t="n">
        <v>-39852429338</v>
      </c>
      <c r="F38" s="4" t="n">
        <v>-44766855001</v>
      </c>
      <c r="G38" s="4" t="n">
        <v>-50145266091</v>
      </c>
      <c r="H38" s="4" t="n">
        <v>-56028422577</v>
      </c>
      <c r="I38" s="4" t="n">
        <v>-64807687272</v>
      </c>
    </row>
    <row r="39">
      <c r="A39" s="3" t="inlineStr">
        <is>
          <t>Xây dựng cơ bản dở dang (trước 2015)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</row>
    <row r="40">
      <c r="A40" s="3" t="inlineStr">
        <is>
          <t>Bất động sản đầu tư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Nguyên giá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Khấu hao lũy kế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Đầu tư dài hạn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3033431775000</v>
      </c>
      <c r="H43" s="4" t="n">
        <v>3533431775000</v>
      </c>
      <c r="I43" s="4" t="n">
        <v>3610268431824</v>
      </c>
    </row>
    <row r="44">
      <c r="A44" s="3" t="inlineStr">
        <is>
          <t>Đầu tư vào các công ty con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</row>
    <row r="45">
      <c r="A45" s="3" t="inlineStr">
        <is>
          <t>Đầu tư vào các công ty liên kết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dài hạn khác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3033431775000</v>
      </c>
      <c r="I46" s="4" t="n">
        <v>3200268431824</v>
      </c>
    </row>
    <row r="47">
      <c r="A47" s="3" t="inlineStr">
        <is>
          <t>Dự phòng giảm giá đầu tư dài hạn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Tài sản dài hạn khác</t>
        </is>
      </c>
      <c r="B48" s="4" t="n">
        <v>12035334852</v>
      </c>
      <c r="C48" s="4" t="n">
        <v>17761189911</v>
      </c>
      <c r="D48" s="4" t="n">
        <v>20743927986</v>
      </c>
      <c r="E48" s="4" t="n">
        <v>49222398436</v>
      </c>
      <c r="F48" s="4" t="n">
        <v>58340964113</v>
      </c>
      <c r="G48" s="4" t="n">
        <v>59493017350</v>
      </c>
      <c r="H48" s="4" t="n">
        <v>256740022659</v>
      </c>
      <c r="I48" s="4" t="n">
        <v>248276291750</v>
      </c>
    </row>
    <row r="49">
      <c r="A49" s="3" t="inlineStr">
        <is>
          <t>Chi phí trả trước dài hạn</t>
        </is>
      </c>
      <c r="B49" s="4" t="n">
        <v>7404418347</v>
      </c>
      <c r="C49" s="4" t="n">
        <v>10417705370</v>
      </c>
      <c r="D49" s="4" t="n">
        <v>11795644638</v>
      </c>
      <c r="E49" s="4" t="n">
        <v>9832770342</v>
      </c>
      <c r="F49" s="4" t="n">
        <v>14257812698</v>
      </c>
      <c r="G49" s="4" t="n">
        <v>8860645504</v>
      </c>
      <c r="H49" s="4" t="n">
        <v>8909838294</v>
      </c>
      <c r="I49" s="4" t="n">
        <v>16980000795</v>
      </c>
    </row>
    <row r="50">
      <c r="A50" s="3" t="inlineStr">
        <is>
          <t>Tài sản thuế thu nhập hoãn lại</t>
        </is>
      </c>
      <c r="B50" s="4" t="n">
        <v>0</v>
      </c>
      <c r="C50" s="4" t="n">
        <v>0</v>
      </c>
      <c r="D50" s="4" t="n">
        <v>0</v>
      </c>
      <c r="E50" s="4" t="n">
        <v>17950844746</v>
      </c>
      <c r="F50" s="4" t="n">
        <v>20791943497</v>
      </c>
      <c r="G50" s="4" t="n">
        <v>24188580704</v>
      </c>
      <c r="H50" s="4" t="n">
        <v>23846393223</v>
      </c>
      <c r="I50" s="4" t="n">
        <v>17804201744</v>
      </c>
    </row>
    <row r="51">
      <c r="A51" s="3" t="inlineStr">
        <is>
          <t>Các tài sản dài hạn khác</t>
        </is>
      </c>
      <c r="B51" s="4" t="n">
        <v>692320146</v>
      </c>
      <c r="C51" s="4" t="n">
        <v>0</v>
      </c>
      <c r="D51" s="4" t="n">
        <v>0</v>
      </c>
      <c r="E51" s="4" t="n">
        <v>10000000000</v>
      </c>
      <c r="F51" s="4" t="n">
        <v>10000000000</v>
      </c>
      <c r="G51" s="4" t="n">
        <v>10000000000</v>
      </c>
      <c r="H51" s="4" t="n">
        <v>10000000000</v>
      </c>
      <c r="I51" s="4" t="n">
        <v>10083869378</v>
      </c>
    </row>
    <row r="52">
      <c r="A52" s="3" t="inlineStr">
        <is>
          <t>TỔNG CỘNG TÀI SẢN</t>
        </is>
      </c>
      <c r="B52" s="4" t="n">
        <v>4351051409898</v>
      </c>
      <c r="C52" s="4" t="n">
        <v>6304006248724</v>
      </c>
      <c r="D52" s="4" t="n">
        <v>8759152757107</v>
      </c>
      <c r="E52" s="4" t="n">
        <v>24547255120829</v>
      </c>
      <c r="F52" s="4" t="n">
        <v>26091547738863</v>
      </c>
      <c r="G52" s="4" t="n">
        <v>43788429454609</v>
      </c>
      <c r="H52" s="4" t="n">
        <v>53244133820194</v>
      </c>
      <c r="I52" s="4" t="n">
        <v>80632256999009</v>
      </c>
    </row>
    <row r="53">
      <c r="A53" s="3" t="inlineStr">
        <is>
          <t>NỢ PHẢI TRẢ</t>
        </is>
      </c>
      <c r="B53" s="4" t="n">
        <v>1243343524872</v>
      </c>
      <c r="C53" s="4" t="n">
        <v>1673476298391</v>
      </c>
      <c r="D53" s="4" t="n">
        <v>2579921734061</v>
      </c>
      <c r="E53" s="4" t="n">
        <v>15302010632313</v>
      </c>
      <c r="F53" s="4" t="n">
        <v>15102289530963</v>
      </c>
      <c r="G53" s="4" t="n">
        <v>20158922867321</v>
      </c>
      <c r="H53" s="4" t="n">
        <v>26947161543516</v>
      </c>
      <c r="I53" s="4" t="n">
        <v>36532676815634</v>
      </c>
    </row>
    <row r="54">
      <c r="A54" s="3" t="inlineStr">
        <is>
          <t>Nợ phải trả ngắn hạn</t>
        </is>
      </c>
      <c r="B54" s="4" t="n">
        <v>1058268101543</v>
      </c>
      <c r="C54" s="4" t="n">
        <v>931757686993</v>
      </c>
      <c r="D54" s="4" t="n">
        <v>2299748645797</v>
      </c>
      <c r="E54" s="4" t="n">
        <v>10818321731258</v>
      </c>
      <c r="F54" s="4" t="n">
        <v>13378593348270</v>
      </c>
      <c r="G54" s="4" t="n">
        <v>19197091992778</v>
      </c>
      <c r="H54" s="4" t="n">
        <v>25934267565771</v>
      </c>
      <c r="I54" s="4" t="n">
        <v>35016932279815</v>
      </c>
    </row>
    <row r="55">
      <c r="A55" s="3" t="inlineStr">
        <is>
          <t>Vay và nợ thuê tài sản tài chính ngắn hạn</t>
        </is>
      </c>
      <c r="B55" s="4" t="n">
        <v>296632000000</v>
      </c>
      <c r="C55" s="4" t="n">
        <v>565000000000</v>
      </c>
      <c r="D55" s="4" t="n">
        <v>1204855100000</v>
      </c>
      <c r="E55" s="4" t="n">
        <v>7395460000000</v>
      </c>
      <c r="F55" s="4" t="n">
        <v>6871600000000</v>
      </c>
      <c r="G55" s="4" t="n">
        <v>18061885497900</v>
      </c>
      <c r="H55" s="4" t="n">
        <v>20522995942980</v>
      </c>
      <c r="I55" s="4" t="n">
        <v>31079695096211</v>
      </c>
    </row>
    <row r="56">
      <c r="A56" s="3" t="inlineStr">
        <is>
          <t>Phải trả người bán ngắn hạn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240252940500</v>
      </c>
      <c r="G56" s="4" t="n">
        <v>606772700</v>
      </c>
      <c r="H56" s="4" t="n">
        <v>66489220</v>
      </c>
      <c r="I56" s="4" t="n">
        <v>2000410883</v>
      </c>
    </row>
    <row r="57">
      <c r="A57" s="3" t="inlineStr">
        <is>
          <t>Người mua trả tiền trước ngắn hạn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126000000000</v>
      </c>
      <c r="I57" s="4" t="n">
        <v>0</v>
      </c>
    </row>
    <row r="58">
      <c r="A58" s="3" t="inlineStr">
        <is>
          <t>Thuế và các khoản phải nộp nhà nước</t>
        </is>
      </c>
      <c r="B58" s="4" t="n">
        <v>193598442947</v>
      </c>
      <c r="C58" s="4" t="n">
        <v>187317258946</v>
      </c>
      <c r="D58" s="4" t="n">
        <v>214105832782</v>
      </c>
      <c r="E58" s="4" t="n">
        <v>240562773739</v>
      </c>
      <c r="F58" s="4" t="n">
        <v>316020156985</v>
      </c>
      <c r="G58" s="4" t="n">
        <v>496359203753</v>
      </c>
      <c r="H58" s="4" t="n">
        <v>878447688270</v>
      </c>
      <c r="I58" s="4" t="n">
        <v>1384739664586</v>
      </c>
    </row>
    <row r="59">
      <c r="A59" s="3" t="inlineStr">
        <is>
          <t>Phải trả người lao động</t>
        </is>
      </c>
      <c r="B59" s="4" t="n">
        <v>33868889081</v>
      </c>
      <c r="C59" s="4" t="n">
        <v>59371578913</v>
      </c>
      <c r="D59" s="4" t="n">
        <v>101719481805</v>
      </c>
      <c r="E59" s="4" t="n">
        <v>103701109054</v>
      </c>
      <c r="F59" s="4" t="n">
        <v>123723915438</v>
      </c>
      <c r="G59" s="4" t="n">
        <v>145714265723</v>
      </c>
      <c r="H59" s="4" t="n">
        <v>183986993939</v>
      </c>
      <c r="I59" s="4" t="n">
        <v>231830280548</v>
      </c>
    </row>
    <row r="60">
      <c r="A60" s="3" t="inlineStr">
        <is>
          <t>Chi phí phải trả ngắn hạn</t>
        </is>
      </c>
      <c r="B60" s="4" t="n">
        <v>14296460493</v>
      </c>
      <c r="C60" s="4" t="n">
        <v>13564880901</v>
      </c>
      <c r="D60" s="4" t="n">
        <v>8699295439</v>
      </c>
      <c r="E60" s="4" t="n">
        <v>116754152490</v>
      </c>
      <c r="F60" s="4" t="n">
        <v>132305599362</v>
      </c>
      <c r="G60" s="4" t="n">
        <v>136932073861</v>
      </c>
      <c r="H60" s="4" t="n">
        <v>191122324100</v>
      </c>
      <c r="I60" s="4" t="n">
        <v>265828841247</v>
      </c>
    </row>
    <row r="61">
      <c r="A61" s="3" t="inlineStr">
        <is>
          <t>Phải trả nội bộ ngắn hạn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</row>
    <row r="62">
      <c r="A62" s="3" t="inlineStr">
        <is>
          <t>Phải trả về xây dựng cơ bản (Trước năm 2016)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</row>
    <row r="63">
      <c r="A63" s="3" t="inlineStr">
        <is>
          <t>Các khoản phải trả, phải nộp khác ngắn hạn</t>
        </is>
      </c>
      <c r="B63" s="4" t="n">
        <v>5188238829</v>
      </c>
      <c r="C63" s="4" t="n">
        <v>8263787286</v>
      </c>
      <c r="D63" s="4" t="n">
        <v>25099000432</v>
      </c>
      <c r="E63" s="4" t="n">
        <v>109427181646</v>
      </c>
      <c r="F63" s="4" t="n">
        <v>121870618991</v>
      </c>
      <c r="G63" s="4" t="n">
        <v>119141014630</v>
      </c>
      <c r="H63" s="4" t="n">
        <v>174100135424</v>
      </c>
      <c r="I63" s="4" t="n">
        <v>120138271307</v>
      </c>
    </row>
    <row r="64">
      <c r="A64" s="3" t="inlineStr">
        <is>
          <t>Dự phòng phải trả ngắn hạn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Quỹ khen thưởng phúc lợi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350000000</v>
      </c>
      <c r="G65" s="4" t="n">
        <v>290000000</v>
      </c>
      <c r="H65" s="4" t="n">
        <v>290000000</v>
      </c>
      <c r="I65" s="4" t="n">
        <v>290000000</v>
      </c>
    </row>
    <row r="66">
      <c r="A66" s="3" t="inlineStr">
        <is>
          <t>Nợ phải trả dài hạn</t>
        </is>
      </c>
      <c r="B66" s="4" t="n">
        <v>185075423329</v>
      </c>
      <c r="C66" s="4" t="n">
        <v>741718611398</v>
      </c>
      <c r="D66" s="4" t="n">
        <v>280173088264</v>
      </c>
      <c r="E66" s="4" t="n">
        <v>4483688901055</v>
      </c>
      <c r="F66" s="4" t="n">
        <v>1723696182693</v>
      </c>
      <c r="G66" s="4" t="n">
        <v>961830874543</v>
      </c>
      <c r="H66" s="4" t="n">
        <v>1012893977745</v>
      </c>
      <c r="I66" s="4" t="n">
        <v>1515744535819</v>
      </c>
    </row>
    <row r="67">
      <c r="A67" s="3" t="inlineStr">
        <is>
          <t>Phải trả người bán dài hạn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</row>
    <row r="68">
      <c r="A68" s="3" t="inlineStr">
        <is>
          <t>Phải trả nội bộ dài hạn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</row>
    <row r="69">
      <c r="A69" s="3" t="inlineStr">
        <is>
          <t>Phải trả dài hạn khác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Vay và nợ thuê tài sản tài chính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Thuế thu nhập hoãn lại phải trả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</row>
    <row r="72">
      <c r="A72" s="3" t="inlineStr">
        <is>
          <t>Dự phòng trợ cấp thôi việc (Trước năm 2016)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Dự phòng phải trả dài hạn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Doanh thu chưa thực hiên dài hạn</t>
        </is>
      </c>
      <c r="B74" s="4" t="n">
        <v>44619780674</v>
      </c>
      <c r="C74" s="4" t="n">
        <v>110506037525</v>
      </c>
      <c r="D74" s="4" t="n">
        <v>280142534764</v>
      </c>
      <c r="E74" s="4" t="n">
        <v>186101425559</v>
      </c>
      <c r="F74" s="4" t="n">
        <v>15031084236</v>
      </c>
      <c r="G74" s="4" t="n">
        <v>6030077736</v>
      </c>
      <c r="H74" s="4" t="n">
        <v>6512947402</v>
      </c>
      <c r="I74" s="4" t="n">
        <v>5743148982</v>
      </c>
    </row>
    <row r="75">
      <c r="A75" s="3" t="inlineStr">
        <is>
          <t>Quỹ phát triển khoa học công nghệ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3" t="inlineStr">
        <is>
          <t>Vốn chủ sở hữu</t>
        </is>
      </c>
      <c r="B76" s="4" t="n">
        <v>3107707885026</v>
      </c>
      <c r="C76" s="4" t="n">
        <v>4630529950333</v>
      </c>
      <c r="D76" s="4" t="n">
        <v>6179231023046</v>
      </c>
      <c r="E76" s="4" t="n">
        <v>9245244488516</v>
      </c>
      <c r="F76" s="4" t="n">
        <v>10989258207900</v>
      </c>
      <c r="G76" s="4" t="n">
        <v>23629506587288</v>
      </c>
      <c r="H76" s="4" t="n">
        <v>26296972276678</v>
      </c>
      <c r="I76" s="4" t="n">
        <v>44099580183375</v>
      </c>
    </row>
    <row r="77">
      <c r="A77" s="3" t="inlineStr">
        <is>
          <t>Vốn góp của chủ sở hữu</t>
        </is>
      </c>
      <c r="B77" s="4" t="n">
        <v>1058201050000</v>
      </c>
      <c r="C77" s="4" t="n">
        <v>1123595510000</v>
      </c>
      <c r="D77" s="4" t="n">
        <v>1124246800000</v>
      </c>
      <c r="E77" s="4" t="n">
        <v>1124246800000</v>
      </c>
      <c r="F77" s="4" t="n">
        <v>1126140700000</v>
      </c>
      <c r="G77" s="4" t="n">
        <v>2176994200000</v>
      </c>
      <c r="H77" s="4" t="n">
        <v>19613221200000</v>
      </c>
      <c r="I77" s="4" t="n">
        <v>23113080210000</v>
      </c>
    </row>
    <row r="78">
      <c r="A78" s="3" t="inlineStr">
        <is>
          <t>Thặng dư vốn cổ phần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9191910000000</v>
      </c>
      <c r="H78" s="4" t="n">
        <v>0</v>
      </c>
      <c r="I78" s="4" t="n">
        <v>8606980418518</v>
      </c>
    </row>
    <row r="79">
      <c r="A79" s="3" t="inlineStr">
        <is>
          <t>Vốn khác của chủ sở hữu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</row>
    <row r="80">
      <c r="A80" s="3" t="inlineStr">
        <is>
          <t>Cổ phiếu quỹ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</row>
    <row r="81">
      <c r="A81" s="3" t="inlineStr">
        <is>
          <t>Chênh lệch đánh giá lại tài sản theo giá trị hợp lý</t>
        </is>
      </c>
      <c r="B81" s="4" t="n">
        <v>8343858660</v>
      </c>
      <c r="C81" s="4" t="n">
        <v>10675411844</v>
      </c>
      <c r="D81" s="4" t="n">
        <v>-1848028294</v>
      </c>
      <c r="E81" s="4" t="n">
        <v>-1965148867</v>
      </c>
      <c r="F81" s="4" t="n">
        <v>-10561943926</v>
      </c>
      <c r="G81" s="4" t="n">
        <v>-16520032167</v>
      </c>
      <c r="H81" s="4" t="n">
        <v>-4961252868</v>
      </c>
      <c r="I81" s="4" t="n">
        <v>7475370203</v>
      </c>
    </row>
    <row r="82">
      <c r="A82" s="3" t="inlineStr">
        <is>
          <t>Chênh lệch tỷ giá hổi đoái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Quỹ đầu tư và phát triển (Trước năm 2016)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</row>
    <row r="84">
      <c r="A84" s="3" t="inlineStr">
        <is>
          <t>Quỹ dự phòng tài chính và rủi ro nghiệp vụ</t>
        </is>
      </c>
      <c r="B84" s="4" t="n">
        <v>105821005000</v>
      </c>
      <c r="C84" s="4" t="n">
        <v>112359551000</v>
      </c>
      <c r="D84" s="4" t="n">
        <v>112424680000</v>
      </c>
      <c r="E84" s="4" t="n">
        <v>112424680000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Quỹ khác thuộc vốn chủ sỡ hữu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Lợi nhuận chưa phân phối</t>
        </is>
      </c>
      <c r="B86" s="4" t="n">
        <v>1829520966366</v>
      </c>
      <c r="C86" s="4" t="n">
        <v>3271539926489</v>
      </c>
      <c r="D86" s="4" t="n">
        <v>4831982891340</v>
      </c>
      <c r="E86" s="4" t="n">
        <v>7898113477383</v>
      </c>
      <c r="F86" s="4" t="n">
        <v>9873679451826</v>
      </c>
      <c r="G86" s="4" t="n">
        <v>12277122419455</v>
      </c>
      <c r="H86" s="4" t="n">
        <v>6688712329546</v>
      </c>
      <c r="I86" s="4" t="n">
        <v>12372044184654</v>
      </c>
    </row>
    <row r="87">
      <c r="A87" s="3" t="inlineStr">
        <is>
          <t>Nguồn kinh phí và quỹ khác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khen thưởng, phúc lợi (trước 2010)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Vốn ngân sách nhà nước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</row>
    <row r="90">
      <c r="A90" s="3" t="inlineStr">
        <is>
          <t>LỢI ÍCH CỦA CỔ ĐÔNG KHÔNG KIỂM SOÁT (trước 2015)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TỔNG CỘNG NGUỒN VỐN</t>
        </is>
      </c>
      <c r="B91" s="4" t="n">
        <v>4351051409898</v>
      </c>
      <c r="C91" s="4" t="n">
        <v>6304006248724</v>
      </c>
      <c r="D91" s="4" t="n">
        <v>8759152757107</v>
      </c>
      <c r="E91" s="4" t="n">
        <v>24547255120829</v>
      </c>
      <c r="F91" s="4" t="n">
        <v>26091547738863</v>
      </c>
      <c r="G91" s="4" t="n">
        <v>43788429454609</v>
      </c>
      <c r="H91" s="4" t="n">
        <v>53244133820194</v>
      </c>
      <c r="I91" s="4" t="n">
        <v>80632256999009</v>
      </c>
    </row>
    <row r="92">
      <c r="A92" s="3" t="inlineStr">
        <is>
          <t>Cổ phiếu ưu đãi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</row>
    <row r="93">
      <c r="A93" s="3" t="inlineStr">
        <is>
          <t>Các khoản đầu tư nắm giữ đến ngày đáo hạn (HTM)</t>
        </is>
      </c>
      <c r="B93" s="4" t="n">
        <v>100000000000</v>
      </c>
      <c r="C93" s="4" t="n">
        <v>95000000000</v>
      </c>
      <c r="D93" s="4" t="n">
        <v>205100000000</v>
      </c>
      <c r="E93" s="4" t="n">
        <v>512166300000</v>
      </c>
      <c r="F93" s="4" t="n">
        <v>1000000000</v>
      </c>
      <c r="G93" s="4" t="n">
        <v>1292046000000</v>
      </c>
      <c r="H93" s="4" t="n">
        <v>2232105785348</v>
      </c>
      <c r="I93" s="4" t="n">
        <v>3657418739619</v>
      </c>
    </row>
    <row r="94">
      <c r="A94" s="3" t="inlineStr">
        <is>
          <t>Phải thu về hoạt động giao dịch chứng khoán (Trước năm 2016)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Vốn kinh doanh ở các đơn vị trực thuộc (Trước năm 2016)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</row>
    <row r="96">
      <c r="A96" s="3" t="inlineStr">
        <is>
          <t>Phải trả hoạt động giao dịch chứng khoán</t>
        </is>
      </c>
      <c r="B96" s="4" t="n">
        <v>10987895825</v>
      </c>
      <c r="C96" s="4" t="n">
        <v>3480227774</v>
      </c>
      <c r="D96" s="4" t="n">
        <v>8258838337</v>
      </c>
      <c r="E96" s="4" t="n">
        <v>2487570388317</v>
      </c>
      <c r="F96" s="4" t="n">
        <v>5305624911458</v>
      </c>
      <c r="G96" s="4" t="n">
        <v>31649585853</v>
      </c>
      <c r="H96" s="4" t="n">
        <v>30358344178</v>
      </c>
      <c r="I96" s="4" t="n">
        <v>51121802352</v>
      </c>
    </row>
    <row r="97">
      <c r="A97" s="3" t="inlineStr">
        <is>
          <t>Phải trả cổ tức, gốc và lãi trái phiếu (Trước năm 2016)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s="3" t="inlineStr">
        <is>
          <t>Phải trả tổ chức phát hành chứng khoán (Trước năm 2016)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Quỹ bảo vệ Nhà đầu tư</t>
        </is>
      </c>
      <c r="B99" s="4" t="n">
        <v>47200000</v>
      </c>
      <c r="C99" s="4" t="n">
        <v>47200000</v>
      </c>
      <c r="D99" s="4" t="n">
        <v>30553500</v>
      </c>
      <c r="E99" s="4" t="n">
        <v>30553500</v>
      </c>
      <c r="F99" s="4" t="n">
        <v>30553500</v>
      </c>
      <c r="G99" s="4" t="n">
        <v>30553500</v>
      </c>
      <c r="H99" s="4" t="n">
        <v>30553500</v>
      </c>
      <c r="I99" s="4" t="n">
        <v>30553500</v>
      </c>
    </row>
    <row r="100">
      <c r="A100" s="3" t="inlineStr">
        <is>
          <t>Tài sản thiếu chờ xử lý (Trước năm 2016)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</row>
    <row r="101">
      <c r="A101" s="3" t="inlineStr">
        <is>
          <t>Phải thu về cho vay ngắn hạn (Trước năm 2016)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Giao dịch mua bán lại trái phiếu chính phủ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Trả trước người bán dài hạn (Trước năm 2016)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3" t="inlineStr">
        <is>
          <t>Phải thu về cho vay dài hạn (Trước năm 2016)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</row>
    <row r="105">
      <c r="A105" s="3" t="inlineStr">
        <is>
          <t>Tài sản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2657487551</v>
      </c>
      <c r="H105" s="4" t="n">
        <v>8471319232</v>
      </c>
      <c r="I105" s="4" t="n">
        <v>53765213326</v>
      </c>
    </row>
    <row r="106">
      <c r="A106" s="3" t="inlineStr">
        <is>
          <t>Chi phí sản xuất, kinh doanh dở dang dài hạn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74370161092</v>
      </c>
      <c r="C108" s="4" t="n">
        <v>75261774383</v>
      </c>
      <c r="D108" s="4" t="n">
        <v>308472615221</v>
      </c>
      <c r="E108" s="4" t="n">
        <v>364846126012</v>
      </c>
      <c r="F108" s="4" t="n">
        <v>266845205536</v>
      </c>
      <c r="G108" s="4" t="n">
        <v>203693703731</v>
      </c>
      <c r="H108" s="4" t="n">
        <v>251238807204</v>
      </c>
      <c r="I108" s="4" t="n">
        <v>375518055392</v>
      </c>
    </row>
    <row r="109">
      <c r="A109" s="3" t="inlineStr">
        <is>
          <t>Quỹ bình ổn giá (Trước năm 2016)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1186646151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 (Trước năm 2016)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 dài hạn - Cấu phần nợ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 (Trước năm 2016)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 có quyền biểu quyết</t>
        </is>
      </c>
      <c r="B116" s="4" t="n">
        <v>1058201050000</v>
      </c>
      <c r="C116" s="4" t="n">
        <v>1123595510000</v>
      </c>
      <c r="D116" s="4" t="n">
        <v>1124246800000</v>
      </c>
      <c r="E116" s="4" t="n">
        <v>1124246800000</v>
      </c>
      <c r="F116" s="4" t="n">
        <v>1126140700000</v>
      </c>
      <c r="G116" s="4" t="n">
        <v>2176994200000</v>
      </c>
      <c r="H116" s="4" t="n">
        <v>19613221200000</v>
      </c>
      <c r="I116" s="4" t="n">
        <v>23113080210000</v>
      </c>
    </row>
    <row r="117">
      <c r="A117" s="3" t="inlineStr">
        <is>
          <t>Quyền chọn chuyển đổi trái phiếu - Cấu phần vốn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</row>
    <row r="119">
      <c r="A119" s="3" t="inlineStr">
        <is>
          <t>LNST chưa phân phối kỳ này</t>
        </is>
      </c>
      <c r="B119" s="4" t="n">
        <v>1829520966366</v>
      </c>
      <c r="C119" s="4" t="n">
        <v>3271539926489</v>
      </c>
      <c r="D119" s="4" t="n">
        <v>4831982891340</v>
      </c>
      <c r="E119" s="4" t="n">
        <v>7890622613532</v>
      </c>
      <c r="F119" s="4" t="n">
        <v>9872987551840</v>
      </c>
      <c r="G119" s="4" t="n">
        <v>12257063891765</v>
      </c>
      <c r="H119" s="4" t="n">
        <v>6665324621285</v>
      </c>
      <c r="I119" s="4" t="n">
        <v>12347939323386</v>
      </c>
    </row>
    <row r="120">
      <c r="A120" s="3" t="inlineStr">
        <is>
          <t>Chi phí xây dựng cơ bản dở dang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2657487551</v>
      </c>
      <c r="H120" s="4" t="n">
        <v>8471319232</v>
      </c>
      <c r="I120" s="4" t="n">
        <v>53765213326</v>
      </c>
    </row>
    <row r="121">
      <c r="A121" s="3" t="inlineStr">
        <is>
          <t>Lợi thế thương mại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</row>
    <row r="122">
      <c r="A122" s="3" t="inlineStr">
        <is>
          <t>Lợi ích cổ đông không kiểm soát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  <row r="124">
      <c r="A124" s="3" t="inlineStr">
        <is>
          <t>Tiền chi nộp Quỹ Hỗ trợ thanh toán</t>
        </is>
      </c>
      <c r="B124" s="4" t="n">
        <v>3938596359</v>
      </c>
      <c r="C124" s="4" t="n">
        <v>6438588595</v>
      </c>
      <c r="D124" s="4" t="n">
        <v>8754484548</v>
      </c>
      <c r="E124" s="4" t="n">
        <v>11254484548</v>
      </c>
      <c r="F124" s="4" t="n">
        <v>13106909118</v>
      </c>
      <c r="G124" s="4" t="n">
        <v>16254492342</v>
      </c>
      <c r="H124" s="4" t="n">
        <v>18754492342</v>
      </c>
      <c r="I124" s="4" t="n">
        <v>20000000030</v>
      </c>
    </row>
    <row r="125">
      <c r="A125" s="3" t="inlineStr">
        <is>
          <t>Tài sản tài chính ngắn hạn</t>
        </is>
      </c>
      <c r="B125" s="4" t="n">
        <v>4301437975390</v>
      </c>
      <c r="C125" s="4" t="n">
        <v>6235783911921</v>
      </c>
      <c r="D125" s="4" t="n">
        <v>8690275361880</v>
      </c>
      <c r="E125" s="4" t="n">
        <v>24402125216974</v>
      </c>
      <c r="F125" s="4" t="n">
        <v>25929858136745</v>
      </c>
      <c r="G125" s="4" t="n">
        <v>40594155139482</v>
      </c>
      <c r="H125" s="4" t="n">
        <v>49341572003957</v>
      </c>
      <c r="I125" s="4" t="n">
        <v>76597293421692</v>
      </c>
    </row>
    <row r="126">
      <c r="A126" s="3" t="inlineStr">
        <is>
          <t>Các khoản cho vay</t>
        </is>
      </c>
      <c r="B126" s="4" t="n">
        <v>1371761540630</v>
      </c>
      <c r="C126" s="4" t="n">
        <v>1793879040668</v>
      </c>
      <c r="D126" s="4" t="n">
        <v>4382637165023</v>
      </c>
      <c r="E126" s="4" t="n">
        <v>15852029688601</v>
      </c>
      <c r="F126" s="4" t="n">
        <v>9354605486589</v>
      </c>
      <c r="G126" s="4" t="n">
        <v>16619167038247</v>
      </c>
      <c r="H126" s="4" t="n">
        <v>25911246001189</v>
      </c>
      <c r="I126" s="4" t="n">
        <v>43859732477143</v>
      </c>
    </row>
    <row r="127">
      <c r="A127" s="3" t="inlineStr">
        <is>
          <t>Các khoản tài chính sẵn sàng để bán (AFS)</t>
        </is>
      </c>
      <c r="B127" s="4" t="n">
        <v>1411854138887</v>
      </c>
      <c r="C127" s="4" t="n">
        <v>2503249968825</v>
      </c>
      <c r="D127" s="4" t="n">
        <v>2353495475979</v>
      </c>
      <c r="E127" s="4" t="n">
        <v>6574505990197</v>
      </c>
      <c r="F127" s="4" t="n">
        <v>10511124650851</v>
      </c>
      <c r="G127" s="4" t="n">
        <v>15040774984321</v>
      </c>
      <c r="H127" s="4" t="n">
        <v>17670549755100</v>
      </c>
      <c r="I127" s="4" t="n">
        <v>25218442812696</v>
      </c>
    </row>
    <row r="128">
      <c r="A128" s="3" t="inlineStr">
        <is>
          <t>Các khoản phải thu (từ 2016)</t>
        </is>
      </c>
      <c r="B128" s="4" t="n">
        <v>43830932179</v>
      </c>
      <c r="C128" s="4" t="n">
        <v>47459669134</v>
      </c>
      <c r="D128" s="4" t="n">
        <v>61160385126</v>
      </c>
      <c r="E128" s="4" t="n">
        <v>192572240815</v>
      </c>
      <c r="F128" s="4" t="n">
        <v>183085158587</v>
      </c>
      <c r="G128" s="4" t="n">
        <v>337852529010</v>
      </c>
      <c r="H128" s="4" t="n">
        <v>539116528852</v>
      </c>
      <c r="I128" s="4" t="n">
        <v>686848052984</v>
      </c>
    </row>
    <row r="129">
      <c r="A129" s="3" t="inlineStr">
        <is>
          <t>Phải thu bán các tài sản tài chính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195489000</v>
      </c>
    </row>
    <row r="130">
      <c r="A130" s="3" t="inlineStr">
        <is>
          <t>Phải thu và dự thu cổ tức, tiền lãi các tài sản tài chính</t>
        </is>
      </c>
      <c r="B130" s="4" t="n">
        <v>43830932179</v>
      </c>
      <c r="C130" s="4" t="n">
        <v>47459669134</v>
      </c>
      <c r="D130" s="4" t="n">
        <v>61160385126</v>
      </c>
      <c r="E130" s="4" t="n">
        <v>192572240815</v>
      </c>
      <c r="F130" s="4" t="n">
        <v>183085158587</v>
      </c>
      <c r="G130" s="4" t="n">
        <v>337852529010</v>
      </c>
      <c r="H130" s="4" t="n">
        <v>539116528852</v>
      </c>
      <c r="I130" s="4" t="n">
        <v>686652563984</v>
      </c>
    </row>
    <row r="131">
      <c r="A131" s="3" t="inlineStr">
        <is>
          <t>Phải thu cổ tức, tiền lãi đến ngày nhận</t>
        </is>
      </c>
      <c r="B131" s="4" t="n">
        <v>15967770535</v>
      </c>
      <c r="C131" s="4" t="n">
        <v>3125322672</v>
      </c>
      <c r="D131" s="4" t="n">
        <v>804243699</v>
      </c>
      <c r="E131" s="4" t="n">
        <v>10731583159</v>
      </c>
      <c r="F131" s="4" t="n">
        <v>26781966648</v>
      </c>
      <c r="G131" s="4" t="n">
        <v>2693396029</v>
      </c>
      <c r="H131" s="4" t="n">
        <v>4752786</v>
      </c>
      <c r="I131" s="4" t="n">
        <v>1200000</v>
      </c>
    </row>
    <row r="132">
      <c r="A132" s="3" t="inlineStr">
        <is>
          <t>Trong đó : phải thu khó đòi về cổ tức , tiền lãi đến ngày nhận nhưng chưa nhận được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</row>
    <row r="133">
      <c r="A133" s="3" t="inlineStr">
        <is>
          <t>Dự thu cổ tức , tiền lãi chưa đến ngày nhận</t>
        </is>
      </c>
      <c r="B133" s="4" t="n">
        <v>27863161644</v>
      </c>
      <c r="C133" s="4" t="n">
        <v>44334346462</v>
      </c>
      <c r="D133" s="4" t="n">
        <v>60356141427</v>
      </c>
      <c r="E133" s="4" t="n">
        <v>181840657656</v>
      </c>
      <c r="F133" s="4" t="n">
        <v>156303191939</v>
      </c>
      <c r="G133" s="4" t="n">
        <v>335159132981</v>
      </c>
      <c r="H133" s="4" t="n">
        <v>539111776066</v>
      </c>
      <c r="I133" s="4" t="n">
        <v>686651363984</v>
      </c>
    </row>
    <row r="134">
      <c r="A134" s="3" t="inlineStr">
        <is>
          <t>Thuế giá trị gia tăng được khấu trừ (Trước năm 2016)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</row>
    <row r="135">
      <c r="A135" s="3" t="inlineStr">
        <is>
          <t>Phải thu các dịch vụ CTCK cung cấp</t>
        </is>
      </c>
      <c r="B135" s="4" t="n">
        <v>62939950631</v>
      </c>
      <c r="C135" s="4" t="n">
        <v>104870144310</v>
      </c>
      <c r="D135" s="4" t="n">
        <v>77758586132</v>
      </c>
      <c r="E135" s="4" t="n">
        <v>139242587519</v>
      </c>
      <c r="F135" s="4" t="n">
        <v>23877481391</v>
      </c>
      <c r="G135" s="4" t="n">
        <v>16059167017</v>
      </c>
      <c r="H135" s="4" t="n">
        <v>93625988628</v>
      </c>
      <c r="I135" s="4" t="n">
        <v>32804970727</v>
      </c>
    </row>
    <row r="136">
      <c r="A136" s="3" t="inlineStr">
        <is>
          <t>Phải thu về lỗi giao dịch CK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</row>
    <row r="137">
      <c r="A137" s="3" t="inlineStr">
        <is>
          <t>Dự phòng suy giảm giá trị các khoản phải thu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-266750000</v>
      </c>
      <c r="G137" s="4" t="n">
        <v>-132000000</v>
      </c>
      <c r="H137" s="4" t="n">
        <v>-171600000</v>
      </c>
      <c r="I137" s="4" t="n">
        <v>-198000000</v>
      </c>
    </row>
    <row r="138">
      <c r="A138" s="3" t="inlineStr">
        <is>
          <t>Tạm ứng</t>
        </is>
      </c>
      <c r="B138" s="4" t="n">
        <v>466100148</v>
      </c>
      <c r="C138" s="4" t="n">
        <v>903251937</v>
      </c>
      <c r="D138" s="4" t="n">
        <v>1159272837</v>
      </c>
      <c r="E138" s="4" t="n">
        <v>1243539321</v>
      </c>
      <c r="F138" s="4" t="n">
        <v>11248150250</v>
      </c>
      <c r="G138" s="4" t="n">
        <v>75000000</v>
      </c>
      <c r="H138" s="4" t="n">
        <v>219400000</v>
      </c>
      <c r="I138" s="4" t="n">
        <v>410200000</v>
      </c>
    </row>
    <row r="139">
      <c r="A139" s="3" t="inlineStr">
        <is>
          <t>Vật tư văn phòng, công cụ, dụng cụ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246690000</v>
      </c>
      <c r="H139" s="4" t="n">
        <v>259390000</v>
      </c>
      <c r="I139" s="4" t="n">
        <v>1640794000</v>
      </c>
    </row>
    <row r="140">
      <c r="A140" s="3" t="inlineStr">
        <is>
          <t>Cầm cố, thế chấp, ký quý , ký cược ngắn hạn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12981358</v>
      </c>
    </row>
    <row r="141">
      <c r="A141" s="3" t="inlineStr">
        <is>
          <t>Dự phòng suy giảm giá trị TSNH khác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</row>
    <row r="142">
      <c r="A142" s="3" t="inlineStr">
        <is>
          <t>Tài sản tài chính dài hạn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3033431775000</v>
      </c>
      <c r="H142" s="4" t="n">
        <v>3533431775000</v>
      </c>
      <c r="I142" s="4" t="n">
        <v>3610268431824</v>
      </c>
    </row>
    <row r="143">
      <c r="A143" s="3" t="inlineStr">
        <is>
          <t>Đánh giá TSCĐHH theo giá trị hợp lý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</row>
    <row r="144">
      <c r="A144" s="3" t="inlineStr">
        <is>
          <t>Đánh giá TSCĐTTC theo giá trị hợp lý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</row>
    <row r="145">
      <c r="A145" s="3" t="inlineStr">
        <is>
          <t>Đánh giá TSCĐVH theo giá trị hợp lý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</row>
    <row r="146">
      <c r="A146" s="3" t="inlineStr">
        <is>
          <t>Đánh giá BĐSĐT theo giá trị hợp lý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</row>
    <row r="147">
      <c r="A147" s="3" t="inlineStr">
        <is>
          <t>Cầm cố, thế chấp, kỹ quỹ, Ký cược dài hạn</t>
        </is>
      </c>
      <c r="B147" s="4" t="n">
        <v>0</v>
      </c>
      <c r="C147" s="4" t="n">
        <v>904895946</v>
      </c>
      <c r="D147" s="4" t="n">
        <v>193798800</v>
      </c>
      <c r="E147" s="4" t="n">
        <v>184298800</v>
      </c>
      <c r="F147" s="4" t="n">
        <v>184298800</v>
      </c>
      <c r="G147" s="4" t="n">
        <v>189298800</v>
      </c>
      <c r="H147" s="4" t="n">
        <v>195229298800</v>
      </c>
      <c r="I147" s="4" t="n">
        <v>183408219803</v>
      </c>
    </row>
    <row r="148">
      <c r="A148" s="3" t="inlineStr">
        <is>
          <t>Dự phòng suy giảm giá trị tài sản dài hạn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</row>
    <row r="149">
      <c r="A149" s="3" t="inlineStr">
        <is>
          <t>Vay ngắn hạn</t>
        </is>
      </c>
      <c r="B149" s="4" t="n">
        <v>296632000000</v>
      </c>
      <c r="C149" s="4" t="n">
        <v>565000000000</v>
      </c>
      <c r="D149" s="4" t="n">
        <v>1204855100000</v>
      </c>
      <c r="E149" s="4" t="n">
        <v>7395460000000</v>
      </c>
      <c r="F149" s="4" t="n">
        <v>6871600000000</v>
      </c>
      <c r="G149" s="4" t="n">
        <v>18061885497900</v>
      </c>
      <c r="H149" s="4" t="n">
        <v>20522995942980</v>
      </c>
      <c r="I149" s="4" t="n">
        <v>31079695096211</v>
      </c>
    </row>
    <row r="150">
      <c r="A150" s="3" t="inlineStr">
        <is>
          <t>Nợ thuê tài sản tài chính ngắn hạn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</row>
    <row r="151">
      <c r="A151" s="3" t="inlineStr">
        <is>
          <t>Vay tài sản tài chính ngắn hạn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</row>
    <row r="152">
      <c r="A152" s="3" t="inlineStr">
        <is>
          <t>Trái phiếu chuyển đổi ngắn hạn - Cấu phần nợ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</row>
    <row r="153">
      <c r="A153" s="3" t="inlineStr">
        <is>
          <t>Trái phiếu phát hành ngắn hạn</t>
        </is>
      </c>
      <c r="B153" s="4" t="n">
        <v>428824687864</v>
      </c>
      <c r="C153" s="4" t="n">
        <v>19498178790</v>
      </c>
      <c r="D153" s="4" t="n">
        <v>428538481781</v>
      </c>
      <c r="E153" s="4" t="n">
        <v>0</v>
      </c>
      <c r="F153" s="4" t="n">
        <v>0</v>
      </c>
      <c r="G153" s="4" t="n">
        <v>0</v>
      </c>
      <c r="H153" s="4" t="n">
        <v>3574904342006</v>
      </c>
      <c r="I153" s="4" t="n">
        <v>1504310847194</v>
      </c>
    </row>
    <row r="154">
      <c r="A154" s="3" t="inlineStr">
        <is>
          <t>Vay Quỹ Hỗ trợ thanh toán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</row>
    <row r="155">
      <c r="A155" s="3" t="inlineStr">
        <is>
          <t>Phải trả về lỗi giao dịch các tài sản tài chính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</row>
    <row r="156">
      <c r="A156" s="3" t="inlineStr">
        <is>
          <t>Các khoản trích nộp phúc lợi nhân viên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819874627</v>
      </c>
      <c r="H156" s="4" t="n">
        <v>756498450</v>
      </c>
      <c r="I156" s="4" t="n">
        <v>1459010095</v>
      </c>
    </row>
    <row r="157">
      <c r="A157" s="3" t="inlineStr">
        <is>
          <t>Nhận ký quỹ, ký cược ngắn hạn</t>
        </is>
      </c>
      <c r="B157" s="4" t="n">
        <v>501325412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</row>
    <row r="158">
      <c r="A158" s="3" t="inlineStr">
        <is>
          <t>Vay dài hạn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</row>
    <row r="159">
      <c r="A159" s="3" t="inlineStr">
        <is>
          <t>Nợ thuê tài chính dài hạn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</row>
    <row r="160">
      <c r="A160" s="3" t="inlineStr">
        <is>
          <t>Vay tài sản tài chính dài hạn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</row>
    <row r="161">
      <c r="A161" s="3" t="inlineStr">
        <is>
          <t>Trái phiếu phát hành dài hạn</t>
        </is>
      </c>
      <c r="B161" s="4" t="n">
        <v>139221796504</v>
      </c>
      <c r="C161" s="4" t="n">
        <v>631165373873</v>
      </c>
      <c r="D161" s="4" t="n">
        <v>0</v>
      </c>
      <c r="E161" s="4" t="n">
        <v>4297556921996</v>
      </c>
      <c r="F161" s="4" t="n">
        <v>1708634544957</v>
      </c>
      <c r="G161" s="4" t="n">
        <v>955770243307</v>
      </c>
      <c r="H161" s="4" t="n">
        <v>1006350476843</v>
      </c>
      <c r="I161" s="4" t="n">
        <v>1509970833337</v>
      </c>
    </row>
    <row r="162">
      <c r="A162" s="3" t="inlineStr">
        <is>
          <t>Nhận ký quỹ, ký cược dài hạn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</row>
    <row r="163">
      <c r="A163" s="3" t="inlineStr">
        <is>
          <t>Vốn đầu tư của chủ sở hữu</t>
        </is>
      </c>
      <c r="B163" s="4" t="n">
        <v>1058201050000</v>
      </c>
      <c r="C163" s="4" t="n">
        <v>1123595510000</v>
      </c>
      <c r="D163" s="4" t="n">
        <v>1124246800000</v>
      </c>
      <c r="E163" s="4" t="n">
        <v>1124246800000</v>
      </c>
      <c r="F163" s="4" t="n">
        <v>1126140700000</v>
      </c>
      <c r="G163" s="4" t="n">
        <v>11368904200000</v>
      </c>
      <c r="H163" s="4" t="n">
        <v>19613221200000</v>
      </c>
      <c r="I163" s="4" t="n">
        <v>31720060628518</v>
      </c>
    </row>
    <row r="164">
      <c r="A164" s="3" t="inlineStr">
        <is>
          <t>Quỹ dự trữ bổ sung vốn điều lệ</t>
        </is>
      </c>
      <c r="B164" s="4" t="n">
        <v>105821005000</v>
      </c>
      <c r="C164" s="4" t="n">
        <v>112359551000</v>
      </c>
      <c r="D164" s="4" t="n">
        <v>112424680000</v>
      </c>
      <c r="E164" s="4" t="n">
        <v>112424680000</v>
      </c>
      <c r="F164" s="4" t="n">
        <v>0</v>
      </c>
      <c r="G164" s="4" t="n">
        <v>0</v>
      </c>
      <c r="H164" s="4" t="n">
        <v>0</v>
      </c>
      <c r="I164" s="4" t="n">
        <v>0</v>
      </c>
    </row>
    <row r="165">
      <c r="A165" s="3" t="inlineStr">
        <is>
          <t>Lợi nhuận đã thực hiện</t>
        </is>
      </c>
      <c r="B165" s="4" t="n">
        <v>1829520966366</v>
      </c>
      <c r="C165" s="4" t="n">
        <v>3271539926489</v>
      </c>
      <c r="D165" s="4" t="n">
        <v>4831982891340</v>
      </c>
      <c r="E165" s="4" t="n">
        <v>7890622613532</v>
      </c>
      <c r="F165" s="4" t="n">
        <v>9872987551840</v>
      </c>
      <c r="G165" s="4" t="n">
        <v>12257063891765</v>
      </c>
      <c r="H165" s="4" t="n">
        <v>6665324621285</v>
      </c>
      <c r="I165" s="4" t="n">
        <v>12347939323386</v>
      </c>
    </row>
    <row r="166">
      <c r="A166" s="3" t="inlineStr">
        <is>
          <t>Lợi nhuận chưa thực hiện</t>
        </is>
      </c>
      <c r="B166" s="4" t="n">
        <v>0</v>
      </c>
      <c r="C166" s="4" t="n">
        <v>0</v>
      </c>
      <c r="D166" s="4" t="n">
        <v>0</v>
      </c>
      <c r="E166" s="4" t="n">
        <v>7490863851</v>
      </c>
      <c r="F166" s="4" t="n">
        <v>691899986</v>
      </c>
      <c r="G166" s="4" t="n">
        <v>20058527690</v>
      </c>
      <c r="H166" s="4" t="n">
        <v>23387708261</v>
      </c>
      <c r="I166" s="4" t="n">
        <v>24104861268</v>
      </c>
    </row>
    <row r="167">
      <c r="A167" s="3" t="inlineStr">
        <is>
          <t>Tài sản cố định thuê ngoài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</row>
    <row r="168">
      <c r="A168" s="3" t="inlineStr">
        <is>
          <t>Chứng chỉ có giá nhận giữ hộ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</row>
    <row r="169">
      <c r="A169" s="3" t="inlineStr">
        <is>
          <t>Tài sản nhận thế chấp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</row>
    <row r="170">
      <c r="A170" s="3" t="inlineStr">
        <is>
          <t>Nợ khó đòi đã xử lý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</row>
    <row r="171">
      <c r="A171" s="3" t="inlineStr">
        <is>
          <t>Ngoại tệ các loại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</row>
    <row r="172">
      <c r="A172" s="3" t="inlineStr">
        <is>
          <t>Cổ phiếu đang lưu hành (Số lượng)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1961322120</v>
      </c>
      <c r="I172" s="4" t="n">
        <v>2311308021</v>
      </c>
    </row>
    <row r="173">
      <c r="A173" s="3" t="inlineStr">
        <is>
          <t>Cổ phiếu quỹ (Số lượng)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</row>
    <row r="174">
      <c r="A174" s="3" t="inlineStr">
        <is>
          <t>Tài sản tài chính niêm yết/đăng ký giao dịch tại VSD của CTCK</t>
        </is>
      </c>
      <c r="B174" s="4" t="n">
        <v>778395390000</v>
      </c>
      <c r="C174" s="4" t="n">
        <v>1101997070000</v>
      </c>
      <c r="D174" s="4" t="n">
        <v>683818490000</v>
      </c>
      <c r="E174" s="4" t="n">
        <v>681587460000</v>
      </c>
      <c r="F174" s="4" t="n">
        <v>843650040000</v>
      </c>
      <c r="G174" s="4" t="n">
        <v>1634479940000</v>
      </c>
      <c r="H174" s="4" t="n">
        <v>17055403900000</v>
      </c>
      <c r="I174" s="4" t="n">
        <v>22556742060000</v>
      </c>
    </row>
    <row r="175">
      <c r="A175" s="3" t="inlineStr">
        <is>
          <t>Tài sản tài chính đã lưu ký tại VSD và chưa giao dịch của CTCK</t>
        </is>
      </c>
      <c r="B175" s="4" t="n">
        <v>22308300000</v>
      </c>
      <c r="C175" s="4" t="n">
        <v>0</v>
      </c>
      <c r="D175" s="4" t="n">
        <v>0</v>
      </c>
      <c r="E175" s="4" t="n">
        <v>575812880000</v>
      </c>
      <c r="F175" s="4" t="n">
        <v>0</v>
      </c>
      <c r="G175" s="4" t="n">
        <v>50000</v>
      </c>
      <c r="H175" s="4" t="n">
        <v>20000</v>
      </c>
      <c r="I175" s="4" t="n">
        <v>2720000</v>
      </c>
    </row>
    <row r="176">
      <c r="A176" s="3" t="inlineStr">
        <is>
          <t>Tài sản tài chính chờ về của CTCK</t>
        </is>
      </c>
      <c r="B176" s="4" t="n">
        <v>72019501643</v>
      </c>
      <c r="C176" s="4" t="n">
        <v>5773219755</v>
      </c>
      <c r="D176" s="4" t="n">
        <v>22214827142</v>
      </c>
      <c r="E176" s="4" t="n">
        <v>129406963575</v>
      </c>
      <c r="F176" s="4" t="n">
        <v>9799131256</v>
      </c>
      <c r="G176" s="4" t="n">
        <v>23749500000</v>
      </c>
      <c r="H176" s="4" t="n">
        <v>7282100000</v>
      </c>
      <c r="I176" s="4" t="n">
        <v>1860100000</v>
      </c>
    </row>
    <row r="177">
      <c r="A177" s="3" t="inlineStr">
        <is>
          <t>Tài sản tài chính sửa lỗi giao dịch của CTCK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</row>
    <row r="178">
      <c r="A178" s="3" t="inlineStr">
        <is>
          <t>Tài sản tài chính chưa lưu ký tại VSD của CTCK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18786720000</v>
      </c>
      <c r="I178" s="4" t="n">
        <v>1230262890000</v>
      </c>
    </row>
    <row r="179">
      <c r="A179" s="3" t="inlineStr">
        <is>
          <t>Tài sản tài chính được hưởng quyền của CTCK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</row>
    <row r="180">
      <c r="A180" s="3" t="inlineStr">
        <is>
          <t>Tài sản tài chính niêm yết/đăng ký giao dịch tại VSD của NĐT</t>
        </is>
      </c>
      <c r="B180" s="4" t="n">
        <v>94057035700000</v>
      </c>
      <c r="C180" s="4" t="n">
        <v>101336227337000</v>
      </c>
      <c r="D180" s="4" t="n">
        <v>103183792492080</v>
      </c>
      <c r="E180" s="4" t="n">
        <v>122538852643000</v>
      </c>
      <c r="F180" s="4" t="n">
        <v>146560432630000</v>
      </c>
      <c r="G180" s="4" t="n">
        <v>143415009129900</v>
      </c>
      <c r="H180" s="4" t="n">
        <v>231123600446000</v>
      </c>
      <c r="I180" s="4" t="n">
        <v>325307278790000</v>
      </c>
    </row>
    <row r="181">
      <c r="A181" s="3" t="inlineStr">
        <is>
          <t>Tài sản tài chính giao dịch tự do chuyển nhượng</t>
        </is>
      </c>
      <c r="B181" s="4" t="n">
        <v>58485825130000</v>
      </c>
      <c r="C181" s="4" t="n">
        <v>71333713724000</v>
      </c>
      <c r="D181" s="4" t="n">
        <v>65360387655480</v>
      </c>
      <c r="E181" s="4" t="n">
        <v>85121752405000</v>
      </c>
      <c r="F181" s="4" t="n">
        <v>84523895380000</v>
      </c>
      <c r="G181" s="4" t="n">
        <v>77561084029900</v>
      </c>
      <c r="H181" s="4" t="n">
        <v>141951366816000</v>
      </c>
      <c r="I181" s="4" t="n">
        <v>240019596860000</v>
      </c>
    </row>
    <row r="182">
      <c r="A182" s="3" t="inlineStr">
        <is>
          <t>Tài sản tài chính hạn chế chuyển nhượng</t>
        </is>
      </c>
      <c r="B182" s="4" t="n">
        <v>20565392590000</v>
      </c>
      <c r="C182" s="4" t="n">
        <v>171075260000</v>
      </c>
      <c r="D182" s="4" t="n">
        <v>99039090000</v>
      </c>
      <c r="E182" s="4" t="n">
        <v>198706260000</v>
      </c>
      <c r="F182" s="4" t="n">
        <v>139546850000</v>
      </c>
      <c r="G182" s="4" t="n">
        <v>314582980000</v>
      </c>
      <c r="H182" s="4" t="n">
        <v>1013558230000</v>
      </c>
      <c r="I182" s="4" t="n">
        <v>1467945100000</v>
      </c>
    </row>
    <row r="183">
      <c r="A183" s="3" t="inlineStr">
        <is>
          <t>Tài sản tài chính giao dịch cầm cố</t>
        </is>
      </c>
      <c r="B183" s="4" t="n">
        <v>14908629810000</v>
      </c>
      <c r="C183" s="4" t="n">
        <v>26578402610000</v>
      </c>
      <c r="D183" s="4" t="n">
        <v>33575107190000</v>
      </c>
      <c r="E183" s="4" t="n">
        <v>32218738350000</v>
      </c>
      <c r="F183" s="4" t="n">
        <v>60455199550000</v>
      </c>
      <c r="G183" s="4" t="n">
        <v>62731799490000</v>
      </c>
      <c r="H183" s="4" t="n">
        <v>72409443760000</v>
      </c>
      <c r="I183" s="4" t="n">
        <v>56063707010000</v>
      </c>
    </row>
    <row r="184">
      <c r="A184" s="3" t="inlineStr">
        <is>
          <t>Tài sản tài chính phong tỏa, tạm giữ</t>
        </is>
      </c>
      <c r="B184" s="4" t="n">
        <v>0</v>
      </c>
      <c r="C184" s="4" t="n">
        <v>3179569690000</v>
      </c>
      <c r="D184" s="4" t="n">
        <v>3558912410000</v>
      </c>
      <c r="E184" s="4" t="n">
        <v>3536912410000</v>
      </c>
      <c r="F184" s="4" t="n">
        <v>735109450000</v>
      </c>
      <c r="G184" s="4" t="n">
        <v>1862706260000</v>
      </c>
      <c r="H184" s="4" t="n">
        <v>15028179710000</v>
      </c>
      <c r="I184" s="4" t="n">
        <v>26601662760000</v>
      </c>
    </row>
    <row r="185">
      <c r="A185" s="3" t="inlineStr">
        <is>
          <t>Tài sản tài chính chờ thanh toán</t>
        </is>
      </c>
      <c r="B185" s="4" t="n">
        <v>97188170000</v>
      </c>
      <c r="C185" s="4" t="n">
        <v>73466053000</v>
      </c>
      <c r="D185" s="4" t="n">
        <v>590346146600</v>
      </c>
      <c r="E185" s="4" t="n">
        <v>1462743218000</v>
      </c>
      <c r="F185" s="4" t="n">
        <v>706681400000</v>
      </c>
      <c r="G185" s="4" t="n">
        <v>944836370000</v>
      </c>
      <c r="H185" s="4" t="n">
        <v>721051930000</v>
      </c>
      <c r="I185" s="4" t="n">
        <v>1154367060000</v>
      </c>
    </row>
    <row r="186">
      <c r="A186" s="3" t="inlineStr">
        <is>
          <t>Tài sản tài chính chờ cho vay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</row>
    <row r="187">
      <c r="A187" s="3" t="inlineStr">
        <is>
          <t>Tài sản tài chính đã lưu ký tại VSD và chưa giao dịch của NĐT</t>
        </is>
      </c>
      <c r="B187" s="4" t="n">
        <v>1061670920000</v>
      </c>
      <c r="C187" s="4" t="n">
        <v>228687370000</v>
      </c>
      <c r="D187" s="4" t="n">
        <v>243768500000</v>
      </c>
      <c r="E187" s="4" t="n">
        <v>406579870000</v>
      </c>
      <c r="F187" s="4" t="n">
        <v>719450400000</v>
      </c>
      <c r="G187" s="4" t="n">
        <v>472237200000</v>
      </c>
      <c r="H187" s="4" t="n">
        <v>348405300000</v>
      </c>
      <c r="I187" s="4" t="n">
        <v>192827990000</v>
      </c>
    </row>
    <row r="188">
      <c r="A188" s="3" t="inlineStr">
        <is>
          <t>Tài sản tài chính đã lưu ký tại VSD và chưa giao dịch, tự do chuyển nhượng</t>
        </is>
      </c>
      <c r="B188" s="4" t="n">
        <v>547093830000</v>
      </c>
      <c r="C188" s="4" t="n">
        <v>28850340000</v>
      </c>
      <c r="D188" s="4" t="n">
        <v>44682500000</v>
      </c>
      <c r="E188" s="4" t="n">
        <v>346151610000</v>
      </c>
      <c r="F188" s="4" t="n">
        <v>634486460000</v>
      </c>
      <c r="G188" s="4" t="n">
        <v>417620180000</v>
      </c>
      <c r="H188" s="4" t="n">
        <v>132398410000</v>
      </c>
      <c r="I188" s="4" t="n">
        <v>174185350000</v>
      </c>
    </row>
    <row r="189">
      <c r="A189" s="3" t="inlineStr">
        <is>
          <t>Tài sản tài chính đã lưu ký tại VSD và chưa giao dịch, hạn chế chuyển nhượng</t>
        </is>
      </c>
      <c r="B189" s="4" t="n">
        <v>315577090000</v>
      </c>
      <c r="C189" s="4" t="n">
        <v>837030000</v>
      </c>
      <c r="D189" s="4" t="n">
        <v>86000000</v>
      </c>
      <c r="E189" s="4" t="n">
        <v>60428260000</v>
      </c>
      <c r="F189" s="4" t="n">
        <v>84963940000</v>
      </c>
      <c r="G189" s="4" t="n">
        <v>54617020000</v>
      </c>
      <c r="H189" s="4" t="n">
        <v>216006890000</v>
      </c>
      <c r="I189" s="4" t="n">
        <v>18642640000</v>
      </c>
    </row>
    <row r="190">
      <c r="A190" s="3" t="inlineStr">
        <is>
          <t>Tài sản tài chính đã lưu ký tại VSD và chưa giao dịch, cầm cố</t>
        </is>
      </c>
      <c r="B190" s="4" t="n">
        <v>199000000000</v>
      </c>
      <c r="C190" s="4" t="n">
        <v>199000000000</v>
      </c>
      <c r="D190" s="4" t="n">
        <v>199000000000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</row>
    <row r="191">
      <c r="A191" s="3" t="inlineStr">
        <is>
          <t>Tài sản tài chính đã lưu ký tại VSD và chưa giao dịch, phong tỏa, tạm giữ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</row>
    <row r="192">
      <c r="A192" s="3" t="inlineStr">
        <is>
          <t>Tài sản tài chính chờ về của NĐT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875589460000</v>
      </c>
      <c r="I192" s="4" t="n">
        <v>1291904460000</v>
      </c>
    </row>
    <row r="193">
      <c r="A193" s="3" t="inlineStr">
        <is>
          <t>Tài sản tài chính sửa lỗi giao dịch của NĐT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</row>
    <row r="194">
      <c r="A194" s="3" t="inlineStr">
        <is>
          <t>Tài sản tài chính chưa lưu ký tại VSD của NĐT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15338753340000</v>
      </c>
      <c r="I194" s="4" t="n">
        <v>9407201530000</v>
      </c>
    </row>
    <row r="195">
      <c r="A195" s="3" t="inlineStr">
        <is>
          <t>Tài sản tài chính được hưởng quyền của Nhà đầu tư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</row>
    <row r="196">
      <c r="A196" s="3" t="inlineStr">
        <is>
          <t>Tiền gửi của khách hàng</t>
        </is>
      </c>
      <c r="B196" s="4" t="n">
        <v>1334969895448</v>
      </c>
      <c r="C196" s="4" t="n">
        <v>449754306094</v>
      </c>
      <c r="D196" s="4" t="n">
        <v>2218387855429</v>
      </c>
      <c r="E196" s="4" t="n">
        <v>4577097273878</v>
      </c>
      <c r="F196" s="4" t="n">
        <v>2330045069459</v>
      </c>
      <c r="G196" s="4" t="n">
        <v>5774724796539</v>
      </c>
      <c r="H196" s="4" t="n">
        <v>10024246349048</v>
      </c>
      <c r="I196" s="4" t="n">
        <v>10702593296252</v>
      </c>
    </row>
    <row r="197">
      <c r="A197" s="3" t="inlineStr">
        <is>
          <t>Tiền gửi của Nhà đầu tư về giao dịch chứng khoán</t>
        </is>
      </c>
      <c r="B197" s="4" t="n">
        <v>396892320865</v>
      </c>
      <c r="C197" s="4" t="n">
        <v>447669875435</v>
      </c>
      <c r="D197" s="4" t="n">
        <v>2218020327029</v>
      </c>
      <c r="E197" s="4" t="n">
        <v>4575045031535</v>
      </c>
      <c r="F197" s="4" t="n">
        <v>2278125882711</v>
      </c>
      <c r="G197" s="4" t="n">
        <v>2945784273957</v>
      </c>
      <c r="H197" s="4" t="n">
        <v>8245482244688</v>
      </c>
      <c r="I197" s="4" t="n">
        <v>6447211380125</v>
      </c>
    </row>
    <row r="198">
      <c r="A198" s="3" t="inlineStr">
        <is>
          <t>Tiền gửi tổng hợp giao dịch chứng khoán cho khách hàng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</row>
    <row r="199">
      <c r="A199" s="3" t="inlineStr">
        <is>
          <t>Tiền gửi bù trừ và thanh toán giao dịch chứng khoán của NĐT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</row>
    <row r="200">
      <c r="A200" s="3" t="inlineStr">
        <is>
          <t>Tiền gửi bù trừ và thanh toán giao dịch chứng khoán của NĐT trong nước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</row>
    <row r="201">
      <c r="A201" s="3" t="inlineStr">
        <is>
          <t>Tiền gửi bù trừ và thanh toán giao dịch chứng khoán của NĐT nước ngoài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</row>
    <row r="202">
      <c r="A202" s="3" t="inlineStr">
        <is>
          <t>TIỀN GỬI CỦA TỔ CHỨC PHÁT HÀNH</t>
        </is>
      </c>
      <c r="B202" s="4" t="n">
        <v>938077574583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</row>
    <row r="203">
      <c r="A203" s="3" t="inlineStr">
        <is>
          <t>Phải trả NĐT - Tiền gửi của NĐT về tiền gửi giao dịch CK theo phương thức CTCK quản lý</t>
        </is>
      </c>
      <c r="B203" s="4" t="n">
        <v>396892320865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</row>
    <row r="204">
      <c r="A204" s="3" t="inlineStr">
        <is>
          <t>Của Nhà đầu tư trong nước</t>
        </is>
      </c>
      <c r="B204" s="4" t="n">
        <v>396892320865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</row>
    <row r="205">
      <c r="A205" s="3" t="inlineStr">
        <is>
          <t>Của Nhà đầu tư nước ngoài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</row>
    <row r="206">
      <c r="A206" s="3" t="inlineStr">
        <is>
          <t>Phải trả Tổ chức phát hành chứng khoán</t>
        </is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</row>
    <row r="207">
      <c r="A207" s="3" t="inlineStr">
        <is>
          <t>Phải thu/phải trả của khách hàng về lỗi giao dịch các tài sản tài chính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</row>
    <row r="208">
      <c r="A208" s="3" t="inlineStr">
        <is>
          <t>Phải trả vay CTCK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</row>
    <row r="209">
      <c r="A209" s="3" t="inlineStr">
        <is>
          <t>Phải trả cổ tức, gốc và lãi trái phiếu</t>
        </is>
      </c>
      <c r="B209" s="4" t="n">
        <v>938077574583</v>
      </c>
      <c r="C209" s="4" t="n">
        <v>2084430659</v>
      </c>
      <c r="D209" s="4" t="n">
        <v>367528400</v>
      </c>
      <c r="E209" s="4" t="n">
        <v>2052242343</v>
      </c>
      <c r="F209" s="4" t="n">
        <v>51919186748</v>
      </c>
      <c r="G209" s="4" t="n">
        <v>1031489346567</v>
      </c>
      <c r="H209" s="4" t="n">
        <v>44613698630</v>
      </c>
      <c r="I209" s="4" t="n">
        <v>49373986618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HOẠT ĐỘNG</t>
        </is>
      </c>
      <c r="B2" s="4" t="n">
        <v>1870171044276</v>
      </c>
      <c r="C2" s="4" t="n">
        <v>2171942000895</v>
      </c>
      <c r="D2" s="4" t="n">
        <v>3259508358611</v>
      </c>
      <c r="E2" s="4" t="n">
        <v>5194713938205</v>
      </c>
      <c r="F2" s="4" t="n">
        <v>5218182207076</v>
      </c>
      <c r="G2" s="4" t="n">
        <v>5257070533399</v>
      </c>
      <c r="H2" s="4" t="n">
        <v>7615253240537</v>
      </c>
      <c r="I2" s="4" t="n">
        <v>11217426514650</v>
      </c>
    </row>
    <row r="3">
      <c r="A3" s="3" t="inlineStr">
        <is>
          <t>Các khoản giảm trừ doanh thu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3" t="inlineStr">
        <is>
          <t>Doanh thu thuần về hoạt động kinh doanh</t>
        </is>
      </c>
      <c r="B4" s="4" t="n">
        <v>1870171044276</v>
      </c>
      <c r="C4" s="4" t="n">
        <v>2171942000895</v>
      </c>
      <c r="D4" s="4" t="n">
        <v>3259508358611</v>
      </c>
      <c r="E4" s="4" t="n">
        <v>5194713938205</v>
      </c>
      <c r="F4" s="4" t="n">
        <v>5218182207076</v>
      </c>
      <c r="G4" s="4" t="n">
        <v>5257070533399</v>
      </c>
      <c r="H4" s="4" t="n">
        <v>7615253240537</v>
      </c>
      <c r="I4" s="4" t="n">
        <v>11217426514650</v>
      </c>
    </row>
    <row r="5">
      <c r="A5" s="3" t="inlineStr">
        <is>
          <t>CHI PHÍ HOẠT ĐỘNG</t>
        </is>
      </c>
      <c r="B5" s="4" t="n">
        <v>-132481077296</v>
      </c>
      <c r="C5" s="4" t="n">
        <v>-78756283169</v>
      </c>
      <c r="D5" s="4" t="n">
        <v>-162436498745</v>
      </c>
      <c r="E5" s="4" t="n">
        <v>-610538770020</v>
      </c>
      <c r="F5" s="4" t="n">
        <v>-990754662144</v>
      </c>
      <c r="G5" s="4" t="n">
        <v>-664101469631</v>
      </c>
      <c r="H5" s="4" t="n">
        <v>-695459394838</v>
      </c>
      <c r="I5" s="4" t="n">
        <v>-1213554689735</v>
      </c>
    </row>
    <row r="6">
      <c r="A6" s="3" t="inlineStr">
        <is>
          <t>LỢI NHUẬN GỘP</t>
        </is>
      </c>
      <c r="B6" s="4" t="n">
        <v>1737689966980</v>
      </c>
      <c r="C6" s="4" t="n">
        <v>2093185717726</v>
      </c>
      <c r="D6" s="4" t="n">
        <v>3097071859866</v>
      </c>
      <c r="E6" s="4" t="n">
        <v>4584175168185</v>
      </c>
      <c r="F6" s="4" t="n">
        <v>4227427544932</v>
      </c>
      <c r="G6" s="4" t="n">
        <v>4592969063768</v>
      </c>
      <c r="H6" s="4" t="n">
        <v>6919793845699</v>
      </c>
      <c r="I6" s="4" t="n">
        <v>10003871824915</v>
      </c>
    </row>
    <row r="7">
      <c r="A7" s="3" t="inlineStr">
        <is>
          <t>CHI PHÍ QUẢN LÝ CÔNG TY CHỨNG KHOÁN</t>
        </is>
      </c>
      <c r="B7" s="4" t="n">
        <v>-170672005692</v>
      </c>
      <c r="C7" s="4" t="n">
        <v>-232154784544</v>
      </c>
      <c r="D7" s="4" t="n">
        <v>-337794012926</v>
      </c>
      <c r="E7" s="4" t="n">
        <v>-372754151464</v>
      </c>
      <c r="F7" s="4" t="n">
        <v>-480433213874</v>
      </c>
      <c r="G7" s="4" t="n">
        <v>-500212004426</v>
      </c>
      <c r="H7" s="4" t="n">
        <v>-566893494770</v>
      </c>
      <c r="I7" s="4" t="n">
        <v>-658975463710</v>
      </c>
    </row>
    <row r="8">
      <c r="A8" s="3" t="inlineStr">
        <is>
          <t>KẾT QUẢ HOẠT ĐỘNG</t>
        </is>
      </c>
      <c r="B8" s="4" t="n">
        <v>1533934973928</v>
      </c>
      <c r="C8" s="4" t="n">
        <v>1819663399147</v>
      </c>
      <c r="D8" s="4" t="n">
        <v>2691823289039</v>
      </c>
      <c r="E8" s="4" t="n">
        <v>3810289717946</v>
      </c>
      <c r="F8" s="4" t="n">
        <v>3033107909184</v>
      </c>
      <c r="G8" s="4" t="n">
        <v>3029925582883</v>
      </c>
      <c r="H8" s="4" t="n">
        <v>4802352563838</v>
      </c>
      <c r="I8" s="4" t="n">
        <v>7109123949934</v>
      </c>
    </row>
    <row r="9">
      <c r="A9" s="3" t="inlineStr">
        <is>
          <t>CHI PHÍ THUẾ THU NHẬP DOANH NGHIỆP</t>
        </is>
      </c>
      <c r="B9" s="4" t="n">
        <v>1532186068831</v>
      </c>
      <c r="C9" s="4" t="n">
        <v>1819481102384</v>
      </c>
      <c r="D9" s="4" t="n">
        <v>2691867982201</v>
      </c>
      <c r="E9" s="4" t="n">
        <v>3809885989817</v>
      </c>
      <c r="F9" s="4" t="n">
        <v>3057657087640</v>
      </c>
      <c r="G9" s="4" t="n">
        <v>3028297410899</v>
      </c>
      <c r="H9" s="4" t="n">
        <v>4802105868186</v>
      </c>
      <c r="I9" s="4" t="n">
        <v>7108700741609</v>
      </c>
    </row>
    <row r="10">
      <c r="A10" s="3" t="inlineStr">
        <is>
          <t>Chi phí thuế thu nhập hiện hành</t>
        </is>
      </c>
      <c r="B10" s="4" t="n">
        <v>-306902332702</v>
      </c>
      <c r="C10" s="4" t="n">
        <v>-364385050261</v>
      </c>
      <c r="D10" s="4" t="n">
        <v>-539609363784</v>
      </c>
      <c r="E10" s="4" t="n">
        <v>-761214961303</v>
      </c>
      <c r="F10" s="4" t="n">
        <v>-631684895743</v>
      </c>
      <c r="G10" s="4" t="n">
        <v>-626761513445</v>
      </c>
      <c r="H10" s="4" t="n">
        <v>-955991010186</v>
      </c>
      <c r="I10" s="4" t="n">
        <v>-1422857625411</v>
      </c>
    </row>
    <row r="11">
      <c r="A11" s="3" t="inlineStr">
        <is>
          <t>Chi phí thuế thu nhập hoãn lại</t>
        </is>
      </c>
      <c r="B11" s="4" t="n">
        <v>0</v>
      </c>
      <c r="C11" s="4" t="n">
        <v>0</v>
      </c>
      <c r="D11" s="4" t="n">
        <v>0</v>
      </c>
      <c r="E11" s="4" t="n">
        <v>17459557529</v>
      </c>
      <c r="F11" s="4" t="n">
        <v>691899986</v>
      </c>
      <c r="G11" s="4" t="n">
        <v>1907070175</v>
      </c>
      <c r="H11" s="4" t="n">
        <v>3580065571</v>
      </c>
      <c r="I11" s="4" t="n">
        <v>-2514261090</v>
      </c>
    </row>
    <row r="12">
      <c r="A12" s="3" t="inlineStr">
        <is>
          <t>LỢI NHUẬN KẾ TOÁN SAU THUẾ</t>
        </is>
      </c>
      <c r="B12" s="4" t="n">
        <v>1225283736129</v>
      </c>
      <c r="C12" s="4" t="n">
        <v>1455096052123</v>
      </c>
      <c r="D12" s="4" t="n">
        <v>2152258618417</v>
      </c>
      <c r="E12" s="4" t="n">
        <v>3066130586043</v>
      </c>
      <c r="F12" s="4" t="n">
        <v>2426664091883</v>
      </c>
      <c r="G12" s="4" t="n">
        <v>2403442967629</v>
      </c>
      <c r="H12" s="4" t="n">
        <v>3849694923571</v>
      </c>
      <c r="I12" s="4" t="n">
        <v>5683328855108</v>
      </c>
    </row>
    <row r="13">
      <c r="A13" s="3" t="inlineStr">
        <is>
          <t>Lợi nhuận thuần phân bổ cho lợi ích của cổ đông không kiểm soát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Lợi nhuận sau thuế phân bổ cho chủ sở hữu</t>
        </is>
      </c>
      <c r="B14" s="4" t="n">
        <v>1225283736129</v>
      </c>
      <c r="C14" s="4" t="n">
        <v>1455096052123</v>
      </c>
      <c r="D14" s="4" t="n">
        <v>2152258618417</v>
      </c>
      <c r="E14" s="4" t="n">
        <v>3066130586043</v>
      </c>
      <c r="F14" s="4" t="n">
        <v>2426664091883</v>
      </c>
      <c r="G14" s="4" t="n">
        <v>2403442967629</v>
      </c>
      <c r="H14" s="4" t="n">
        <v>3849694923571</v>
      </c>
      <c r="I14" s="4" t="n">
        <v>5683328855108</v>
      </c>
    </row>
    <row r="15">
      <c r="A15" s="3" t="inlineStr">
        <is>
          <t>Lãi cơ bản trên cổ phiếu (VND)</t>
        </is>
      </c>
      <c r="B15" s="4" t="n">
        <v>0</v>
      </c>
      <c r="C15" s="4" t="n">
        <v>13296</v>
      </c>
      <c r="D15" s="4" t="n">
        <v>19153</v>
      </c>
      <c r="E15" s="4" t="n">
        <v>27273</v>
      </c>
      <c r="F15" s="4" t="n">
        <v>21548</v>
      </c>
      <c r="G15" s="4" t="n">
        <v>14119</v>
      </c>
      <c r="H15" s="4" t="n">
        <v>8716</v>
      </c>
      <c r="I15" s="4" t="n">
        <v>2713</v>
      </c>
    </row>
    <row r="16">
      <c r="A16" s="3" t="inlineStr">
        <is>
          <t>Lãi trên cổ phiếu pha loãng (VND)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Doanh thu nghiệp vụ môi giới chứng khoán</t>
        </is>
      </c>
      <c r="B17" s="4" t="n">
        <v>121081916964</v>
      </c>
      <c r="C17" s="4" t="n">
        <v>121360380434</v>
      </c>
      <c r="D17" s="4" t="n">
        <v>262698962986</v>
      </c>
      <c r="E17" s="4" t="n">
        <v>923981905911</v>
      </c>
      <c r="F17" s="4" t="n">
        <v>888247795556</v>
      </c>
      <c r="G17" s="4" t="n">
        <v>476833068936</v>
      </c>
      <c r="H17" s="4" t="n">
        <v>600923377250</v>
      </c>
      <c r="I17" s="4" t="n">
        <v>957608985434</v>
      </c>
    </row>
    <row r="18">
      <c r="A18" s="3" t="inlineStr">
        <is>
          <t>Doanh thu hoạt động đầu tư chứng khoán, góp vốn (Trước năm 2016)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Doanh thu nghiệp vụ bảo lãnh phát hành chứng khoán</t>
        </is>
      </c>
      <c r="B19" s="4" t="n">
        <v>1226662557173</v>
      </c>
      <c r="C19" s="4" t="n">
        <v>1163910142131</v>
      </c>
      <c r="D19" s="4" t="n">
        <v>1590655029995</v>
      </c>
      <c r="E19" s="4" t="n">
        <v>1521501901470</v>
      </c>
      <c r="F19" s="4" t="n">
        <v>1302953436567</v>
      </c>
      <c r="G19" s="4" t="n">
        <v>944470298386</v>
      </c>
      <c r="H19" s="4" t="n">
        <v>1180992811061</v>
      </c>
      <c r="I19" s="4" t="n">
        <v>1715251565918</v>
      </c>
    </row>
    <row r="20">
      <c r="A20" s="3" t="inlineStr">
        <is>
          <t>Doanh thu nghiệp vụ tư vấn đầu tư chứng khoán</t>
        </is>
      </c>
      <c r="B20" s="4" t="n">
        <v>744000000</v>
      </c>
      <c r="C20" s="4" t="n">
        <v>168000000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3" t="inlineStr">
        <is>
          <t>Doanh thu lưu ký chứng khoán</t>
        </is>
      </c>
      <c r="B21" s="4" t="n">
        <v>20074892301</v>
      </c>
      <c r="C21" s="4" t="n">
        <v>31210930671</v>
      </c>
      <c r="D21" s="4" t="n">
        <v>32999592760</v>
      </c>
      <c r="E21" s="4" t="n">
        <v>63985667514</v>
      </c>
      <c r="F21" s="4" t="n">
        <v>52348947599</v>
      </c>
      <c r="G21" s="4" t="n">
        <v>49528058050</v>
      </c>
      <c r="H21" s="4" t="n">
        <v>50962737249</v>
      </c>
      <c r="I21" s="4" t="n">
        <v>109980172740</v>
      </c>
    </row>
    <row r="22">
      <c r="A22" s="3" t="inlineStr">
        <is>
          <t>Doanh thu hoạt động ủy thác, đấu giá (Trước năm 2016)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Thu cho thuê sử dụng tài sản (Trước năm 2016)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Doanh thu khác</t>
        </is>
      </c>
      <c r="B24" s="4" t="n">
        <v>0</v>
      </c>
      <c r="C24" s="4" t="n">
        <v>0</v>
      </c>
      <c r="D24" s="4" t="n">
        <v>0</v>
      </c>
      <c r="E24" s="4" t="n">
        <v>1068736201</v>
      </c>
      <c r="F24" s="4" t="n">
        <v>137749081244</v>
      </c>
      <c r="G24" s="4" t="n">
        <v>46276350627</v>
      </c>
      <c r="H24" s="4" t="n">
        <v>4185017363</v>
      </c>
      <c r="I24" s="4" t="n">
        <v>6603197687</v>
      </c>
    </row>
    <row r="25">
      <c r="A25" s="3" t="inlineStr">
        <is>
          <t>Lãi/lỗ từ công ty liên doanh, liên kết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Lãi từ các tài sản tài chính ghi nhận thông qua lãi/lỗ ( FVTPL)</t>
        </is>
      </c>
      <c r="B26" s="4" t="n">
        <v>353648605682</v>
      </c>
      <c r="C26" s="4" t="n">
        <v>598825600511</v>
      </c>
      <c r="D26" s="4" t="n">
        <v>846804403063</v>
      </c>
      <c r="E26" s="4" t="n">
        <v>1399881032874</v>
      </c>
      <c r="F26" s="4" t="n">
        <v>901204582596</v>
      </c>
      <c r="G26" s="4" t="n">
        <v>1643446234600</v>
      </c>
      <c r="H26" s="4" t="n">
        <v>2449688939032</v>
      </c>
      <c r="I26" s="4" t="n">
        <v>3669453931882</v>
      </c>
    </row>
    <row r="27">
      <c r="A27" s="3" t="inlineStr">
        <is>
          <t>Lãi bán các tài sản tài chính FVTPL</t>
        </is>
      </c>
      <c r="B27" s="4" t="n">
        <v>353648605682</v>
      </c>
      <c r="C27" s="4" t="n">
        <v>598825600511</v>
      </c>
      <c r="D27" s="4" t="n">
        <v>846804403063</v>
      </c>
      <c r="E27" s="4" t="n">
        <v>1399881032874</v>
      </c>
      <c r="F27" s="4" t="n">
        <v>901204582596</v>
      </c>
      <c r="G27" s="4" t="n">
        <v>1643446234600</v>
      </c>
      <c r="H27" s="4" t="n">
        <v>2448980152070</v>
      </c>
      <c r="I27" s="4" t="n">
        <v>3662416587827</v>
      </c>
    </row>
    <row r="28">
      <c r="A28" s="3" t="inlineStr">
        <is>
          <t>Chênh lệch tăng đánh giá lại các TSTC thông qua lãi/lỗ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683706962</v>
      </c>
      <c r="I28" s="4" t="n">
        <v>6910975255</v>
      </c>
    </row>
    <row r="29">
      <c r="A29" s="3" t="inlineStr">
        <is>
          <t>Cổ tức, tiền lãi phát sinh từ tài sản tài chính FVTPL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25080000</v>
      </c>
      <c r="I29" s="4" t="n">
        <v>126368800</v>
      </c>
    </row>
    <row r="30">
      <c r="A30" s="3" t="inlineStr">
        <is>
          <t>Lãi từ các khoản đầu tư nắm giữ đến ngày đáo hạn</t>
        </is>
      </c>
      <c r="B30" s="4" t="n">
        <v>10254605337</v>
      </c>
      <c r="C30" s="4" t="n">
        <v>5453095900</v>
      </c>
      <c r="D30" s="4" t="n">
        <v>10065387131</v>
      </c>
      <c r="E30" s="4" t="n">
        <v>17604125057</v>
      </c>
      <c r="F30" s="4" t="n">
        <v>18529621544</v>
      </c>
      <c r="G30" s="4" t="n">
        <v>42491805310</v>
      </c>
      <c r="H30" s="4" t="n">
        <v>110341784335</v>
      </c>
      <c r="I30" s="4" t="n">
        <v>180059518864</v>
      </c>
    </row>
    <row r="31">
      <c r="A31" s="3" t="inlineStr">
        <is>
          <t>Lãi từ các khoản cho vay và phải thu</t>
        </is>
      </c>
      <c r="B31" s="4" t="n">
        <v>110834506042</v>
      </c>
      <c r="C31" s="4" t="n">
        <v>174823266214</v>
      </c>
      <c r="D31" s="4" t="n">
        <v>275703530658</v>
      </c>
      <c r="E31" s="4" t="n">
        <v>941765692215</v>
      </c>
      <c r="F31" s="4" t="n">
        <v>1502853415354</v>
      </c>
      <c r="G31" s="4" t="n">
        <v>1602447022922</v>
      </c>
      <c r="H31" s="4" t="n">
        <v>2621919468982</v>
      </c>
      <c r="I31" s="4" t="n">
        <v>3727517878641</v>
      </c>
    </row>
    <row r="32">
      <c r="A32" s="3" t="inlineStr">
        <is>
          <t>Lãi từ các tài sản tài chính sẵn sàng để bán</t>
        </is>
      </c>
      <c r="B32" s="4" t="n">
        <v>25942662808</v>
      </c>
      <c r="C32" s="4" t="n">
        <v>72255590798</v>
      </c>
      <c r="D32" s="4" t="n">
        <v>114221754211</v>
      </c>
      <c r="E32" s="4" t="n">
        <v>101885302668</v>
      </c>
      <c r="F32" s="4" t="n">
        <v>257993106848</v>
      </c>
      <c r="G32" s="4" t="n">
        <v>370456358951</v>
      </c>
      <c r="H32" s="4" t="n">
        <v>432978205265</v>
      </c>
      <c r="I32" s="4" t="n">
        <v>548520255484</v>
      </c>
    </row>
    <row r="33">
      <c r="A33" s="3" t="inlineStr">
        <is>
          <t>Lãi từ các công cụ phát sinh phòng ngừa rủi ro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3" t="inlineStr">
        <is>
          <t>Doanh thu hoạt động tư vấn tài chính</t>
        </is>
      </c>
      <c r="B34" s="4" t="n">
        <v>927297969</v>
      </c>
      <c r="C34" s="4" t="n">
        <v>3934994236</v>
      </c>
      <c r="D34" s="4" t="n">
        <v>126359697807</v>
      </c>
      <c r="E34" s="4" t="n">
        <v>223039574295</v>
      </c>
      <c r="F34" s="4" t="n">
        <v>156302219768</v>
      </c>
      <c r="G34" s="4" t="n">
        <v>81121335617</v>
      </c>
      <c r="H34" s="4" t="n">
        <v>163260900000</v>
      </c>
      <c r="I34" s="4" t="n">
        <v>302431008000</v>
      </c>
    </row>
    <row r="35">
      <c r="A35" s="3" t="inlineStr">
        <is>
          <t>Lỗ các tài sản tài chính ghi nhận thông qua lãi lỗ (FVTPL)</t>
        </is>
      </c>
      <c r="B35" s="4" t="n">
        <v>-57698777142</v>
      </c>
      <c r="C35" s="4" t="n">
        <v>-27813178830</v>
      </c>
      <c r="D35" s="4" t="n">
        <v>-39260533026</v>
      </c>
      <c r="E35" s="4" t="n">
        <v>-88461673655</v>
      </c>
      <c r="F35" s="4" t="n">
        <v>-198923624516</v>
      </c>
      <c r="G35" s="4" t="n">
        <v>-179035354683</v>
      </c>
      <c r="H35" s="4" t="n">
        <v>-204396149905</v>
      </c>
      <c r="I35" s="4" t="n">
        <v>-431640082069</v>
      </c>
    </row>
    <row r="36">
      <c r="A36" s="3" t="inlineStr">
        <is>
          <t>Lỗ bán các tài sản tài chính</t>
        </is>
      </c>
      <c r="B36" s="4" t="n">
        <v>-57698777142</v>
      </c>
      <c r="C36" s="4" t="n">
        <v>-27813178830</v>
      </c>
      <c r="D36" s="4" t="n">
        <v>-39260533026</v>
      </c>
      <c r="E36" s="4" t="n">
        <v>-88461673655</v>
      </c>
      <c r="F36" s="4" t="n">
        <v>-198913624516</v>
      </c>
      <c r="G36" s="4" t="n">
        <v>-179035354683</v>
      </c>
      <c r="H36" s="4" t="n">
        <v>-204145264905</v>
      </c>
      <c r="I36" s="4" t="n">
        <v>-427957520911</v>
      </c>
    </row>
    <row r="37">
      <c r="A37" s="3" t="inlineStr">
        <is>
          <t>Chênh lệch giảm đánh giá lại các TSTC thông qua lãi/lỗ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-250885000</v>
      </c>
      <c r="I37" s="4" t="n">
        <v>-3682561158</v>
      </c>
    </row>
    <row r="38">
      <c r="A38" s="3" t="inlineStr">
        <is>
          <t>Chi phí giao dịch mua các tài sản tài chính FVTPL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-10000000</v>
      </c>
      <c r="G38" s="4" t="n">
        <v>0</v>
      </c>
      <c r="H38" s="4" t="n">
        <v>0</v>
      </c>
      <c r="I38" s="4" t="n">
        <v>0</v>
      </c>
    </row>
    <row r="39">
      <c r="A39" s="3" t="inlineStr">
        <is>
          <t>Lỗ các khoản đầu tư nắm giữ đến ngày đáo hạn (HTM)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</row>
    <row r="40">
      <c r="A40" s="3" t="inlineStr">
        <is>
          <t>Chi phí lãi vay, lỗ từ các khoản cho vay và phải thu (Trước năm 2016)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Lỗ và ghi nhận chênh lệch đánh giá theo giá trị hợp lý tài sản tài chính sẵn sàng để bán (AFS) khi phân loại lại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CP dự phòng TSTC, xử lý tổn thất các khoản phải thu khó đòi là lỗ suy giảm TSTC và CP đi vay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-3599620</v>
      </c>
      <c r="G42" s="4" t="n">
        <v>-4771003744</v>
      </c>
      <c r="H42" s="4" t="n">
        <v>-6031468910</v>
      </c>
      <c r="I42" s="4" t="n">
        <v>-1951876404</v>
      </c>
    </row>
    <row r="43">
      <c r="A43" s="3" t="inlineStr">
        <is>
          <t>Lỗ từ các tài sản tài chính phái sinh phòng ngừa rủi ro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Chi phí hoạt động tự doanh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-13459159</v>
      </c>
    </row>
    <row r="45">
      <c r="A45" s="3" t="inlineStr">
        <is>
          <t>Chi phí nghiệp vụ môi giới chứng khoán</t>
        </is>
      </c>
      <c r="B45" s="4" t="n">
        <v>-30525643187</v>
      </c>
      <c r="C45" s="4" t="n">
        <v>-11484208397</v>
      </c>
      <c r="D45" s="4" t="n">
        <v>-29277833649</v>
      </c>
      <c r="E45" s="4" t="n">
        <v>-165820634025</v>
      </c>
      <c r="F45" s="4" t="n">
        <v>-154528078451</v>
      </c>
      <c r="G45" s="4" t="n">
        <v>-183646638072</v>
      </c>
      <c r="H45" s="4" t="n">
        <v>-259060189756</v>
      </c>
      <c r="I45" s="4" t="n">
        <v>-391454796421</v>
      </c>
    </row>
    <row r="46">
      <c r="A46" s="3" t="inlineStr">
        <is>
          <t>Chi phí nghiệp vụ bảo lãnh, đại lý phát hành chứng khoán</t>
        </is>
      </c>
      <c r="B46" s="4" t="n">
        <v>-30000000</v>
      </c>
      <c r="C46" s="4" t="n">
        <v>-1080909091</v>
      </c>
      <c r="D46" s="4" t="n">
        <v>-11130000000</v>
      </c>
      <c r="E46" s="4" t="n">
        <v>-8186363636</v>
      </c>
      <c r="F46" s="4" t="n">
        <v>-274074074</v>
      </c>
      <c r="G46" s="4" t="n">
        <v>-208000</v>
      </c>
      <c r="H46" s="4" t="n">
        <v>0</v>
      </c>
      <c r="I46" s="4" t="n">
        <v>0</v>
      </c>
    </row>
    <row r="47">
      <c r="A47" s="3" t="inlineStr">
        <is>
          <t>Chi phí nghiệp vụ tư vấn đầu tư chứng khoán</t>
        </is>
      </c>
      <c r="B47" s="4" t="n">
        <v>0</v>
      </c>
      <c r="C47" s="4" t="n">
        <v>-186400000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Chí phí hoạt động đấu giá, ủy thác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Chi phí nghiệp vụ lưu ký chứng khoán</t>
        </is>
      </c>
      <c r="B49" s="4" t="n">
        <v>-28613117681</v>
      </c>
      <c r="C49" s="4" t="n">
        <v>-30561279690</v>
      </c>
      <c r="D49" s="4" t="n">
        <v>-30493143864</v>
      </c>
      <c r="E49" s="4" t="n">
        <v>-60425739668</v>
      </c>
      <c r="F49" s="4" t="n">
        <v>-48078060820</v>
      </c>
      <c r="G49" s="4" t="n">
        <v>-43185736098</v>
      </c>
      <c r="H49" s="4" t="n">
        <v>-44478890519</v>
      </c>
      <c r="I49" s="4" t="n">
        <v>-101719576574</v>
      </c>
    </row>
    <row r="50">
      <c r="A50" s="3" t="inlineStr">
        <is>
          <t>Chi phí hoạt động tư vấn tài chính</t>
        </is>
      </c>
      <c r="B50" s="4" t="n">
        <v>-282000000</v>
      </c>
      <c r="C50" s="4" t="n">
        <v>0</v>
      </c>
      <c r="D50" s="4" t="n">
        <v>-10000000000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</row>
    <row r="51">
      <c r="A51" s="3" t="inlineStr">
        <is>
          <t>Chi phí các dịch vụ khác</t>
        </is>
      </c>
      <c r="B51" s="4" t="n">
        <v>-15331539286</v>
      </c>
      <c r="C51" s="4" t="n">
        <v>-7630307161</v>
      </c>
      <c r="D51" s="4" t="n">
        <v>-42274988206</v>
      </c>
      <c r="E51" s="4" t="n">
        <v>-287644359036</v>
      </c>
      <c r="F51" s="4" t="n">
        <v>-588947224663</v>
      </c>
      <c r="G51" s="4" t="n">
        <v>-253462529034</v>
      </c>
      <c r="H51" s="4" t="n">
        <v>-181492695748</v>
      </c>
      <c r="I51" s="4" t="n">
        <v>-286774899108</v>
      </c>
    </row>
    <row r="52">
      <c r="A52" s="3" t="inlineStr">
        <is>
          <t>Chi phí sửa lỗi giao dịch chứng khoán, lỗi khác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</row>
    <row r="53">
      <c r="A53" s="3" t="inlineStr">
        <is>
          <t>DOANH THU HOẠT ĐỘNG TÀI CHÍNH</t>
        </is>
      </c>
      <c r="B53" s="4" t="n">
        <v>1714246985</v>
      </c>
      <c r="C53" s="4" t="n">
        <v>2886978430</v>
      </c>
      <c r="D53" s="4" t="n">
        <v>53740912029</v>
      </c>
      <c r="E53" s="4" t="n">
        <v>12426987254</v>
      </c>
      <c r="F53" s="4" t="n">
        <v>24523594439</v>
      </c>
      <c r="G53" s="4" t="n">
        <v>18812470414</v>
      </c>
      <c r="H53" s="4" t="n">
        <v>26516220809</v>
      </c>
      <c r="I53" s="4" t="n">
        <v>46094785235</v>
      </c>
    </row>
    <row r="54">
      <c r="A54" s="3" t="inlineStr">
        <is>
          <t>Chênh lệch lãi tỷ giá hối đoái đã và chưa thực hiện</t>
        </is>
      </c>
      <c r="B54" s="4" t="n">
        <v>0</v>
      </c>
      <c r="C54" s="4" t="n">
        <v>0</v>
      </c>
      <c r="D54" s="4" t="n">
        <v>0</v>
      </c>
      <c r="E54" s="4" t="n">
        <v>2000000000</v>
      </c>
      <c r="F54" s="4" t="n">
        <v>14002400000</v>
      </c>
      <c r="G54" s="4" t="n">
        <v>0</v>
      </c>
      <c r="H54" s="4" t="n">
        <v>0</v>
      </c>
      <c r="I54" s="4" t="n">
        <v>0</v>
      </c>
    </row>
    <row r="55">
      <c r="A55" s="3" t="inlineStr">
        <is>
          <t>Doanh thu, dự thu cổ tức, lãi tiền gửi không cố định phát sinh trong kỳ</t>
        </is>
      </c>
      <c r="B55" s="4" t="n">
        <v>1714246985</v>
      </c>
      <c r="C55" s="4" t="n">
        <v>2886978430</v>
      </c>
      <c r="D55" s="4" t="n">
        <v>4105912029</v>
      </c>
      <c r="E55" s="4" t="n">
        <v>10426987254</v>
      </c>
      <c r="F55" s="4" t="n">
        <v>10521194439</v>
      </c>
      <c r="G55" s="4" t="n">
        <v>12870125334</v>
      </c>
      <c r="H55" s="4" t="n">
        <v>17491002103</v>
      </c>
      <c r="I55" s="4" t="n">
        <v>45376233569</v>
      </c>
    </row>
    <row r="56">
      <c r="A56" s="3" t="inlineStr">
        <is>
          <t>Lãi bán, thanh lý các khoản đầu tư vào công ty con, liên kết, liên doanh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</row>
    <row r="57">
      <c r="A57" s="3" t="inlineStr">
        <is>
          <t>Doanh thu khác về đầu tư</t>
        </is>
      </c>
      <c r="B57" s="4" t="n">
        <v>0</v>
      </c>
      <c r="C57" s="4" t="n">
        <v>0</v>
      </c>
      <c r="D57" s="4" t="n">
        <v>49635000000</v>
      </c>
      <c r="E57" s="4" t="n">
        <v>0</v>
      </c>
      <c r="F57" s="4" t="n">
        <v>0</v>
      </c>
      <c r="G57" s="4" t="n">
        <v>5942345080</v>
      </c>
      <c r="H57" s="4" t="n">
        <v>9025218706</v>
      </c>
      <c r="I57" s="4" t="n">
        <v>718551666</v>
      </c>
    </row>
    <row r="58">
      <c r="A58" s="3" t="inlineStr">
        <is>
          <t>CHI PHÍ TÀI CHÍNH</t>
        </is>
      </c>
      <c r="B58" s="4" t="n">
        <v>-34797234345</v>
      </c>
      <c r="C58" s="4" t="n">
        <v>-44254512465</v>
      </c>
      <c r="D58" s="4" t="n">
        <v>-121195469930</v>
      </c>
      <c r="E58" s="4" t="n">
        <v>-413558286029</v>
      </c>
      <c r="F58" s="4" t="n">
        <v>-738410016313</v>
      </c>
      <c r="G58" s="4" t="n">
        <v>-1081643946873</v>
      </c>
      <c r="H58" s="4" t="n">
        <v>-1577064007900</v>
      </c>
      <c r="I58" s="4" t="n">
        <v>-2281867196506</v>
      </c>
    </row>
    <row r="59">
      <c r="A59" s="3" t="inlineStr">
        <is>
          <t>Chênh lệch lỗ tỷ giá hối đoái đã và chưa thực hiện</t>
        </is>
      </c>
      <c r="B59" s="4" t="n">
        <v>0</v>
      </c>
      <c r="C59" s="4" t="n">
        <v>0</v>
      </c>
      <c r="D59" s="4" t="n">
        <v>0</v>
      </c>
      <c r="E59" s="4" t="n">
        <v>-11968693678</v>
      </c>
      <c r="F59" s="4" t="n">
        <v>-1400000000</v>
      </c>
      <c r="G59" s="4" t="n">
        <v>0</v>
      </c>
      <c r="H59" s="4" t="n">
        <v>0</v>
      </c>
      <c r="I59" s="4" t="n">
        <v>0</v>
      </c>
    </row>
    <row r="60">
      <c r="A60" s="3" t="inlineStr">
        <is>
          <t>Chi phí lãi vay</t>
        </is>
      </c>
      <c r="B60" s="4" t="n">
        <v>-34797234345</v>
      </c>
      <c r="C60" s="4" t="n">
        <v>-44254512465</v>
      </c>
      <c r="D60" s="4" t="n">
        <v>-121195469930</v>
      </c>
      <c r="E60" s="4" t="n">
        <v>-391262219614</v>
      </c>
      <c r="F60" s="4" t="n">
        <v>-609169047616</v>
      </c>
      <c r="G60" s="4" t="n">
        <v>-893985755421</v>
      </c>
      <c r="H60" s="4" t="n">
        <v>-1471244444534</v>
      </c>
      <c r="I60" s="4" t="n">
        <v>-2055011378498</v>
      </c>
    </row>
    <row r="61">
      <c r="A61" s="3" t="inlineStr">
        <is>
          <t>Lỗ bán, thanh lý các khoản đầu tư vào công ty con, liên kết, liên doanh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</row>
    <row r="62">
      <c r="A62" s="3" t="inlineStr">
        <is>
          <t>Chi phí dự phòng suy giảm giá trị các khoản đầu tư tài chính dài hạn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</row>
    <row r="63">
      <c r="A63" s="3" t="inlineStr">
        <is>
          <t>Chi phí đầu tư khác</t>
        </is>
      </c>
      <c r="B63" s="4" t="n">
        <v>0</v>
      </c>
      <c r="C63" s="4" t="n">
        <v>0</v>
      </c>
      <c r="D63" s="4" t="n">
        <v>0</v>
      </c>
      <c r="E63" s="4" t="n">
        <v>-10327372737</v>
      </c>
      <c r="F63" s="4" t="n">
        <v>-127840968697</v>
      </c>
      <c r="G63" s="4" t="n">
        <v>-187658191452</v>
      </c>
      <c r="H63" s="4" t="n">
        <v>-105819563366</v>
      </c>
      <c r="I63" s="4" t="n">
        <v>-226855818008</v>
      </c>
    </row>
    <row r="64">
      <c r="A64" s="3" t="inlineStr">
        <is>
          <t>CHI PHÍ BÁN HÀNG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Lợi nhuận đã thực hiện</t>
        </is>
      </c>
      <c r="B65" s="4" t="n">
        <v>1532186068831</v>
      </c>
      <c r="C65" s="4" t="n">
        <v>1819481102384</v>
      </c>
      <c r="D65" s="4" t="n">
        <v>2691867982201</v>
      </c>
      <c r="E65" s="4" t="n">
        <v>3819854683495</v>
      </c>
      <c r="F65" s="4" t="n">
        <v>3057657087640</v>
      </c>
      <c r="G65" s="4" t="n">
        <v>3028297410899</v>
      </c>
      <c r="H65" s="4" t="n">
        <v>4801673046224</v>
      </c>
      <c r="I65" s="4" t="n">
        <v>7105472327512</v>
      </c>
    </row>
    <row r="66">
      <c r="A66" s="3" t="inlineStr">
        <is>
          <t>Lợi nhuận chưa thực hiện</t>
        </is>
      </c>
      <c r="B66" s="4" t="n">
        <v>0</v>
      </c>
      <c r="C66" s="4" t="n">
        <v>0</v>
      </c>
      <c r="D66" s="4" t="n">
        <v>0</v>
      </c>
      <c r="E66" s="4" t="n">
        <v>-9968693678</v>
      </c>
      <c r="F66" s="4" t="n">
        <v>0</v>
      </c>
      <c r="G66" s="4" t="n">
        <v>0</v>
      </c>
      <c r="H66" s="4" t="n">
        <v>432821962</v>
      </c>
      <c r="I66" s="4" t="n">
        <v>3228414097</v>
      </c>
    </row>
    <row r="67">
      <c r="A67" s="3" t="inlineStr">
        <is>
          <t>LNST trích các Quỹ dự trữ điều lệ, Quỹ Dự phòng tài chính và rủi ro nghề nghiệp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</row>
    <row r="68">
      <c r="A68" s="3" t="inlineStr">
        <is>
          <t>Lãi/(lỗ) từ đánh giá lại các các khoản đầu tư giữ đến ngày đáo hạn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</row>
    <row r="69">
      <c r="A69" s="3" t="inlineStr">
        <is>
          <t>Lãi/(lỗ) từ đánh giá lại các tài sản tài chính sẵn sàng để bán</t>
        </is>
      </c>
      <c r="B69" s="4" t="n">
        <v>0</v>
      </c>
      <c r="C69" s="4" t="n">
        <v>0</v>
      </c>
      <c r="D69" s="4" t="n">
        <v>-12523440138</v>
      </c>
      <c r="E69" s="4" t="n">
        <v>-117120573</v>
      </c>
      <c r="F69" s="4" t="n">
        <v>-8596795059</v>
      </c>
      <c r="G69" s="4" t="n">
        <v>-5958088241</v>
      </c>
      <c r="H69" s="4" t="n">
        <v>11558779299</v>
      </c>
      <c r="I69" s="4" t="n">
        <v>12436623071</v>
      </c>
    </row>
    <row r="70">
      <c r="A70" s="3" t="inlineStr">
        <is>
          <t>Lãi/(lỗ) toàn diện khác được chia từ hoạt động đầu tư vào công ty con, đầu tư liên kết, liên doanh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Lãi/(lỗ) từ đánh giá lại các công cụ tài chính phái sinh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</row>
    <row r="72">
      <c r="A72" s="3" t="inlineStr">
        <is>
          <t>Lãi/(lỗ) chênh lệch tỷ giá của hoạt động tại nước ngoài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Lãi/(lỗ) từ các khoản đầu tư vào công ty con. Công ty liên kết, liên doanh chưa chia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Lãi/(lỗ) đánh giá công cụ phái sinh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Lãi/(lỗ) đánh giá lại tài sản cố định theo mô hình giá trị hợp lý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3" t="inlineStr">
        <is>
          <t>Tổng thu nhập toàn diện</t>
        </is>
      </c>
      <c r="B76" s="4" t="n">
        <v>1225283736129</v>
      </c>
      <c r="C76" s="4" t="n">
        <v>1455096052123</v>
      </c>
      <c r="D76" s="4" t="n">
        <v>2139735178279</v>
      </c>
      <c r="E76" s="4" t="n">
        <v>3066013465470</v>
      </c>
      <c r="F76" s="4" t="n">
        <v>2418067296824</v>
      </c>
      <c r="G76" s="4" t="n">
        <v>2397484879388</v>
      </c>
      <c r="H76" s="4" t="n">
        <v>3861253702870</v>
      </c>
      <c r="I76" s="4" t="n">
        <v>5695765478179</v>
      </c>
    </row>
    <row r="77">
      <c r="A77" s="3" t="inlineStr">
        <is>
          <t>Thu nhập toàn diện phân bổ cho chủ sở hữu</t>
        </is>
      </c>
      <c r="B77" s="4" t="n">
        <v>1225283736129</v>
      </c>
      <c r="C77" s="4" t="n">
        <v>1455096052123</v>
      </c>
      <c r="D77" s="4" t="n">
        <v>2139735178279</v>
      </c>
      <c r="E77" s="4" t="n">
        <v>3066013465470</v>
      </c>
      <c r="F77" s="4" t="n">
        <v>2418067296824</v>
      </c>
      <c r="G77" s="4" t="n">
        <v>2397484879388</v>
      </c>
      <c r="H77" s="4" t="n">
        <v>3861253702870</v>
      </c>
      <c r="I77" s="4" t="n">
        <v>5695765478179</v>
      </c>
    </row>
    <row r="78">
      <c r="A78" s="3" t="inlineStr">
        <is>
          <t>Thu nhập toàn diện phân bổ cho cổ đông không nắm quyền kiểm soát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</row>
    <row r="79">
      <c r="A79" s="3" t="inlineStr">
        <is>
          <t>THU NHẬP THUẦN TRÊN CỔ PHIẾU PHỔ THÔNG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</row>
    <row r="80">
      <c r="A80" s="3" t="inlineStr">
        <is>
          <t>THU NHẬP (LỖ) TOÀN DIỆN KHÁC SAU THUẾ</t>
        </is>
      </c>
      <c r="B80" s="4" t="n">
        <v>0</v>
      </c>
      <c r="C80" s="4" t="n">
        <v>0</v>
      </c>
      <c r="D80" s="4" t="n">
        <v>-12523440138</v>
      </c>
      <c r="E80" s="4" t="n">
        <v>-117120573</v>
      </c>
      <c r="F80" s="4" t="n">
        <v>-8596795059</v>
      </c>
      <c r="G80" s="4" t="n">
        <v>-5958088241</v>
      </c>
      <c r="H80" s="4" t="n">
        <v>11558779299</v>
      </c>
      <c r="I80" s="4" t="n">
        <v>12436623071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 TRƯỚC THUẾ</t>
        </is>
      </c>
      <c r="B2" s="4" t="n">
        <v>1532186068831</v>
      </c>
      <c r="C2" s="4" t="n">
        <v>1819481102384</v>
      </c>
      <c r="D2" s="4" t="n">
        <v>2691867982201</v>
      </c>
      <c r="E2" s="4" t="n">
        <v>3809885989817</v>
      </c>
      <c r="F2" s="4" t="n">
        <v>3057657087640</v>
      </c>
      <c r="G2" s="4" t="n">
        <v>3028297410899</v>
      </c>
      <c r="H2" s="4" t="n">
        <v>4802105868186</v>
      </c>
      <c r="I2" s="4" t="n">
        <v>7108703741609</v>
      </c>
    </row>
    <row r="3">
      <c r="A3" s="3" t="inlineStr">
        <is>
          <t>Khấu hao tài sản cố định</t>
        </is>
      </c>
      <c r="B3" s="4" t="n">
        <v>3845328136</v>
      </c>
      <c r="C3" s="4" t="n">
        <v>10704707841</v>
      </c>
      <c r="D3" s="4" t="n">
        <v>23648553582</v>
      </c>
      <c r="E3" s="4" t="n">
        <v>14414124914</v>
      </c>
      <c r="F3" s="4" t="n">
        <v>22646115484</v>
      </c>
      <c r="G3" s="4" t="n">
        <v>22954477706</v>
      </c>
      <c r="H3" s="4" t="n">
        <v>23565200377</v>
      </c>
      <c r="I3" s="4" t="n">
        <v>24873836043</v>
      </c>
    </row>
    <row r="4">
      <c r="A4" s="3" t="inlineStr">
        <is>
          <t>Các khoản dự phòng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270349620</v>
      </c>
      <c r="G4" s="4" t="n">
        <v>4636253744</v>
      </c>
      <c r="H4" s="4" t="n">
        <v>6071068910</v>
      </c>
      <c r="I4" s="4" t="n">
        <v>26400000</v>
      </c>
    </row>
    <row r="5">
      <c r="A5" s="3" t="inlineStr">
        <is>
          <t>Lãi, lỗ chênh lệch tỷ giá hối đoái chưa thực hiện</t>
        </is>
      </c>
      <c r="B5" s="4" t="n">
        <v>0</v>
      </c>
      <c r="C5" s="4" t="n">
        <v>0</v>
      </c>
      <c r="D5" s="4" t="n">
        <v>0</v>
      </c>
      <c r="E5" s="4" t="n">
        <v>9968693678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3" t="inlineStr">
        <is>
          <t>Lãi, lỗ hoạt động đầu tư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-11180667</v>
      </c>
      <c r="H6" s="4" t="n">
        <v>0</v>
      </c>
      <c r="I6" s="4" t="n">
        <v>0</v>
      </c>
    </row>
    <row r="7">
      <c r="A7" s="3" t="inlineStr">
        <is>
          <t>Chi phí lãi vay</t>
        </is>
      </c>
      <c r="B7" s="4" t="n">
        <v>34797234345</v>
      </c>
      <c r="C7" s="4" t="n">
        <v>44254512465</v>
      </c>
      <c r="D7" s="4" t="n">
        <v>121195469930</v>
      </c>
      <c r="E7" s="4" t="n">
        <v>391262218837</v>
      </c>
      <c r="F7" s="4" t="n">
        <v>609169047616</v>
      </c>
      <c r="G7" s="4" t="n">
        <v>893985755421</v>
      </c>
      <c r="H7" s="4" t="n">
        <v>1471244444534</v>
      </c>
      <c r="I7" s="4" t="n">
        <v>2055011378498</v>
      </c>
    </row>
    <row r="8">
      <c r="A8" s="3" t="inlineStr">
        <is>
          <t>Dự thu lãi và cổ tức</t>
        </is>
      </c>
      <c r="B8" s="4" t="n">
        <v>-27863161644</v>
      </c>
      <c r="C8" s="4" t="n">
        <v>-44334346462</v>
      </c>
      <c r="D8" s="4" t="n">
        <v>-60356141427</v>
      </c>
      <c r="E8" s="4" t="n">
        <v>-181840657656</v>
      </c>
      <c r="F8" s="4" t="n">
        <v>-156303191939</v>
      </c>
      <c r="G8" s="4" t="n">
        <v>-335159132981</v>
      </c>
      <c r="H8" s="4" t="n">
        <v>-539111776066</v>
      </c>
      <c r="I8" s="4" t="n">
        <v>-686651363984</v>
      </c>
    </row>
    <row r="9">
      <c r="A9" s="3" t="inlineStr">
        <is>
          <t>Lợi nhuận từ hoạt động kinh doanh trước thay đổi vốn lưu động</t>
        </is>
      </c>
      <c r="B9" s="4" t="n">
        <v>-710328631817</v>
      </c>
      <c r="C9" s="4" t="n">
        <v>-1885904674734</v>
      </c>
      <c r="D9" s="4" t="n">
        <v>-2616269591851</v>
      </c>
      <c r="E9" s="4" t="n">
        <v>-14521275930506</v>
      </c>
      <c r="F9" s="4" t="n">
        <v>1551393773235</v>
      </c>
      <c r="G9" s="4" t="n">
        <v>-12963130531875</v>
      </c>
      <c r="H9" s="4" t="n">
        <v>-9943684470023</v>
      </c>
      <c r="I9" s="4" t="n">
        <v>-29065070402164</v>
      </c>
    </row>
    <row r="10">
      <c r="A10" s="3" t="inlineStr">
        <is>
          <t>(-) Tăng, (+) giảm các khoản phải thu khác</t>
        </is>
      </c>
      <c r="B10" s="4" t="n">
        <v>127406121400</v>
      </c>
      <c r="C10" s="4" t="n">
        <v>-39661838241</v>
      </c>
      <c r="D10" s="4" t="n">
        <v>45192409632</v>
      </c>
      <c r="E10" s="4" t="n">
        <v>23411937</v>
      </c>
      <c r="F10" s="4" t="n">
        <v>-3450109025019</v>
      </c>
      <c r="G10" s="4" t="n">
        <v>740836667695</v>
      </c>
      <c r="H10" s="4" t="n">
        <v>2686954618085</v>
      </c>
      <c r="I10" s="4" t="n">
        <v>16025337394</v>
      </c>
    </row>
    <row r="11">
      <c r="A11" s="3" t="inlineStr">
        <is>
          <t>Tăng/giảm hàng tồn kho (Trước năm 2016)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3" t="inlineStr">
        <is>
          <t>(+) Tăng, (-) giảm các khoản phải trả, phải nộp khác</t>
        </is>
      </c>
      <c r="B12" s="4" t="n">
        <v>130016937995</v>
      </c>
      <c r="C12" s="4" t="n">
        <v>62345750548</v>
      </c>
      <c r="D12" s="4" t="n">
        <v>423284347258</v>
      </c>
      <c r="E12" s="4" t="n">
        <v>2544677723481</v>
      </c>
      <c r="F12" s="4" t="n">
        <v>2519094220855</v>
      </c>
      <c r="G12" s="4" t="n">
        <v>-3478363005107</v>
      </c>
      <c r="H12" s="4" t="n">
        <v>2516743124189</v>
      </c>
      <c r="I12" s="4" t="n">
        <v>85568505507</v>
      </c>
    </row>
    <row r="13">
      <c r="A13" s="3" t="inlineStr">
        <is>
          <t>Tăng/giảm chi phí trả trước</t>
        </is>
      </c>
      <c r="B13" s="4" t="n">
        <v>-2361057643</v>
      </c>
      <c r="C13" s="4" t="n">
        <v>-6194898202</v>
      </c>
      <c r="D13" s="4" t="n">
        <v>-1377939268</v>
      </c>
      <c r="E13" s="4" t="n">
        <v>-4215476212</v>
      </c>
      <c r="F13" s="4" t="n">
        <v>-5620395497</v>
      </c>
      <c r="G13" s="4" t="n">
        <v>-21009726316</v>
      </c>
      <c r="H13" s="4" t="n">
        <v>-18967765286</v>
      </c>
      <c r="I13" s="4" t="n">
        <v>31220548802</v>
      </c>
    </row>
    <row r="14">
      <c r="A14" s="3" t="inlineStr">
        <is>
          <t>Tiền lãi vay đã trả</t>
        </is>
      </c>
      <c r="B14" s="4" t="n">
        <v>-19314127701</v>
      </c>
      <c r="C14" s="4" t="n">
        <v>-46172738208</v>
      </c>
      <c r="D14" s="4" t="n">
        <v>0</v>
      </c>
      <c r="E14" s="4" t="n">
        <v>-301946646165</v>
      </c>
      <c r="F14" s="4" t="n">
        <v>-551285122912</v>
      </c>
      <c r="G14" s="4" t="n">
        <v>-901950985028</v>
      </c>
      <c r="H14" s="4" t="n">
        <v>-1342453255799</v>
      </c>
      <c r="I14" s="4" t="n">
        <v>-2033252688434</v>
      </c>
    </row>
    <row r="15">
      <c r="A15" s="3" t="inlineStr">
        <is>
          <t>Thuế TNDN CTCK đã nộp</t>
        </is>
      </c>
      <c r="B15" s="4" t="n">
        <v>-209204137923</v>
      </c>
      <c r="C15" s="4" t="n">
        <v>-373503641331</v>
      </c>
      <c r="D15" s="4" t="n">
        <v>-531162298235</v>
      </c>
      <c r="E15" s="4" t="n">
        <v>-786955065852</v>
      </c>
      <c r="F15" s="4" t="n">
        <v>-539650865595</v>
      </c>
      <c r="G15" s="4" t="n">
        <v>-440729850165</v>
      </c>
      <c r="H15" s="4" t="n">
        <v>-583532014718</v>
      </c>
      <c r="I15" s="4" t="n">
        <v>-969623062726</v>
      </c>
    </row>
    <row r="16">
      <c r="A16" s="3" t="inlineStr">
        <is>
          <t>Tiền thu khác từ hoạt động kinh doanh</t>
        </is>
      </c>
      <c r="B16" s="4" t="n">
        <v>2866903295832</v>
      </c>
      <c r="C16" s="4" t="n">
        <v>9081846865036</v>
      </c>
      <c r="D16" s="4" t="n">
        <v>20792201029532</v>
      </c>
      <c r="E16" s="4" t="n">
        <v>13544809500000</v>
      </c>
      <c r="F16" s="4" t="n">
        <v>524989326844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Tiền chi khác cho hoạt động kinh doanh</t>
        </is>
      </c>
      <c r="B17" s="4" t="n">
        <v>-2915962530626</v>
      </c>
      <c r="C17" s="4" t="n">
        <v>-9082348190448</v>
      </c>
      <c r="D17" s="4" t="n">
        <v>-20791489932386</v>
      </c>
      <c r="E17" s="4" t="n">
        <v>-13544800000000</v>
      </c>
      <c r="F17" s="4" t="n">
        <v>-524989326844</v>
      </c>
      <c r="G17" s="4" t="n">
        <v>-60000000</v>
      </c>
      <c r="H17" s="4" t="n">
        <v>0</v>
      </c>
      <c r="I17" s="4" t="n">
        <v>0</v>
      </c>
    </row>
    <row r="18">
      <c r="A18" s="3" t="inlineStr">
        <is>
          <t>Lưu chuyển thuần từ hoạt động kinh doanh</t>
        </is>
      </c>
      <c r="B18" s="4" t="n">
        <v>832636837851</v>
      </c>
      <c r="C18" s="4" t="n">
        <v>-55798698506</v>
      </c>
      <c r="D18" s="4" t="n">
        <v>160086272435</v>
      </c>
      <c r="E18" s="4" t="n">
        <v>-10477585560916</v>
      </c>
      <c r="F18" s="4" t="n">
        <v>5084833181656</v>
      </c>
      <c r="G18" s="4" t="n">
        <v>-9348426947753</v>
      </c>
      <c r="H18" s="4" t="n">
        <v>-4179809664082</v>
      </c>
      <c r="I18" s="4" t="n">
        <v>-20564385947691</v>
      </c>
    </row>
    <row r="19">
      <c r="A19" s="3" t="inlineStr">
        <is>
          <t>Tiền chi để mua sắm, xây dựng TSCĐ, BĐSĐT và các tài sản dài hạn khác</t>
        </is>
      </c>
      <c r="B19" s="4" t="n">
        <v>-33086872723</v>
      </c>
      <c r="C19" s="4" t="n">
        <v>-23150603288</v>
      </c>
      <c r="D19" s="4" t="n">
        <v>-21064853031</v>
      </c>
      <c r="E19" s="4" t="n">
        <v>-55925546100</v>
      </c>
      <c r="F19" s="4" t="n">
        <v>-18887284000</v>
      </c>
      <c r="G19" s="4" t="n">
        <v>-5938748551</v>
      </c>
      <c r="H19" s="4" t="n">
        <v>-15530023681</v>
      </c>
      <c r="I19" s="4" t="n">
        <v>-126608197153</v>
      </c>
    </row>
    <row r="20">
      <c r="A20" s="3" t="inlineStr">
        <is>
          <t>Tiền thu từ thanh lý, nhượng bán TSCĐ, BĐSĐT và các tài sản dài hạn khác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475000000</v>
      </c>
      <c r="H20" s="4" t="n">
        <v>0</v>
      </c>
      <c r="I20" s="4" t="n">
        <v>0</v>
      </c>
    </row>
    <row r="21">
      <c r="A21" s="3" t="inlineStr">
        <is>
          <t>Tiền chi cho vay, mua các công cụ nợ của đơn vị khác (Trước năm 2016)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3" t="inlineStr">
        <is>
          <t>Tiền thu hồi cho vay, bán lại các công cụ nợ của đơn vị khác (Trước năm 2016)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Tiền chi đầu tư góp vốn vào công ty con, công ty liên doanh, liên kết và đầu tư khác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-3033431775000</v>
      </c>
      <c r="H23" s="4" t="n">
        <v>0</v>
      </c>
      <c r="I23" s="4" t="n">
        <v>-175249480890</v>
      </c>
    </row>
    <row r="24">
      <c r="A24" s="3" t="inlineStr">
        <is>
          <t>Tiền thu hồi các khoản đầu tư góp vốn vào công ty con, công ty liên doanh, liên kết và đầu tư khác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8412824066</v>
      </c>
    </row>
    <row r="25">
      <c r="A25" s="3" t="inlineStr">
        <is>
          <t>Tiền thu về cổ tức lợi nhuận được chia từ các khoản đầu tư tài chính dài hạn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Lưu chuyển tiền thuần từ hoạt động đầu tư</t>
        </is>
      </c>
      <c r="B26" s="4" t="n">
        <v>-33086872723</v>
      </c>
      <c r="C26" s="4" t="n">
        <v>-23150603288</v>
      </c>
      <c r="D26" s="4" t="n">
        <v>-21064853031</v>
      </c>
      <c r="E26" s="4" t="n">
        <v>-55925546100</v>
      </c>
      <c r="F26" s="4" t="n">
        <v>-18887284000</v>
      </c>
      <c r="G26" s="4" t="n">
        <v>-3038895523551</v>
      </c>
      <c r="H26" s="4" t="n">
        <v>-15530023681</v>
      </c>
      <c r="I26" s="4" t="n">
        <v>-293444853977</v>
      </c>
    </row>
    <row r="27">
      <c r="A27" s="3" t="inlineStr">
        <is>
          <t>Tiền thu từ phát hành cổ phiếu, nhận vốn góp của chủ sở hữu</t>
        </is>
      </c>
      <c r="B27" s="4" t="n">
        <v>58201050000</v>
      </c>
      <c r="C27" s="4" t="n">
        <v>65394460000</v>
      </c>
      <c r="D27" s="4" t="n">
        <v>651290000</v>
      </c>
      <c r="E27" s="4" t="n">
        <v>0</v>
      </c>
      <c r="F27" s="4" t="n">
        <v>1893900000</v>
      </c>
      <c r="G27" s="4" t="n">
        <v>10242763500000</v>
      </c>
      <c r="H27" s="4" t="n">
        <v>2252600000</v>
      </c>
      <c r="I27" s="4" t="n">
        <v>12106839428518</v>
      </c>
    </row>
    <row r="28">
      <c r="A28" s="3" t="inlineStr">
        <is>
          <t>Tiền chi trả vốn góp cho các chủ sở hữu, mua lại cổ phiếu của doanh nghiệp đã phát hành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</row>
    <row r="29">
      <c r="A29" s="3" t="inlineStr">
        <is>
          <t>Tiền vay gốc</t>
        </is>
      </c>
      <c r="B29" s="4" t="n">
        <v>1064899840544</v>
      </c>
      <c r="C29" s="4" t="n">
        <v>1147617068295</v>
      </c>
      <c r="D29" s="4" t="n">
        <v>3884855100000</v>
      </c>
      <c r="E29" s="4" t="n">
        <v>32331186880181</v>
      </c>
      <c r="F29" s="4" t="n">
        <v>16481400000000</v>
      </c>
      <c r="G29" s="4" t="n">
        <v>82761482790113</v>
      </c>
      <c r="H29" s="4" t="n">
        <v>81148615568719</v>
      </c>
      <c r="I29" s="4" t="n">
        <v>95576293979754</v>
      </c>
    </row>
    <row r="30">
      <c r="A30" s="3" t="inlineStr">
        <is>
          <t>Tiền chi trả nợ gốc vay</t>
        </is>
      </c>
      <c r="B30" s="4" t="n">
        <v>-240221356176</v>
      </c>
      <c r="C30" s="4" t="n">
        <v>-796632000000</v>
      </c>
      <c r="D30" s="4" t="n">
        <v>-3466676000000</v>
      </c>
      <c r="E30" s="4" t="n">
        <v>-22281498539966</v>
      </c>
      <c r="F30" s="4" t="n">
        <v>-19594182377039</v>
      </c>
      <c r="G30" s="4" t="n">
        <v>-78439556027027</v>
      </c>
      <c r="H30" s="4" t="n">
        <v>-77477067820028</v>
      </c>
      <c r="I30" s="4" t="n">
        <v>-86581825426523</v>
      </c>
    </row>
    <row r="31">
      <c r="A31" s="3" t="inlineStr">
        <is>
          <t>Tiền chi trả nợ thuê tài chính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</row>
    <row r="32">
      <c r="A32" s="3" t="inlineStr">
        <is>
          <t>Cổ tức, lợi nhuận đã trả cho chủ sở hữu</t>
        </is>
      </c>
      <c r="B32" s="4" t="n">
        <v>-781712995000</v>
      </c>
      <c r="C32" s="4" t="n">
        <v>0</v>
      </c>
      <c r="D32" s="4" t="n">
        <v>-591685395566</v>
      </c>
      <c r="E32" s="4" t="n">
        <v>0</v>
      </c>
      <c r="F32" s="4" t="n">
        <v>-675447477440</v>
      </c>
      <c r="G32" s="4" t="n">
        <v>0</v>
      </c>
      <c r="H32" s="4" t="n">
        <v>-1196040613480</v>
      </c>
      <c r="I32" s="4" t="n">
        <v>0</v>
      </c>
    </row>
    <row r="33">
      <c r="A33" s="3" t="inlineStr">
        <is>
          <t>Lưu chuyển thuần từ hoạt động tài chính</t>
        </is>
      </c>
      <c r="B33" s="4" t="n">
        <v>101166539368</v>
      </c>
      <c r="C33" s="4" t="n">
        <v>416379528295</v>
      </c>
      <c r="D33" s="4" t="n">
        <v>-172855005566</v>
      </c>
      <c r="E33" s="4" t="n">
        <v>10049688340215</v>
      </c>
      <c r="F33" s="4" t="n">
        <v>-3786335954479</v>
      </c>
      <c r="G33" s="4" t="n">
        <v>14564690263086</v>
      </c>
      <c r="H33" s="4" t="n">
        <v>2477759735211</v>
      </c>
      <c r="I33" s="4" t="n">
        <v>21101307981749</v>
      </c>
    </row>
    <row r="34">
      <c r="A34" s="3" t="inlineStr">
        <is>
          <t>LƯU CHUYỂN TIỀN THUẦN TRONG KỲ</t>
        </is>
      </c>
      <c r="B34" s="4" t="n">
        <v>900716504496</v>
      </c>
      <c r="C34" s="4" t="n">
        <v>337430226501</v>
      </c>
      <c r="D34" s="4" t="n">
        <v>-33833586162</v>
      </c>
      <c r="E34" s="4" t="n">
        <v>-483822766801</v>
      </c>
      <c r="F34" s="4" t="n">
        <v>1279609943177</v>
      </c>
      <c r="G34" s="4" t="n">
        <v>2177367791782</v>
      </c>
      <c r="H34" s="4" t="n">
        <v>-1717579952552</v>
      </c>
      <c r="I34" s="4" t="n">
        <v>243477180081</v>
      </c>
    </row>
    <row r="35">
      <c r="A35" s="3" t="inlineStr">
        <is>
          <t>TIỀN VÀ CÁC KHOẢN TƯƠNG ĐƯƠNG TIỀN ĐẦU KỲ</t>
        </is>
      </c>
      <c r="B35" s="4" t="n">
        <v>404712881195</v>
      </c>
      <c r="C35" s="4" t="n">
        <v>1305429385691</v>
      </c>
      <c r="D35" s="4" t="n">
        <v>1642859612192</v>
      </c>
      <c r="E35" s="4" t="n">
        <v>1609026026030</v>
      </c>
      <c r="F35" s="4" t="n">
        <v>1125203259229</v>
      </c>
      <c r="G35" s="4" t="n">
        <v>2404813202406</v>
      </c>
      <c r="H35" s="4" t="n">
        <v>4582180994188</v>
      </c>
      <c r="I35" s="4" t="n">
        <v>2864601041636</v>
      </c>
    </row>
    <row r="36">
      <c r="A36" s="3" t="inlineStr">
        <is>
          <t>Ảnh hưởng của thay đổi tỷ giá hối đoái quy đổi ngoại tệ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TIỀN VÀ CÁC KHOẢN TƯƠNG ĐƯƠNG TIỀN CUỐI KỲ</t>
        </is>
      </c>
      <c r="B37" s="4" t="n">
        <v>1305429385691</v>
      </c>
      <c r="C37" s="4" t="n">
        <v>1642859612192</v>
      </c>
      <c r="D37" s="4" t="n">
        <v>1609026026030</v>
      </c>
      <c r="E37" s="4" t="n">
        <v>1125203259229</v>
      </c>
      <c r="F37" s="4" t="n">
        <v>2404813202406</v>
      </c>
      <c r="G37" s="4" t="n">
        <v>4582180994188</v>
      </c>
      <c r="H37" s="4" t="n">
        <v>2864601041636</v>
      </c>
      <c r="I37" s="4" t="n">
        <v>3108078221717</v>
      </c>
    </row>
    <row r="38">
      <c r="A38" s="3" t="inlineStr">
        <is>
          <t>Tăng/giảm chứng khoán kinh doanh (Trước năm 2016)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</row>
    <row r="39">
      <c r="A39" s="3" t="inlineStr">
        <is>
          <t>Phân bổ lợi thế thương mại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</row>
    <row r="40">
      <c r="A40" s="3" t="inlineStr">
        <is>
          <t>Các khoản điều chỉnh khác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Tiền vay Quỹ Hỗ trợ thanh toán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Tiền vay khác</t>
        </is>
      </c>
      <c r="B42" s="4" t="n">
        <v>1064899840544</v>
      </c>
      <c r="C42" s="4" t="n">
        <v>1147617068295</v>
      </c>
      <c r="D42" s="4" t="n">
        <v>3884855100000</v>
      </c>
      <c r="E42" s="4" t="n">
        <v>32331186880181</v>
      </c>
      <c r="F42" s="4" t="n">
        <v>16481400000000</v>
      </c>
      <c r="G42" s="4" t="n">
        <v>82761482790113</v>
      </c>
      <c r="H42" s="4" t="n">
        <v>81148615568719</v>
      </c>
      <c r="I42" s="4" t="n">
        <v>95576293979754</v>
      </c>
    </row>
    <row r="43">
      <c r="A43" s="3" t="inlineStr">
        <is>
          <t>Tiền chi trả gốc vay Quỹ Hỗ trợ thanh toán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Tiền chi trả nợ gốc vay tài sản tài chính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</row>
    <row r="45">
      <c r="A45" s="3" t="inlineStr">
        <is>
          <t>Tiền chi trả gốc nợ vay khác</t>
        </is>
      </c>
      <c r="B45" s="4" t="n">
        <v>-240221356176</v>
      </c>
      <c r="C45" s="4" t="n">
        <v>-796632000000</v>
      </c>
      <c r="D45" s="4" t="n">
        <v>-3466676000000</v>
      </c>
      <c r="E45" s="4" t="n">
        <v>-22281498539966</v>
      </c>
      <c r="F45" s="4" t="n">
        <v>-19594182377039</v>
      </c>
      <c r="G45" s="4" t="n">
        <v>-78439556027027</v>
      </c>
      <c r="H45" s="4" t="n">
        <v>-77477067820028</v>
      </c>
      <c r="I45" s="4" t="n">
        <v>-86581825426523</v>
      </c>
    </row>
    <row r="46">
      <c r="A46" s="3" t="inlineStr">
        <is>
          <t>Tiền mặt, tiền gửi ngân hàng đầu kỳ</t>
        </is>
      </c>
      <c r="B46" s="4" t="n">
        <v>404712881195</v>
      </c>
      <c r="C46" s="4" t="n">
        <v>905429385691</v>
      </c>
      <c r="D46" s="4" t="n">
        <v>1642859612192</v>
      </c>
      <c r="E46" s="4" t="n">
        <v>1609026026030</v>
      </c>
      <c r="F46" s="4" t="n">
        <v>1125203259229</v>
      </c>
      <c r="G46" s="4" t="n">
        <v>2404813202406</v>
      </c>
      <c r="H46" s="4" t="n">
        <v>4547180994188</v>
      </c>
      <c r="I46" s="4" t="n">
        <v>2864601041636</v>
      </c>
    </row>
    <row r="47">
      <c r="A47" s="3" t="inlineStr">
        <is>
          <t>Tiền gửi ngân hàng cho hoạt động CTCK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Các khoản tương đương tiền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Tiền mặt, tiền gửi ngân hàng kỳ</t>
        </is>
      </c>
      <c r="B49" s="4" t="n">
        <v>905429385691</v>
      </c>
      <c r="C49" s="4" t="n">
        <v>1642859612192</v>
      </c>
      <c r="D49" s="4" t="n">
        <v>1609026026030</v>
      </c>
      <c r="E49" s="4" t="n">
        <v>1125203259229</v>
      </c>
      <c r="F49" s="4" t="n">
        <v>2404813202406</v>
      </c>
      <c r="G49" s="4" t="n">
        <v>4547180994188</v>
      </c>
      <c r="H49" s="4" t="n">
        <v>2864601041636</v>
      </c>
      <c r="I49" s="4" t="n">
        <v>3108078221717</v>
      </c>
    </row>
    <row r="50">
      <c r="A50" s="3" t="inlineStr">
        <is>
          <t>Tiền gửi ngân hàng cho hoạt động CTCK</t>
        </is>
      </c>
      <c r="B50" s="4" t="inlineStr"/>
      <c r="C50" s="4" t="inlineStr"/>
      <c r="D50" s="4" t="inlineStr"/>
      <c r="E50" s="4" t="inlineStr"/>
      <c r="F50" s="4" t="n">
        <v>0</v>
      </c>
      <c r="G50" s="4" t="n">
        <v>0</v>
      </c>
      <c r="H50" s="4" t="n">
        <v>0</v>
      </c>
      <c r="I50" s="4" t="n">
        <v>0</v>
      </c>
    </row>
    <row r="51">
      <c r="A51" s="3" t="inlineStr">
        <is>
          <t>Các khoản tương đương tiền</t>
        </is>
      </c>
      <c r="B51" s="4" t="inlineStr"/>
      <c r="C51" s="4" t="inlineStr"/>
      <c r="D51" s="4" t="inlineStr"/>
      <c r="E51" s="4" t="inlineStr"/>
      <c r="F51" s="4" t="n">
        <v>0</v>
      </c>
      <c r="G51" s="4" t="n">
        <v>35000000000</v>
      </c>
      <c r="H51" s="4" t="n">
        <v>0</v>
      </c>
      <c r="I51" s="4" t="n">
        <v>0</v>
      </c>
    </row>
    <row r="52">
      <c r="A52" s="3" t="inlineStr">
        <is>
          <t>Ảnh hưởng của thay đổi tỷ giá hối đoái quy đổi ngoại tệ</t>
        </is>
      </c>
      <c r="B52" s="4" t="inlineStr"/>
      <c r="C52" s="4" t="inlineStr"/>
      <c r="D52" s="4" t="inlineStr"/>
      <c r="E52" s="4" t="inlineStr"/>
      <c r="F52" s="4" t="n">
        <v>0</v>
      </c>
      <c r="G52" s="4" t="n">
        <v>0</v>
      </c>
      <c r="H52" s="4" t="n">
        <v>0</v>
      </c>
      <c r="I52" s="4" t="n">
        <v>0</v>
      </c>
    </row>
    <row r="53">
      <c r="A53" s="3" t="inlineStr">
        <is>
          <t>Tiền thu bán chứng khoán môi giới cho khách hàng</t>
        </is>
      </c>
      <c r="B53" s="4" t="n">
        <v>38817357118612</v>
      </c>
      <c r="C53" s="4" t="n">
        <v>34986407174494</v>
      </c>
      <c r="D53" s="4" t="n">
        <v>66198640621859</v>
      </c>
      <c r="E53" s="4" t="n">
        <v>304787785465434</v>
      </c>
      <c r="F53" s="4" t="n">
        <v>276521066989343</v>
      </c>
      <c r="G53" s="4" t="n">
        <v>341251631768076</v>
      </c>
      <c r="H53" s="4" t="n">
        <v>499928912941086</v>
      </c>
      <c r="I53" s="4" t="n">
        <v>738046448339303</v>
      </c>
    </row>
    <row r="54">
      <c r="A54" s="3" t="inlineStr">
        <is>
          <t>Tiền chi mua chứng khoán môi giới cho khách hàng</t>
        </is>
      </c>
      <c r="B54" s="4" t="n">
        <v>-34798079135854</v>
      </c>
      <c r="C54" s="4" t="n">
        <v>-30843521619471</v>
      </c>
      <c r="D54" s="4" t="n">
        <v>-54444909786900</v>
      </c>
      <c r="E54" s="4" t="n">
        <v>-330126899895584</v>
      </c>
      <c r="F54" s="4" t="n">
        <v>-284951627339958</v>
      </c>
      <c r="G54" s="4" t="n">
        <v>-356333054468634</v>
      </c>
      <c r="H54" s="4" t="n">
        <v>-575279337471679</v>
      </c>
      <c r="I54" s="4" t="n">
        <v>-843973115884084</v>
      </c>
    </row>
    <row r="55">
      <c r="A55" s="3" t="inlineStr">
        <is>
          <t>Tiền thu bán chứng khoán ủy thác của khách hàng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</row>
    <row r="56">
      <c r="A56" s="3" t="inlineStr">
        <is>
          <t>Tiền chi bán chứng khoán ủy thác của khách hàng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</row>
    <row r="57">
      <c r="A57" s="3" t="inlineStr">
        <is>
          <t>Thu tiền từ tài khoản vãng lai của khách hàng (Trước năm 2016)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</row>
    <row r="58">
      <c r="A58" s="3" t="inlineStr">
        <is>
          <t>Chi tiền từ tài khoản vãng lai của khách hàng (Trước năm 2016)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</row>
    <row r="59">
      <c r="A59" s="3" t="inlineStr">
        <is>
          <t>Thu vay Quỹ Hỗ trợ thanh toán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</row>
    <row r="60">
      <c r="A60" s="3" t="inlineStr">
        <is>
          <t>Chi trả vay Quỹ Hỗ trợ thanh toán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</row>
    <row r="61">
      <c r="A61" s="3" t="inlineStr">
        <is>
          <t>Nhận tiền gửi để thanh toán giao dịch chứng khoán của khách hàng</t>
        </is>
      </c>
      <c r="B61" s="4" t="n">
        <v>44506472086701</v>
      </c>
      <c r="C61" s="4" t="n">
        <v>62788450925982</v>
      </c>
      <c r="D61" s="4" t="n">
        <v>114816154518683</v>
      </c>
      <c r="E61" s="4" t="n">
        <v>355382515561853</v>
      </c>
      <c r="F61" s="4" t="n">
        <v>305615543755483</v>
      </c>
      <c r="G61" s="4" t="n">
        <v>526772783372466</v>
      </c>
      <c r="H61" s="4" t="n">
        <v>786635095183819</v>
      </c>
      <c r="I61" s="4" t="n">
        <v>1198232900374700</v>
      </c>
    </row>
    <row r="62">
      <c r="A62" s="3" t="inlineStr">
        <is>
          <t>Nhận tiền gửi của Nhà đầu tư cho hoạt động ủy thác đầu tư của khách hàng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43719133278</v>
      </c>
      <c r="I62" s="4" t="n">
        <v>25613581008</v>
      </c>
    </row>
    <row r="63">
      <c r="A63" s="3" t="inlineStr">
        <is>
          <t>Chi trả phí lưu ký chứng khoán của khách hàng</t>
        </is>
      </c>
      <c r="B63" s="4" t="n">
        <v>-9462527575</v>
      </c>
      <c r="C63" s="4" t="n">
        <v>-16881692663</v>
      </c>
      <c r="D63" s="4" t="n">
        <v>-28298527858</v>
      </c>
      <c r="E63" s="4" t="n">
        <v>-58511291625</v>
      </c>
      <c r="F63" s="4" t="n">
        <v>-57278984467</v>
      </c>
      <c r="G63" s="4" t="n">
        <v>-52070652886</v>
      </c>
      <c r="H63" s="4" t="n">
        <v>-47576177569</v>
      </c>
      <c r="I63" s="4" t="n">
        <v>-60816680131</v>
      </c>
    </row>
    <row r="64">
      <c r="A64" s="3" t="inlineStr">
        <is>
          <t>Thu lỗi giao dịch chứng khoán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Chi lỗi giao dịch chứng khoán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</row>
    <row r="66">
      <c r="A66" s="3" t="inlineStr">
        <is>
          <t>Tiền thu của Tổ chức phát hành chứng khoán</t>
        </is>
      </c>
      <c r="B66" s="4" t="n">
        <v>36999146382072</v>
      </c>
      <c r="C66" s="4" t="n">
        <v>51301011412244</v>
      </c>
      <c r="D66" s="4" t="n">
        <v>55793576300205</v>
      </c>
      <c r="E66" s="4" t="n">
        <v>51194963808502</v>
      </c>
      <c r="F66" s="4" t="n">
        <v>84249052539715</v>
      </c>
      <c r="G66" s="4" t="n">
        <v>121040499898739</v>
      </c>
      <c r="H66" s="4" t="n">
        <v>190416150569365</v>
      </c>
      <c r="I66" s="4" t="n">
        <v>139355134797811</v>
      </c>
    </row>
    <row r="67">
      <c r="A67" s="3" t="inlineStr">
        <is>
          <t>Tiền chi trả Tổ chức phát hành chứng khoán</t>
        </is>
      </c>
      <c r="B67" s="4" t="n">
        <v>-37344914318119</v>
      </c>
      <c r="C67" s="4" t="n">
        <v>-51965216332345</v>
      </c>
      <c r="D67" s="4" t="n">
        <v>-55794925674064</v>
      </c>
      <c r="E67" s="4" t="n">
        <v>-51193279094559</v>
      </c>
      <c r="F67" s="4" t="n">
        <v>-84197133352967</v>
      </c>
      <c r="G67" s="4" t="n">
        <v>-120060929738920</v>
      </c>
      <c r="H67" s="4" t="n">
        <v>-191403026217302</v>
      </c>
      <c r="I67" s="4" t="n">
        <v>-139350374509823</v>
      </c>
    </row>
    <row r="68">
      <c r="A68" s="3" t="inlineStr">
        <is>
          <t>Lưu chuyển tiền hoạt động môi giới, ủy thác của khách hàng</t>
        </is>
      </c>
      <c r="B68" s="4" t="n">
        <v>-199165218284</v>
      </c>
      <c r="C68" s="4" t="n">
        <v>-885215589354</v>
      </c>
      <c r="D68" s="4" t="n">
        <v>1768633549335</v>
      </c>
      <c r="E68" s="4" t="n">
        <v>2358709418449</v>
      </c>
      <c r="F68" s="4" t="n">
        <v>-2247052204419</v>
      </c>
      <c r="G68" s="4" t="n">
        <v>3444679727080</v>
      </c>
      <c r="H68" s="4" t="n">
        <v>4249521552509</v>
      </c>
      <c r="I68" s="4" t="n">
        <v>678346947204</v>
      </c>
    </row>
    <row r="69">
      <c r="A69" s="3" t="inlineStr">
        <is>
          <t>TIỀN VÀ CÁC KHOẢN TƯƠNG ĐƯƠNG TIỀN ĐẦU KỲ CỦA KHÁCH HÀNG</t>
        </is>
      </c>
      <c r="B69" s="4" t="n">
        <v>1534135113732</v>
      </c>
      <c r="C69" s="4" t="n">
        <v>1334969895448</v>
      </c>
      <c r="D69" s="4" t="n">
        <v>449754306094</v>
      </c>
      <c r="E69" s="4" t="n">
        <v>2218387855429</v>
      </c>
      <c r="F69" s="4" t="n">
        <v>4577097273878</v>
      </c>
      <c r="G69" s="4" t="n">
        <v>2330045069459</v>
      </c>
      <c r="H69" s="4" t="n">
        <v>5774724796539</v>
      </c>
      <c r="I69" s="4" t="n">
        <v>10024246349048</v>
      </c>
    </row>
    <row r="70">
      <c r="A70" s="3" t="inlineStr">
        <is>
          <t>Tiền gửi ngân hàng đầu kỳ</t>
        </is>
      </c>
      <c r="B70" s="4" t="n">
        <v>1534135113732</v>
      </c>
      <c r="C70" s="4" t="n">
        <v>1334969895448</v>
      </c>
      <c r="D70" s="4" t="n">
        <v>449754306094</v>
      </c>
      <c r="E70" s="4" t="n">
        <v>2218387855429</v>
      </c>
      <c r="F70" s="4" t="n">
        <v>4577097273878</v>
      </c>
      <c r="G70" s="4" t="n">
        <v>2330045069459</v>
      </c>
      <c r="H70" s="4" t="n">
        <v>5774724796539</v>
      </c>
      <c r="I70" s="4" t="n">
        <v>10024246349048</v>
      </c>
    </row>
    <row r="71">
      <c r="A71" s="3" t="inlineStr">
        <is>
          <t>Tiền gửi của NĐT về GDCK theo phương thức CTCK quản lý</t>
        </is>
      </c>
      <c r="B71" s="4" t="n">
        <v>396892320865</v>
      </c>
      <c r="C71" s="4" t="n">
        <v>447669875435</v>
      </c>
      <c r="D71" s="4" t="n">
        <v>2218020327029</v>
      </c>
      <c r="E71" s="4" t="n">
        <v>4575045031535</v>
      </c>
      <c r="F71" s="4" t="n">
        <v>2278125882711</v>
      </c>
      <c r="G71" s="4" t="n">
        <v>2945784273957</v>
      </c>
      <c r="H71" s="4" t="n">
        <v>8245482244688</v>
      </c>
      <c r="I71" s="4" t="n">
        <v>6447211380125</v>
      </c>
    </row>
    <row r="72">
      <c r="A72" s="3" t="inlineStr">
        <is>
          <t>Trong đó: có kỳ hạn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Tiền gửi tổng hợp GDCK cho khách hàng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Tiền gửi bù trừ và thanh toán GDCK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1797451176015</v>
      </c>
      <c r="H74" s="4" t="n">
        <v>1734150405730</v>
      </c>
      <c r="I74" s="4" t="n">
        <v>4206007929509</v>
      </c>
    </row>
    <row r="75">
      <c r="A75" s="3" t="inlineStr">
        <is>
          <t>Tiền gửi của tổ chức phát hành</t>
        </is>
      </c>
      <c r="B75" s="4" t="n">
        <v>938077574583</v>
      </c>
      <c r="C75" s="4" t="n">
        <v>2084430659</v>
      </c>
      <c r="D75" s="4" t="n">
        <v>367528400</v>
      </c>
      <c r="E75" s="4" t="n">
        <v>2052242343</v>
      </c>
      <c r="F75" s="4" t="n">
        <v>51919186748</v>
      </c>
      <c r="G75" s="4" t="n">
        <v>1031489346567</v>
      </c>
      <c r="H75" s="4" t="n">
        <v>44613698630</v>
      </c>
      <c r="I75" s="4" t="n">
        <v>49373986618</v>
      </c>
    </row>
    <row r="76">
      <c r="A76" s="3" t="inlineStr">
        <is>
          <t>Trong đó: có kỳ hạn</t>
        </is>
      </c>
      <c r="B76" s="4" t="inlineStr"/>
      <c r="C76" s="4" t="inlineStr"/>
      <c r="D76" s="4" t="inlineStr"/>
      <c r="E76" s="4" t="inlineStr"/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3" t="inlineStr">
        <is>
          <t>Tiền gửi của NĐT về GDCK theo phương thức NHTM quản lý (Trước năm 2016)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Trong đó: có kỳ hạn (Trước năm 2016)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</row>
    <row r="79">
      <c r="A79" s="3" t="inlineStr">
        <is>
          <t>Các khoản tương đương tiền</t>
        </is>
      </c>
      <c r="B79" s="4" t="inlineStr"/>
      <c r="C79" s="4" t="inlineStr"/>
      <c r="D79" s="4" t="inlineStr"/>
      <c r="E79" s="4" t="inlineStr"/>
      <c r="F79" s="4" t="n">
        <v>0</v>
      </c>
      <c r="G79" s="4" t="n">
        <v>0</v>
      </c>
      <c r="H79" s="4" t="n">
        <v>0</v>
      </c>
      <c r="I79" s="4" t="n">
        <v>0</v>
      </c>
    </row>
    <row r="80">
      <c r="A80" s="3" t="inlineStr">
        <is>
          <t>Ảnh hưởng của thay đổi tỷ giá hối đoái quy đổi ngoại tệ</t>
        </is>
      </c>
      <c r="B80" s="4" t="inlineStr"/>
      <c r="C80" s="4" t="inlineStr"/>
      <c r="D80" s="4" t="inlineStr"/>
      <c r="E80" s="4" t="inlineStr"/>
      <c r="F80" s="4" t="n">
        <v>0</v>
      </c>
      <c r="G80" s="4" t="n">
        <v>0</v>
      </c>
      <c r="H80" s="4" t="n">
        <v>0</v>
      </c>
      <c r="I80" s="4" t="n">
        <v>0</v>
      </c>
    </row>
    <row r="81">
      <c r="A81" s="3" t="inlineStr">
        <is>
          <t>TIỀN VÀ CÁC KHOẢN TƯƠNG ĐƯƠNG TIỀN CUỐI KỲ CỦA KHÁCH HÀNG</t>
        </is>
      </c>
      <c r="B81" s="4" t="n">
        <v>1334969895448</v>
      </c>
      <c r="C81" s="4" t="n">
        <v>449754306094</v>
      </c>
      <c r="D81" s="4" t="n">
        <v>2218387855429</v>
      </c>
      <c r="E81" s="4" t="n">
        <v>4577097273878</v>
      </c>
      <c r="F81" s="4" t="n">
        <v>2330045069459</v>
      </c>
      <c r="G81" s="4" t="n">
        <v>5774724796539</v>
      </c>
      <c r="H81" s="4" t="n">
        <v>10024246349048</v>
      </c>
      <c r="I81" s="4" t="n">
        <v>10702593296252</v>
      </c>
    </row>
    <row r="82">
      <c r="A82" s="3" t="inlineStr">
        <is>
          <t>Tiền gửi ngân hàng cuối kỳ</t>
        </is>
      </c>
      <c r="B82" s="4" t="n">
        <v>1334969895448</v>
      </c>
      <c r="C82" s="4" t="n">
        <v>449754306094</v>
      </c>
      <c r="D82" s="4" t="n">
        <v>2218387855429</v>
      </c>
      <c r="E82" s="4" t="n">
        <v>4577097273878</v>
      </c>
      <c r="F82" s="4" t="n">
        <v>2330045069459</v>
      </c>
      <c r="G82" s="4" t="n">
        <v>5774724796539</v>
      </c>
      <c r="H82" s="4" t="n">
        <v>10024246349048</v>
      </c>
      <c r="I82" s="4" t="n">
        <v>10702593296252</v>
      </c>
    </row>
    <row r="83">
      <c r="A83" s="3" t="inlineStr">
        <is>
          <t>Tiền gửi của NĐT về GDCK theo phương thức CTCK quản lý</t>
        </is>
      </c>
      <c r="B83" s="4" t="inlineStr"/>
      <c r="C83" s="4" t="inlineStr"/>
      <c r="D83" s="4" t="inlineStr"/>
      <c r="E83" s="4" t="inlineStr"/>
      <c r="F83" s="4" t="n">
        <v>2278125882711</v>
      </c>
      <c r="G83" s="4" t="n">
        <v>2945784273957</v>
      </c>
      <c r="H83" s="4" t="n">
        <v>8245482244688</v>
      </c>
      <c r="I83" s="4" t="n">
        <v>6447211380125</v>
      </c>
    </row>
    <row r="84">
      <c r="A84" s="3" t="inlineStr">
        <is>
          <t>Trong đó: có kỳ hạn</t>
        </is>
      </c>
      <c r="B84" s="4" t="inlineStr"/>
      <c r="C84" s="4" t="inlineStr"/>
      <c r="D84" s="4" t="inlineStr"/>
      <c r="E84" s="4" t="inlineStr"/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Tiền gửi của NĐT về GDCK theo phương thức NHTM quản lý (Trước năm 2016)</t>
        </is>
      </c>
      <c r="B85" s="4" t="inlineStr"/>
      <c r="C85" s="4" t="inlineStr"/>
      <c r="D85" s="4" t="inlineStr"/>
      <c r="E85" s="4" t="inlineStr"/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Trong đó: có kỳ hạn (Trước năm 2016)</t>
        </is>
      </c>
      <c r="B86" s="4" t="inlineStr"/>
      <c r="C86" s="4" t="inlineStr"/>
      <c r="D86" s="4" t="inlineStr"/>
      <c r="E86" s="4" t="inlineStr"/>
      <c r="F86" s="4" t="n">
        <v>0</v>
      </c>
      <c r="G86" s="4" t="n">
        <v>0</v>
      </c>
      <c r="H86" s="4" t="n">
        <v>0</v>
      </c>
      <c r="I86" s="4" t="n">
        <v>0</v>
      </c>
    </row>
    <row r="87">
      <c r="A87" s="3" t="inlineStr">
        <is>
          <t>Tiền gửi tổng hợp GDCK cho khách hàng</t>
        </is>
      </c>
      <c r="B87" s="4" t="inlineStr"/>
      <c r="C87" s="4" t="inlineStr"/>
      <c r="D87" s="4" t="inlineStr"/>
      <c r="E87" s="4" t="inlineStr"/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Tiền gửi bù trừ và thanh toán GDCK</t>
        </is>
      </c>
      <c r="B88" s="4" t="inlineStr"/>
      <c r="C88" s="4" t="inlineStr"/>
      <c r="D88" s="4" t="inlineStr"/>
      <c r="E88" s="4" t="inlineStr"/>
      <c r="F88" s="4" t="n">
        <v>0</v>
      </c>
      <c r="G88" s="4" t="n">
        <v>1797451176015</v>
      </c>
      <c r="H88" s="4" t="n">
        <v>1734150405730</v>
      </c>
      <c r="I88" s="4" t="n">
        <v>4206007929509</v>
      </c>
    </row>
    <row r="89">
      <c r="A89" s="3" t="inlineStr">
        <is>
          <t>Tiền gửi của tổ chức phát hành</t>
        </is>
      </c>
      <c r="B89" s="4" t="inlineStr"/>
      <c r="C89" s="4" t="inlineStr"/>
      <c r="D89" s="4" t="inlineStr"/>
      <c r="E89" s="4" t="inlineStr"/>
      <c r="F89" s="4" t="n">
        <v>51919186748</v>
      </c>
      <c r="G89" s="4" t="n">
        <v>1031489346567</v>
      </c>
      <c r="H89" s="4" t="n">
        <v>44613698630</v>
      </c>
      <c r="I89" s="4" t="n">
        <v>49373986618</v>
      </c>
    </row>
    <row r="90">
      <c r="A90" s="3" t="inlineStr">
        <is>
          <t>Trong đó: có kỳ hạn</t>
        </is>
      </c>
      <c r="B90" s="4" t="inlineStr"/>
      <c r="C90" s="4" t="inlineStr"/>
      <c r="D90" s="4" t="inlineStr"/>
      <c r="E90" s="4" t="inlineStr"/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Các khoản tương đương tiền</t>
        </is>
      </c>
      <c r="B91" s="4" t="inlineStr"/>
      <c r="C91" s="4" t="inlineStr"/>
      <c r="D91" s="4" t="inlineStr"/>
      <c r="E91" s="4" t="inlineStr"/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Ảnh hưởng của thay đổi tỷ giá hối đoái quy đổi ngoại tệ</t>
        </is>
      </c>
      <c r="B92" s="4" t="inlineStr"/>
      <c r="C92" s="4" t="inlineStr"/>
      <c r="D92" s="4" t="inlineStr"/>
      <c r="E92" s="4" t="inlineStr"/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Điều chỉnh cho các khoản</t>
        </is>
      </c>
      <c r="B93" s="4" t="n">
        <v>10779400837</v>
      </c>
      <c r="C93" s="4" t="n">
        <v>10624873844</v>
      </c>
      <c r="D93" s="4" t="n">
        <v>84487882085</v>
      </c>
      <c r="E93" s="4" t="n">
        <v>233804379773</v>
      </c>
      <c r="F93" s="4" t="n">
        <v>475782320781</v>
      </c>
      <c r="G93" s="4" t="n">
        <v>586406173223</v>
      </c>
      <c r="H93" s="4" t="n">
        <v>961768937755</v>
      </c>
      <c r="I93" s="4" t="n">
        <v>1393260250557</v>
      </c>
    </row>
    <row r="94">
      <c r="A94" s="3" t="inlineStr">
        <is>
          <t>Chi phí phải trả, chi phí trả trước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Tăng các chi phí phi tiền tệ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5631437562</v>
      </c>
    </row>
    <row r="96">
      <c r="A96" s="3" t="inlineStr">
        <is>
          <t>Lỗ đánh giá giá trị các tài sản tài chính ghi nhận thông qua lãi/lỗ FVTPL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3679561158</v>
      </c>
    </row>
    <row r="97">
      <c r="A97" s="3" t="inlineStr">
        <is>
          <t>Lỗ đánh giá giá trị các công nợ tài chính ghi nhận thông qua KQKD (Trước năm 2016)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s="3" t="inlineStr">
        <is>
          <t>Lỗ đánh giá giá trị các công cụ tài chính phái sinh (Trước năm 2016)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Lỗ từ thanh lý các tài sản tài chính sẵn sàng để bán (Trước năm 2016)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s="3" t="inlineStr">
        <is>
          <t>Suy giảm giá trị của các tài sản tài chính sẵn sàng để bán (Trước năm 2016)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</row>
    <row r="101">
      <c r="A101" s="3" t="inlineStr">
        <is>
          <t>Lỗ suy giảm giá trị các khoản đầu tư nắm giữ đến ngày đáo hạn (HTM)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Lỗ suy giảm giá trị các khoản cho vay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1951876404</v>
      </c>
    </row>
    <row r="103">
      <c r="A103" s="3" t="inlineStr">
        <is>
          <t>Lỗ về ghi nhận chênh lệch đánh giá theo giá trị hợp lý tài sản tài chính sẵn sàng để bán AFS khi phân loại lại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3" t="inlineStr">
        <is>
          <t>Lỗ đánh giá giá các công cụ tài chính phát sinh cho mục đích phòng ngừa rủi ro (Trước năm 2016)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</row>
    <row r="105">
      <c r="A105" s="3" t="inlineStr">
        <is>
          <t>Lỗ từ thanh lý TSCĐ (Trước năm 2016)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Suy giảm giá trị của các tài sản cố định, BĐSĐT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s="3" t="inlineStr">
        <is>
          <t>Chi phí dự phòng suy giảm giá trị các khoản đầu tư tài chính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Lỗ từ thanh lý các khoản đầu tư vào công ty con và công ty liên doanh, liên kết (Trước năm 2016)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</row>
    <row r="109">
      <c r="A109" s="3" t="inlineStr">
        <is>
          <t>Lỗ khác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Giảm các doanh thu phi tiền tệ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-6910975255</v>
      </c>
    </row>
    <row r="111">
      <c r="A111" s="3" t="inlineStr">
        <is>
          <t>Lãi đánh giá giá trị các tài sản chính ghi nhận thông qua lãi/lỗ FVTPL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-6910975255</v>
      </c>
    </row>
    <row r="112">
      <c r="A112" s="3" t="inlineStr">
        <is>
          <t>Lãi đánh giá giá trị các công nợ tài chính thông qua kết quả kinh doanh (Trước năm 2016)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Lãi từ thanh lý các tài sản tài chính sẵn sàng để bán (Trước năm 2016)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Hoàn nhập suy giảm giá trị của các tài sản tài chính sẵn sàng để bán (Trước năm 2016)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Lãi về ghi nhận chệnh lệch đánh giá theo giá trị hợp lý tài sản tài chính sẵn sàng để bán AFS khi phân loại lại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Lãi đánh giá giá trị các công cụ tài chính phái sinh cho mục đích phòng ngừa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</row>
    <row r="117">
      <c r="A117" s="3" t="inlineStr">
        <is>
          <t>Lãi từ thanh lý các khoản cho vay và phải thu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Hoàn nhập chi phí dự phòng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</row>
    <row r="119">
      <c r="A119" s="3" t="inlineStr">
        <is>
          <t>Lãi từ thanh lý tài sản cố định, BĐSĐT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</row>
    <row r="120">
      <c r="A120" s="3" t="inlineStr">
        <is>
          <t>Lãi từ thanh lý các khoản đầu tư vào công ty con và công ty liên doanh, liên kết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</row>
    <row r="121">
      <c r="A121" s="3" t="inlineStr">
        <is>
          <t>Lãi khác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</row>
    <row r="122">
      <c r="A122" s="3" t="inlineStr">
        <is>
          <t>Thay đổi tài sản và nợ phải trả hoạt động (Trước năm 2016)</t>
        </is>
      </c>
      <c r="B122" s="4" t="n">
        <v>-712015505156</v>
      </c>
      <c r="C122" s="4" t="n">
        <v>-1509331496617</v>
      </c>
      <c r="D122" s="4" t="n">
        <v>-2564198988500</v>
      </c>
      <c r="E122" s="4" t="n">
        <v>-16015992851030</v>
      </c>
      <c r="F122" s="4" t="n">
        <v>3054260481126</v>
      </c>
      <c r="G122" s="4" t="n">
        <v>-8839931663375</v>
      </c>
      <c r="H122" s="4" t="n">
        <v>-13561407750219</v>
      </c>
      <c r="I122" s="4" t="n">
        <v>-26825430350091</v>
      </c>
    </row>
    <row r="123">
      <c r="A123" s="3" t="inlineStr">
        <is>
          <t>Tăng (giảm) tài sản tài chính ghi nhận thông qua lãi/ lỗ (FVTPL)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-17278163500</v>
      </c>
      <c r="I123" s="4" t="n">
        <v>-18413443303</v>
      </c>
    </row>
    <row r="124">
      <c r="A124" s="3" t="inlineStr">
        <is>
          <t>Tăng (giảm) các khoản đầu tư giữ đến ngày đáo hạn (HTM)</t>
        </is>
      </c>
      <c r="B124" s="4" t="n">
        <v>9840307126</v>
      </c>
      <c r="C124" s="4" t="n">
        <v>5000000000</v>
      </c>
      <c r="D124" s="4" t="n">
        <v>-110100000000</v>
      </c>
      <c r="E124" s="4" t="n">
        <v>-307066300000</v>
      </c>
      <c r="F124" s="4" t="n">
        <v>511166300000</v>
      </c>
      <c r="G124" s="4" t="n">
        <v>-1291046000000</v>
      </c>
      <c r="H124" s="4" t="n">
        <v>-1440059785348</v>
      </c>
      <c r="I124" s="4" t="n">
        <v>-1335312954271</v>
      </c>
    </row>
    <row r="125">
      <c r="A125" s="3" t="inlineStr">
        <is>
          <t>Tăng(giảm) các khoản cho vay</t>
        </is>
      </c>
      <c r="B125" s="4" t="n">
        <v>-545844322413</v>
      </c>
      <c r="C125" s="4" t="n">
        <v>-422117500038</v>
      </c>
      <c r="D125" s="4" t="n">
        <v>-2588758124355</v>
      </c>
      <c r="E125" s="4" t="n">
        <v>-11469392523578</v>
      </c>
      <c r="F125" s="4" t="n">
        <v>6497424202012</v>
      </c>
      <c r="G125" s="4" t="n">
        <v>-7264561551658</v>
      </c>
      <c r="H125" s="4" t="n">
        <v>-9292078962942</v>
      </c>
      <c r="I125" s="4" t="n">
        <v>-17948486475954</v>
      </c>
    </row>
    <row r="126">
      <c r="A126" s="3" t="inlineStr">
        <is>
          <t>Tăng (giảm) tài sản tài chính sẵn sàng để bán AFS</t>
        </is>
      </c>
      <c r="B126" s="4" t="n">
        <v>-174466503408</v>
      </c>
      <c r="C126" s="4" t="n">
        <v>-1089064276754</v>
      </c>
      <c r="D126" s="4" t="n">
        <v>137231052708</v>
      </c>
      <c r="E126" s="4" t="n">
        <v>-4221618922008</v>
      </c>
      <c r="F126" s="4" t="n">
        <v>-3947364654478</v>
      </c>
      <c r="G126" s="4" t="n">
        <v>-292097988743</v>
      </c>
      <c r="H126" s="4" t="n">
        <v>-2614293738429</v>
      </c>
      <c r="I126" s="4" t="n">
        <v>-7531928504136</v>
      </c>
    </row>
    <row r="127">
      <c r="A127" s="3" t="inlineStr">
        <is>
          <t>Tăng/giảm các tài sản khác</t>
        </is>
      </c>
      <c r="B127" s="4" t="n">
        <v>-1544986461</v>
      </c>
      <c r="C127" s="4" t="n">
        <v>-3149719825</v>
      </c>
      <c r="D127" s="4" t="n">
        <v>-2571916853</v>
      </c>
      <c r="E127" s="4" t="n">
        <v>-17915105444</v>
      </c>
      <c r="F127" s="4" t="n">
        <v>-6965366408</v>
      </c>
      <c r="G127" s="4" t="n">
        <v>7773877026</v>
      </c>
      <c r="H127" s="4" t="n">
        <v>-197697100000</v>
      </c>
      <c r="I127" s="4" t="n">
        <v>8906516573</v>
      </c>
    </row>
    <row r="128">
      <c r="A128" s="3" t="inlineStr">
        <is>
          <t>Tăng/giảm các khoản phải thu (Trước năm 2016)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-195489000</v>
      </c>
    </row>
    <row r="129">
      <c r="A129" s="3" t="inlineStr">
        <is>
          <t>Tăng/giảm vay và nợ thuê tài sản tài chính (Trước năm 2016)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</row>
    <row r="130">
      <c r="A130" s="3" t="inlineStr">
        <is>
          <t>Tăng/giảm vay tài sản tài chính (Trước năm 2016)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</row>
    <row r="131">
      <c r="A131" s="3" t="inlineStr">
        <is>
          <t>Tăng/giảm Trái phiếu chuyển đổi-Cấu phần nợ (Trước năm 2016)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</row>
    <row r="132">
      <c r="A132" s="3" t="inlineStr">
        <is>
          <t>Tăng/giảm Trái phiếu phát hành (Trước năm 2016)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</row>
    <row r="133">
      <c r="A133" s="3" t="inlineStr">
        <is>
          <t>Tăng/giảm vay Quỹ Hỗ trợ thanh toán (Trước năm 2016)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</row>
    <row r="134">
      <c r="A134" s="3" t="inlineStr">
        <is>
          <t>(-) Tăng, (+) giảm phải thu bán các tài sản tài chính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</row>
    <row r="135">
      <c r="A135" s="3" t="inlineStr">
        <is>
          <t>(-) Tăng, (+) giảm phải thu và dự thu cổ tức, tiền lãi các tài sản tài chính</t>
        </is>
      </c>
      <c r="B135" s="4" t="n">
        <v>74715132973</v>
      </c>
      <c r="C135" s="4" t="n">
        <v>40705609507</v>
      </c>
      <c r="D135" s="4" t="n">
        <v>46655425435</v>
      </c>
      <c r="E135" s="4" t="n">
        <v>50428801967</v>
      </c>
      <c r="F135" s="4" t="n">
        <v>165790274167</v>
      </c>
      <c r="G135" s="4" t="n">
        <v>180391762558</v>
      </c>
      <c r="H135" s="4" t="n">
        <v>337847776224</v>
      </c>
      <c r="I135" s="4" t="n">
        <v>539115328852</v>
      </c>
    </row>
    <row r="136">
      <c r="A136" s="3" t="inlineStr">
        <is>
          <t>(-) Tăng, (+) giảm các khoản phải thu các dịch vụ CTCK cung cấp</t>
        </is>
      </c>
      <c r="B136" s="4" t="n">
        <v>-59694610986</v>
      </c>
      <c r="C136" s="4" t="n">
        <v>-41930193679</v>
      </c>
      <c r="D136" s="4" t="n">
        <v>27111558178</v>
      </c>
      <c r="E136" s="4" t="n">
        <v>-61484001387</v>
      </c>
      <c r="F136" s="4" t="n">
        <v>115365106128</v>
      </c>
      <c r="G136" s="4" t="n">
        <v>7818314374</v>
      </c>
      <c r="H136" s="4" t="n">
        <v>-77566821611</v>
      </c>
      <c r="I136" s="4" t="n">
        <v>-65178982099</v>
      </c>
    </row>
    <row r="137">
      <c r="A137" s="3" t="inlineStr">
        <is>
          <t>(-) Tăng, (+) giảm các khoản phải thu về lỗi giao dịch các TSTC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</row>
    <row r="138">
      <c r="A138" s="3" t="inlineStr">
        <is>
          <t>(+) Tăng, (-) giảm phải trả cho người bán</t>
        </is>
      </c>
      <c r="B138" s="4" t="n">
        <v>0</v>
      </c>
      <c r="C138" s="4" t="n">
        <v>0</v>
      </c>
      <c r="D138" s="4" t="n">
        <v>2886440716</v>
      </c>
      <c r="E138" s="4" t="n">
        <v>0</v>
      </c>
      <c r="F138" s="4" t="n">
        <v>240252940500</v>
      </c>
      <c r="G138" s="4" t="n">
        <v>-239841359017</v>
      </c>
      <c r="H138" s="4" t="n">
        <v>125459716520</v>
      </c>
      <c r="I138" s="4" t="n">
        <v>1933921663</v>
      </c>
    </row>
    <row r="139">
      <c r="A139" s="3" t="inlineStr">
        <is>
          <t>(+) Tăng, (-) giảm phải trả Tổ chức phát hành chứng khoán (Trước năm 2016)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</row>
    <row r="140">
      <c r="A140" s="3" t="inlineStr">
        <is>
          <t>(+) Tăng, (-) giảm các khoản trích nộp phúc lợi nhân viên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-150000000</v>
      </c>
      <c r="G140" s="4" t="n">
        <v>819874627</v>
      </c>
      <c r="H140" s="4" t="n">
        <v>-63376177</v>
      </c>
      <c r="I140" s="4" t="n">
        <v>702511645</v>
      </c>
    </row>
    <row r="141">
      <c r="A141" s="3" t="inlineStr">
        <is>
          <t>(+) Tăng, (-) giảm thuế và các khoản phải nộp Nhà nước</t>
        </is>
      </c>
      <c r="B141" s="4" t="n">
        <v>-2525726200</v>
      </c>
      <c r="C141" s="4" t="n">
        <v>2837407069</v>
      </c>
      <c r="D141" s="4" t="n">
        <v>18341508287</v>
      </c>
      <c r="E141" s="4" t="n">
        <v>52197045506</v>
      </c>
      <c r="F141" s="4" t="n">
        <v>-16576646902</v>
      </c>
      <c r="G141" s="4" t="n">
        <v>-5692616512</v>
      </c>
      <c r="H141" s="4" t="n">
        <v>9629489049</v>
      </c>
      <c r="I141" s="4" t="n">
        <v>53057413631</v>
      </c>
    </row>
    <row r="142">
      <c r="A142" s="3" t="inlineStr">
        <is>
          <t>(+) Tăng, (-) giảm phải trả người lao động</t>
        </is>
      </c>
      <c r="B142" s="4" t="n">
        <v>11707576218</v>
      </c>
      <c r="C142" s="4" t="n">
        <v>25502689832</v>
      </c>
      <c r="D142" s="4" t="n">
        <v>42347902892</v>
      </c>
      <c r="E142" s="4" t="n">
        <v>1981627249</v>
      </c>
      <c r="F142" s="4" t="n">
        <v>20022806384</v>
      </c>
      <c r="G142" s="4" t="n">
        <v>21990350285</v>
      </c>
      <c r="H142" s="4" t="n">
        <v>38272728216</v>
      </c>
      <c r="I142" s="4" t="n">
        <v>47843286609</v>
      </c>
    </row>
    <row r="143">
      <c r="A143" s="3" t="inlineStr">
        <is>
          <t>(+) Tăng, (-) giảm phải trả về lỗi giao dịch các tài sản tài chính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</row>
    <row r="144">
      <c r="A144" s="3" t="inlineStr">
        <is>
          <t>Tiền lãi đã thu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</row>
    <row r="145">
      <c r="A145" s="3" t="inlineStr">
        <is>
          <t>Tiền thu khác</t>
        </is>
      </c>
      <c r="B145" s="4" t="n">
        <v>2866903295832</v>
      </c>
      <c r="C145" s="4" t="n">
        <v>9081846865036</v>
      </c>
      <c r="D145" s="4" t="n">
        <v>20792201029532</v>
      </c>
      <c r="E145" s="4" t="n">
        <v>13544809500000</v>
      </c>
      <c r="F145" s="4" t="n">
        <v>524989326844</v>
      </c>
      <c r="G145" s="4" t="n">
        <v>0</v>
      </c>
      <c r="H145" s="4" t="n">
        <v>0</v>
      </c>
      <c r="I145" s="4" t="n">
        <v>0</v>
      </c>
    </row>
    <row r="146">
      <c r="A146" s="3" t="inlineStr">
        <is>
          <t>Các khoản chi khác</t>
        </is>
      </c>
      <c r="B146" s="4" t="n">
        <v>-2915962530626</v>
      </c>
      <c r="C146" s="4" t="n">
        <v>-9082348190448</v>
      </c>
      <c r="D146" s="4" t="n">
        <v>-20791489932386</v>
      </c>
      <c r="E146" s="4" t="n">
        <v>-13544800000000</v>
      </c>
      <c r="F146" s="4" t="n">
        <v>-524989326844</v>
      </c>
      <c r="G146" s="4" t="n">
        <v>-60000000</v>
      </c>
      <c r="H146" s="4" t="n">
        <v>0</v>
      </c>
      <c r="I146" s="4" t="n">
        <v>0</v>
      </c>
    </row>
    <row r="147">
      <c r="A147" s="3" t="inlineStr">
        <is>
          <t>(-) Tăng, (+) giảm chi phí phải trả (không bao gồm chi phí lãi vay)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12591704106</v>
      </c>
      <c r="H147" s="4" t="n">
        <v>-74600938496</v>
      </c>
      <c r="I147" s="4" t="n">
        <v>52947827083</v>
      </c>
    </row>
    <row r="148">
      <c r="A148" s="3" t="inlineStr">
        <is>
          <t>Chi trả thanh toán giao dịch chứng khoán của khách hàng</t>
        </is>
      </c>
      <c r="B148" s="4" t="n">
        <v>-48369684824121</v>
      </c>
      <c r="C148" s="4" t="n">
        <v>-67135465457595</v>
      </c>
      <c r="D148" s="4" t="n">
        <v>-124771603902590</v>
      </c>
      <c r="E148" s="4" t="n">
        <v>-327627865135572</v>
      </c>
      <c r="F148" s="4" t="n">
        <v>-299426675811568</v>
      </c>
      <c r="G148" s="4" t="n">
        <v>-509174180451761</v>
      </c>
      <c r="H148" s="4" t="n">
        <v>-706044416408489</v>
      </c>
      <c r="I148" s="4" t="n">
        <v>-1091597443071580</v>
      </c>
    </row>
    <row r="149">
      <c r="A149" s="3" t="inlineStr">
        <is>
          <t>Chi trả cho hoạt động ủy thác đầu tư của khách hàng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3" customWidth="1" min="10" max="10"/>
  </cols>
  <sheetData>
    <row r="1" ht="22" customHeight="1">
      <c r="A1" s="5" t="inlineStr">
        <is>
          <t>CHỈ SỐ TÀI CHÍNH — TCX</t>
        </is>
      </c>
    </row>
    <row r="2">
      <c r="A2" s="8" t="inlineStr">
        <is>
          <t>I. CHỈ SỐ TÀI CHÍNH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</row>
    <row r="3">
      <c r="A3" s="10" t="inlineStr">
        <is>
          <t>Chỉ tiêu</t>
        </is>
      </c>
      <c r="B3" s="11">
        <f>'balance_sheet'!B1</f>
        <v/>
      </c>
      <c r="C3" s="11">
        <f>'balance_sheet'!C1</f>
        <v/>
      </c>
      <c r="D3" s="11">
        <f>'balance_sheet'!D1</f>
        <v/>
      </c>
      <c r="E3" s="11">
        <f>'balance_sheet'!E1</f>
        <v/>
      </c>
      <c r="F3" s="11">
        <f>'balance_sheet'!F1</f>
        <v/>
      </c>
      <c r="G3" s="11">
        <f>'balance_sheet'!G1</f>
        <v/>
      </c>
      <c r="H3" s="11">
        <f>'balance_sheet'!H1</f>
        <v/>
      </c>
      <c r="I3" s="11">
        <f>'balance_sheet'!I1</f>
        <v/>
      </c>
    </row>
    <row r="4">
      <c r="A4" s="12" t="inlineStr">
        <is>
          <t>1. Khả năng sinh lời</t>
        </is>
      </c>
    </row>
    <row r="5">
      <c r="A5" s="13" t="inlineStr">
        <is>
          <t>ROE (LNST CĐ Cty mẹ / VCSH bình quân)</t>
        </is>
      </c>
      <c r="B5" s="14" t="inlineStr">
        <is>
          <t>n/a</t>
        </is>
      </c>
      <c r="C5" s="15">
        <f>IFERROR(C$47/((C$32+B$32)/2),"n/a")</f>
        <v/>
      </c>
      <c r="D5" s="15">
        <f>IFERROR(D$47/((D$32+C$32)/2),"n/a")</f>
        <v/>
      </c>
      <c r="E5" s="15">
        <f>IFERROR(E$47/((E$32+D$32)/2),"n/a")</f>
        <v/>
      </c>
      <c r="F5" s="15">
        <f>IFERROR(F$47/((F$32+E$32)/2),"n/a")</f>
        <v/>
      </c>
      <c r="G5" s="15">
        <f>IFERROR(G$47/((G$32+F$32)/2),"n/a")</f>
        <v/>
      </c>
      <c r="H5" s="15">
        <f>IFERROR(H$47/((H$32+G$32)/2),"n/a")</f>
        <v/>
      </c>
      <c r="I5" s="15">
        <f>IFERROR(I$47/((I$32+H$32)/2),"n/a")</f>
        <v/>
      </c>
    </row>
    <row r="6">
      <c r="A6" s="13" t="inlineStr">
        <is>
          <t>ROA (LNST / Tổng tài sản bình quân)</t>
        </is>
      </c>
      <c r="B6" s="14" t="inlineStr">
        <is>
          <t>n/a</t>
        </is>
      </c>
      <c r="C6" s="15">
        <f>IFERROR(C$46/((C$33+B$33)/2),"n/a")</f>
        <v/>
      </c>
      <c r="D6" s="15">
        <f>IFERROR(D$46/((D$33+C$33)/2),"n/a")</f>
        <v/>
      </c>
      <c r="E6" s="15">
        <f>IFERROR(E$46/((E$33+D$33)/2),"n/a")</f>
        <v/>
      </c>
      <c r="F6" s="15">
        <f>IFERROR(F$46/((F$33+E$33)/2),"n/a")</f>
        <v/>
      </c>
      <c r="G6" s="15">
        <f>IFERROR(G$46/((G$33+F$33)/2),"n/a")</f>
        <v/>
      </c>
      <c r="H6" s="15">
        <f>IFERROR(H$46/((H$33+G$33)/2),"n/a")</f>
        <v/>
      </c>
      <c r="I6" s="15">
        <f>IFERROR(I$46/((I$33+H$33)/2),"n/a")</f>
        <v/>
      </c>
    </row>
    <row r="7">
      <c r="A7" s="13" t="inlineStr">
        <is>
          <t>Tăng trưởng LN Cổ đông Cty mẹ</t>
        </is>
      </c>
      <c r="B7" s="14" t="inlineStr">
        <is>
          <t>n/a</t>
        </is>
      </c>
      <c r="C7" s="15">
        <f>IFERROR((C$47-B$47)/ABS(B$47),"n/a")</f>
        <v/>
      </c>
      <c r="D7" s="15">
        <f>IFERROR((D$47-C$47)/ABS(C$47),"n/a")</f>
        <v/>
      </c>
      <c r="E7" s="15">
        <f>IFERROR((E$47-D$47)/ABS(D$47),"n/a")</f>
        <v/>
      </c>
      <c r="F7" s="15">
        <f>IFERROR((F$47-E$47)/ABS(E$47),"n/a")</f>
        <v/>
      </c>
      <c r="G7" s="15">
        <f>IFERROR((G$47-F$47)/ABS(F$47),"n/a")</f>
        <v/>
      </c>
      <c r="H7" s="15">
        <f>IFERROR((H$47-G$47)/ABS(G$47),"n/a")</f>
        <v/>
      </c>
      <c r="I7" s="15">
        <f>IFERROR((I$47-H$47)/ABS(H$47),"n/a")</f>
        <v/>
      </c>
    </row>
    <row r="8">
      <c r="A8" s="13" t="inlineStr">
        <is>
          <t>Tăng trưởng Doanh thu thuần</t>
        </is>
      </c>
      <c r="B8" s="14" t="inlineStr">
        <is>
          <t>n/a</t>
        </is>
      </c>
      <c r="C8" s="15">
        <f>IFERROR((C$39-B$39)/ABS(B$39),"n/a")</f>
        <v/>
      </c>
      <c r="D8" s="15">
        <f>IFERROR((D$39-C$39)/ABS(C$39),"n/a")</f>
        <v/>
      </c>
      <c r="E8" s="15">
        <f>IFERROR((E$39-D$39)/ABS(D$39),"n/a")</f>
        <v/>
      </c>
      <c r="F8" s="15">
        <f>IFERROR((F$39-E$39)/ABS(E$39),"n/a")</f>
        <v/>
      </c>
      <c r="G8" s="15">
        <f>IFERROR((G$39-F$39)/ABS(F$39),"n/a")</f>
        <v/>
      </c>
      <c r="H8" s="15">
        <f>IFERROR((H$39-G$39)/ABS(G$39),"n/a")</f>
        <v/>
      </c>
      <c r="I8" s="15">
        <f>IFERROR((I$39-H$39)/ABS(H$39),"n/a")</f>
        <v/>
      </c>
    </row>
    <row r="9">
      <c r="A9" s="12" t="inlineStr">
        <is>
          <t>2. Biên lợi nhuận</t>
        </is>
      </c>
    </row>
    <row r="10">
      <c r="A10" s="13" t="inlineStr">
        <is>
          <t>Biên lợi nhuận gộp</t>
        </is>
      </c>
      <c r="B10" s="15">
        <f>IFERROR(B$41/B$39,"n/a")</f>
        <v/>
      </c>
      <c r="C10" s="15">
        <f>IFERROR(C$41/C$39,"n/a")</f>
        <v/>
      </c>
      <c r="D10" s="15">
        <f>IFERROR(D$41/D$39,"n/a")</f>
        <v/>
      </c>
      <c r="E10" s="15">
        <f>IFERROR(E$41/E$39,"n/a")</f>
        <v/>
      </c>
      <c r="F10" s="15">
        <f>IFERROR(F$41/F$39,"n/a")</f>
        <v/>
      </c>
      <c r="G10" s="15">
        <f>IFERROR(G$41/G$39,"n/a")</f>
        <v/>
      </c>
      <c r="H10" s="15">
        <f>IFERROR(H$41/H$39,"n/a")</f>
        <v/>
      </c>
      <c r="I10" s="15">
        <f>IFERROR(I$41/I$39,"n/a")</f>
        <v/>
      </c>
    </row>
    <row r="11">
      <c r="A11" s="13" t="inlineStr">
        <is>
          <t>Biên lợi nhuận ròng</t>
        </is>
      </c>
      <c r="B11" s="15">
        <f>IFERROR(B$46/B$39,"n/a")</f>
        <v/>
      </c>
      <c r="C11" s="15">
        <f>IFERROR(C$46/C$39,"n/a")</f>
        <v/>
      </c>
      <c r="D11" s="15">
        <f>IFERROR(D$46/D$39,"n/a")</f>
        <v/>
      </c>
      <c r="E11" s="15">
        <f>IFERROR(E$46/E$39,"n/a")</f>
        <v/>
      </c>
      <c r="F11" s="15">
        <f>IFERROR(F$46/F$39,"n/a")</f>
        <v/>
      </c>
      <c r="G11" s="15">
        <f>IFERROR(G$46/G$39,"n/a")</f>
        <v/>
      </c>
      <c r="H11" s="15">
        <f>IFERROR(H$46/H$39,"n/a")</f>
        <v/>
      </c>
      <c r="I11" s="15">
        <f>IFERROR(I$46/I$39,"n/a")</f>
        <v/>
      </c>
    </row>
    <row r="12">
      <c r="A12" s="12" t="inlineStr">
        <is>
          <t>3. Đòn bẩy tài chính</t>
        </is>
      </c>
    </row>
    <row r="13">
      <c r="A13" s="13" t="inlineStr">
        <is>
          <t>D/E (Nợ vay / Vốn chủ sở hữu)</t>
        </is>
      </c>
      <c r="B13" s="16">
        <f>IFERROR((B$37+B$38)/B$32,"n/a")</f>
        <v/>
      </c>
      <c r="C13" s="16">
        <f>IFERROR((C$37+C$38)/C$32,"n/a")</f>
        <v/>
      </c>
      <c r="D13" s="16">
        <f>IFERROR((D$37+D$38)/D$32,"n/a")</f>
        <v/>
      </c>
      <c r="E13" s="16">
        <f>IFERROR((E$37+E$38)/E$32,"n/a")</f>
        <v/>
      </c>
      <c r="F13" s="16">
        <f>IFERROR((F$37+F$38)/F$32,"n/a")</f>
        <v/>
      </c>
      <c r="G13" s="16">
        <f>IFERROR((G$37+G$38)/G$32,"n/a")</f>
        <v/>
      </c>
      <c r="H13" s="16">
        <f>IFERROR((H$37+H$38)/H$32,"n/a")</f>
        <v/>
      </c>
      <c r="I13" s="16">
        <f>IFERROR((I$37+I$38)/I$32,"n/a")</f>
        <v/>
      </c>
    </row>
    <row r="14">
      <c r="A14" s="3" t="inlineStr">
        <is>
          <t xml:space="preserve">     - Nợ vay dài hạn/Vốn chủ sở hữu</t>
        </is>
      </c>
      <c r="B14" s="16">
        <f>IFERROR(B$38/B$32,"n/a")</f>
        <v/>
      </c>
      <c r="C14" s="16">
        <f>IFERROR(C$38/C$32,"n/a")</f>
        <v/>
      </c>
      <c r="D14" s="16">
        <f>IFERROR(D$38/D$32,"n/a")</f>
        <v/>
      </c>
      <c r="E14" s="16">
        <f>IFERROR(E$38/E$32,"n/a")</f>
        <v/>
      </c>
      <c r="F14" s="16">
        <f>IFERROR(F$38/F$32,"n/a")</f>
        <v/>
      </c>
      <c r="G14" s="16">
        <f>IFERROR(G$38/G$32,"n/a")</f>
        <v/>
      </c>
      <c r="H14" s="16">
        <f>IFERROR(H$38/H$32,"n/a")</f>
        <v/>
      </c>
      <c r="I14" s="16">
        <f>IFERROR(I$38/I$32,"n/a")</f>
        <v/>
      </c>
    </row>
    <row r="15">
      <c r="A15" s="3" t="inlineStr">
        <is>
          <t xml:space="preserve">     - Nợ vay ngắn hạn/Vốn chủ sở hữu</t>
        </is>
      </c>
      <c r="B15" s="16">
        <f>IFERROR(B$37/B$32,"n/a")</f>
        <v/>
      </c>
      <c r="C15" s="16">
        <f>IFERROR(C$37/C$32,"n/a")</f>
        <v/>
      </c>
      <c r="D15" s="16">
        <f>IFERROR(D$37/D$32,"n/a")</f>
        <v/>
      </c>
      <c r="E15" s="16">
        <f>IFERROR(E$37/E$32,"n/a")</f>
        <v/>
      </c>
      <c r="F15" s="16">
        <f>IFERROR(F$37/F$32,"n/a")</f>
        <v/>
      </c>
      <c r="G15" s="16">
        <f>IFERROR(G$37/G$32,"n/a")</f>
        <v/>
      </c>
      <c r="H15" s="16">
        <f>IFERROR(H$37/H$32,"n/a")</f>
        <v/>
      </c>
      <c r="I15" s="16">
        <f>IFERROR(I$37/I$32,"n/a")</f>
        <v/>
      </c>
    </row>
    <row r="16">
      <c r="A16" s="13" t="inlineStr">
        <is>
          <t>Nợ phải trả/Vốn chủ sở hữu</t>
        </is>
      </c>
      <c r="B16" s="16">
        <f>IFERROR(B$34/B$32,"n/a")</f>
        <v/>
      </c>
      <c r="C16" s="16">
        <f>IFERROR(C$34/C$32,"n/a")</f>
        <v/>
      </c>
      <c r="D16" s="16">
        <f>IFERROR(D$34/D$32,"n/a")</f>
        <v/>
      </c>
      <c r="E16" s="16">
        <f>IFERROR(E$34/E$32,"n/a")</f>
        <v/>
      </c>
      <c r="F16" s="16">
        <f>IFERROR(F$34/F$32,"n/a")</f>
        <v/>
      </c>
      <c r="G16" s="16">
        <f>IFERROR(G$34/G$32,"n/a")</f>
        <v/>
      </c>
      <c r="H16" s="16">
        <f>IFERROR(H$34/H$32,"n/a")</f>
        <v/>
      </c>
      <c r="I16" s="16">
        <f>IFERROR(I$34/I$32,"n/a")</f>
        <v/>
      </c>
    </row>
    <row r="17">
      <c r="A17" s="3" t="inlineStr">
        <is>
          <t xml:space="preserve">     - Nợ dài hạn/Vốn chủ sở hữu</t>
        </is>
      </c>
      <c r="B17" s="16">
        <f>IFERROR(B$36/B$32,"n/a")</f>
        <v/>
      </c>
      <c r="C17" s="16">
        <f>IFERROR(C$36/C$32,"n/a")</f>
        <v/>
      </c>
      <c r="D17" s="16">
        <f>IFERROR(D$36/D$32,"n/a")</f>
        <v/>
      </c>
      <c r="E17" s="16">
        <f>IFERROR(E$36/E$32,"n/a")</f>
        <v/>
      </c>
      <c r="F17" s="16">
        <f>IFERROR(F$36/F$32,"n/a")</f>
        <v/>
      </c>
      <c r="G17" s="16">
        <f>IFERROR(G$36/G$32,"n/a")</f>
        <v/>
      </c>
      <c r="H17" s="16">
        <f>IFERROR(H$36/H$32,"n/a")</f>
        <v/>
      </c>
      <c r="I17" s="16">
        <f>IFERROR(I$36/I$32,"n/a")</f>
        <v/>
      </c>
    </row>
    <row r="18">
      <c r="A18" s="3" t="inlineStr">
        <is>
          <t xml:space="preserve">     - Nợ ngắn hạn/Vốn chủ sở hữu</t>
        </is>
      </c>
      <c r="B18" s="16">
        <f>IFERROR(B$35/B$32,"n/a")</f>
        <v/>
      </c>
      <c r="C18" s="16">
        <f>IFERROR(C$35/C$32,"n/a")</f>
        <v/>
      </c>
      <c r="D18" s="16">
        <f>IFERROR(D$35/D$32,"n/a")</f>
        <v/>
      </c>
      <c r="E18" s="16">
        <f>IFERROR(E$35/E$32,"n/a")</f>
        <v/>
      </c>
      <c r="F18" s="16">
        <f>IFERROR(F$35/F$32,"n/a")</f>
        <v/>
      </c>
      <c r="G18" s="16">
        <f>IFERROR(G$35/G$32,"n/a")</f>
        <v/>
      </c>
      <c r="H18" s="16">
        <f>IFERROR(H$35/H$32,"n/a")</f>
        <v/>
      </c>
      <c r="I18" s="16">
        <f>IFERROR(I$35/I$32,"n/a")</f>
        <v/>
      </c>
    </row>
    <row r="19">
      <c r="A19" s="12" t="inlineStr">
        <is>
          <t>4. Chi phí &amp; khả năng trả lãi</t>
        </is>
      </c>
    </row>
    <row r="20">
      <c r="A20" s="13" t="inlineStr">
        <is>
          <t>Chi phí bán hàng, quản lý/LN gộp</t>
        </is>
      </c>
      <c r="B20" s="15">
        <f>IFERROR((ABS(B$42)+ABS(B$43))/B$41,"n/a")</f>
        <v/>
      </c>
      <c r="C20" s="15">
        <f>IFERROR((ABS(C$42)+ABS(C$43))/C$41,"n/a")</f>
        <v/>
      </c>
      <c r="D20" s="15">
        <f>IFERROR((ABS(D$42)+ABS(D$43))/D$41,"n/a")</f>
        <v/>
      </c>
      <c r="E20" s="15">
        <f>IFERROR((ABS(E$42)+ABS(E$43))/E$41,"n/a")</f>
        <v/>
      </c>
      <c r="F20" s="15">
        <f>IFERROR((ABS(F$42)+ABS(F$43))/F$41,"n/a")</f>
        <v/>
      </c>
      <c r="G20" s="15">
        <f>IFERROR((ABS(G$42)+ABS(G$43))/G$41,"n/a")</f>
        <v/>
      </c>
      <c r="H20" s="15">
        <f>IFERROR((ABS(H$42)+ABS(H$43))/H$41,"n/a")</f>
        <v/>
      </c>
      <c r="I20" s="15">
        <f>IFERROR((ABS(I$42)+ABS(I$43))/I$41,"n/a")</f>
        <v/>
      </c>
    </row>
    <row r="21">
      <c r="A21" s="13" t="inlineStr">
        <is>
          <t>Chi phí lãi vay/LN từ hoạt động kinh doanh</t>
        </is>
      </c>
      <c r="B21" s="15">
        <f>IFERROR(ABS(B$45)/B$44,"n/a")</f>
        <v/>
      </c>
      <c r="C21" s="15">
        <f>IFERROR(ABS(C$45)/C$44,"n/a")</f>
        <v/>
      </c>
      <c r="D21" s="15">
        <f>IFERROR(ABS(D$45)/D$44,"n/a")</f>
        <v/>
      </c>
      <c r="E21" s="15">
        <f>IFERROR(ABS(E$45)/E$44,"n/a")</f>
        <v/>
      </c>
      <c r="F21" s="15">
        <f>IFERROR(ABS(F$45)/F$44,"n/a")</f>
        <v/>
      </c>
      <c r="G21" s="15">
        <f>IFERROR(ABS(G$45)/G$44,"n/a")</f>
        <v/>
      </c>
      <c r="H21" s="15">
        <f>IFERROR(ABS(H$45)/H$44,"n/a")</f>
        <v/>
      </c>
      <c r="I21" s="15">
        <f>IFERROR(ABS(I$45)/I$44,"n/a")</f>
        <v/>
      </c>
    </row>
    <row r="22">
      <c r="A22" s="12" t="inlineStr">
        <is>
          <t>5. Chu kỳ hoạt động vốn lưu động</t>
        </is>
      </c>
    </row>
    <row r="23">
      <c r="A23" s="13" t="inlineStr">
        <is>
          <t>Số ngày phải trả (DPO)</t>
        </is>
      </c>
      <c r="B23" s="14" t="inlineStr">
        <is>
          <t>n/a</t>
        </is>
      </c>
      <c r="C23" s="17">
        <f>IFERROR(((C$49+B$49)/2)/ABS(C$40)*365,"n/a")</f>
        <v/>
      </c>
      <c r="D23" s="17">
        <f>IFERROR(((D$49+C$49)/2)/ABS(D$40)*365,"n/a")</f>
        <v/>
      </c>
      <c r="E23" s="17">
        <f>IFERROR(((E$49+D$49)/2)/ABS(E$40)*365,"n/a")</f>
        <v/>
      </c>
      <c r="F23" s="17">
        <f>IFERROR(((F$49+E$49)/2)/ABS(F$40)*365,"n/a")</f>
        <v/>
      </c>
      <c r="G23" s="17">
        <f>IFERROR(((G$49+F$49)/2)/ABS(G$40)*365,"n/a")</f>
        <v/>
      </c>
      <c r="H23" s="17">
        <f>IFERROR(((H$49+G$49)/2)/ABS(H$40)*365,"n/a")</f>
        <v/>
      </c>
      <c r="I23" s="17">
        <f>IFERROR(((I$49+H$49)/2)/ABS(I$40)*365,"n/a")</f>
        <v/>
      </c>
    </row>
    <row r="24">
      <c r="A24" s="13" t="inlineStr">
        <is>
          <t>Số ngày phải thu (DSO)</t>
        </is>
      </c>
      <c r="B24" s="14" t="inlineStr">
        <is>
          <t>n/a</t>
        </is>
      </c>
      <c r="C24" s="17">
        <f>IFERROR(((C$48+B$48)/2)/C$39*365,"n/a")</f>
        <v/>
      </c>
      <c r="D24" s="17">
        <f>IFERROR(((D$48+C$48)/2)/D$39*365,"n/a")</f>
        <v/>
      </c>
      <c r="E24" s="17">
        <f>IFERROR(((E$48+D$48)/2)/E$39*365,"n/a")</f>
        <v/>
      </c>
      <c r="F24" s="17">
        <f>IFERROR(((F$48+E$48)/2)/F$39*365,"n/a")</f>
        <v/>
      </c>
      <c r="G24" s="17">
        <f>IFERROR(((G$48+F$48)/2)/G$39*365,"n/a")</f>
        <v/>
      </c>
      <c r="H24" s="17">
        <f>IFERROR(((H$48+G$48)/2)/H$39*365,"n/a")</f>
        <v/>
      </c>
      <c r="I24" s="17">
        <f>IFERROR(((I$48+H$48)/2)/I$39*365,"n/a")</f>
        <v/>
      </c>
    </row>
    <row r="25">
      <c r="A25" s="13" t="inlineStr">
        <is>
          <t>Số ngày tồn kho (DIO)</t>
        </is>
      </c>
      <c r="B25" s="14" t="inlineStr">
        <is>
          <t>n/a</t>
        </is>
      </c>
      <c r="C25" s="17">
        <f>IFERROR(((C$50+B$50)/2)/ABS(C$40)*365,"n/a")</f>
        <v/>
      </c>
      <c r="D25" s="17">
        <f>IFERROR(((D$50+C$50)/2)/ABS(D$40)*365,"n/a")</f>
        <v/>
      </c>
      <c r="E25" s="17">
        <f>IFERROR(((E$50+D$50)/2)/ABS(E$40)*365,"n/a")</f>
        <v/>
      </c>
      <c r="F25" s="17">
        <f>IFERROR(((F$50+E$50)/2)/ABS(F$40)*365,"n/a")</f>
        <v/>
      </c>
      <c r="G25" s="17">
        <f>IFERROR(((G$50+F$50)/2)/ABS(G$40)*365,"n/a")</f>
        <v/>
      </c>
      <c r="H25" s="17">
        <f>IFERROR(((H$50+G$50)/2)/ABS(H$40)*365,"n/a")</f>
        <v/>
      </c>
      <c r="I25" s="17">
        <f>IFERROR(((I$50+H$50)/2)/ABS(I$40)*365,"n/a")</f>
        <v/>
      </c>
    </row>
    <row r="26">
      <c r="A26" s="12" t="inlineStr">
        <is>
          <t>6. Cơ cấu tài sản</t>
        </is>
      </c>
    </row>
    <row r="27">
      <c r="A27" s="13" t="inlineStr">
        <is>
          <t>Tiền và tương đương tiền/Tài sản</t>
        </is>
      </c>
      <c r="B27" s="15">
        <f>IFERROR(B$51/B$33,"n/a")</f>
        <v/>
      </c>
      <c r="C27" s="15">
        <f>IFERROR(C$51/C$33,"n/a")</f>
        <v/>
      </c>
      <c r="D27" s="15">
        <f>IFERROR(D$51/D$33,"n/a")</f>
        <v/>
      </c>
      <c r="E27" s="15">
        <f>IFERROR(E$51/E$33,"n/a")</f>
        <v/>
      </c>
      <c r="F27" s="15">
        <f>IFERROR(F$51/F$33,"n/a")</f>
        <v/>
      </c>
      <c r="G27" s="15">
        <f>IFERROR(G$51/G$33,"n/a")</f>
        <v/>
      </c>
      <c r="H27" s="15">
        <f>IFERROR(H$51/H$33,"n/a")</f>
        <v/>
      </c>
      <c r="I27" s="15">
        <f>IFERROR(I$51/I$33,"n/a")</f>
        <v/>
      </c>
    </row>
    <row r="28">
      <c r="A28" s="13" t="inlineStr">
        <is>
          <t>Hàng tồn kho/Tài sản</t>
        </is>
      </c>
      <c r="B28" s="15">
        <f>IFERROR(B$50/B$33,"n/a")</f>
        <v/>
      </c>
      <c r="C28" s="15">
        <f>IFERROR(C$50/C$33,"n/a")</f>
        <v/>
      </c>
      <c r="D28" s="15">
        <f>IFERROR(D$50/D$33,"n/a")</f>
        <v/>
      </c>
      <c r="E28" s="15">
        <f>IFERROR(E$50/E$33,"n/a")</f>
        <v/>
      </c>
      <c r="F28" s="15">
        <f>IFERROR(F$50/F$33,"n/a")</f>
        <v/>
      </c>
      <c r="G28" s="15">
        <f>IFERROR(G$50/G$33,"n/a")</f>
        <v/>
      </c>
      <c r="H28" s="15">
        <f>IFERROR(H$50/H$33,"n/a")</f>
        <v/>
      </c>
      <c r="I28" s="15">
        <f>IFERROR(I$50/I$33,"n/a")</f>
        <v/>
      </c>
    </row>
    <row r="29"/>
    <row r="30">
      <c r="A30" s="8" t="inlineStr">
        <is>
          <t>II. DỮ LIỆU TRÍCH XUẤT (tự động dò theo tên khoản mục)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</row>
    <row r="31">
      <c r="A31" s="10" t="inlineStr">
        <is>
          <t>Khoản mục</t>
        </is>
      </c>
      <c r="B31" s="11">
        <f>'balance_sheet'!B1</f>
        <v/>
      </c>
      <c r="C31" s="11">
        <f>'balance_sheet'!C1</f>
        <v/>
      </c>
      <c r="D31" s="11">
        <f>'balance_sheet'!D1</f>
        <v/>
      </c>
      <c r="E31" s="11">
        <f>'balance_sheet'!E1</f>
        <v/>
      </c>
      <c r="F31" s="11">
        <f>'balance_sheet'!F1</f>
        <v/>
      </c>
      <c r="G31" s="11">
        <f>'balance_sheet'!G1</f>
        <v/>
      </c>
      <c r="H31" s="11">
        <f>'balance_sheet'!H1</f>
        <v/>
      </c>
      <c r="I31" s="11">
        <f>'balance_sheet'!I1</f>
        <v/>
      </c>
    </row>
    <row r="32">
      <c r="A32" s="3" t="inlineStr">
        <is>
          <t>Vốn chủ sở hữu</t>
        </is>
      </c>
      <c r="B32" s="18">
        <f>IFERROR(INDEX(balance_sheet!$B:$I,MATCH("Vốn chủ sở hữu",balance_sheet!$A:$A,0),MATCH(B$31,balance_sheet!$B$1:$I$1,0)),"")</f>
        <v/>
      </c>
      <c r="C32" s="18">
        <f>IFERROR(INDEX(balance_sheet!$B:$I,MATCH("Vốn chủ sở hữu",balance_sheet!$A:$A,0),MATCH(C$31,balance_sheet!$B$1:$I$1,0)),"")</f>
        <v/>
      </c>
      <c r="D32" s="18">
        <f>IFERROR(INDEX(balance_sheet!$B:$I,MATCH("Vốn chủ sở hữu",balance_sheet!$A:$A,0),MATCH(D$31,balance_sheet!$B$1:$I$1,0)),"")</f>
        <v/>
      </c>
      <c r="E32" s="18">
        <f>IFERROR(INDEX(balance_sheet!$B:$I,MATCH("Vốn chủ sở hữu",balance_sheet!$A:$A,0),MATCH(E$31,balance_sheet!$B$1:$I$1,0)),"")</f>
        <v/>
      </c>
      <c r="F32" s="18">
        <f>IFERROR(INDEX(balance_sheet!$B:$I,MATCH("Vốn chủ sở hữu",balance_sheet!$A:$A,0),MATCH(F$31,balance_sheet!$B$1:$I$1,0)),"")</f>
        <v/>
      </c>
      <c r="G32" s="18">
        <f>IFERROR(INDEX(balance_sheet!$B:$I,MATCH("Vốn chủ sở hữu",balance_sheet!$A:$A,0),MATCH(G$31,balance_sheet!$B$1:$I$1,0)),"")</f>
        <v/>
      </c>
      <c r="H32" s="18">
        <f>IFERROR(INDEX(balance_sheet!$B:$I,MATCH("Vốn chủ sở hữu",balance_sheet!$A:$A,0),MATCH(H$31,balance_sheet!$B$1:$I$1,0)),"")</f>
        <v/>
      </c>
      <c r="I32" s="18">
        <f>IFERROR(INDEX(balance_sheet!$B:$I,MATCH("Vốn chủ sở hữu",balance_sheet!$A:$A,0),MATCH(I$31,balance_sheet!$B$1:$I$1,0)),"")</f>
        <v/>
      </c>
    </row>
    <row r="33">
      <c r="A33" s="3" t="inlineStr">
        <is>
          <t>TỔNG CỘNG TÀI SẢN</t>
        </is>
      </c>
      <c r="B33" s="18">
        <f>IFERROR(INDEX(balance_sheet!$B:$I,MATCH("TỔNG CỘNG TÀI SẢN",balance_sheet!$A:$A,0),MATCH(B$31,balance_sheet!$B$1:$I$1,0)),"")</f>
        <v/>
      </c>
      <c r="C33" s="18">
        <f>IFERROR(INDEX(balance_sheet!$B:$I,MATCH("TỔNG CỘNG TÀI SẢN",balance_sheet!$A:$A,0),MATCH(C$31,balance_sheet!$B$1:$I$1,0)),"")</f>
        <v/>
      </c>
      <c r="D33" s="18">
        <f>IFERROR(INDEX(balance_sheet!$B:$I,MATCH("TỔNG CỘNG TÀI SẢN",balance_sheet!$A:$A,0),MATCH(D$31,balance_sheet!$B$1:$I$1,0)),"")</f>
        <v/>
      </c>
      <c r="E33" s="18">
        <f>IFERROR(INDEX(balance_sheet!$B:$I,MATCH("TỔNG CỘNG TÀI SẢN",balance_sheet!$A:$A,0),MATCH(E$31,balance_sheet!$B$1:$I$1,0)),"")</f>
        <v/>
      </c>
      <c r="F33" s="18">
        <f>IFERROR(INDEX(balance_sheet!$B:$I,MATCH("TỔNG CỘNG TÀI SẢN",balance_sheet!$A:$A,0),MATCH(F$31,balance_sheet!$B$1:$I$1,0)),"")</f>
        <v/>
      </c>
      <c r="G33" s="18">
        <f>IFERROR(INDEX(balance_sheet!$B:$I,MATCH("TỔNG CỘNG TÀI SẢN",balance_sheet!$A:$A,0),MATCH(G$31,balance_sheet!$B$1:$I$1,0)),"")</f>
        <v/>
      </c>
      <c r="H33" s="18">
        <f>IFERROR(INDEX(balance_sheet!$B:$I,MATCH("TỔNG CỘNG TÀI SẢN",balance_sheet!$A:$A,0),MATCH(H$31,balance_sheet!$B$1:$I$1,0)),"")</f>
        <v/>
      </c>
      <c r="I33" s="18">
        <f>IFERROR(INDEX(balance_sheet!$B:$I,MATCH("TỔNG CỘNG TÀI SẢN",balance_sheet!$A:$A,0),MATCH(I$31,balance_sheet!$B$1:$I$1,0)),"")</f>
        <v/>
      </c>
    </row>
    <row r="34">
      <c r="A34" s="3" t="inlineStr">
        <is>
          <t>NỢ PHẢI TRẢ</t>
        </is>
      </c>
      <c r="B34" s="18">
        <f>IFERROR(INDEX(balance_sheet!$B:$I,MATCH("NỢ PHẢI TRẢ",balance_sheet!$A:$A,0),MATCH(B$31,balance_sheet!$B$1:$I$1,0)),"")</f>
        <v/>
      </c>
      <c r="C34" s="18">
        <f>IFERROR(INDEX(balance_sheet!$B:$I,MATCH("NỢ PHẢI TRẢ",balance_sheet!$A:$A,0),MATCH(C$31,balance_sheet!$B$1:$I$1,0)),"")</f>
        <v/>
      </c>
      <c r="D34" s="18">
        <f>IFERROR(INDEX(balance_sheet!$B:$I,MATCH("NỢ PHẢI TRẢ",balance_sheet!$A:$A,0),MATCH(D$31,balance_sheet!$B$1:$I$1,0)),"")</f>
        <v/>
      </c>
      <c r="E34" s="18">
        <f>IFERROR(INDEX(balance_sheet!$B:$I,MATCH("NỢ PHẢI TRẢ",balance_sheet!$A:$A,0),MATCH(E$31,balance_sheet!$B$1:$I$1,0)),"")</f>
        <v/>
      </c>
      <c r="F34" s="18">
        <f>IFERROR(INDEX(balance_sheet!$B:$I,MATCH("NỢ PHẢI TRẢ",balance_sheet!$A:$A,0),MATCH(F$31,balance_sheet!$B$1:$I$1,0)),"")</f>
        <v/>
      </c>
      <c r="G34" s="18">
        <f>IFERROR(INDEX(balance_sheet!$B:$I,MATCH("NỢ PHẢI TRẢ",balance_sheet!$A:$A,0),MATCH(G$31,balance_sheet!$B$1:$I$1,0)),"")</f>
        <v/>
      </c>
      <c r="H34" s="18">
        <f>IFERROR(INDEX(balance_sheet!$B:$I,MATCH("NỢ PHẢI TRẢ",balance_sheet!$A:$A,0),MATCH(H$31,balance_sheet!$B$1:$I$1,0)),"")</f>
        <v/>
      </c>
      <c r="I34" s="18">
        <f>IFERROR(INDEX(balance_sheet!$B:$I,MATCH("NỢ PHẢI TRẢ",balance_sheet!$A:$A,0),MATCH(I$31,balance_sheet!$B$1:$I$1,0)),"")</f>
        <v/>
      </c>
    </row>
    <row r="35">
      <c r="A35" s="3" t="inlineStr">
        <is>
          <t>Nợ phải trả ngắn hạn</t>
        </is>
      </c>
      <c r="B35" s="18">
        <f>IFERROR(INDEX(balance_sheet!$B:$I,MATCH("Nợ phải trả ngắn hạn",balance_sheet!$A:$A,0),MATCH(B$31,balance_sheet!$B$1:$I$1,0)),"")</f>
        <v/>
      </c>
      <c r="C35" s="18">
        <f>IFERROR(INDEX(balance_sheet!$B:$I,MATCH("Nợ phải trả ngắn hạn",balance_sheet!$A:$A,0),MATCH(C$31,balance_sheet!$B$1:$I$1,0)),"")</f>
        <v/>
      </c>
      <c r="D35" s="18">
        <f>IFERROR(INDEX(balance_sheet!$B:$I,MATCH("Nợ phải trả ngắn hạn",balance_sheet!$A:$A,0),MATCH(D$31,balance_sheet!$B$1:$I$1,0)),"")</f>
        <v/>
      </c>
      <c r="E35" s="18">
        <f>IFERROR(INDEX(balance_sheet!$B:$I,MATCH("Nợ phải trả ngắn hạn",balance_sheet!$A:$A,0),MATCH(E$31,balance_sheet!$B$1:$I$1,0)),"")</f>
        <v/>
      </c>
      <c r="F35" s="18">
        <f>IFERROR(INDEX(balance_sheet!$B:$I,MATCH("Nợ phải trả ngắn hạn",balance_sheet!$A:$A,0),MATCH(F$31,balance_sheet!$B$1:$I$1,0)),"")</f>
        <v/>
      </c>
      <c r="G35" s="18">
        <f>IFERROR(INDEX(balance_sheet!$B:$I,MATCH("Nợ phải trả ngắn hạn",balance_sheet!$A:$A,0),MATCH(G$31,balance_sheet!$B$1:$I$1,0)),"")</f>
        <v/>
      </c>
      <c r="H35" s="18">
        <f>IFERROR(INDEX(balance_sheet!$B:$I,MATCH("Nợ phải trả ngắn hạn",balance_sheet!$A:$A,0),MATCH(H$31,balance_sheet!$B$1:$I$1,0)),"")</f>
        <v/>
      </c>
      <c r="I35" s="18">
        <f>IFERROR(INDEX(balance_sheet!$B:$I,MATCH("Nợ phải trả ngắn hạn",balance_sheet!$A:$A,0),MATCH(I$31,balance_sheet!$B$1:$I$1,0)),"")</f>
        <v/>
      </c>
    </row>
    <row r="36">
      <c r="A36" s="3" t="inlineStr">
        <is>
          <t>Nợ phải trả dài hạn</t>
        </is>
      </c>
      <c r="B36" s="18">
        <f>IFERROR(INDEX(balance_sheet!$B:$I,MATCH("Nợ phải trả dài hạn",balance_sheet!$A:$A,0),MATCH(B$31,balance_sheet!$B$1:$I$1,0)),"")</f>
        <v/>
      </c>
      <c r="C36" s="18">
        <f>IFERROR(INDEX(balance_sheet!$B:$I,MATCH("Nợ phải trả dài hạn",balance_sheet!$A:$A,0),MATCH(C$31,balance_sheet!$B$1:$I$1,0)),"")</f>
        <v/>
      </c>
      <c r="D36" s="18">
        <f>IFERROR(INDEX(balance_sheet!$B:$I,MATCH("Nợ phải trả dài hạn",balance_sheet!$A:$A,0),MATCH(D$31,balance_sheet!$B$1:$I$1,0)),"")</f>
        <v/>
      </c>
      <c r="E36" s="18">
        <f>IFERROR(INDEX(balance_sheet!$B:$I,MATCH("Nợ phải trả dài hạn",balance_sheet!$A:$A,0),MATCH(E$31,balance_sheet!$B$1:$I$1,0)),"")</f>
        <v/>
      </c>
      <c r="F36" s="18">
        <f>IFERROR(INDEX(balance_sheet!$B:$I,MATCH("Nợ phải trả dài hạn",balance_sheet!$A:$A,0),MATCH(F$31,balance_sheet!$B$1:$I$1,0)),"")</f>
        <v/>
      </c>
      <c r="G36" s="18">
        <f>IFERROR(INDEX(balance_sheet!$B:$I,MATCH("Nợ phải trả dài hạn",balance_sheet!$A:$A,0),MATCH(G$31,balance_sheet!$B$1:$I$1,0)),"")</f>
        <v/>
      </c>
      <c r="H36" s="18">
        <f>IFERROR(INDEX(balance_sheet!$B:$I,MATCH("Nợ phải trả dài hạn",balance_sheet!$A:$A,0),MATCH(H$31,balance_sheet!$B$1:$I$1,0)),"")</f>
        <v/>
      </c>
      <c r="I36" s="18">
        <f>IFERROR(INDEX(balance_sheet!$B:$I,MATCH("Nợ phải trả dài hạn",balance_sheet!$A:$A,0),MATCH(I$31,balance_sheet!$B$1:$I$1,0)),"")</f>
        <v/>
      </c>
    </row>
    <row r="37">
      <c r="A37" s="3" t="inlineStr">
        <is>
          <t>Vay ngắn hạn</t>
        </is>
      </c>
      <c r="B37" s="18">
        <f>IFERROR(INDEX(balance_sheet!$B:$I,MATCH("Vay ngắn hạn",balance_sheet!$A:$A,0),MATCH(B$31,balance_sheet!$B$1:$I$1,0)),"")</f>
        <v/>
      </c>
      <c r="C37" s="18">
        <f>IFERROR(INDEX(balance_sheet!$B:$I,MATCH("Vay ngắn hạn",balance_sheet!$A:$A,0),MATCH(C$31,balance_sheet!$B$1:$I$1,0)),"")</f>
        <v/>
      </c>
      <c r="D37" s="18">
        <f>IFERROR(INDEX(balance_sheet!$B:$I,MATCH("Vay ngắn hạn",balance_sheet!$A:$A,0),MATCH(D$31,balance_sheet!$B$1:$I$1,0)),"")</f>
        <v/>
      </c>
      <c r="E37" s="18">
        <f>IFERROR(INDEX(balance_sheet!$B:$I,MATCH("Vay ngắn hạn",balance_sheet!$A:$A,0),MATCH(E$31,balance_sheet!$B$1:$I$1,0)),"")</f>
        <v/>
      </c>
      <c r="F37" s="18">
        <f>IFERROR(INDEX(balance_sheet!$B:$I,MATCH("Vay ngắn hạn",balance_sheet!$A:$A,0),MATCH(F$31,balance_sheet!$B$1:$I$1,0)),"")</f>
        <v/>
      </c>
      <c r="G37" s="18">
        <f>IFERROR(INDEX(balance_sheet!$B:$I,MATCH("Vay ngắn hạn",balance_sheet!$A:$A,0),MATCH(G$31,balance_sheet!$B$1:$I$1,0)),"")</f>
        <v/>
      </c>
      <c r="H37" s="18">
        <f>IFERROR(INDEX(balance_sheet!$B:$I,MATCH("Vay ngắn hạn",balance_sheet!$A:$A,0),MATCH(H$31,balance_sheet!$B$1:$I$1,0)),"")</f>
        <v/>
      </c>
      <c r="I37" s="18">
        <f>IFERROR(INDEX(balance_sheet!$B:$I,MATCH("Vay ngắn hạn",balance_sheet!$A:$A,0),MATCH(I$31,balance_sheet!$B$1:$I$1,0)),"")</f>
        <v/>
      </c>
    </row>
    <row r="38">
      <c r="A38" s="3" t="inlineStr">
        <is>
          <t>Vay dài hạn</t>
        </is>
      </c>
      <c r="B38" s="18">
        <f>IFERROR(INDEX(balance_sheet!$B:$I,MATCH("Vay dài hạn",balance_sheet!$A:$A,0),MATCH(B$31,balance_sheet!$B$1:$I$1,0)),"")</f>
        <v/>
      </c>
      <c r="C38" s="18">
        <f>IFERROR(INDEX(balance_sheet!$B:$I,MATCH("Vay dài hạn",balance_sheet!$A:$A,0),MATCH(C$31,balance_sheet!$B$1:$I$1,0)),"")</f>
        <v/>
      </c>
      <c r="D38" s="18">
        <f>IFERROR(INDEX(balance_sheet!$B:$I,MATCH("Vay dài hạn",balance_sheet!$A:$A,0),MATCH(D$31,balance_sheet!$B$1:$I$1,0)),"")</f>
        <v/>
      </c>
      <c r="E38" s="18">
        <f>IFERROR(INDEX(balance_sheet!$B:$I,MATCH("Vay dài hạn",balance_sheet!$A:$A,0),MATCH(E$31,balance_sheet!$B$1:$I$1,0)),"")</f>
        <v/>
      </c>
      <c r="F38" s="18">
        <f>IFERROR(INDEX(balance_sheet!$B:$I,MATCH("Vay dài hạn",balance_sheet!$A:$A,0),MATCH(F$31,balance_sheet!$B$1:$I$1,0)),"")</f>
        <v/>
      </c>
      <c r="G38" s="18">
        <f>IFERROR(INDEX(balance_sheet!$B:$I,MATCH("Vay dài hạn",balance_sheet!$A:$A,0),MATCH(G$31,balance_sheet!$B$1:$I$1,0)),"")</f>
        <v/>
      </c>
      <c r="H38" s="18">
        <f>IFERROR(INDEX(balance_sheet!$B:$I,MATCH("Vay dài hạn",balance_sheet!$A:$A,0),MATCH(H$31,balance_sheet!$B$1:$I$1,0)),"")</f>
        <v/>
      </c>
      <c r="I38" s="18">
        <f>IFERROR(INDEX(balance_sheet!$B:$I,MATCH("Vay dài hạn",balance_sheet!$A:$A,0),MATCH(I$31,balance_sheet!$B$1:$I$1,0)),"")</f>
        <v/>
      </c>
    </row>
    <row r="39">
      <c r="A39" s="3" t="inlineStr">
        <is>
          <t>Doanh thu thuần về hoạt động kinh doanh</t>
        </is>
      </c>
      <c r="B39" s="18">
        <f>IFERROR(INDEX(income_statement!$B:$I,MATCH("Doanh thu thuần về hoạt động kinh doanh",income_statement!$A:$A,0),MATCH(B$31,income_statement!$B$1:$I$1,0)),"")</f>
        <v/>
      </c>
      <c r="C39" s="18">
        <f>IFERROR(INDEX(income_statement!$B:$I,MATCH("Doanh thu thuần về hoạt động kinh doanh",income_statement!$A:$A,0),MATCH(C$31,income_statement!$B$1:$I$1,0)),"")</f>
        <v/>
      </c>
      <c r="D39" s="18">
        <f>IFERROR(INDEX(income_statement!$B:$I,MATCH("Doanh thu thuần về hoạt động kinh doanh",income_statement!$A:$A,0),MATCH(D$31,income_statement!$B$1:$I$1,0)),"")</f>
        <v/>
      </c>
      <c r="E39" s="18">
        <f>IFERROR(INDEX(income_statement!$B:$I,MATCH("Doanh thu thuần về hoạt động kinh doanh",income_statement!$A:$A,0),MATCH(E$31,income_statement!$B$1:$I$1,0)),"")</f>
        <v/>
      </c>
      <c r="F39" s="18">
        <f>IFERROR(INDEX(income_statement!$B:$I,MATCH("Doanh thu thuần về hoạt động kinh doanh",income_statement!$A:$A,0),MATCH(F$31,income_statement!$B$1:$I$1,0)),"")</f>
        <v/>
      </c>
      <c r="G39" s="18">
        <f>IFERROR(INDEX(income_statement!$B:$I,MATCH("Doanh thu thuần về hoạt động kinh doanh",income_statement!$A:$A,0),MATCH(G$31,income_statement!$B$1:$I$1,0)),"")</f>
        <v/>
      </c>
      <c r="H39" s="18">
        <f>IFERROR(INDEX(income_statement!$B:$I,MATCH("Doanh thu thuần về hoạt động kinh doanh",income_statement!$A:$A,0),MATCH(H$31,income_statement!$B$1:$I$1,0)),"")</f>
        <v/>
      </c>
      <c r="I39" s="18">
        <f>IFERROR(INDEX(income_statement!$B:$I,MATCH("Doanh thu thuần về hoạt động kinh doanh",income_statement!$A:$A,0),MATCH(I$31,income_statement!$B$1:$I$1,0)),"")</f>
        <v/>
      </c>
    </row>
    <row r="40">
      <c r="A40" s="3" t="inlineStr">
        <is>
          <t>CHI PHÍ HOẠT ĐỘNG</t>
        </is>
      </c>
      <c r="B40" s="18">
        <f>IFERROR(INDEX(income_statement!$B:$I,MATCH("CHI PHÍ HOẠT ĐỘNG",income_statement!$A:$A,0),MATCH(B$31,income_statement!$B$1:$I$1,0)),"")</f>
        <v/>
      </c>
      <c r="C40" s="18">
        <f>IFERROR(INDEX(income_statement!$B:$I,MATCH("CHI PHÍ HOẠT ĐỘNG",income_statement!$A:$A,0),MATCH(C$31,income_statement!$B$1:$I$1,0)),"")</f>
        <v/>
      </c>
      <c r="D40" s="18">
        <f>IFERROR(INDEX(income_statement!$B:$I,MATCH("CHI PHÍ HOẠT ĐỘNG",income_statement!$A:$A,0),MATCH(D$31,income_statement!$B$1:$I$1,0)),"")</f>
        <v/>
      </c>
      <c r="E40" s="18">
        <f>IFERROR(INDEX(income_statement!$B:$I,MATCH("CHI PHÍ HOẠT ĐỘNG",income_statement!$A:$A,0),MATCH(E$31,income_statement!$B$1:$I$1,0)),"")</f>
        <v/>
      </c>
      <c r="F40" s="18">
        <f>IFERROR(INDEX(income_statement!$B:$I,MATCH("CHI PHÍ HOẠT ĐỘNG",income_statement!$A:$A,0),MATCH(F$31,income_statement!$B$1:$I$1,0)),"")</f>
        <v/>
      </c>
      <c r="G40" s="18">
        <f>IFERROR(INDEX(income_statement!$B:$I,MATCH("CHI PHÍ HOẠT ĐỘNG",income_statement!$A:$A,0),MATCH(G$31,income_statement!$B$1:$I$1,0)),"")</f>
        <v/>
      </c>
      <c r="H40" s="18">
        <f>IFERROR(INDEX(income_statement!$B:$I,MATCH("CHI PHÍ HOẠT ĐỘNG",income_statement!$A:$A,0),MATCH(H$31,income_statement!$B$1:$I$1,0)),"")</f>
        <v/>
      </c>
      <c r="I40" s="18">
        <f>IFERROR(INDEX(income_statement!$B:$I,MATCH("CHI PHÍ HOẠT ĐỘNG",income_statement!$A:$A,0),MATCH(I$31,income_statement!$B$1:$I$1,0)),"")</f>
        <v/>
      </c>
    </row>
    <row r="41">
      <c r="A41" s="3" t="inlineStr">
        <is>
          <t>LỢI NHUẬN GỘP</t>
        </is>
      </c>
      <c r="B41" s="18">
        <f>IFERROR(INDEX(income_statement!$B:$I,MATCH("LỢI NHUẬN GỘP",income_statement!$A:$A,0),MATCH(B$31,income_statement!$B$1:$I$1,0)),"")</f>
        <v/>
      </c>
      <c r="C41" s="18">
        <f>IFERROR(INDEX(income_statement!$B:$I,MATCH("LỢI NHUẬN GỘP",income_statement!$A:$A,0),MATCH(C$31,income_statement!$B$1:$I$1,0)),"")</f>
        <v/>
      </c>
      <c r="D41" s="18">
        <f>IFERROR(INDEX(income_statement!$B:$I,MATCH("LỢI NHUẬN GỘP",income_statement!$A:$A,0),MATCH(D$31,income_statement!$B$1:$I$1,0)),"")</f>
        <v/>
      </c>
      <c r="E41" s="18">
        <f>IFERROR(INDEX(income_statement!$B:$I,MATCH("LỢI NHUẬN GỘP",income_statement!$A:$A,0),MATCH(E$31,income_statement!$B$1:$I$1,0)),"")</f>
        <v/>
      </c>
      <c r="F41" s="18">
        <f>IFERROR(INDEX(income_statement!$B:$I,MATCH("LỢI NHUẬN GỘP",income_statement!$A:$A,0),MATCH(F$31,income_statement!$B$1:$I$1,0)),"")</f>
        <v/>
      </c>
      <c r="G41" s="18">
        <f>IFERROR(INDEX(income_statement!$B:$I,MATCH("LỢI NHUẬN GỘP",income_statement!$A:$A,0),MATCH(G$31,income_statement!$B$1:$I$1,0)),"")</f>
        <v/>
      </c>
      <c r="H41" s="18">
        <f>IFERROR(INDEX(income_statement!$B:$I,MATCH("LỢI NHUẬN GỘP",income_statement!$A:$A,0),MATCH(H$31,income_statement!$B$1:$I$1,0)),"")</f>
        <v/>
      </c>
      <c r="I41" s="18">
        <f>IFERROR(INDEX(income_statement!$B:$I,MATCH("LỢI NHUẬN GỘP",income_statement!$A:$A,0),MATCH(I$31,income_statement!$B$1:$I$1,0)),"")</f>
        <v/>
      </c>
    </row>
    <row r="42">
      <c r="A42" s="3" t="inlineStr">
        <is>
          <t>CHI PHÍ BÁN HÀNG</t>
        </is>
      </c>
      <c r="B42" s="18">
        <f>IFERROR(INDEX(income_statement!$B:$I,MATCH("CHI PHÍ BÁN HÀNG",income_statement!$A:$A,0),MATCH(B$31,income_statement!$B$1:$I$1,0)),"")</f>
        <v/>
      </c>
      <c r="C42" s="18">
        <f>IFERROR(INDEX(income_statement!$B:$I,MATCH("CHI PHÍ BÁN HÀNG",income_statement!$A:$A,0),MATCH(C$31,income_statement!$B$1:$I$1,0)),"")</f>
        <v/>
      </c>
      <c r="D42" s="18">
        <f>IFERROR(INDEX(income_statement!$B:$I,MATCH("CHI PHÍ BÁN HÀNG",income_statement!$A:$A,0),MATCH(D$31,income_statement!$B$1:$I$1,0)),"")</f>
        <v/>
      </c>
      <c r="E42" s="18">
        <f>IFERROR(INDEX(income_statement!$B:$I,MATCH("CHI PHÍ BÁN HÀNG",income_statement!$A:$A,0),MATCH(E$31,income_statement!$B$1:$I$1,0)),"")</f>
        <v/>
      </c>
      <c r="F42" s="18">
        <f>IFERROR(INDEX(income_statement!$B:$I,MATCH("CHI PHÍ BÁN HÀNG",income_statement!$A:$A,0),MATCH(F$31,income_statement!$B$1:$I$1,0)),"")</f>
        <v/>
      </c>
      <c r="G42" s="18">
        <f>IFERROR(INDEX(income_statement!$B:$I,MATCH("CHI PHÍ BÁN HÀNG",income_statement!$A:$A,0),MATCH(G$31,income_statement!$B$1:$I$1,0)),"")</f>
        <v/>
      </c>
      <c r="H42" s="18">
        <f>IFERROR(INDEX(income_statement!$B:$I,MATCH("CHI PHÍ BÁN HÀNG",income_statement!$A:$A,0),MATCH(H$31,income_statement!$B$1:$I$1,0)),"")</f>
        <v/>
      </c>
      <c r="I42" s="18">
        <f>IFERROR(INDEX(income_statement!$B:$I,MATCH("CHI PHÍ BÁN HÀNG",income_statement!$A:$A,0),MATCH(I$31,income_statement!$B$1:$I$1,0)),"")</f>
        <v/>
      </c>
    </row>
    <row r="43">
      <c r="A43" s="3" t="inlineStr">
        <is>
          <t>CHI PHÍ QUẢN LÝ CÔNG TY CHỨNG KHOÁN</t>
        </is>
      </c>
      <c r="B43" s="18">
        <f>IFERROR(INDEX(income_statement!$B:$I,MATCH("CHI PHÍ QUẢN LÝ CÔNG TY CHỨNG KHOÁN",income_statement!$A:$A,0),MATCH(B$31,income_statement!$B$1:$I$1,0)),"")</f>
        <v/>
      </c>
      <c r="C43" s="18">
        <f>IFERROR(INDEX(income_statement!$B:$I,MATCH("CHI PHÍ QUẢN LÝ CÔNG TY CHỨNG KHOÁN",income_statement!$A:$A,0),MATCH(C$31,income_statement!$B$1:$I$1,0)),"")</f>
        <v/>
      </c>
      <c r="D43" s="18">
        <f>IFERROR(INDEX(income_statement!$B:$I,MATCH("CHI PHÍ QUẢN LÝ CÔNG TY CHỨNG KHOÁN",income_statement!$A:$A,0),MATCH(D$31,income_statement!$B$1:$I$1,0)),"")</f>
        <v/>
      </c>
      <c r="E43" s="18">
        <f>IFERROR(INDEX(income_statement!$B:$I,MATCH("CHI PHÍ QUẢN LÝ CÔNG TY CHỨNG KHOÁN",income_statement!$A:$A,0),MATCH(E$31,income_statement!$B$1:$I$1,0)),"")</f>
        <v/>
      </c>
      <c r="F43" s="18">
        <f>IFERROR(INDEX(income_statement!$B:$I,MATCH("CHI PHÍ QUẢN LÝ CÔNG TY CHỨNG KHOÁN",income_statement!$A:$A,0),MATCH(F$31,income_statement!$B$1:$I$1,0)),"")</f>
        <v/>
      </c>
      <c r="G43" s="18">
        <f>IFERROR(INDEX(income_statement!$B:$I,MATCH("CHI PHÍ QUẢN LÝ CÔNG TY CHỨNG KHOÁN",income_statement!$A:$A,0),MATCH(G$31,income_statement!$B$1:$I$1,0)),"")</f>
        <v/>
      </c>
      <c r="H43" s="18">
        <f>IFERROR(INDEX(income_statement!$B:$I,MATCH("CHI PHÍ QUẢN LÝ CÔNG TY CHỨNG KHOÁN",income_statement!$A:$A,0),MATCH(H$31,income_statement!$B$1:$I$1,0)),"")</f>
        <v/>
      </c>
      <c r="I43" s="18">
        <f>IFERROR(INDEX(income_statement!$B:$I,MATCH("CHI PHÍ QUẢN LÝ CÔNG TY CHỨNG KHOÁN",income_statement!$A:$A,0),MATCH(I$31,income_statement!$B$1:$I$1,0)),"")</f>
        <v/>
      </c>
    </row>
    <row r="44">
      <c r="A44" s="3" t="inlineStr">
        <is>
          <t>KẾT QUẢ HOẠT ĐỘNG</t>
        </is>
      </c>
      <c r="B44" s="18">
        <f>IFERROR(INDEX(income_statement!$B:$I,MATCH("KẾT QUẢ HOẠT ĐỘNG",income_statement!$A:$A,0),MATCH(B$31,income_statement!$B$1:$I$1,0)),"")</f>
        <v/>
      </c>
      <c r="C44" s="18">
        <f>IFERROR(INDEX(income_statement!$B:$I,MATCH("KẾT QUẢ HOẠT ĐỘNG",income_statement!$A:$A,0),MATCH(C$31,income_statement!$B$1:$I$1,0)),"")</f>
        <v/>
      </c>
      <c r="D44" s="18">
        <f>IFERROR(INDEX(income_statement!$B:$I,MATCH("KẾT QUẢ HOẠT ĐỘNG",income_statement!$A:$A,0),MATCH(D$31,income_statement!$B$1:$I$1,0)),"")</f>
        <v/>
      </c>
      <c r="E44" s="18">
        <f>IFERROR(INDEX(income_statement!$B:$I,MATCH("KẾT QUẢ HOẠT ĐỘNG",income_statement!$A:$A,0),MATCH(E$31,income_statement!$B$1:$I$1,0)),"")</f>
        <v/>
      </c>
      <c r="F44" s="18">
        <f>IFERROR(INDEX(income_statement!$B:$I,MATCH("KẾT QUẢ HOẠT ĐỘNG",income_statement!$A:$A,0),MATCH(F$31,income_statement!$B$1:$I$1,0)),"")</f>
        <v/>
      </c>
      <c r="G44" s="18">
        <f>IFERROR(INDEX(income_statement!$B:$I,MATCH("KẾT QUẢ HOẠT ĐỘNG",income_statement!$A:$A,0),MATCH(G$31,income_statement!$B$1:$I$1,0)),"")</f>
        <v/>
      </c>
      <c r="H44" s="18">
        <f>IFERROR(INDEX(income_statement!$B:$I,MATCH("KẾT QUẢ HOẠT ĐỘNG",income_statement!$A:$A,0),MATCH(H$31,income_statement!$B$1:$I$1,0)),"")</f>
        <v/>
      </c>
      <c r="I44" s="18">
        <f>IFERROR(INDEX(income_statement!$B:$I,MATCH("KẾT QUẢ HOẠT ĐỘNG",income_statement!$A:$A,0),MATCH(I$31,income_statement!$B$1:$I$1,0)),"")</f>
        <v/>
      </c>
    </row>
    <row r="45">
      <c r="A45" s="3" t="inlineStr">
        <is>
          <t>Chi phí lãi vay</t>
        </is>
      </c>
      <c r="B45" s="18">
        <f>IFERROR(INDEX(income_statement!$B:$I,MATCH("Chi phí lãi vay",income_statement!$A:$A,0),MATCH(B$31,income_statement!$B$1:$I$1,0)),"")</f>
        <v/>
      </c>
      <c r="C45" s="18">
        <f>IFERROR(INDEX(income_statement!$B:$I,MATCH("Chi phí lãi vay",income_statement!$A:$A,0),MATCH(C$31,income_statement!$B$1:$I$1,0)),"")</f>
        <v/>
      </c>
      <c r="D45" s="18">
        <f>IFERROR(INDEX(income_statement!$B:$I,MATCH("Chi phí lãi vay",income_statement!$A:$A,0),MATCH(D$31,income_statement!$B$1:$I$1,0)),"")</f>
        <v/>
      </c>
      <c r="E45" s="18">
        <f>IFERROR(INDEX(income_statement!$B:$I,MATCH("Chi phí lãi vay",income_statement!$A:$A,0),MATCH(E$31,income_statement!$B$1:$I$1,0)),"")</f>
        <v/>
      </c>
      <c r="F45" s="18">
        <f>IFERROR(INDEX(income_statement!$B:$I,MATCH("Chi phí lãi vay",income_statement!$A:$A,0),MATCH(F$31,income_statement!$B$1:$I$1,0)),"")</f>
        <v/>
      </c>
      <c r="G45" s="18">
        <f>IFERROR(INDEX(income_statement!$B:$I,MATCH("Chi phí lãi vay",income_statement!$A:$A,0),MATCH(G$31,income_statement!$B$1:$I$1,0)),"")</f>
        <v/>
      </c>
      <c r="H45" s="18">
        <f>IFERROR(INDEX(income_statement!$B:$I,MATCH("Chi phí lãi vay",income_statement!$A:$A,0),MATCH(H$31,income_statement!$B$1:$I$1,0)),"")</f>
        <v/>
      </c>
      <c r="I45" s="18">
        <f>IFERROR(INDEX(income_statement!$B:$I,MATCH("Chi phí lãi vay",income_statement!$A:$A,0),MATCH(I$31,income_statement!$B$1:$I$1,0)),"")</f>
        <v/>
      </c>
    </row>
    <row r="46">
      <c r="A46" s="3" t="inlineStr">
        <is>
          <t>LỢI NHUẬN KẾ TOÁN SAU THUẾ</t>
        </is>
      </c>
      <c r="B46" s="18">
        <f>IFERROR(INDEX(income_statement!$B:$I,MATCH("LỢI NHUẬN KẾ TOÁN SAU THUẾ",income_statement!$A:$A,0),MATCH(B$31,income_statement!$B$1:$I$1,0)),"")</f>
        <v/>
      </c>
      <c r="C46" s="18">
        <f>IFERROR(INDEX(income_statement!$B:$I,MATCH("LỢI NHUẬN KẾ TOÁN SAU THUẾ",income_statement!$A:$A,0),MATCH(C$31,income_statement!$B$1:$I$1,0)),"")</f>
        <v/>
      </c>
      <c r="D46" s="18">
        <f>IFERROR(INDEX(income_statement!$B:$I,MATCH("LỢI NHUẬN KẾ TOÁN SAU THUẾ",income_statement!$A:$A,0),MATCH(D$31,income_statement!$B$1:$I$1,0)),"")</f>
        <v/>
      </c>
      <c r="E46" s="18">
        <f>IFERROR(INDEX(income_statement!$B:$I,MATCH("LỢI NHUẬN KẾ TOÁN SAU THUẾ",income_statement!$A:$A,0),MATCH(E$31,income_statement!$B$1:$I$1,0)),"")</f>
        <v/>
      </c>
      <c r="F46" s="18">
        <f>IFERROR(INDEX(income_statement!$B:$I,MATCH("LỢI NHUẬN KẾ TOÁN SAU THUẾ",income_statement!$A:$A,0),MATCH(F$31,income_statement!$B$1:$I$1,0)),"")</f>
        <v/>
      </c>
      <c r="G46" s="18">
        <f>IFERROR(INDEX(income_statement!$B:$I,MATCH("LỢI NHUẬN KẾ TOÁN SAU THUẾ",income_statement!$A:$A,0),MATCH(G$31,income_statement!$B$1:$I$1,0)),"")</f>
        <v/>
      </c>
      <c r="H46" s="18">
        <f>IFERROR(INDEX(income_statement!$B:$I,MATCH("LỢI NHUẬN KẾ TOÁN SAU THUẾ",income_statement!$A:$A,0),MATCH(H$31,income_statement!$B$1:$I$1,0)),"")</f>
        <v/>
      </c>
      <c r="I46" s="18">
        <f>IFERROR(INDEX(income_statement!$B:$I,MATCH("LỢI NHUẬN KẾ TOÁN SAU THUẾ",income_statement!$A:$A,0),MATCH(I$31,income_statement!$B$1:$I$1,0)),"")</f>
        <v/>
      </c>
    </row>
    <row r="47">
      <c r="A47" s="3" t="inlineStr">
        <is>
          <t>Lợi nhuận sau thuế phân bổ cho chủ sở hữu</t>
        </is>
      </c>
      <c r="B47" s="18">
        <f>IFERROR(INDEX(income_statement!$B:$I,MATCH("Lợi nhuận sau thuế phân bổ cho chủ sở hữu",income_statement!$A:$A,0),MATCH(B$31,income_statement!$B$1:$I$1,0)),"")</f>
        <v/>
      </c>
      <c r="C47" s="18">
        <f>IFERROR(INDEX(income_statement!$B:$I,MATCH("Lợi nhuận sau thuế phân bổ cho chủ sở hữu",income_statement!$A:$A,0),MATCH(C$31,income_statement!$B$1:$I$1,0)),"")</f>
        <v/>
      </c>
      <c r="D47" s="18">
        <f>IFERROR(INDEX(income_statement!$B:$I,MATCH("Lợi nhuận sau thuế phân bổ cho chủ sở hữu",income_statement!$A:$A,0),MATCH(D$31,income_statement!$B$1:$I$1,0)),"")</f>
        <v/>
      </c>
      <c r="E47" s="18">
        <f>IFERROR(INDEX(income_statement!$B:$I,MATCH("Lợi nhuận sau thuế phân bổ cho chủ sở hữu",income_statement!$A:$A,0),MATCH(E$31,income_statement!$B$1:$I$1,0)),"")</f>
        <v/>
      </c>
      <c r="F47" s="18">
        <f>IFERROR(INDEX(income_statement!$B:$I,MATCH("Lợi nhuận sau thuế phân bổ cho chủ sở hữu",income_statement!$A:$A,0),MATCH(F$31,income_statement!$B$1:$I$1,0)),"")</f>
        <v/>
      </c>
      <c r="G47" s="18">
        <f>IFERROR(INDEX(income_statement!$B:$I,MATCH("Lợi nhuận sau thuế phân bổ cho chủ sở hữu",income_statement!$A:$A,0),MATCH(G$31,income_statement!$B$1:$I$1,0)),"")</f>
        <v/>
      </c>
      <c r="H47" s="18">
        <f>IFERROR(INDEX(income_statement!$B:$I,MATCH("Lợi nhuận sau thuế phân bổ cho chủ sở hữu",income_statement!$A:$A,0),MATCH(H$31,income_statement!$B$1:$I$1,0)),"")</f>
        <v/>
      </c>
      <c r="I47" s="18">
        <f>IFERROR(INDEX(income_statement!$B:$I,MATCH("Lợi nhuận sau thuế phân bổ cho chủ sở hữu",income_statement!$A:$A,0),MATCH(I$31,income_statement!$B$1:$I$1,0)),"")</f>
        <v/>
      </c>
    </row>
    <row r="48">
      <c r="A48" s="3" t="inlineStr">
        <is>
          <t>Phải thu khách hàng</t>
        </is>
      </c>
      <c r="B48" s="14" t="inlineStr">
        <is>
          <t>n/a</t>
        </is>
      </c>
      <c r="C48" s="14" t="inlineStr">
        <is>
          <t>n/a</t>
        </is>
      </c>
      <c r="D48" s="14" t="inlineStr">
        <is>
          <t>n/a</t>
        </is>
      </c>
      <c r="E48" s="14" t="inlineStr">
        <is>
          <t>n/a</t>
        </is>
      </c>
      <c r="F48" s="14" t="inlineStr">
        <is>
          <t>n/a</t>
        </is>
      </c>
      <c r="G48" s="14" t="inlineStr">
        <is>
          <t>n/a</t>
        </is>
      </c>
      <c r="H48" s="14" t="inlineStr">
        <is>
          <t>n/a</t>
        </is>
      </c>
      <c r="I48" s="14" t="inlineStr">
        <is>
          <t>n/a</t>
        </is>
      </c>
    </row>
    <row r="49">
      <c r="A49" s="3" t="inlineStr">
        <is>
          <t>Phải trả người bán ngắn hạn</t>
        </is>
      </c>
      <c r="B49" s="18">
        <f>IFERROR(INDEX(balance_sheet!$B:$I,MATCH("Phải trả người bán ngắn hạn",balance_sheet!$A:$A,0),MATCH(B$31,balance_sheet!$B$1:$I$1,0)),"")</f>
        <v/>
      </c>
      <c r="C49" s="18">
        <f>IFERROR(INDEX(balance_sheet!$B:$I,MATCH("Phải trả người bán ngắn hạn",balance_sheet!$A:$A,0),MATCH(C$31,balance_sheet!$B$1:$I$1,0)),"")</f>
        <v/>
      </c>
      <c r="D49" s="18">
        <f>IFERROR(INDEX(balance_sheet!$B:$I,MATCH("Phải trả người bán ngắn hạn",balance_sheet!$A:$A,0),MATCH(D$31,balance_sheet!$B$1:$I$1,0)),"")</f>
        <v/>
      </c>
      <c r="E49" s="18">
        <f>IFERROR(INDEX(balance_sheet!$B:$I,MATCH("Phải trả người bán ngắn hạn",balance_sheet!$A:$A,0),MATCH(E$31,balance_sheet!$B$1:$I$1,0)),"")</f>
        <v/>
      </c>
      <c r="F49" s="18">
        <f>IFERROR(INDEX(balance_sheet!$B:$I,MATCH("Phải trả người bán ngắn hạn",balance_sheet!$A:$A,0),MATCH(F$31,balance_sheet!$B$1:$I$1,0)),"")</f>
        <v/>
      </c>
      <c r="G49" s="18">
        <f>IFERROR(INDEX(balance_sheet!$B:$I,MATCH("Phải trả người bán ngắn hạn",balance_sheet!$A:$A,0),MATCH(G$31,balance_sheet!$B$1:$I$1,0)),"")</f>
        <v/>
      </c>
      <c r="H49" s="18">
        <f>IFERROR(INDEX(balance_sheet!$B:$I,MATCH("Phải trả người bán ngắn hạn",balance_sheet!$A:$A,0),MATCH(H$31,balance_sheet!$B$1:$I$1,0)),"")</f>
        <v/>
      </c>
      <c r="I49" s="18">
        <f>IFERROR(INDEX(balance_sheet!$B:$I,MATCH("Phải trả người bán ngắn hạn",balance_sheet!$A:$A,0),MATCH(I$31,balance_sheet!$B$1:$I$1,0)),"")</f>
        <v/>
      </c>
    </row>
    <row r="50">
      <c r="A50" s="3" t="inlineStr">
        <is>
          <t>Hàng tồn kho, ròng</t>
        </is>
      </c>
      <c r="B50" s="14" t="inlineStr">
        <is>
          <t>n/a</t>
        </is>
      </c>
      <c r="C50" s="14" t="inlineStr">
        <is>
          <t>n/a</t>
        </is>
      </c>
      <c r="D50" s="14" t="inlineStr">
        <is>
          <t>n/a</t>
        </is>
      </c>
      <c r="E50" s="14" t="inlineStr">
        <is>
          <t>n/a</t>
        </is>
      </c>
      <c r="F50" s="14" t="inlineStr">
        <is>
          <t>n/a</t>
        </is>
      </c>
      <c r="G50" s="14" t="inlineStr">
        <is>
          <t>n/a</t>
        </is>
      </c>
      <c r="H50" s="14" t="inlineStr">
        <is>
          <t>n/a</t>
        </is>
      </c>
      <c r="I50" s="14" t="inlineStr">
        <is>
          <t>n/a</t>
        </is>
      </c>
    </row>
    <row r="51">
      <c r="A51" s="3" t="inlineStr">
        <is>
          <t>Tiền và tương đương tiền</t>
        </is>
      </c>
      <c r="B51" s="18">
        <f>IFERROR(INDEX(balance_sheet!$B:$I,MATCH("Tiền và tương đương tiền",balance_sheet!$A:$A,0),MATCH(B$31,balance_sheet!$B$1:$I$1,0)),"")</f>
        <v/>
      </c>
      <c r="C51" s="18">
        <f>IFERROR(INDEX(balance_sheet!$B:$I,MATCH("Tiền và tương đương tiền",balance_sheet!$A:$A,0),MATCH(C$31,balance_sheet!$B$1:$I$1,0)),"")</f>
        <v/>
      </c>
      <c r="D51" s="18">
        <f>IFERROR(INDEX(balance_sheet!$B:$I,MATCH("Tiền và tương đương tiền",balance_sheet!$A:$A,0),MATCH(D$31,balance_sheet!$B$1:$I$1,0)),"")</f>
        <v/>
      </c>
      <c r="E51" s="18">
        <f>IFERROR(INDEX(balance_sheet!$B:$I,MATCH("Tiền và tương đương tiền",balance_sheet!$A:$A,0),MATCH(E$31,balance_sheet!$B$1:$I$1,0)),"")</f>
        <v/>
      </c>
      <c r="F51" s="18">
        <f>IFERROR(INDEX(balance_sheet!$B:$I,MATCH("Tiền và tương đương tiền",balance_sheet!$A:$A,0),MATCH(F$31,balance_sheet!$B$1:$I$1,0)),"")</f>
        <v/>
      </c>
      <c r="G51" s="18">
        <f>IFERROR(INDEX(balance_sheet!$B:$I,MATCH("Tiền và tương đương tiền",balance_sheet!$A:$A,0),MATCH(G$31,balance_sheet!$B$1:$I$1,0)),"")</f>
        <v/>
      </c>
      <c r="H51" s="18">
        <f>IFERROR(INDEX(balance_sheet!$B:$I,MATCH("Tiền và tương đương tiền",balance_sheet!$A:$A,0),MATCH(H$31,balance_sheet!$B$1:$I$1,0)),"")</f>
        <v/>
      </c>
      <c r="I51" s="18">
        <f>IFERROR(INDEX(balance_sheet!$B:$I,MATCH("Tiền và tương đương tiền",balance_sheet!$A:$A,0),MATCH(I$31,balance_sheet!$B$1:$I$1,0)),"")</f>
        <v/>
      </c>
    </row>
  </sheetData>
  <mergeCells count="1">
    <mergeCell ref="A1:I1"/>
  </mergeCells>
  <conditionalFormatting sqref="B5:I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6:I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7:I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8:I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10:I1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B11:I1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B13:I13">
    <cfRule type="cellIs" priority="13" operator="greaterThan" dxfId="1">
      <formula>1</formula>
    </cfRule>
    <cfRule type="cellIs" priority="14" operator="lessThan" dxfId="0">
      <formula>0.3</formula>
    </cfRule>
  </conditionalFormatting>
  <conditionalFormatting sqref="B16:I16">
    <cfRule type="cellIs" priority="15" operator="greaterThan" dxfId="1">
      <formula>1</formula>
    </cfRule>
    <cfRule type="cellIs" priority="16" operator="lessThan" dxfId="0">
      <formula>0.3</formula>
    </cfRule>
  </conditionalFormatting>
  <conditionalFormatting sqref="B21:I21">
    <cfRule type="cellIs" priority="17" operator="greaterThan" dxfId="1">
      <formula>0.5</formula>
    </cfRule>
    <cfRule type="cellIs" priority="18" operator="lessThan" dxfId="0">
      <formula>0.15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2026-08-20T08:16:30Z</dcterms:created>
  <dcterms:modified xmlns:dcterms="http://purl.org/dc/terms/" xmlns:xsi="http://www.w3.org/2001/XMLSchema-instance" xsi:type="dcterms:W3CDTF">2026-08-20T08:29:27Z</dcterms:modified>
</cp:coreProperties>
</file>
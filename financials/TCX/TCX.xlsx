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&quot;-&quot;"/>
    <numFmt numFmtId="167" formatCode="#,##0;\(#,##0\);\-"/>
    <numFmt numFmtId="168" formatCode="_(* #,##0_);_(* \(#,##0\);_(* &quot;-&quot;??_);_(@_)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1"/>
    </font>
    <font>
      <name val="Tahoma"/>
      <family val="2"/>
      <b val="1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Calibri"/>
      <family val="2"/>
      <b val="1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0" fontId="0" fillId="4" borderId="3" pivotButton="0" quotePrefix="0" xfId="0"/>
    <xf numFmtId="0" fontId="0" fillId="0" borderId="3" pivotButton="0" quotePrefix="0" xfId="0"/>
    <xf numFmtId="10" fontId="6" fillId="3" borderId="3" pivotButton="0" quotePrefix="0" xfId="0"/>
    <xf numFmtId="10" fontId="0" fillId="5" borderId="3" pivotButton="0" quotePrefix="0" xfId="0"/>
    <xf numFmtId="0" fontId="7" fillId="3" borderId="3" pivotButton="0" quotePrefix="0" xfId="0"/>
    <xf numFmtId="10" fontId="0" fillId="6" borderId="3" pivotButton="0" quotePrefix="0" xfId="0"/>
    <xf numFmtId="165" fontId="6" fillId="3" borderId="3" pivotButton="0" quotePrefix="0" xfId="0"/>
    <xf numFmtId="0" fontId="8" fillId="3" borderId="3" pivotButton="0" quotePrefix="0" xfId="0"/>
    <xf numFmtId="3" fontId="6" fillId="3" borderId="3" pivotButton="0" quotePrefix="0" xfId="0"/>
    <xf numFmtId="0" fontId="4" fillId="7" borderId="3" pivotButton="0" quotePrefix="0" xfId="0"/>
    <xf numFmtId="0" fontId="0" fillId="7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5" fillId="0" borderId="3" pivotButton="0" quotePrefix="0" xfId="0"/>
    <xf numFmtId="0" fontId="7" fillId="0" borderId="3" pivotButton="0" quotePrefix="0" xfId="0"/>
    <xf numFmtId="166" fontId="9" fillId="0" borderId="3" pivotButton="0" quotePrefix="0" xfId="0"/>
    <xf numFmtId="0" fontId="8" fillId="0" borderId="3" pivotButton="0" quotePrefix="0" xfId="0"/>
    <xf numFmtId="166" fontId="10" fillId="0" borderId="3" pivotButton="0" quotePrefix="0" xfId="0"/>
    <xf numFmtId="0" fontId="11" fillId="0" borderId="3" pivotButton="0" quotePrefix="0" xfId="0"/>
    <xf numFmtId="167" fontId="11" fillId="0" borderId="3" pivotButton="0" quotePrefix="0" xfId="0"/>
    <xf numFmtId="9" fontId="11" fillId="0" borderId="3" pivotButton="0" quotePrefix="0" xfId="0"/>
    <xf numFmtId="0" fontId="12" fillId="0" borderId="3" pivotButton="0" quotePrefix="0" xfId="0"/>
    <xf numFmtId="0" fontId="13" fillId="0" borderId="3" pivotButton="0" quotePrefix="0" xfId="0"/>
    <xf numFmtId="3" fontId="13" fillId="0" borderId="3" pivotButton="0" quotePrefix="0" xfId="0"/>
    <xf numFmtId="43" fontId="13" fillId="0" borderId="0" pivotButton="0" quotePrefix="0" xfId="0"/>
    <xf numFmtId="168" fontId="13" fillId="0" borderId="3" pivotButton="0" quotePrefix="0" xfId="0"/>
    <xf numFmtId="0" fontId="14" fillId="0" borderId="0" pivotButton="0" quotePrefix="0" xfId="0"/>
    <xf numFmtId="0" fontId="14" fillId="0" borderId="3" pivotButton="0" quotePrefix="0" xfId="0"/>
    <xf numFmtId="3" fontId="14" fillId="0" borderId="3" pivotButton="0" quotePrefix="0" xfId="0"/>
    <xf numFmtId="2" fontId="14" fillId="0" borderId="3" pivotButton="0" quotePrefix="0" xfId="0"/>
    <xf numFmtId="9" fontId="13" fillId="0" borderId="3" pivotButton="0" quotePrefix="0" xfId="0"/>
    <xf numFmtId="0" fontId="13" fillId="0" borderId="0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3.109375" customWidth="1" min="2" max="2"/>
    <col width="20.5546875" customWidth="1" min="9" max="9"/>
    <col width="19.33203125" customWidth="1" min="10" max="10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inlineStr">
        <is>
          <t>n/a</t>
        </is>
      </c>
      <c r="C2" s="8">
        <f>IFERROR(C$46/((C$34+B$34)/2),"n/a")</f>
        <v/>
      </c>
      <c r="D2" s="8">
        <f>IFERROR(D$46/((D$34+C$34)/2),"n/a")</f>
        <v/>
      </c>
      <c r="E2" s="8">
        <f>IFERROR(E$46/((E$34+D$34)/2),"n/a")</f>
        <v/>
      </c>
      <c r="F2" s="8">
        <f>IFERROR(F$46/((F$34+E$34)/2),"n/a")</f>
        <v/>
      </c>
      <c r="G2" s="8">
        <f>IFERROR(G$46/((G$34+F$34)/2),"n/a")</f>
        <v/>
      </c>
      <c r="H2" s="8">
        <f>IFERROR(H$46/((H$34+G$34)/2),"n/a")</f>
        <v/>
      </c>
      <c r="I2" s="8">
        <f>IFERROR(I$46/((I$34+H$34)/2),"n/a")</f>
        <v/>
      </c>
      <c r="J2" s="9" t="n"/>
    </row>
    <row r="3">
      <c r="A3" s="7" t="inlineStr">
        <is>
          <t>ROA</t>
        </is>
      </c>
      <c r="B3" s="10" t="inlineStr">
        <is>
          <t>n/a</t>
        </is>
      </c>
      <c r="C3" s="10">
        <f>IFERROR(C$45/((C$26+B$26)/2),"n/a")</f>
        <v/>
      </c>
      <c r="D3" s="10">
        <f>IFERROR(D$45/((D$26+C$26)/2),"n/a")</f>
        <v/>
      </c>
      <c r="E3" s="10">
        <f>IFERROR(E$45/((E$26+D$26)/2),"n/a")</f>
        <v/>
      </c>
      <c r="F3" s="10">
        <f>IFERROR(F$45/((F$26+E$26)/2),"n/a")</f>
        <v/>
      </c>
      <c r="G3" s="10">
        <f>IFERROR(G$45/((G$26+F$26)/2),"n/a")</f>
        <v/>
      </c>
      <c r="H3" s="10">
        <f>IFERROR(H$45/((H$26+G$26)/2),"n/a")</f>
        <v/>
      </c>
      <c r="I3" s="10">
        <f>IFERROR(I$45/((I$26+H$26)/2),"n/a")</f>
        <v/>
      </c>
      <c r="J3" s="9" t="n"/>
    </row>
    <row r="4">
      <c r="A4" s="7" t="inlineStr">
        <is>
          <t>Tăng trưởng LN Cổ đông Cty mẹ</t>
        </is>
      </c>
      <c r="B4" s="8" t="inlineStr">
        <is>
          <t>n/a</t>
        </is>
      </c>
      <c r="C4" s="8">
        <f>IFERROR((C$46-B$46)/ABS(B$46),"n/a")</f>
        <v/>
      </c>
      <c r="D4" s="8">
        <f>IFERROR((D$46-C$46)/ABS(C$46),"n/a")</f>
        <v/>
      </c>
      <c r="E4" s="8">
        <f>IFERROR((E$46-D$46)/ABS(D$46),"n/a")</f>
        <v/>
      </c>
      <c r="F4" s="8">
        <f>IFERROR((F$46-E$46)/ABS(E$46),"n/a")</f>
        <v/>
      </c>
      <c r="G4" s="8">
        <f>IFERROR((G$46-F$46)/ABS(F$46),"n/a")</f>
        <v/>
      </c>
      <c r="H4" s="8">
        <f>IFERROR((H$46-G$46)/ABS(G$46),"n/a")</f>
        <v/>
      </c>
      <c r="I4" s="8">
        <f>IFERROR((I$46-H$46)/ABS(H$46),"n/a")</f>
        <v/>
      </c>
      <c r="J4" s="9" t="n"/>
    </row>
    <row r="5">
      <c r="A5" s="7" t="inlineStr">
        <is>
          <t>Tăng trưởng Doanh thu thuần</t>
        </is>
      </c>
      <c r="B5" s="8" t="inlineStr">
        <is>
          <t>n/a</t>
        </is>
      </c>
      <c r="C5" s="8">
        <f>IFERROR((C$38-B$38)/ABS(B$38),"n/a")</f>
        <v/>
      </c>
      <c r="D5" s="8">
        <f>IFERROR((D$38-C$38)/ABS(C$38),"n/a")</f>
        <v/>
      </c>
      <c r="E5" s="8">
        <f>IFERROR((E$38-D$38)/ABS(D$38),"n/a")</f>
        <v/>
      </c>
      <c r="F5" s="8">
        <f>IFERROR((F$38-E$38)/ABS(E$38),"n/a")</f>
        <v/>
      </c>
      <c r="G5" s="8">
        <f>IFERROR((G$38-F$38)/ABS(F$38),"n/a")</f>
        <v/>
      </c>
      <c r="H5" s="8">
        <f>IFERROR((H$38-G$38)/ABS(G$38),"n/a")</f>
        <v/>
      </c>
      <c r="I5" s="8">
        <f>IFERROR((I$38-H$38)/ABS(H$38),"n/a")</f>
        <v/>
      </c>
      <c r="J5" s="9" t="n"/>
    </row>
    <row r="6">
      <c r="A6" s="7" t="inlineStr">
        <is>
          <t>Biên lợi nhuận gộp</t>
        </is>
      </c>
      <c r="B6" s="8">
        <f>IFERROR(B$40/B$38,"n/a")</f>
        <v/>
      </c>
      <c r="C6" s="8">
        <f>IFERROR(C$40/C$38,"n/a")</f>
        <v/>
      </c>
      <c r="D6" s="8">
        <f>IFERROR(D$40/D$38,"n/a")</f>
        <v/>
      </c>
      <c r="E6" s="8">
        <f>IFERROR(E$40/E$38,"n/a")</f>
        <v/>
      </c>
      <c r="F6" s="8">
        <f>IFERROR(F$40/F$38,"n/a")</f>
        <v/>
      </c>
      <c r="G6" s="8">
        <f>IFERROR(G$40/G$38,"n/a")</f>
        <v/>
      </c>
      <c r="H6" s="8">
        <f>IFERROR(H$40/H$38,"n/a")</f>
        <v/>
      </c>
      <c r="I6" s="8">
        <f>IFERROR(I$40/I$38,"n/a")</f>
        <v/>
      </c>
      <c r="J6" s="9" t="n"/>
    </row>
    <row r="7">
      <c r="A7" s="7" t="inlineStr">
        <is>
          <t>Biên lợi nhuận ròng</t>
        </is>
      </c>
      <c r="B7" s="11">
        <f>IFERROR(B$45/B$38,"n/a")</f>
        <v/>
      </c>
      <c r="C7" s="11">
        <f>IFERROR(C$45/C$38,"n/a")</f>
        <v/>
      </c>
      <c r="D7" s="11">
        <f>IFERROR(D$45/D$38,"n/a")</f>
        <v/>
      </c>
      <c r="E7" s="11">
        <f>IFERROR(E$45/E$38,"n/a")</f>
        <v/>
      </c>
      <c r="F7" s="11">
        <f>IFERROR(F$45/F$38,"n/a")</f>
        <v/>
      </c>
      <c r="G7" s="11">
        <f>IFERROR(G$45/G$38,"n/a")</f>
        <v/>
      </c>
      <c r="H7" s="11">
        <f>IFERROR(H$45/H$38,"n/a")</f>
        <v/>
      </c>
      <c r="I7" s="11">
        <f>IFERROR(I$45/I$38,"n/a")</f>
        <v/>
      </c>
      <c r="J7" s="9" t="n"/>
    </row>
    <row r="8">
      <c r="A8" s="7" t="inlineStr">
        <is>
          <t>D/E (Nợ vay / Vốn chủ sở hữu)</t>
        </is>
      </c>
      <c r="B8" s="8">
        <f>IFERROR((B$29+B$31)/B$34,"n/a")</f>
        <v/>
      </c>
      <c r="C8" s="8">
        <f>IFERROR((C$29+C$31)/C$34,"n/a")</f>
        <v/>
      </c>
      <c r="D8" s="8">
        <f>IFERROR((D$29+D$31)/D$34,"n/a")</f>
        <v/>
      </c>
      <c r="E8" s="8">
        <f>IFERROR((E$29+E$31)/E$34,"n/a")</f>
        <v/>
      </c>
      <c r="F8" s="8">
        <f>IFERROR((F$29+F$31)/F$34,"n/a")</f>
        <v/>
      </c>
      <c r="G8" s="8">
        <f>IFERROR((G$29+G$31)/G$34,"n/a")</f>
        <v/>
      </c>
      <c r="H8" s="8">
        <f>IFERROR((H$29+H$31)/H$34,"n/a")</f>
        <v/>
      </c>
      <c r="I8" s="8">
        <f>IFERROR((I$29+I$31)/I$34,"n/a")</f>
        <v/>
      </c>
      <c r="J8" s="9" t="n"/>
    </row>
    <row r="9">
      <c r="A9" s="12" t="inlineStr">
        <is>
          <t xml:space="preserve">     - Nợ vay dài hạn/Vốn chủ sở hữu</t>
        </is>
      </c>
      <c r="B9" s="10">
        <f>IFERROR(B$31/B$34,"n/a")</f>
        <v/>
      </c>
      <c r="C9" s="10">
        <f>IFERROR(C$31/C$34,"n/a")</f>
        <v/>
      </c>
      <c r="D9" s="10">
        <f>IFERROR(D$31/D$34,"n/a")</f>
        <v/>
      </c>
      <c r="E9" s="10">
        <f>IFERROR(E$31/E$34,"n/a")</f>
        <v/>
      </c>
      <c r="F9" s="10">
        <f>IFERROR(F$31/F$34,"n/a")</f>
        <v/>
      </c>
      <c r="G9" s="10">
        <f>IFERROR(G$31/G$34,"n/a")</f>
        <v/>
      </c>
      <c r="H9" s="10">
        <f>IFERROR(H$31/H$34,"n/a")</f>
        <v/>
      </c>
      <c r="I9" s="10">
        <f>IFERROR(I$31/I$34,"n/a")</f>
        <v/>
      </c>
      <c r="J9" s="9" t="n"/>
    </row>
    <row r="10">
      <c r="A10" s="12" t="inlineStr">
        <is>
          <t xml:space="preserve">     - Nợ vay ngắn hạn/Vốn chủ sở hữu</t>
        </is>
      </c>
      <c r="B10" s="10">
        <f>IFERROR(B$29/B$34,"n/a")</f>
        <v/>
      </c>
      <c r="C10" s="10">
        <f>IFERROR(C$29/C$34,"n/a")</f>
        <v/>
      </c>
      <c r="D10" s="10">
        <f>IFERROR(D$29/D$34,"n/a")</f>
        <v/>
      </c>
      <c r="E10" s="10">
        <f>IFERROR(E$29/E$34,"n/a")</f>
        <v/>
      </c>
      <c r="F10" s="10">
        <f>IFERROR(F$29/F$34,"n/a")</f>
        <v/>
      </c>
      <c r="G10" s="10">
        <f>IFERROR(G$29/G$34,"n/a")</f>
        <v/>
      </c>
      <c r="H10" s="10">
        <f>IFERROR(H$29/H$34,"n/a")</f>
        <v/>
      </c>
      <c r="I10" s="10">
        <f>IFERROR(I$29/I$34,"n/a")</f>
        <v/>
      </c>
      <c r="J10" s="9" t="n"/>
    </row>
    <row r="11">
      <c r="A11" s="7" t="inlineStr">
        <is>
          <t>Nợ phải trả/Vốn chủ sở hữu</t>
        </is>
      </c>
      <c r="B11" s="11">
        <f>IFERROR(B$33/B$34,"n/a")</f>
        <v/>
      </c>
      <c r="C11" s="11">
        <f>IFERROR(C$33/C$34,"n/a")</f>
        <v/>
      </c>
      <c r="D11" s="11">
        <f>IFERROR(D$33/D$34,"n/a")</f>
        <v/>
      </c>
      <c r="E11" s="11">
        <f>IFERROR(E$33/E$34,"n/a")</f>
        <v/>
      </c>
      <c r="F11" s="11">
        <f>IFERROR(F$33/F$34,"n/a")</f>
        <v/>
      </c>
      <c r="G11" s="11">
        <f>IFERROR(G$33/G$34,"n/a")</f>
        <v/>
      </c>
      <c r="H11" s="11">
        <f>IFERROR(H$33/H$34,"n/a")</f>
        <v/>
      </c>
      <c r="I11" s="11">
        <f>IFERROR(I$33/I$34,"n/a")</f>
        <v/>
      </c>
      <c r="J11" s="9" t="n"/>
    </row>
    <row r="12">
      <c r="A12" s="12" t="inlineStr">
        <is>
          <t xml:space="preserve">     - Nợ dài hạn/Vốn chủ sở hữu</t>
        </is>
      </c>
      <c r="B12" s="10">
        <f>IFERROR(B$32/B$34,"n/a")</f>
        <v/>
      </c>
      <c r="C12" s="10">
        <f>IFERROR(C$32/C$34,"n/a")</f>
        <v/>
      </c>
      <c r="D12" s="10">
        <f>IFERROR(D$32/D$34,"n/a")</f>
        <v/>
      </c>
      <c r="E12" s="10">
        <f>IFERROR(E$32/E$34,"n/a")</f>
        <v/>
      </c>
      <c r="F12" s="10">
        <f>IFERROR(F$32/F$34,"n/a")</f>
        <v/>
      </c>
      <c r="G12" s="10">
        <f>IFERROR(G$32/G$34,"n/a")</f>
        <v/>
      </c>
      <c r="H12" s="10">
        <f>IFERROR(H$32/H$34,"n/a")</f>
        <v/>
      </c>
      <c r="I12" s="10">
        <f>IFERROR(I$32/I$34,"n/a")</f>
        <v/>
      </c>
      <c r="J12" s="9" t="n"/>
    </row>
    <row r="13">
      <c r="A13" s="12" t="inlineStr">
        <is>
          <t xml:space="preserve">     - Nợ ngắn hạn/Vốn chủ sở hữu</t>
        </is>
      </c>
      <c r="B13" s="10">
        <f>IFERROR(B$30/B$34,"n/a")</f>
        <v/>
      </c>
      <c r="C13" s="10">
        <f>IFERROR(C$30/C$34,"n/a")</f>
        <v/>
      </c>
      <c r="D13" s="10">
        <f>IFERROR(D$30/D$34,"n/a")</f>
        <v/>
      </c>
      <c r="E13" s="10">
        <f>IFERROR(E$30/E$34,"n/a")</f>
        <v/>
      </c>
      <c r="F13" s="10">
        <f>IFERROR(F$30/F$34,"n/a")</f>
        <v/>
      </c>
      <c r="G13" s="10">
        <f>IFERROR(G$30/G$34,"n/a")</f>
        <v/>
      </c>
      <c r="H13" s="10">
        <f>IFERROR(H$30/H$34,"n/a")</f>
        <v/>
      </c>
      <c r="I13" s="10">
        <f>IFERROR(I$30/I$34,"n/a")</f>
        <v/>
      </c>
      <c r="J13" s="9" t="n"/>
    </row>
    <row r="14">
      <c r="A14" s="7" t="inlineStr">
        <is>
          <t>Chi phí bán hàng, quản lý/LN gộp</t>
        </is>
      </c>
      <c r="B14" s="13">
        <f>IFERROR((ABS(B$41)+ABS(B$42))/B$40,"n/a")</f>
        <v/>
      </c>
      <c r="C14" s="13">
        <f>IFERROR((ABS(C$41)+ABS(C$42))/C$40,"n/a")</f>
        <v/>
      </c>
      <c r="D14" s="13">
        <f>IFERROR((ABS(D$41)+ABS(D$42))/D$40,"n/a")</f>
        <v/>
      </c>
      <c r="E14" s="13">
        <f>IFERROR((ABS(E$41)+ABS(E$42))/E$40,"n/a")</f>
        <v/>
      </c>
      <c r="F14" s="13">
        <f>IFERROR((ABS(F$41)+ABS(F$42))/F$40,"n/a")</f>
        <v/>
      </c>
      <c r="G14" s="13">
        <f>IFERROR((ABS(G$41)+ABS(G$42))/G$40,"n/a")</f>
        <v/>
      </c>
      <c r="H14" s="13">
        <f>IFERROR((ABS(H$41)+ABS(H$42))/H$40,"n/a")</f>
        <v/>
      </c>
      <c r="I14" s="13">
        <f>IFERROR((ABS(I$41)+ABS(I$42))/I$40,"n/a")</f>
        <v/>
      </c>
      <c r="J14" s="9" t="n"/>
    </row>
    <row r="15">
      <c r="A15" s="7" t="inlineStr">
        <is>
          <t>Chi phí lãi vay/LN từ hoạt động kinh doanh</t>
        </is>
      </c>
      <c r="B15" s="14">
        <f>IFERROR(ABS(B$44)/B$43,"n/a")</f>
        <v/>
      </c>
      <c r="C15" s="14">
        <f>IFERROR(ABS(C$44)/C$43,"n/a")</f>
        <v/>
      </c>
      <c r="D15" s="14">
        <f>IFERROR(ABS(D$44)/D$43,"n/a")</f>
        <v/>
      </c>
      <c r="E15" s="14">
        <f>IFERROR(ABS(E$44)/E$43,"n/a")</f>
        <v/>
      </c>
      <c r="F15" s="14">
        <f>IFERROR(ABS(F$44)/F$43,"n/a")</f>
        <v/>
      </c>
      <c r="G15" s="14">
        <f>IFERROR(ABS(G$44)/G$43,"n/a")</f>
        <v/>
      </c>
      <c r="H15" s="14">
        <f>IFERROR(ABS(H$44)/H$43,"n/a")</f>
        <v/>
      </c>
      <c r="I15" s="14">
        <f>IFERROR(ABS(I$44)/I$43,"n/a")</f>
        <v/>
      </c>
      <c r="J15" s="9" t="n"/>
    </row>
    <row r="16">
      <c r="A16" s="7" t="inlineStr">
        <is>
          <t>Số ngày phải trả (DPO)</t>
        </is>
      </c>
      <c r="B16" s="15" t="inlineStr">
        <is>
          <t>n/a</t>
        </is>
      </c>
      <c r="C16" s="16">
        <f>IFERROR(((C$28+B$28)/2)/ABS(C$39)*365,"n/a")</f>
        <v/>
      </c>
      <c r="D16" s="16">
        <f>IFERROR(((D$28+C$28)/2)/ABS(D$39)*365,"n/a")</f>
        <v/>
      </c>
      <c r="E16" s="16">
        <f>IFERROR(((E$28+D$28)/2)/ABS(E$39)*365,"n/a")</f>
        <v/>
      </c>
      <c r="F16" s="16">
        <f>IFERROR(((F$28+E$28)/2)/ABS(F$39)*365,"n/a")</f>
        <v/>
      </c>
      <c r="G16" s="16">
        <f>IFERROR(((G$28+F$28)/2)/ABS(G$39)*365,"n/a")</f>
        <v/>
      </c>
      <c r="H16" s="16">
        <f>IFERROR(((H$28+G$28)/2)/ABS(H$39)*365,"n/a")</f>
        <v/>
      </c>
      <c r="I16" s="16">
        <f>IFERROR(((I$28+H$28)/2)/ABS(I$39)*365,"n/a")</f>
        <v/>
      </c>
      <c r="J16" s="9" t="n"/>
    </row>
    <row r="17">
      <c r="A17" s="7" t="inlineStr">
        <is>
          <t>Tiền và tương đương tiền/Tài sản</t>
        </is>
      </c>
      <c r="B17" s="8">
        <f>IFERROR(B$23/B$26,"n/a")</f>
        <v/>
      </c>
      <c r="C17" s="8">
        <f>IFERROR(C$23/C$26,"n/a")</f>
        <v/>
      </c>
      <c r="D17" s="8">
        <f>IFERROR(D$23/D$26,"n/a")</f>
        <v/>
      </c>
      <c r="E17" s="8">
        <f>IFERROR(E$23/E$26,"n/a")</f>
        <v/>
      </c>
      <c r="F17" s="8">
        <f>IFERROR(F$23/F$26,"n/a")</f>
        <v/>
      </c>
      <c r="G17" s="8">
        <f>IFERROR(G$23/G$26,"n/a")</f>
        <v/>
      </c>
      <c r="H17" s="8">
        <f>IFERROR(H$23/H$26,"n/a")</f>
        <v/>
      </c>
      <c r="I17" s="8">
        <f>IFERROR(I$23/I$26,"n/a")</f>
        <v/>
      </c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17" t="inlineStr">
        <is>
          <t>II. DỮ LIỆU TRÍCH XUẤT (tự động dò theo tên khoản mục)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9" t="n"/>
    </row>
    <row r="20">
      <c r="A20" s="19" t="inlineStr">
        <is>
          <t>Khoản mục</t>
        </is>
      </c>
      <c r="B20" s="20">
        <f>balance_sheet!B1</f>
        <v/>
      </c>
      <c r="C20" s="20">
        <f>balance_sheet!C1</f>
        <v/>
      </c>
      <c r="D20" s="20">
        <f>balance_sheet!D1</f>
        <v/>
      </c>
      <c r="E20" s="20">
        <f>balance_sheet!E1</f>
        <v/>
      </c>
      <c r="F20" s="20">
        <f>balance_sheet!F1</f>
        <v/>
      </c>
      <c r="G20" s="20">
        <f>balance_sheet!G1</f>
        <v/>
      </c>
      <c r="H20" s="20">
        <f>balance_sheet!H1</f>
        <v/>
      </c>
      <c r="I20" s="20">
        <f>balance_sheet!I1</f>
        <v/>
      </c>
      <c r="J20" s="9" t="n"/>
    </row>
    <row r="21">
      <c r="A21" s="21" t="inlineStr">
        <is>
          <t>CĐKT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9" t="n"/>
    </row>
    <row r="22">
      <c r="A22" s="21" t="inlineStr">
        <is>
          <t>Tài sản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9" t="n"/>
    </row>
    <row r="23">
      <c r="A23" s="22" t="inlineStr">
        <is>
          <t>Tiền và tương đương tiền</t>
        </is>
      </c>
      <c r="B23" s="23">
        <f>IFERROR(INDEX(balance_sheet!$B:$I,MATCH("Tiền và tương đương tiền",balance_sheet!$A:$A,0),MATCH(B$20,balance_sheet!$B$1:$I$1,0)),"")</f>
        <v/>
      </c>
      <c r="C23" s="23">
        <f>IFERROR(INDEX(balance_sheet!$B:$I,MATCH("Tiền và tương đương tiền",balance_sheet!$A:$A,0),MATCH(C$20,balance_sheet!$B$1:$I$1,0)),"")</f>
        <v/>
      </c>
      <c r="D23" s="23">
        <f>IFERROR(INDEX(balance_sheet!$B:$I,MATCH("Tiền và tương đương tiền",balance_sheet!$A:$A,0),MATCH(D$20,balance_sheet!$B$1:$I$1,0)),"")</f>
        <v/>
      </c>
      <c r="E23" s="23">
        <f>IFERROR(INDEX(balance_sheet!$B:$I,MATCH("Tiền và tương đương tiền",balance_sheet!$A:$A,0),MATCH(E$20,balance_sheet!$B$1:$I$1,0)),"")</f>
        <v/>
      </c>
      <c r="F23" s="23">
        <f>IFERROR(INDEX(balance_sheet!$B:$I,MATCH("Tiền và tương đương tiền",balance_sheet!$A:$A,0),MATCH(F$20,balance_sheet!$B$1:$I$1,0)),"")</f>
        <v/>
      </c>
      <c r="G23" s="23">
        <f>IFERROR(INDEX(balance_sheet!$B:$I,MATCH("Tiền và tương đương tiền",balance_sheet!$A:$A,0),MATCH(G$20,balance_sheet!$B$1:$I$1,0)),"")</f>
        <v/>
      </c>
      <c r="H23" s="23">
        <f>IFERROR(INDEX(balance_sheet!$B:$I,MATCH("Tiền và tương đương tiền",balance_sheet!$A:$A,0),MATCH(H$20,balance_sheet!$B$1:$I$1,0)),"")</f>
        <v/>
      </c>
      <c r="I23" s="23">
        <f>IFERROR(INDEX(balance_sheet!$B:$I,MATCH("Tiền và tương đương tiền",balance_sheet!$A:$A,0),MATCH(I$20,balance_sheet!$B$1:$I$1,0)),"")</f>
        <v/>
      </c>
      <c r="J23" s="9" t="n"/>
    </row>
    <row r="24">
      <c r="A24" s="22" t="inlineStr">
        <is>
          <t>Phải thu khách hàng</t>
        </is>
      </c>
      <c r="B24" s="24" t="inlineStr">
        <is>
          <t>n/a</t>
        </is>
      </c>
      <c r="C24" s="24" t="inlineStr">
        <is>
          <t>n/a</t>
        </is>
      </c>
      <c r="D24" s="24" t="inlineStr">
        <is>
          <t>n/a</t>
        </is>
      </c>
      <c r="E24" s="24" t="inlineStr">
        <is>
          <t>n/a</t>
        </is>
      </c>
      <c r="F24" s="24" t="inlineStr">
        <is>
          <t>n/a</t>
        </is>
      </c>
      <c r="G24" s="24" t="inlineStr">
        <is>
          <t>n/a</t>
        </is>
      </c>
      <c r="H24" s="24" t="inlineStr">
        <is>
          <t>n/a</t>
        </is>
      </c>
      <c r="I24" s="24" t="inlineStr">
        <is>
          <t>n/a</t>
        </is>
      </c>
      <c r="J24" s="9" t="n"/>
    </row>
    <row r="25">
      <c r="A25" s="22" t="inlineStr">
        <is>
          <t>Hàng tồn kho, ròng</t>
        </is>
      </c>
      <c r="B25" s="24" t="inlineStr">
        <is>
          <t>n/a</t>
        </is>
      </c>
      <c r="C25" s="24" t="inlineStr">
        <is>
          <t>n/a</t>
        </is>
      </c>
      <c r="D25" s="24" t="inlineStr">
        <is>
          <t>n/a</t>
        </is>
      </c>
      <c r="E25" s="24" t="inlineStr">
        <is>
          <t>n/a</t>
        </is>
      </c>
      <c r="F25" s="24" t="inlineStr">
        <is>
          <t>n/a</t>
        </is>
      </c>
      <c r="G25" s="24" t="inlineStr">
        <is>
          <t>n/a</t>
        </is>
      </c>
      <c r="H25" s="24" t="inlineStr">
        <is>
          <t>n/a</t>
        </is>
      </c>
      <c r="I25" s="24" t="inlineStr">
        <is>
          <t>n/a</t>
        </is>
      </c>
      <c r="J25" s="9" t="n"/>
    </row>
    <row r="26">
      <c r="A26" s="22" t="inlineStr">
        <is>
          <t>TỔNG CỘNG TÀI SẢN</t>
        </is>
      </c>
      <c r="B26" s="23">
        <f>IFERROR(INDEX(balance_sheet!$B:$I,MATCH("TỔNG CỘNG TÀI SẢN",balance_sheet!$A:$A,0),MATCH(B$20,balance_sheet!$B$1:$I$1,0)),"")</f>
        <v/>
      </c>
      <c r="C26" s="23">
        <f>IFERROR(INDEX(balance_sheet!$B:$I,MATCH("TỔNG CỘNG TÀI SẢN",balance_sheet!$A:$A,0),MATCH(C$20,balance_sheet!$B$1:$I$1,0)),"")</f>
        <v/>
      </c>
      <c r="D26" s="23">
        <f>IFERROR(INDEX(balance_sheet!$B:$I,MATCH("TỔNG CỘNG TÀI SẢN",balance_sheet!$A:$A,0),MATCH(D$20,balance_sheet!$B$1:$I$1,0)),"")</f>
        <v/>
      </c>
      <c r="E26" s="23">
        <f>IFERROR(INDEX(balance_sheet!$B:$I,MATCH("TỔNG CỘNG TÀI SẢN",balance_sheet!$A:$A,0),MATCH(E$20,balance_sheet!$B$1:$I$1,0)),"")</f>
        <v/>
      </c>
      <c r="F26" s="23">
        <f>IFERROR(INDEX(balance_sheet!$B:$I,MATCH("TỔNG CỘNG TÀI SẢN",balance_sheet!$A:$A,0),MATCH(F$20,balance_sheet!$B$1:$I$1,0)),"")</f>
        <v/>
      </c>
      <c r="G26" s="23">
        <f>IFERROR(INDEX(balance_sheet!$B:$I,MATCH("TỔNG CỘNG TÀI SẢN",balance_sheet!$A:$A,0),MATCH(G$20,balance_sheet!$B$1:$I$1,0)),"")</f>
        <v/>
      </c>
      <c r="H26" s="23">
        <f>IFERROR(INDEX(balance_sheet!$B:$I,MATCH("TỔNG CỘNG TÀI SẢN",balance_sheet!$A:$A,0),MATCH(H$20,balance_sheet!$B$1:$I$1,0)),"")</f>
        <v/>
      </c>
      <c r="I26" s="23">
        <f>IFERROR(INDEX(balance_sheet!$B:$I,MATCH("TỔNG CỘNG TÀI SẢN",balance_sheet!$A:$A,0),MATCH(I$20,balance_sheet!$B$1:$I$1,0)),"")</f>
        <v/>
      </c>
      <c r="J26" s="9" t="n"/>
    </row>
    <row r="27">
      <c r="A27" s="21" t="inlineStr">
        <is>
          <t>Nguồn vốn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9" t="n"/>
    </row>
    <row r="28">
      <c r="A28" s="22" t="inlineStr">
        <is>
          <t>Phải trả người bán ngắn hạn</t>
        </is>
      </c>
      <c r="B28" s="23">
        <f>IFERROR(INDEX(balance_sheet!$B:$I,MATCH("Phải trả người bán ngắn hạn",balance_sheet!$A:$A,0),MATCH(B$20,balance_sheet!$B$1:$I$1,0)),"")</f>
        <v/>
      </c>
      <c r="C28" s="23">
        <f>IFERROR(INDEX(balance_sheet!$B:$I,MATCH("Phải trả người bán ngắn hạn",balance_sheet!$A:$A,0),MATCH(C$20,balance_sheet!$B$1:$I$1,0)),"")</f>
        <v/>
      </c>
      <c r="D28" s="23">
        <f>IFERROR(INDEX(balance_sheet!$B:$I,MATCH("Phải trả người bán ngắn hạn",balance_sheet!$A:$A,0),MATCH(D$20,balance_sheet!$B$1:$I$1,0)),"")</f>
        <v/>
      </c>
      <c r="E28" s="23">
        <f>IFERROR(INDEX(balance_sheet!$B:$I,MATCH("Phải trả người bán ngắn hạn",balance_sheet!$A:$A,0),MATCH(E$20,balance_sheet!$B$1:$I$1,0)),"")</f>
        <v/>
      </c>
      <c r="F28" s="23">
        <f>IFERROR(INDEX(balance_sheet!$B:$I,MATCH("Phải trả người bán ngắn hạn",balance_sheet!$A:$A,0),MATCH(F$20,balance_sheet!$B$1:$I$1,0)),"")</f>
        <v/>
      </c>
      <c r="G28" s="23">
        <f>IFERROR(INDEX(balance_sheet!$B:$I,MATCH("Phải trả người bán ngắn hạn",balance_sheet!$A:$A,0),MATCH(G$20,balance_sheet!$B$1:$I$1,0)),"")</f>
        <v/>
      </c>
      <c r="H28" s="23">
        <f>IFERROR(INDEX(balance_sheet!$B:$I,MATCH("Phải trả người bán ngắn hạn",balance_sheet!$A:$A,0),MATCH(H$20,balance_sheet!$B$1:$I$1,0)),"")</f>
        <v/>
      </c>
      <c r="I28" s="23">
        <f>IFERROR(INDEX(balance_sheet!$B:$I,MATCH("Phải trả người bán ngắn hạn",balance_sheet!$A:$A,0),MATCH(I$20,balance_sheet!$B$1:$I$1,0)),"")</f>
        <v/>
      </c>
      <c r="J28" s="9" t="n"/>
    </row>
    <row r="29">
      <c r="A29" s="22" t="inlineStr">
        <is>
          <t>Vay ngắn hạn</t>
        </is>
      </c>
      <c r="B29" s="23">
        <f>IFERROR(INDEX(balance_sheet!$B:$I,MATCH("Vay ngắn hạn",balance_sheet!$A:$A,0),MATCH(B$20,balance_sheet!$B$1:$I$1,0)),"")</f>
        <v/>
      </c>
      <c r="C29" s="23">
        <f>IFERROR(INDEX(balance_sheet!$B:$I,MATCH("Vay ngắn hạn",balance_sheet!$A:$A,0),MATCH(C$20,balance_sheet!$B$1:$I$1,0)),"")</f>
        <v/>
      </c>
      <c r="D29" s="23">
        <f>IFERROR(INDEX(balance_sheet!$B:$I,MATCH("Vay ngắn hạn",balance_sheet!$A:$A,0),MATCH(D$20,balance_sheet!$B$1:$I$1,0)),"")</f>
        <v/>
      </c>
      <c r="E29" s="23">
        <f>IFERROR(INDEX(balance_sheet!$B:$I,MATCH("Vay ngắn hạn",balance_sheet!$A:$A,0),MATCH(E$20,balance_sheet!$B$1:$I$1,0)),"")</f>
        <v/>
      </c>
      <c r="F29" s="23">
        <f>IFERROR(INDEX(balance_sheet!$B:$I,MATCH("Vay ngắn hạn",balance_sheet!$A:$A,0),MATCH(F$20,balance_sheet!$B$1:$I$1,0)),"")</f>
        <v/>
      </c>
      <c r="G29" s="23">
        <f>IFERROR(INDEX(balance_sheet!$B:$I,MATCH("Vay ngắn hạn",balance_sheet!$A:$A,0),MATCH(G$20,balance_sheet!$B$1:$I$1,0)),"")</f>
        <v/>
      </c>
      <c r="H29" s="23">
        <f>IFERROR(INDEX(balance_sheet!$B:$I,MATCH("Vay ngắn hạn",balance_sheet!$A:$A,0),MATCH(H$20,balance_sheet!$B$1:$I$1,0)),"")</f>
        <v/>
      </c>
      <c r="I29" s="23">
        <f>IFERROR(INDEX(balance_sheet!$B:$I,MATCH("Vay ngắn hạn",balance_sheet!$A:$A,0),MATCH(I$20,balance_sheet!$B$1:$I$1,0)),"")</f>
        <v/>
      </c>
      <c r="J29" s="9" t="n"/>
    </row>
    <row r="30">
      <c r="A30" s="22" t="inlineStr">
        <is>
          <t>Nợ phải trả ngắn hạn</t>
        </is>
      </c>
      <c r="B30" s="23">
        <f>IFERROR(INDEX(balance_sheet!$B:$I,MATCH("Nợ phải trả ngắn hạn",balance_sheet!$A:$A,0),MATCH(B$20,balance_sheet!$B$1:$I$1,0)),"")</f>
        <v/>
      </c>
      <c r="C30" s="23">
        <f>IFERROR(INDEX(balance_sheet!$B:$I,MATCH("Nợ phải trả ngắn hạn",balance_sheet!$A:$A,0),MATCH(C$20,balance_sheet!$B$1:$I$1,0)),"")</f>
        <v/>
      </c>
      <c r="D30" s="23">
        <f>IFERROR(INDEX(balance_sheet!$B:$I,MATCH("Nợ phải trả ngắn hạn",balance_sheet!$A:$A,0),MATCH(D$20,balance_sheet!$B$1:$I$1,0)),"")</f>
        <v/>
      </c>
      <c r="E30" s="23">
        <f>IFERROR(INDEX(balance_sheet!$B:$I,MATCH("Nợ phải trả ngắn hạn",balance_sheet!$A:$A,0),MATCH(E$20,balance_sheet!$B$1:$I$1,0)),"")</f>
        <v/>
      </c>
      <c r="F30" s="23">
        <f>IFERROR(INDEX(balance_sheet!$B:$I,MATCH("Nợ phải trả ngắn hạn",balance_sheet!$A:$A,0),MATCH(F$20,balance_sheet!$B$1:$I$1,0)),"")</f>
        <v/>
      </c>
      <c r="G30" s="23">
        <f>IFERROR(INDEX(balance_sheet!$B:$I,MATCH("Nợ phải trả ngắn hạn",balance_sheet!$A:$A,0),MATCH(G$20,balance_sheet!$B$1:$I$1,0)),"")</f>
        <v/>
      </c>
      <c r="H30" s="23">
        <f>IFERROR(INDEX(balance_sheet!$B:$I,MATCH("Nợ phải trả ngắn hạn",balance_sheet!$A:$A,0),MATCH(H$20,balance_sheet!$B$1:$I$1,0)),"")</f>
        <v/>
      </c>
      <c r="I30" s="23">
        <f>IFERROR(INDEX(balance_sheet!$B:$I,MATCH("Nợ phải trả ngắn hạn",balance_sheet!$A:$A,0),MATCH(I$20,balance_sheet!$B$1:$I$1,0)),"")</f>
        <v/>
      </c>
      <c r="J30" s="9" t="n"/>
    </row>
    <row r="31">
      <c r="A31" s="22" t="inlineStr">
        <is>
          <t>Vay dài hạn</t>
        </is>
      </c>
      <c r="B31" s="23">
        <f>IFERROR(INDEX(balance_sheet!$B:$I,MATCH("Vay dài hạn",balance_sheet!$A:$A,0),MATCH(B$20,balance_sheet!$B$1:$I$1,0)),"")</f>
        <v/>
      </c>
      <c r="C31" s="23">
        <f>IFERROR(INDEX(balance_sheet!$B:$I,MATCH("Vay dài hạn",balance_sheet!$A:$A,0),MATCH(C$20,balance_sheet!$B$1:$I$1,0)),"")</f>
        <v/>
      </c>
      <c r="D31" s="23">
        <f>IFERROR(INDEX(balance_sheet!$B:$I,MATCH("Vay dài hạn",balance_sheet!$A:$A,0),MATCH(D$20,balance_sheet!$B$1:$I$1,0)),"")</f>
        <v/>
      </c>
      <c r="E31" s="23">
        <f>IFERROR(INDEX(balance_sheet!$B:$I,MATCH("Vay dài hạn",balance_sheet!$A:$A,0),MATCH(E$20,balance_sheet!$B$1:$I$1,0)),"")</f>
        <v/>
      </c>
      <c r="F31" s="23">
        <f>IFERROR(INDEX(balance_sheet!$B:$I,MATCH("Vay dài hạn",balance_sheet!$A:$A,0),MATCH(F$20,balance_sheet!$B$1:$I$1,0)),"")</f>
        <v/>
      </c>
      <c r="G31" s="23">
        <f>IFERROR(INDEX(balance_sheet!$B:$I,MATCH("Vay dài hạn",balance_sheet!$A:$A,0),MATCH(G$20,balance_sheet!$B$1:$I$1,0)),"")</f>
        <v/>
      </c>
      <c r="H31" s="23">
        <f>IFERROR(INDEX(balance_sheet!$B:$I,MATCH("Vay dài hạn",balance_sheet!$A:$A,0),MATCH(H$20,balance_sheet!$B$1:$I$1,0)),"")</f>
        <v/>
      </c>
      <c r="I31" s="23">
        <f>IFERROR(INDEX(balance_sheet!$B:$I,MATCH("Vay dài hạn",balance_sheet!$A:$A,0),MATCH(I$20,balance_sheet!$B$1:$I$1,0)),"")</f>
        <v/>
      </c>
      <c r="J31" s="9" t="n"/>
    </row>
    <row r="32">
      <c r="A32" s="22" t="inlineStr">
        <is>
          <t>Nợ phải trả dài hạn</t>
        </is>
      </c>
      <c r="B32" s="23">
        <f>IFERROR(INDEX(balance_sheet!$B:$I,MATCH("Nợ phải trả dài hạn",balance_sheet!$A:$A,0),MATCH(B$20,balance_sheet!$B$1:$I$1,0)),"")</f>
        <v/>
      </c>
      <c r="C32" s="23">
        <f>IFERROR(INDEX(balance_sheet!$B:$I,MATCH("Nợ phải trả dài hạn",balance_sheet!$A:$A,0),MATCH(C$20,balance_sheet!$B$1:$I$1,0)),"")</f>
        <v/>
      </c>
      <c r="D32" s="23">
        <f>IFERROR(INDEX(balance_sheet!$B:$I,MATCH("Nợ phải trả dài hạn",balance_sheet!$A:$A,0),MATCH(D$20,balance_sheet!$B$1:$I$1,0)),"")</f>
        <v/>
      </c>
      <c r="E32" s="23">
        <f>IFERROR(INDEX(balance_sheet!$B:$I,MATCH("Nợ phải trả dài hạn",balance_sheet!$A:$A,0),MATCH(E$20,balance_sheet!$B$1:$I$1,0)),"")</f>
        <v/>
      </c>
      <c r="F32" s="23">
        <f>IFERROR(INDEX(balance_sheet!$B:$I,MATCH("Nợ phải trả dài hạn",balance_sheet!$A:$A,0),MATCH(F$20,balance_sheet!$B$1:$I$1,0)),"")</f>
        <v/>
      </c>
      <c r="G32" s="23">
        <f>IFERROR(INDEX(balance_sheet!$B:$I,MATCH("Nợ phải trả dài hạn",balance_sheet!$A:$A,0),MATCH(G$20,balance_sheet!$B$1:$I$1,0)),"")</f>
        <v/>
      </c>
      <c r="H32" s="23">
        <f>IFERROR(INDEX(balance_sheet!$B:$I,MATCH("Nợ phải trả dài hạn",balance_sheet!$A:$A,0),MATCH(H$20,balance_sheet!$B$1:$I$1,0)),"")</f>
        <v/>
      </c>
      <c r="I32" s="23">
        <f>IFERROR(INDEX(balance_sheet!$B:$I,MATCH("Nợ phải trả dài hạn",balance_sheet!$A:$A,0),MATCH(I$20,balance_sheet!$B$1:$I$1,0)),"")</f>
        <v/>
      </c>
      <c r="J32" s="9" t="n"/>
    </row>
    <row r="33">
      <c r="A33" s="22" t="inlineStr">
        <is>
          <t>NỢ PHẢI TRẢ</t>
        </is>
      </c>
      <c r="B33" s="23">
        <f>IFERROR(INDEX(balance_sheet!$B:$I,MATCH("NỢ PHẢI TRẢ",balance_sheet!$A:$A,0),MATCH(B$20,balance_sheet!$B$1:$I$1,0)),"")</f>
        <v/>
      </c>
      <c r="C33" s="23">
        <f>IFERROR(INDEX(balance_sheet!$B:$I,MATCH("NỢ PHẢI TRẢ",balance_sheet!$A:$A,0),MATCH(C$20,balance_sheet!$B$1:$I$1,0)),"")</f>
        <v/>
      </c>
      <c r="D33" s="23">
        <f>IFERROR(INDEX(balance_sheet!$B:$I,MATCH("NỢ PHẢI TRẢ",balance_sheet!$A:$A,0),MATCH(D$20,balance_sheet!$B$1:$I$1,0)),"")</f>
        <v/>
      </c>
      <c r="E33" s="23">
        <f>IFERROR(INDEX(balance_sheet!$B:$I,MATCH("NỢ PHẢI TRẢ",balance_sheet!$A:$A,0),MATCH(E$20,balance_sheet!$B$1:$I$1,0)),"")</f>
        <v/>
      </c>
      <c r="F33" s="23">
        <f>IFERROR(INDEX(balance_sheet!$B:$I,MATCH("NỢ PHẢI TRẢ",balance_sheet!$A:$A,0),MATCH(F$20,balance_sheet!$B$1:$I$1,0)),"")</f>
        <v/>
      </c>
      <c r="G33" s="23">
        <f>IFERROR(INDEX(balance_sheet!$B:$I,MATCH("NỢ PHẢI TRẢ",balance_sheet!$A:$A,0),MATCH(G$20,balance_sheet!$B$1:$I$1,0)),"")</f>
        <v/>
      </c>
      <c r="H33" s="23">
        <f>IFERROR(INDEX(balance_sheet!$B:$I,MATCH("NỢ PHẢI TRẢ",balance_sheet!$A:$A,0),MATCH(H$20,balance_sheet!$B$1:$I$1,0)),"")</f>
        <v/>
      </c>
      <c r="I33" s="23">
        <f>IFERROR(INDEX(balance_sheet!$B:$I,MATCH("NỢ PHẢI TRẢ",balance_sheet!$A:$A,0),MATCH(I$20,balance_sheet!$B$1:$I$1,0)),"")</f>
        <v/>
      </c>
      <c r="J33" s="9" t="n"/>
    </row>
    <row r="34">
      <c r="A34" s="21" t="inlineStr">
        <is>
          <t>Vốn chủ sở hữu</t>
        </is>
      </c>
      <c r="B34" s="25">
        <f>IFERROR(INDEX(balance_sheet!$B:$I,MATCH("Vốn chủ sở hữu",balance_sheet!$A:$A,0),MATCH(B$20,balance_sheet!$B$1:$I$1,0)),"")</f>
        <v/>
      </c>
      <c r="C34" s="25">
        <f>IFERROR(INDEX(balance_sheet!$B:$I,MATCH("Vốn chủ sở hữu",balance_sheet!$A:$A,0),MATCH(C$20,balance_sheet!$B$1:$I$1,0)),"")</f>
        <v/>
      </c>
      <c r="D34" s="25">
        <f>IFERROR(INDEX(balance_sheet!$B:$I,MATCH("Vốn chủ sở hữu",balance_sheet!$A:$A,0),MATCH(D$20,balance_sheet!$B$1:$I$1,0)),"")</f>
        <v/>
      </c>
      <c r="E34" s="25">
        <f>IFERROR(INDEX(balance_sheet!$B:$I,MATCH("Vốn chủ sở hữu",balance_sheet!$A:$A,0),MATCH(E$20,balance_sheet!$B$1:$I$1,0)),"")</f>
        <v/>
      </c>
      <c r="F34" s="25">
        <f>IFERROR(INDEX(balance_sheet!$B:$I,MATCH("Vốn chủ sở hữu",balance_sheet!$A:$A,0),MATCH(F$20,balance_sheet!$B$1:$I$1,0)),"")</f>
        <v/>
      </c>
      <c r="G34" s="25">
        <f>IFERROR(INDEX(balance_sheet!$B:$I,MATCH("Vốn chủ sở hữu",balance_sheet!$A:$A,0),MATCH(G$20,balance_sheet!$B$1:$I$1,0)),"")</f>
        <v/>
      </c>
      <c r="H34" s="25">
        <f>IFERROR(INDEX(balance_sheet!$B:$I,MATCH("Vốn chủ sở hữu",balance_sheet!$A:$A,0),MATCH(H$20,balance_sheet!$B$1:$I$1,0)),"")</f>
        <v/>
      </c>
      <c r="I34" s="25">
        <f>IFERROR(INDEX(balance_sheet!$B:$I,MATCH("Vốn chủ sở hữu",balance_sheet!$A:$A,0),MATCH(I$20,balance_sheet!$B$1:$I$1,0)),"")</f>
        <v/>
      </c>
      <c r="J34" s="25">
        <f>I34+J46*0.7</f>
        <v/>
      </c>
    </row>
    <row r="35">
      <c r="A35" s="26" t="inlineStr">
        <is>
          <t>Tăng VCSH/LN cổ đông cty mẹ</t>
        </is>
      </c>
      <c r="B35" s="27" t="n"/>
      <c r="C35" s="28">
        <f>(C34-B34)/C46</f>
        <v/>
      </c>
      <c r="D35" s="28">
        <f>(D34-C34)/D46</f>
        <v/>
      </c>
      <c r="E35" s="28">
        <f>(E34-D34)/E46</f>
        <v/>
      </c>
      <c r="F35" s="28">
        <f>(F34-E34)/F46</f>
        <v/>
      </c>
      <c r="G35" s="28">
        <f>(G34-F34)/G46</f>
        <v/>
      </c>
      <c r="H35" s="28">
        <f>(H34-G34)/H46</f>
        <v/>
      </c>
      <c r="I35" s="28">
        <f>(I34-H34)/I46</f>
        <v/>
      </c>
      <c r="J35" s="29" t="n"/>
    </row>
    <row r="36">
      <c r="A36" s="21" t="inlineStr">
        <is>
          <t>Lợi ích cổ đông không kiểm soát</t>
        </is>
      </c>
      <c r="B36" s="25">
        <f>IFERROR(INDEX(balance_sheet!$B:$I,MATCH("Lợi ích cổ đông không kiểm soát",balance_sheet!$A:$A,0),MATCH(B$20,balance_sheet!$B$1:$I$1,0)),"")</f>
        <v/>
      </c>
      <c r="C36" s="25">
        <f>IFERROR(INDEX(balance_sheet!$B:$I,MATCH("Lợi ích cổ đông không kiểm soát",balance_sheet!$A:$A,0),MATCH(C$20,balance_sheet!$B$1:$I$1,0)),"")</f>
        <v/>
      </c>
      <c r="D36" s="25">
        <f>IFERROR(INDEX(balance_sheet!$B:$I,MATCH("Lợi ích cổ đông không kiểm soát",balance_sheet!$A:$A,0),MATCH(D$20,balance_sheet!$B$1:$I$1,0)),"")</f>
        <v/>
      </c>
      <c r="E36" s="25">
        <f>IFERROR(INDEX(balance_sheet!$B:$I,MATCH("Lợi ích cổ đông không kiểm soát",balance_sheet!$A:$A,0),MATCH(E$20,balance_sheet!$B$1:$I$1,0)),"")</f>
        <v/>
      </c>
      <c r="F36" s="25">
        <f>IFERROR(INDEX(balance_sheet!$B:$I,MATCH("Lợi ích cổ đông không kiểm soát",balance_sheet!$A:$A,0),MATCH(F$20,balance_sheet!$B$1:$I$1,0)),"")</f>
        <v/>
      </c>
      <c r="G36" s="25">
        <f>IFERROR(INDEX(balance_sheet!$B:$I,MATCH("Lợi ích cổ đông không kiểm soát",balance_sheet!$A:$A,0),MATCH(G$20,balance_sheet!$B$1:$I$1,0)),"")</f>
        <v/>
      </c>
      <c r="H36" s="25">
        <f>IFERROR(INDEX(balance_sheet!$B:$I,MATCH("Lợi ích cổ đông không kiểm soát",balance_sheet!$A:$A,0),MATCH(H$20,balance_sheet!$B$1:$I$1,0)),"")</f>
        <v/>
      </c>
      <c r="I36" s="25">
        <f>IFERROR(INDEX(balance_sheet!$B:$I,MATCH("Lợi ích cổ đông không kiểm soát",balance_sheet!$A:$A,0),MATCH(I$20,balance_sheet!$B$1:$I$1,0)),"")</f>
        <v/>
      </c>
      <c r="J36" s="29" t="n"/>
    </row>
    <row r="37">
      <c r="A37" s="21" t="inlineStr">
        <is>
          <t>Kết quả hoạt động kinh doanh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A38" s="21" t="inlineStr">
        <is>
          <t>Doanh thu thuần về hoạt động kinh doanh</t>
        </is>
      </c>
      <c r="B38" s="25">
        <f>IFERROR(INDEX(income_statement!$B:$I,MATCH("Doanh thu thuần về hoạt động kinh doanh",income_statement!$A:$A,0),MATCH(B$20,income_statement!$B$1:$I$1,0)),"")</f>
        <v/>
      </c>
      <c r="C38" s="25">
        <f>IFERROR(INDEX(income_statement!$B:$I,MATCH("Doanh thu thuần về hoạt động kinh doanh",income_statement!$A:$A,0),MATCH(C$20,income_statement!$B$1:$I$1,0)),"")</f>
        <v/>
      </c>
      <c r="D38" s="25">
        <f>IFERROR(INDEX(income_statement!$B:$I,MATCH("Doanh thu thuần về hoạt động kinh doanh",income_statement!$A:$A,0),MATCH(D$20,income_statement!$B$1:$I$1,0)),"")</f>
        <v/>
      </c>
      <c r="E38" s="25">
        <f>IFERROR(INDEX(income_statement!$B:$I,MATCH("Doanh thu thuần về hoạt động kinh doanh",income_statement!$A:$A,0),MATCH(E$20,income_statement!$B$1:$I$1,0)),"")</f>
        <v/>
      </c>
      <c r="F38" s="25">
        <f>IFERROR(INDEX(income_statement!$B:$I,MATCH("Doanh thu thuần về hoạt động kinh doanh",income_statement!$A:$A,0),MATCH(F$20,income_statement!$B$1:$I$1,0)),"")</f>
        <v/>
      </c>
      <c r="G38" s="25">
        <f>IFERROR(INDEX(income_statement!$B:$I,MATCH("Doanh thu thuần về hoạt động kinh doanh",income_statement!$A:$A,0),MATCH(G$20,income_statement!$B$1:$I$1,0)),"")</f>
        <v/>
      </c>
      <c r="H38" s="25">
        <f>IFERROR(INDEX(income_statement!$B:$I,MATCH("Doanh thu thuần về hoạt động kinh doanh",income_statement!$A:$A,0),MATCH(H$20,income_statement!$B$1:$I$1,0)),"")</f>
        <v/>
      </c>
      <c r="I38" s="25">
        <f>IFERROR(INDEX(income_statement!$B:$I,MATCH("Doanh thu thuần về hoạt động kinh doanh",income_statement!$A:$A,0),MATCH(I$20,income_statement!$B$1:$I$1,0)),"")</f>
        <v/>
      </c>
      <c r="J38" s="25" t="n">
        <v>13227000000000</v>
      </c>
    </row>
    <row r="39">
      <c r="A39" s="22" t="inlineStr">
        <is>
          <t>CHI PHÍ HOẠT ĐỘNG</t>
        </is>
      </c>
      <c r="B39" s="23">
        <f>IFERROR(INDEX(income_statement!$B:$I,MATCH("CHI PHÍ HOẠT ĐỘNG",income_statement!$A:$A,0),MATCH(B$20,income_statement!$B$1:$I$1,0)),"")</f>
        <v/>
      </c>
      <c r="C39" s="23">
        <f>IFERROR(INDEX(income_statement!$B:$I,MATCH("CHI PHÍ HOẠT ĐỘNG",income_statement!$A:$A,0),MATCH(C$20,income_statement!$B$1:$I$1,0)),"")</f>
        <v/>
      </c>
      <c r="D39" s="23">
        <f>IFERROR(INDEX(income_statement!$B:$I,MATCH("CHI PHÍ HOẠT ĐỘNG",income_statement!$A:$A,0),MATCH(D$20,income_statement!$B$1:$I$1,0)),"")</f>
        <v/>
      </c>
      <c r="E39" s="23">
        <f>IFERROR(INDEX(income_statement!$B:$I,MATCH("CHI PHÍ HOẠT ĐỘNG",income_statement!$A:$A,0),MATCH(E$20,income_statement!$B$1:$I$1,0)),"")</f>
        <v/>
      </c>
      <c r="F39" s="23">
        <f>IFERROR(INDEX(income_statement!$B:$I,MATCH("CHI PHÍ HOẠT ĐỘNG",income_statement!$A:$A,0),MATCH(F$20,income_statement!$B$1:$I$1,0)),"")</f>
        <v/>
      </c>
      <c r="G39" s="23">
        <f>IFERROR(INDEX(income_statement!$B:$I,MATCH("CHI PHÍ HOẠT ĐỘNG",income_statement!$A:$A,0),MATCH(G$20,income_statement!$B$1:$I$1,0)),"")</f>
        <v/>
      </c>
      <c r="H39" s="23">
        <f>IFERROR(INDEX(income_statement!$B:$I,MATCH("CHI PHÍ HOẠT ĐỘNG",income_statement!$A:$A,0),MATCH(H$20,income_statement!$B$1:$I$1,0)),"")</f>
        <v/>
      </c>
      <c r="I39" s="23">
        <f>IFERROR(INDEX(income_statement!$B:$I,MATCH("CHI PHÍ HOẠT ĐỘNG",income_statement!$A:$A,0),MATCH(I$20,income_statement!$B$1:$I$1,0)),"")</f>
        <v/>
      </c>
      <c r="J39" s="9" t="n"/>
    </row>
    <row r="40">
      <c r="A40" s="21" t="inlineStr">
        <is>
          <t>LỢI NHUẬN GỘP</t>
        </is>
      </c>
      <c r="B40" s="25">
        <f>IFERROR(INDEX(income_statement!$B:$I,MATCH("LỢI NHUẬN GỘP",income_statement!$A:$A,0),MATCH(B$20,income_statement!$B$1:$I$1,0)),"")</f>
        <v/>
      </c>
      <c r="C40" s="25">
        <f>IFERROR(INDEX(income_statement!$B:$I,MATCH("LỢI NHUẬN GỘP",income_statement!$A:$A,0),MATCH(C$20,income_statement!$B$1:$I$1,0)),"")</f>
        <v/>
      </c>
      <c r="D40" s="25">
        <f>IFERROR(INDEX(income_statement!$B:$I,MATCH("LỢI NHUẬN GỘP",income_statement!$A:$A,0),MATCH(D$20,income_statement!$B$1:$I$1,0)),"")</f>
        <v/>
      </c>
      <c r="E40" s="25">
        <f>IFERROR(INDEX(income_statement!$B:$I,MATCH("LỢI NHUẬN GỘP",income_statement!$A:$A,0),MATCH(E$20,income_statement!$B$1:$I$1,0)),"")</f>
        <v/>
      </c>
      <c r="F40" s="25">
        <f>IFERROR(INDEX(income_statement!$B:$I,MATCH("LỢI NHUẬN GỘP",income_statement!$A:$A,0),MATCH(F$20,income_statement!$B$1:$I$1,0)),"")</f>
        <v/>
      </c>
      <c r="G40" s="25">
        <f>IFERROR(INDEX(income_statement!$B:$I,MATCH("LỢI NHUẬN GỘP",income_statement!$A:$A,0),MATCH(G$20,income_statement!$B$1:$I$1,0)),"")</f>
        <v/>
      </c>
      <c r="H40" s="25">
        <f>IFERROR(INDEX(income_statement!$B:$I,MATCH("LỢI NHUẬN GỘP",income_statement!$A:$A,0),MATCH(H$20,income_statement!$B$1:$I$1,0)),"")</f>
        <v/>
      </c>
      <c r="I40" s="25">
        <f>IFERROR(INDEX(income_statement!$B:$I,MATCH("LỢI NHUẬN GỘP",income_statement!$A:$A,0),MATCH(I$20,income_statement!$B$1:$I$1,0)),"")</f>
        <v/>
      </c>
      <c r="J40" s="29" t="n"/>
    </row>
    <row r="41">
      <c r="A41" s="22" t="inlineStr">
        <is>
          <t>CHI PHÍ BÁN HÀNG</t>
        </is>
      </c>
      <c r="B41" s="23">
        <f>IFERROR(INDEX(income_statement!$B:$I,MATCH("CHI PHÍ BÁN HÀNG",income_statement!$A:$A,0),MATCH(B$20,income_statement!$B$1:$I$1,0)),"")</f>
        <v/>
      </c>
      <c r="C41" s="23">
        <f>IFERROR(INDEX(income_statement!$B:$I,MATCH("CHI PHÍ BÁN HÀNG",income_statement!$A:$A,0),MATCH(C$20,income_statement!$B$1:$I$1,0)),"")</f>
        <v/>
      </c>
      <c r="D41" s="23">
        <f>IFERROR(INDEX(income_statement!$B:$I,MATCH("CHI PHÍ BÁN HÀNG",income_statement!$A:$A,0),MATCH(D$20,income_statement!$B$1:$I$1,0)),"")</f>
        <v/>
      </c>
      <c r="E41" s="23">
        <f>IFERROR(INDEX(income_statement!$B:$I,MATCH("CHI PHÍ BÁN HÀNG",income_statement!$A:$A,0),MATCH(E$20,income_statement!$B$1:$I$1,0)),"")</f>
        <v/>
      </c>
      <c r="F41" s="23">
        <f>IFERROR(INDEX(income_statement!$B:$I,MATCH("CHI PHÍ BÁN HÀNG",income_statement!$A:$A,0),MATCH(F$20,income_statement!$B$1:$I$1,0)),"")</f>
        <v/>
      </c>
      <c r="G41" s="23">
        <f>IFERROR(INDEX(income_statement!$B:$I,MATCH("CHI PHÍ BÁN HÀNG",income_statement!$A:$A,0),MATCH(G$20,income_statement!$B$1:$I$1,0)),"")</f>
        <v/>
      </c>
      <c r="H41" s="23">
        <f>IFERROR(INDEX(income_statement!$B:$I,MATCH("CHI PHÍ BÁN HÀNG",income_statement!$A:$A,0),MATCH(H$20,income_statement!$B$1:$I$1,0)),"")</f>
        <v/>
      </c>
      <c r="I41" s="23">
        <f>IFERROR(INDEX(income_statement!$B:$I,MATCH("CHI PHÍ BÁN HÀNG",income_statement!$A:$A,0),MATCH(I$20,income_statement!$B$1:$I$1,0)),"")</f>
        <v/>
      </c>
      <c r="J41" s="9" t="n"/>
    </row>
    <row r="42">
      <c r="A42" s="22" t="inlineStr">
        <is>
          <t>CHI PHÍ QUẢN LÝ CÔNG TY CHỨNG KHOÁN</t>
        </is>
      </c>
      <c r="B42" s="23">
        <f>IFERROR(INDEX(income_statement!$B:$I,MATCH("CHI PHÍ QUẢN LÝ CÔNG TY CHỨNG KHOÁN",income_statement!$A:$A,0),MATCH(B$20,income_statement!$B$1:$I$1,0)),"")</f>
        <v/>
      </c>
      <c r="C42" s="23">
        <f>IFERROR(INDEX(income_statement!$B:$I,MATCH("CHI PHÍ QUẢN LÝ CÔNG TY CHỨNG KHOÁN",income_statement!$A:$A,0),MATCH(C$20,income_statement!$B$1:$I$1,0)),"")</f>
        <v/>
      </c>
      <c r="D42" s="23">
        <f>IFERROR(INDEX(income_statement!$B:$I,MATCH("CHI PHÍ QUẢN LÝ CÔNG TY CHỨNG KHOÁN",income_statement!$A:$A,0),MATCH(D$20,income_statement!$B$1:$I$1,0)),"")</f>
        <v/>
      </c>
      <c r="E42" s="23">
        <f>IFERROR(INDEX(income_statement!$B:$I,MATCH("CHI PHÍ QUẢN LÝ CÔNG TY CHỨNG KHOÁN",income_statement!$A:$A,0),MATCH(E$20,income_statement!$B$1:$I$1,0)),"")</f>
        <v/>
      </c>
      <c r="F42" s="23">
        <f>IFERROR(INDEX(income_statement!$B:$I,MATCH("CHI PHÍ QUẢN LÝ CÔNG TY CHỨNG KHOÁN",income_statement!$A:$A,0),MATCH(F$20,income_statement!$B$1:$I$1,0)),"")</f>
        <v/>
      </c>
      <c r="G42" s="23">
        <f>IFERROR(INDEX(income_statement!$B:$I,MATCH("CHI PHÍ QUẢN LÝ CÔNG TY CHỨNG KHOÁN",income_statement!$A:$A,0),MATCH(G$20,income_statement!$B$1:$I$1,0)),"")</f>
        <v/>
      </c>
      <c r="H42" s="23">
        <f>IFERROR(INDEX(income_statement!$B:$I,MATCH("CHI PHÍ QUẢN LÝ CÔNG TY CHỨNG KHOÁN",income_statement!$A:$A,0),MATCH(H$20,income_statement!$B$1:$I$1,0)),"")</f>
        <v/>
      </c>
      <c r="I42" s="23">
        <f>IFERROR(INDEX(income_statement!$B:$I,MATCH("CHI PHÍ QUẢN LÝ CÔNG TY CHỨNG KHOÁN",income_statement!$A:$A,0),MATCH(I$20,income_statement!$B$1:$I$1,0)),"")</f>
        <v/>
      </c>
      <c r="J42" s="9" t="n"/>
    </row>
    <row r="43">
      <c r="A43" s="22" t="inlineStr">
        <is>
          <t>KẾT QUẢ HOẠT ĐỘNG</t>
        </is>
      </c>
      <c r="B43" s="23">
        <f>IFERROR(INDEX(income_statement!$B:$I,MATCH("KẾT QUẢ HOẠT ĐỘNG",income_statement!$A:$A,0),MATCH(B$20,income_statement!$B$1:$I$1,0)),"")</f>
        <v/>
      </c>
      <c r="C43" s="23">
        <f>IFERROR(INDEX(income_statement!$B:$I,MATCH("KẾT QUẢ HOẠT ĐỘNG",income_statement!$A:$A,0),MATCH(C$20,income_statement!$B$1:$I$1,0)),"")</f>
        <v/>
      </c>
      <c r="D43" s="23">
        <f>IFERROR(INDEX(income_statement!$B:$I,MATCH("KẾT QUẢ HOẠT ĐỘNG",income_statement!$A:$A,0),MATCH(D$20,income_statement!$B$1:$I$1,0)),"")</f>
        <v/>
      </c>
      <c r="E43" s="23">
        <f>IFERROR(INDEX(income_statement!$B:$I,MATCH("KẾT QUẢ HOẠT ĐỘNG",income_statement!$A:$A,0),MATCH(E$20,income_statement!$B$1:$I$1,0)),"")</f>
        <v/>
      </c>
      <c r="F43" s="23">
        <f>IFERROR(INDEX(income_statement!$B:$I,MATCH("KẾT QUẢ HOẠT ĐỘNG",income_statement!$A:$A,0),MATCH(F$20,income_statement!$B$1:$I$1,0)),"")</f>
        <v/>
      </c>
      <c r="G43" s="23">
        <f>IFERROR(INDEX(income_statement!$B:$I,MATCH("KẾT QUẢ HOẠT ĐỘNG",income_statement!$A:$A,0),MATCH(G$20,income_statement!$B$1:$I$1,0)),"")</f>
        <v/>
      </c>
      <c r="H43" s="23">
        <f>IFERROR(INDEX(income_statement!$B:$I,MATCH("KẾT QUẢ HOẠT ĐỘNG",income_statement!$A:$A,0),MATCH(H$20,income_statement!$B$1:$I$1,0)),"")</f>
        <v/>
      </c>
      <c r="I43" s="23">
        <f>IFERROR(INDEX(income_statement!$B:$I,MATCH("KẾT QUẢ HOẠT ĐỘNG",income_statement!$A:$A,0),MATCH(I$20,income_statement!$B$1:$I$1,0)),"")</f>
        <v/>
      </c>
      <c r="J43" s="9" t="n"/>
    </row>
    <row r="44">
      <c r="A44" s="22" t="inlineStr">
        <is>
          <t>Chi phí lãi vay</t>
        </is>
      </c>
      <c r="B44" s="23">
        <f>IFERROR(INDEX(income_statement!$B:$I,MATCH("Chi phí lãi vay",income_statement!$A:$A,0),MATCH(B$20,income_statement!$B$1:$I$1,0)),"")</f>
        <v/>
      </c>
      <c r="C44" s="23">
        <f>IFERROR(INDEX(income_statement!$B:$I,MATCH("Chi phí lãi vay",income_statement!$A:$A,0),MATCH(C$20,income_statement!$B$1:$I$1,0)),"")</f>
        <v/>
      </c>
      <c r="D44" s="23">
        <f>IFERROR(INDEX(income_statement!$B:$I,MATCH("Chi phí lãi vay",income_statement!$A:$A,0),MATCH(D$20,income_statement!$B$1:$I$1,0)),"")</f>
        <v/>
      </c>
      <c r="E44" s="23">
        <f>IFERROR(INDEX(income_statement!$B:$I,MATCH("Chi phí lãi vay",income_statement!$A:$A,0),MATCH(E$20,income_statement!$B$1:$I$1,0)),"")</f>
        <v/>
      </c>
      <c r="F44" s="23">
        <f>IFERROR(INDEX(income_statement!$B:$I,MATCH("Chi phí lãi vay",income_statement!$A:$A,0),MATCH(F$20,income_statement!$B$1:$I$1,0)),"")</f>
        <v/>
      </c>
      <c r="G44" s="23">
        <f>IFERROR(INDEX(income_statement!$B:$I,MATCH("Chi phí lãi vay",income_statement!$A:$A,0),MATCH(G$20,income_statement!$B$1:$I$1,0)),"")</f>
        <v/>
      </c>
      <c r="H44" s="23">
        <f>IFERROR(INDEX(income_statement!$B:$I,MATCH("Chi phí lãi vay",income_statement!$A:$A,0),MATCH(H$20,income_statement!$B$1:$I$1,0)),"")</f>
        <v/>
      </c>
      <c r="I44" s="23">
        <f>IFERROR(INDEX(income_statement!$B:$I,MATCH("Chi phí lãi vay",income_statement!$A:$A,0),MATCH(I$20,income_statement!$B$1:$I$1,0)),"")</f>
        <v/>
      </c>
      <c r="J44" s="9" t="n"/>
    </row>
    <row r="45">
      <c r="A45" s="21" t="inlineStr">
        <is>
          <t>LỢI NHUẬN KẾ TOÁN SAU THUẾ</t>
        </is>
      </c>
      <c r="B45" s="25">
        <f>IFERROR(INDEX(income_statement!$B:$I,MATCH("LỢI NHUẬN KẾ TOÁN SAU THUẾ",income_statement!$A:$A,0),MATCH(B$20,income_statement!$B$1:$I$1,0)),"")</f>
        <v/>
      </c>
      <c r="C45" s="25">
        <f>IFERROR(INDEX(income_statement!$B:$I,MATCH("LỢI NHUẬN KẾ TOÁN SAU THUẾ",income_statement!$A:$A,0),MATCH(C$20,income_statement!$B$1:$I$1,0)),"")</f>
        <v/>
      </c>
      <c r="D45" s="25">
        <f>IFERROR(INDEX(income_statement!$B:$I,MATCH("LỢI NHUẬN KẾ TOÁN SAU THUẾ",income_statement!$A:$A,0),MATCH(D$20,income_statement!$B$1:$I$1,0)),"")</f>
        <v/>
      </c>
      <c r="E45" s="25">
        <f>IFERROR(INDEX(income_statement!$B:$I,MATCH("LỢI NHUẬN KẾ TOÁN SAU THUẾ",income_statement!$A:$A,0),MATCH(E$20,income_statement!$B$1:$I$1,0)),"")</f>
        <v/>
      </c>
      <c r="F45" s="25">
        <f>IFERROR(INDEX(income_statement!$B:$I,MATCH("LỢI NHUẬN KẾ TOÁN SAU THUẾ",income_statement!$A:$A,0),MATCH(F$20,income_statement!$B$1:$I$1,0)),"")</f>
        <v/>
      </c>
      <c r="G45" s="25">
        <f>IFERROR(INDEX(income_statement!$B:$I,MATCH("LỢI NHUẬN KẾ TOÁN SAU THUẾ",income_statement!$A:$A,0),MATCH(G$20,income_statement!$B$1:$I$1,0)),"")</f>
        <v/>
      </c>
      <c r="H45" s="25">
        <f>IFERROR(INDEX(income_statement!$B:$I,MATCH("LỢI NHUẬN KẾ TOÁN SAU THUẾ",income_statement!$A:$A,0),MATCH(H$20,income_statement!$B$1:$I$1,0)),"")</f>
        <v/>
      </c>
      <c r="I45" s="25">
        <f>IFERROR(INDEX(income_statement!$B:$I,MATCH("LỢI NHUẬN KẾ TOÁN SAU THUẾ",income_statement!$A:$A,0),MATCH(I$20,income_statement!$B$1:$I$1,0)),"")</f>
        <v/>
      </c>
      <c r="J45" s="25" t="n">
        <v>7535000000000</v>
      </c>
    </row>
    <row r="46">
      <c r="A46" s="21" t="inlineStr">
        <is>
          <t>Lợi nhuận sau thuế phân bổ cho chủ sở hữu</t>
        </is>
      </c>
      <c r="B46" s="25">
        <f>IFERROR(INDEX(income_statement!$B:$I,MATCH("Lợi nhuận sau thuế phân bổ cho chủ sở hữu",income_statement!$A:$A,0),MATCH(B$20,income_statement!$B$1:$I$1,0)),"")</f>
        <v/>
      </c>
      <c r="C46" s="25">
        <f>IFERROR(INDEX(income_statement!$B:$I,MATCH("Lợi nhuận sau thuế phân bổ cho chủ sở hữu",income_statement!$A:$A,0),MATCH(C$20,income_statement!$B$1:$I$1,0)),"")</f>
        <v/>
      </c>
      <c r="D46" s="25">
        <f>IFERROR(INDEX(income_statement!$B:$I,MATCH("Lợi nhuận sau thuế phân bổ cho chủ sở hữu",income_statement!$A:$A,0),MATCH(D$20,income_statement!$B$1:$I$1,0)),"")</f>
        <v/>
      </c>
      <c r="E46" s="25">
        <f>IFERROR(INDEX(income_statement!$B:$I,MATCH("Lợi nhuận sau thuế phân bổ cho chủ sở hữu",income_statement!$A:$A,0),MATCH(E$20,income_statement!$B$1:$I$1,0)),"")</f>
        <v/>
      </c>
      <c r="F46" s="25">
        <f>IFERROR(INDEX(income_statement!$B:$I,MATCH("Lợi nhuận sau thuế phân bổ cho chủ sở hữu",income_statement!$A:$A,0),MATCH(F$20,income_statement!$B$1:$I$1,0)),"")</f>
        <v/>
      </c>
      <c r="G46" s="25">
        <f>IFERROR(INDEX(income_statement!$B:$I,MATCH("Lợi nhuận sau thuế phân bổ cho chủ sở hữu",income_statement!$A:$A,0),MATCH(G$20,income_statement!$B$1:$I$1,0)),"")</f>
        <v/>
      </c>
      <c r="H46" s="25">
        <f>IFERROR(INDEX(income_statement!$B:$I,MATCH("Lợi nhuận sau thuế phân bổ cho chủ sở hữu",income_statement!$A:$A,0),MATCH(H$20,income_statement!$B$1:$I$1,0)),"")</f>
        <v/>
      </c>
      <c r="I46" s="25">
        <f>IFERROR(INDEX(income_statement!$B:$I,MATCH("Lợi nhuận sau thuế phân bổ cho chủ sở hữu",income_statement!$A:$A,0),MATCH(I$20,income_statement!$B$1:$I$1,0)),"")</f>
        <v/>
      </c>
      <c r="J46" s="25" t="n">
        <v>7535000000000</v>
      </c>
    </row>
  </sheetData>
  <conditionalFormatting sqref="B2:I2">
    <cfRule type="cellIs" priority="13" operator="lessThan" dxfId="0">
      <formula>0.15</formula>
    </cfRule>
    <cfRule type="cellIs" priority="14" operator="greaterThanOrEqual" dxfId="1">
      <formula>0.15</formula>
    </cfRule>
  </conditionalFormatting>
  <conditionalFormatting sqref="B4:I5">
    <cfRule type="cellIs" priority="11" operator="lessThan" dxfId="0">
      <formula>0.1</formula>
    </cfRule>
    <cfRule type="cellIs" priority="12" operator="greaterThan" dxfId="1">
      <formula>0.15</formula>
    </cfRule>
  </conditionalFormatting>
  <conditionalFormatting sqref="B6:I6">
    <cfRule type="cellIs" priority="6" operator="lessThanOrEqual" dxfId="0">
      <formula>0.1</formula>
    </cfRule>
    <cfRule type="cellIs" priority="7" operator="between" dxfId="2">
      <formula>0.3</formula>
      <formula>0.1</formula>
    </cfRule>
    <cfRule type="cellIs" priority="8" operator="greaterThanOrEqual" dxfId="1">
      <formula>0.3</formula>
    </cfRule>
  </conditionalFormatting>
  <conditionalFormatting sqref="B7:I7">
    <cfRule type="cellIs" priority="5" operator="greaterThanOrEqual" dxfId="1">
      <formula>0.1</formula>
    </cfRule>
  </conditionalFormatting>
  <conditionalFormatting sqref="B8:I8">
    <cfRule type="cellIs" priority="10" operator="lessThanOrEqual" dxfId="1">
      <formula>0.5</formula>
    </cfRule>
  </conditionalFormatting>
  <conditionalFormatting sqref="B11:I11">
    <cfRule type="cellIs" priority="9" operator="lessThanOrEqual" dxfId="1">
      <formula>0.5</formula>
    </cfRule>
  </conditionalFormatting>
  <conditionalFormatting sqref="B14:I14">
    <cfRule type="cellIs" priority="1" operator="greaterThan" dxfId="0">
      <formula>0.7</formula>
    </cfRule>
    <cfRule type="cellIs" priority="2" operator="lessThanOrEqual" dxfId="1">
      <formula>0.3</formula>
    </cfRule>
  </conditionalFormatting>
  <conditionalFormatting sqref="B17:I17">
    <cfRule type="cellIs" priority="3" operator="notBetween" dxfId="0">
      <formula>0.02</formula>
      <formula>0.3</formula>
    </cfRule>
    <cfRule type="cellIs" priority="4" operator="between" dxfId="1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.21875" customWidth="1" min="1" max="1"/>
    <col width="19" customWidth="1" min="2" max="2"/>
    <col width="20.44140625" customWidth="1" min="7" max="7"/>
    <col width="9.33203125" customWidth="1" min="9" max="9"/>
  </cols>
  <sheetData>
    <row r="1">
      <c r="A1" s="30" t="n"/>
      <c r="B1" s="30" t="inlineStr">
        <is>
          <t>Q4/2025</t>
        </is>
      </c>
      <c r="C1" s="30" t="inlineStr">
        <is>
          <t>Q1/2026</t>
        </is>
      </c>
      <c r="D1" s="30" t="inlineStr">
        <is>
          <t>Q2/2026</t>
        </is>
      </c>
      <c r="E1" s="30" t="inlineStr">
        <is>
          <t>Q3/2026</t>
        </is>
      </c>
      <c r="F1" s="30" t="inlineStr">
        <is>
          <t>Q4/2026</t>
        </is>
      </c>
    </row>
    <row r="2" ht="14.25" customHeight="1">
      <c r="A2" s="30" t="inlineStr">
        <is>
          <t>Số CP</t>
        </is>
      </c>
      <c r="B2" s="31" t="n">
        <v>2774453325</v>
      </c>
      <c r="C2" s="31" t="n">
        <v>2774453325</v>
      </c>
      <c r="D2" s="31" t="n">
        <v>2774453325</v>
      </c>
      <c r="E2" s="31" t="n">
        <v>2774453325</v>
      </c>
      <c r="F2" s="31" t="n">
        <v>2774453325</v>
      </c>
    </row>
    <row r="3" ht="14.25" customHeight="1">
      <c r="A3" s="30" t="inlineStr">
        <is>
          <t>Thị giá</t>
        </is>
      </c>
      <c r="B3" s="31" t="n">
        <v>40800</v>
      </c>
      <c r="C3" s="31" t="n">
        <v>40800</v>
      </c>
      <c r="D3" s="31" t="n">
        <v>40800</v>
      </c>
      <c r="E3" s="31" t="n">
        <v>40800</v>
      </c>
      <c r="F3" s="31" t="n">
        <v>40800</v>
      </c>
    </row>
    <row r="4" ht="14.25" customHeight="1">
      <c r="A4" s="30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  <c r="F4" s="31">
        <f>F2*F3</f>
        <v/>
      </c>
      <c r="G4" s="32" t="n"/>
    </row>
    <row r="5" ht="14.25" customHeight="1"/>
    <row r="6" ht="14.25" customHeight="1">
      <c r="A6" s="30" t="inlineStr">
        <is>
          <t>VCSH</t>
        </is>
      </c>
      <c r="B6" s="31">
        <f>chi_so_tai_chinh!I34</f>
        <v/>
      </c>
      <c r="C6" s="31" t="n">
        <v>45782000000000</v>
      </c>
      <c r="D6" s="31">
        <f>B$6*(($F$6/$B$6)^(2/4))</f>
        <v/>
      </c>
      <c r="E6" s="31">
        <f>B$6*(($F$6/$B$6)^(3/4))</f>
        <v/>
      </c>
      <c r="F6" s="31">
        <f>chi_so_tai_chinh!J34</f>
        <v/>
      </c>
    </row>
    <row r="7" ht="14.25" customHeight="1">
      <c r="A7" s="30" t="inlineStr">
        <is>
          <t>LICĐKKS</t>
        </is>
      </c>
      <c r="B7" s="31">
        <f>chi_so_tai_chinh!I36</f>
        <v/>
      </c>
      <c r="C7" s="31" t="n">
        <v>0</v>
      </c>
      <c r="D7" s="31" t="n">
        <v>0</v>
      </c>
      <c r="E7" s="31" t="n">
        <v>0</v>
      </c>
      <c r="F7" s="31">
        <f>[1]CĐKT!K157*1000000000</f>
        <v/>
      </c>
    </row>
    <row r="8" ht="14.25" customHeight="1">
      <c r="A8" s="30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  <c r="F8" s="33">
        <f>F6-F7</f>
        <v/>
      </c>
      <c r="G8" s="34" t="n"/>
      <c r="H8" s="34" t="n"/>
      <c r="I8" s="34" t="n"/>
      <c r="J8" s="34" t="n"/>
      <c r="K8" s="34" t="n"/>
      <c r="L8" s="34" t="n"/>
      <c r="M8" s="34" t="n"/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6">
        <f>F8/F2</f>
        <v/>
      </c>
      <c r="H9" s="34" t="n"/>
      <c r="I9" s="34" t="n"/>
      <c r="J9" s="34" t="n"/>
      <c r="K9" s="34" t="n"/>
      <c r="L9" s="34" t="n"/>
      <c r="M9" s="34" t="n"/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F10" s="37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.88671875" customWidth="1" min="1" max="1"/>
    <col width="10.109375" customWidth="1" min="2" max="2"/>
    <col width="11.109375" customWidth="1" min="3" max="3"/>
  </cols>
  <sheetData>
    <row r="1">
      <c r="A1" s="30" t="inlineStr">
        <is>
          <t>Chỉ tiêu</t>
        </is>
      </c>
      <c r="B1" s="30" t="n">
        <v>2025</v>
      </c>
      <c r="C1" s="30" t="n">
        <v>2026</v>
      </c>
    </row>
    <row r="2">
      <c r="A2" s="30" t="inlineStr">
        <is>
          <t>Doanh thu kế hoạch</t>
        </is>
      </c>
      <c r="B2" s="31" t="n">
        <v>9323</v>
      </c>
      <c r="C2" s="31" t="n">
        <v>13227</v>
      </c>
    </row>
    <row r="3">
      <c r="A3" s="30" t="inlineStr">
        <is>
          <t>Doanh thu thuần về bán hàng và cung cấp dịch vụ</t>
        </is>
      </c>
      <c r="B3" s="31" t="n">
        <v>11217.42651465</v>
      </c>
      <c r="C3" s="31" t="n"/>
    </row>
    <row r="4">
      <c r="A4" s="30" t="inlineStr">
        <is>
          <t>%thực hiện</t>
        </is>
      </c>
      <c r="B4" s="38">
        <f>B3/B2</f>
        <v/>
      </c>
      <c r="C4" s="38" t="n"/>
    </row>
    <row r="5">
      <c r="A5" s="30" t="inlineStr">
        <is>
          <t>Lợi nhuận trước thuế kế hoạch</t>
        </is>
      </c>
      <c r="B5" s="31" t="n">
        <v>5765</v>
      </c>
      <c r="C5" s="31" t="n">
        <v>7535</v>
      </c>
    </row>
    <row r="6">
      <c r="A6" s="30" t="inlineStr">
        <is>
          <t>Lợi nhuận trước thuế thu nhập doanh nghiệp</t>
        </is>
      </c>
      <c r="B6" s="31" t="n">
        <v>7109</v>
      </c>
      <c r="C6" s="31" t="n"/>
    </row>
    <row r="7">
      <c r="A7" s="30" t="inlineStr">
        <is>
          <t>%thực hiện</t>
        </is>
      </c>
      <c r="B7" s="38">
        <f>B6/B5</f>
        <v/>
      </c>
      <c r="C7" s="38" t="n"/>
    </row>
    <row r="8">
      <c r="A8" s="39" t="n"/>
      <c r="B8" s="39" t="n"/>
      <c r="C8" s="39" t="n"/>
    </row>
    <row r="9">
      <c r="A9" s="30" t="inlineStr">
        <is>
          <t>Trung vị %thực hiện DT</t>
        </is>
      </c>
      <c r="B9" s="38">
        <f>MEDIAN(B4:C4)</f>
        <v/>
      </c>
      <c r="C9" s="39" t="n"/>
    </row>
    <row r="10">
      <c r="A10" s="30" t="inlineStr">
        <is>
          <t>Trung vị %thực hiện LNST</t>
        </is>
      </c>
      <c r="B10" s="38">
        <f>MEDIAN(B7:C7)</f>
        <v/>
      </c>
      <c r="C10" s="39" t="n"/>
    </row>
    <row r="11">
      <c r="A11" s="39" t="n"/>
      <c r="B11" s="39" t="n"/>
      <c r="C11" s="39" t="n"/>
    </row>
    <row r="12">
      <c r="A12" s="30" t="inlineStr">
        <is>
          <t>Tỷ lệ hoàn thành DT trên 95%</t>
        </is>
      </c>
      <c r="B12" s="38">
        <f>COUNTIF(B4:C4,"&gt;=95%")/COUNT(B4:C4)</f>
        <v/>
      </c>
      <c r="C12" s="39" t="n"/>
    </row>
    <row r="13">
      <c r="A13" s="30" t="inlineStr">
        <is>
          <t>Tỷ lệ hoàn thành LNST trên 95%</t>
        </is>
      </c>
      <c r="B13" s="38">
        <f>COUNTIF(B7:C7,"&gt;=95%")/COUNT(B7:C7)</f>
        <v/>
      </c>
      <c r="C13" s="39" t="n"/>
    </row>
  </sheetData>
  <conditionalFormatting sqref="B9:B10">
    <cfRule type="cellIs" priority="4" operator="lessThanOrEqual" dxfId="0" stopIfTrue="1">
      <formula>0.9</formula>
    </cfRule>
    <cfRule type="cellIs" priority="5" operator="greaterThanOrEqual" dxfId="1" stopIfTrue="1">
      <formula>0.95</formula>
    </cfRule>
    <cfRule type="cellIs" priority="6" operator="between" dxfId="2">
      <formula>0.9</formula>
      <formula>0.95</formula>
    </cfRule>
  </conditionalFormatting>
  <conditionalFormatting sqref="B12:B13">
    <cfRule type="cellIs" priority="2" operator="lessThan" dxfId="0">
      <formula>0.8</formula>
    </cfRule>
    <cfRule type="cellIs" priority="3" operator="greaterThanOrEqual" dxfId="1">
      <formula>0.8</formula>
    </cfRule>
  </conditionalFormatting>
  <conditionalFormatting sqref="B4:C4 B7:C7">
    <cfRule type="cellIs" priority="7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2026-09-23T03:38:32Z</dcterms:created>
  <dcterms:modified xsi:type="dcterms:W3CDTF">2026-09-23T03:38:33Z</dcterms:modified>
</cp:coreProperties>
</file>
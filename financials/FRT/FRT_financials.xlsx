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chi_so_tai_ch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0.00&quot;x&quot;"/>
    <numFmt numFmtId="167" formatCode="#,##0 &quot;ngày&quot;"/>
  </numFmts>
  <fonts count="14">
    <font>
      <name val="Calibri"/>
      <family val="2"/>
      <color theme="1"/>
      <sz val="11"/>
      <scheme val="minor"/>
    </font>
    <font>
      <b val="1"/>
    </font>
    <font>
      <name val="Tahoma"/>
      <b val="1"/>
      <color rgb="00FFFFFF"/>
    </font>
    <font>
      <name val="Tahoma"/>
      <sz val="10"/>
    </font>
    <font>
      <name val="Tahoma"/>
      <b val="1"/>
      <color rgb="00FFFFFF"/>
      <sz val="14"/>
    </font>
    <font>
      <name val="Tahoma"/>
      <i val="1"/>
      <color rgb="00808080"/>
      <sz val="9"/>
    </font>
    <font>
      <name val="Tahoma"/>
      <b val="1"/>
      <sz val="11"/>
    </font>
    <font>
      <name val="Calibri"/>
      <charset val="1"/>
      <family val="2"/>
      <color theme="1"/>
      <sz val="11"/>
    </font>
    <font>
      <name val="Tahoma"/>
      <b val="1"/>
    </font>
    <font>
      <name val="Tahoma"/>
      <b val="1"/>
      <i val="1"/>
      <sz val="10"/>
    </font>
    <font>
      <name val="Tahoma"/>
      <b val="1"/>
      <sz val="10"/>
    </font>
    <font>
      <name val="Tahoma"/>
      <i val="1"/>
      <color rgb="00808080"/>
      <sz val="10"/>
    </font>
    <font>
      <name val="Tahoma"/>
      <color rgb="00000000"/>
      <sz val="10"/>
    </font>
    <font>
      <name val="Tahoma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3" borderId="0" pivotButton="0" quotePrefix="0" xfId="0"/>
    <xf numFmtId="0" fontId="8" fillId="0" borderId="2" pivotButton="0" quotePrefix="0" xfId="0"/>
    <xf numFmtId="1" fontId="8" fillId="0" borderId="2" applyAlignment="1" pivotButton="0" quotePrefix="0" xfId="0">
      <alignment horizontal="center"/>
    </xf>
    <xf numFmtId="0" fontId="9" fillId="0" borderId="0" pivotButton="0" quotePrefix="0" xfId="0"/>
    <xf numFmtId="0" fontId="10" fillId="0" borderId="2" pivotButton="0" quotePrefix="0" xfId="0"/>
    <xf numFmtId="0" fontId="11" fillId="0" borderId="2" pivotButton="0" quotePrefix="0" xfId="0"/>
    <xf numFmtId="165" fontId="12" fillId="0" borderId="2" pivotButton="0" quotePrefix="0" xfId="0"/>
    <xf numFmtId="166" fontId="12" fillId="0" borderId="2" pivotButton="0" quotePrefix="0" xfId="0"/>
    <xf numFmtId="167" fontId="12" fillId="0" borderId="2" pivotButton="0" quotePrefix="0" xfId="0"/>
    <xf numFmtId="164" fontId="1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3" t="inlineStr">
        <is>
          <t>TÀI SẢN NGẮN HẠN</t>
        </is>
      </c>
      <c r="B2" s="4" t="n">
        <v>9326797408285</v>
      </c>
      <c r="C2" s="4" t="n">
        <v>11415308018413</v>
      </c>
      <c r="D2" s="4" t="n">
        <v>14026158730456</v>
      </c>
      <c r="E2" s="4" t="n">
        <v>21787052185671</v>
      </c>
    </row>
    <row r="3">
      <c r="A3" s="3" t="inlineStr">
        <is>
          <t>Tiền và tương đương tiền</t>
        </is>
      </c>
      <c r="B3" s="4" t="n">
        <v>745556075005</v>
      </c>
      <c r="C3" s="4" t="n">
        <v>960822549973</v>
      </c>
      <c r="D3" s="4" t="n">
        <v>2097787236988</v>
      </c>
      <c r="E3" s="4" t="n">
        <v>2869851759629</v>
      </c>
    </row>
    <row r="4">
      <c r="A4" s="3" t="inlineStr">
        <is>
          <t>Tiền</t>
        </is>
      </c>
      <c r="B4" s="4" t="n">
        <v>450488205110</v>
      </c>
      <c r="C4" s="4" t="n">
        <v>514817562060</v>
      </c>
      <c r="D4" s="4" t="n">
        <v>475787236988</v>
      </c>
      <c r="E4" s="4" t="n">
        <v>385251759629</v>
      </c>
    </row>
    <row r="5">
      <c r="A5" s="3" t="inlineStr">
        <is>
          <t>Các khoản tương đương tiền</t>
        </is>
      </c>
      <c r="B5" s="4" t="n">
        <v>295067869895</v>
      </c>
      <c r="C5" s="4" t="n">
        <v>446004987913</v>
      </c>
      <c r="D5" s="4" t="n">
        <v>1622000000000</v>
      </c>
      <c r="E5" s="4" t="n">
        <v>2484600000000</v>
      </c>
    </row>
    <row r="6">
      <c r="A6" s="3" t="inlineStr">
        <is>
          <t>Đầu tư ngắn hạn</t>
        </is>
      </c>
      <c r="B6" s="4" t="n">
        <v>0</v>
      </c>
      <c r="C6" s="4" t="n">
        <v>0</v>
      </c>
      <c r="D6" s="4" t="n">
        <v>0</v>
      </c>
      <c r="E6" s="4" t="n">
        <v>0</v>
      </c>
    </row>
    <row r="7">
      <c r="A7" s="3" t="inlineStr">
        <is>
          <t>Đầu tư ngắn hạn</t>
        </is>
      </c>
      <c r="B7" s="4" t="n">
        <v>0</v>
      </c>
      <c r="C7" s="4" t="n">
        <v>0</v>
      </c>
      <c r="D7" s="4" t="n">
        <v>0</v>
      </c>
      <c r="E7" s="4" t="n">
        <v>0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</row>
    <row r="9">
      <c r="A9" s="3" t="inlineStr">
        <is>
          <t>Các khoản phải thu</t>
        </is>
      </c>
      <c r="B9" s="4" t="n">
        <v>538346191905</v>
      </c>
      <c r="C9" s="4" t="n">
        <v>394464296948</v>
      </c>
      <c r="D9" s="4" t="n">
        <v>417127103606</v>
      </c>
      <c r="E9" s="4" t="n">
        <v>728878339921</v>
      </c>
    </row>
    <row r="10">
      <c r="A10" s="3" t="inlineStr">
        <is>
          <t>Phải thu khách hàng</t>
        </is>
      </c>
      <c r="B10" s="4" t="n">
        <v>89622537320</v>
      </c>
      <c r="C10" s="4" t="n">
        <v>126026140388</v>
      </c>
      <c r="D10" s="4" t="n">
        <v>176150692098</v>
      </c>
      <c r="E10" s="4" t="n">
        <v>233091257926</v>
      </c>
    </row>
    <row r="11">
      <c r="A11" s="3" t="inlineStr">
        <is>
          <t>Trả trước người bán</t>
        </is>
      </c>
      <c r="B11" s="4" t="n">
        <v>73767134666</v>
      </c>
      <c r="C11" s="4" t="n">
        <v>48902780339</v>
      </c>
      <c r="D11" s="4" t="n">
        <v>43997579646</v>
      </c>
      <c r="E11" s="4" t="n">
        <v>94792455388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</row>
    <row r="13">
      <c r="A13" s="3" t="inlineStr">
        <is>
          <t>Phải thu hợp đồng xây dựng đang thực hiện</t>
        </is>
      </c>
      <c r="B13" s="4" t="n">
        <v>0</v>
      </c>
      <c r="C13" s="4" t="n">
        <v>0</v>
      </c>
      <c r="D13" s="4" t="n">
        <v>0</v>
      </c>
      <c r="E13" s="4" t="n">
        <v>0</v>
      </c>
    </row>
    <row r="14">
      <c r="A14" s="3" t="inlineStr">
        <is>
          <t>Phải thu khác</t>
        </is>
      </c>
      <c r="B14" s="4" t="n">
        <v>342099580137</v>
      </c>
      <c r="C14" s="4" t="n">
        <v>227411821380</v>
      </c>
      <c r="D14" s="4" t="n">
        <v>206546170984</v>
      </c>
      <c r="E14" s="4" t="n">
        <v>410499058289</v>
      </c>
    </row>
    <row r="15">
      <c r="A15" s="3" t="inlineStr">
        <is>
          <t>Dự phòng nợ khó đòi</t>
        </is>
      </c>
      <c r="B15" s="4" t="n">
        <v>-7143060218</v>
      </c>
      <c r="C15" s="4" t="n">
        <v>-7876445159</v>
      </c>
      <c r="D15" s="4" t="n">
        <v>-9567339122</v>
      </c>
      <c r="E15" s="4" t="n">
        <v>-9504431682</v>
      </c>
    </row>
    <row r="16">
      <c r="A16" s="3" t="inlineStr">
        <is>
          <t>Hàng tồn kho, ròng</t>
        </is>
      </c>
      <c r="B16" s="4" t="n">
        <v>6483827665529</v>
      </c>
      <c r="C16" s="4" t="n">
        <v>8426860753034</v>
      </c>
      <c r="D16" s="4" t="n">
        <v>10234733890772</v>
      </c>
      <c r="E16" s="4" t="n">
        <v>11926663463990</v>
      </c>
    </row>
    <row r="17">
      <c r="A17" s="3" t="inlineStr">
        <is>
          <t>Hàng tồn kho</t>
        </is>
      </c>
      <c r="B17" s="4" t="n">
        <v>6525562245058</v>
      </c>
      <c r="C17" s="4" t="n">
        <v>8470079480259</v>
      </c>
      <c r="D17" s="4" t="n">
        <v>10291473307238</v>
      </c>
      <c r="E17" s="4" t="n">
        <v>12012604661865</v>
      </c>
    </row>
    <row r="18">
      <c r="A18" s="3" t="inlineStr">
        <is>
          <t>Dự phòng giảm giá hàng tồn kho</t>
        </is>
      </c>
      <c r="B18" s="4" t="n">
        <v>-41734579529</v>
      </c>
      <c r="C18" s="4" t="n">
        <v>-43218727225</v>
      </c>
      <c r="D18" s="4" t="n">
        <v>-56739416466</v>
      </c>
      <c r="E18" s="4" t="n">
        <v>-85941197875</v>
      </c>
    </row>
    <row r="19">
      <c r="A19" s="3" t="inlineStr">
        <is>
          <t>Tài sản lưu động khác</t>
        </is>
      </c>
      <c r="B19" s="4" t="n">
        <v>0</v>
      </c>
      <c r="C19" s="4" t="n">
        <v>0</v>
      </c>
      <c r="D19" s="4" t="n">
        <v>0</v>
      </c>
      <c r="E19" s="4" t="n">
        <v>0</v>
      </c>
    </row>
    <row r="20">
      <c r="A20" s="3" t="inlineStr">
        <is>
          <t>Chi phí trả trước ngắn hạn</t>
        </is>
      </c>
      <c r="B20" s="4" t="n">
        <v>260931923787</v>
      </c>
      <c r="C20" s="4" t="n">
        <v>230547735063</v>
      </c>
      <c r="D20" s="4" t="n">
        <v>252093295842</v>
      </c>
      <c r="E20" s="4" t="n">
        <v>262782269911</v>
      </c>
    </row>
    <row r="21">
      <c r="A21" s="3" t="inlineStr">
        <is>
          <t>Thuế GTGT được khấu trừ</t>
        </is>
      </c>
      <c r="B21" s="4" t="n">
        <v>157021246028</v>
      </c>
      <c r="C21" s="4" t="n">
        <v>186402495200</v>
      </c>
      <c r="D21" s="4" t="n">
        <v>16870747637</v>
      </c>
      <c r="E21" s="4" t="n">
        <v>47661947145</v>
      </c>
    </row>
    <row r="22">
      <c r="A22" s="3" t="inlineStr">
        <is>
          <t>Phải thu thuế khác</t>
        </is>
      </c>
      <c r="B22" s="4" t="n">
        <v>22114306031</v>
      </c>
      <c r="C22" s="4" t="n">
        <v>22210188195</v>
      </c>
      <c r="D22" s="4" t="n">
        <v>21546455611</v>
      </c>
      <c r="E22" s="4" t="n">
        <v>22214405075</v>
      </c>
    </row>
    <row r="23">
      <c r="A23" s="3" t="inlineStr">
        <is>
          <t>Tài sản lưu động khác</t>
        </is>
      </c>
      <c r="B23" s="4" t="n">
        <v>0</v>
      </c>
      <c r="C23" s="4" t="n">
        <v>0</v>
      </c>
      <c r="D23" s="4" t="n">
        <v>0</v>
      </c>
      <c r="E23" s="4" t="n">
        <v>0</v>
      </c>
    </row>
    <row r="24">
      <c r="A24" s="3" t="inlineStr">
        <is>
          <t>TÀI SẢN DÀI HẠN</t>
        </is>
      </c>
      <c r="B24" s="4" t="n">
        <v>1196999526761</v>
      </c>
      <c r="C24" s="4" t="n">
        <v>1683141884191</v>
      </c>
      <c r="D24" s="4" t="n">
        <v>1806391668645</v>
      </c>
      <c r="E24" s="4" t="n">
        <v>1927183984705</v>
      </c>
    </row>
    <row r="25">
      <c r="A25" s="3" t="inlineStr">
        <is>
          <t>Phải thu dài hạn</t>
        </is>
      </c>
      <c r="B25" s="4" t="n">
        <v>170162186921</v>
      </c>
      <c r="C25" s="4" t="n">
        <v>179315098485</v>
      </c>
      <c r="D25" s="4" t="n">
        <v>182805424079</v>
      </c>
      <c r="E25" s="4" t="n">
        <v>194450060810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</row>
    <row r="28">
      <c r="A28" s="3" t="inlineStr">
        <is>
          <t>Phải thu dài hạn khác</t>
        </is>
      </c>
      <c r="B28" s="4" t="n">
        <v>170162186921</v>
      </c>
      <c r="C28" s="4" t="n">
        <v>179315098485</v>
      </c>
      <c r="D28" s="4" t="n">
        <v>182805424079</v>
      </c>
      <c r="E28" s="4" t="n">
        <v>194450060810</v>
      </c>
    </row>
    <row r="29">
      <c r="A29" s="3" t="inlineStr">
        <is>
          <t>Dự phòng phải thu dài hạn</t>
        </is>
      </c>
      <c r="B29" s="4" t="n">
        <v>0</v>
      </c>
      <c r="C29" s="4" t="n">
        <v>0</v>
      </c>
      <c r="D29" s="4" t="n">
        <v>0</v>
      </c>
      <c r="E29" s="4" t="n">
        <v>0</v>
      </c>
    </row>
    <row r="30">
      <c r="A30" s="3" t="inlineStr">
        <is>
          <t>Tài sản cố định</t>
        </is>
      </c>
      <c r="B30" s="4" t="n">
        <v>847269560047</v>
      </c>
      <c r="C30" s="4" t="n">
        <v>1307637254001</v>
      </c>
      <c r="D30" s="4" t="n">
        <v>1445982801672</v>
      </c>
      <c r="E30" s="4" t="n">
        <v>1574317843107</v>
      </c>
    </row>
    <row r="31">
      <c r="A31" s="3" t="inlineStr">
        <is>
          <t>GTCL TSCĐ hữu hình</t>
        </is>
      </c>
      <c r="B31" s="4" t="n">
        <v>675128050014</v>
      </c>
      <c r="C31" s="4" t="n">
        <v>1079496087742</v>
      </c>
      <c r="D31" s="4" t="n">
        <v>1156676461871</v>
      </c>
      <c r="E31" s="4" t="n">
        <v>1196539820561</v>
      </c>
    </row>
    <row r="32">
      <c r="A32" s="3" t="inlineStr">
        <is>
          <t>Nguyên giá TSCĐ hữu hình</t>
        </is>
      </c>
      <c r="B32" s="4" t="n">
        <v>979182072742</v>
      </c>
      <c r="C32" s="4" t="n">
        <v>1608729339222</v>
      </c>
      <c r="D32" s="4" t="n">
        <v>1915183739839</v>
      </c>
      <c r="E32" s="4" t="n">
        <v>2285328752900</v>
      </c>
    </row>
    <row r="33">
      <c r="A33" s="3" t="inlineStr">
        <is>
          <t>Khấu hao lũy kế TSCĐ hữu hình</t>
        </is>
      </c>
      <c r="B33" s="4" t="n">
        <v>-304054022728</v>
      </c>
      <c r="C33" s="4" t="n">
        <v>-529233251480</v>
      </c>
      <c r="D33" s="4" t="n">
        <v>-758507277968</v>
      </c>
      <c r="E33" s="4" t="n">
        <v>-1088788932339</v>
      </c>
    </row>
    <row r="34">
      <c r="A34" s="3" t="inlineStr">
        <is>
          <t>GTCL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</row>
    <row r="35">
      <c r="A35" s="3" t="inlineStr">
        <is>
          <t>Nguyên giá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</row>
    <row r="36">
      <c r="A36" s="3" t="inlineStr">
        <is>
          <t>Khấu hao lũy kế tài sản thuê tài chính</t>
        </is>
      </c>
      <c r="B36" s="4" t="n">
        <v>0</v>
      </c>
      <c r="C36" s="4" t="n">
        <v>0</v>
      </c>
      <c r="D36" s="4" t="n">
        <v>0</v>
      </c>
      <c r="E36" s="4" t="n">
        <v>0</v>
      </c>
    </row>
    <row r="37">
      <c r="A37" s="3" t="inlineStr">
        <is>
          <t>GTCL tài sản cố định vô hình</t>
        </is>
      </c>
      <c r="B37" s="4" t="n">
        <v>172141510033</v>
      </c>
      <c r="C37" s="4" t="n">
        <v>228141166259</v>
      </c>
      <c r="D37" s="4" t="n">
        <v>289306339801</v>
      </c>
      <c r="E37" s="4" t="n">
        <v>377778022546</v>
      </c>
    </row>
    <row r="38">
      <c r="A38" s="3" t="inlineStr">
        <is>
          <t>Nguyên giá TSCĐ vô hình</t>
        </is>
      </c>
      <c r="B38" s="4" t="n">
        <v>183893578870</v>
      </c>
      <c r="C38" s="4" t="n">
        <v>255220010970</v>
      </c>
      <c r="D38" s="4" t="n">
        <v>348666597970</v>
      </c>
      <c r="E38" s="4" t="n">
        <v>495746297007</v>
      </c>
    </row>
    <row r="39">
      <c r="A39" s="3" t="inlineStr">
        <is>
          <t>Khấu hao lũy kế TSCĐ vô hình</t>
        </is>
      </c>
      <c r="B39" s="4" t="n">
        <v>-11752068837</v>
      </c>
      <c r="C39" s="4" t="n">
        <v>-27078844711</v>
      </c>
      <c r="D39" s="4" t="n">
        <v>-59360258169</v>
      </c>
      <c r="E39" s="4" t="n">
        <v>-117968274461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</row>
    <row r="41">
      <c r="A41" s="3" t="inlineStr">
        <is>
          <t>Giá trị ròng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</row>
    <row r="42">
      <c r="A42" s="3" t="inlineStr">
        <is>
          <t>Nguyên giá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</row>
    <row r="43">
      <c r="A43" s="3" t="inlineStr">
        <is>
          <t>Khấu hao lũy kế tài sản đầu tư</t>
        </is>
      </c>
      <c r="B43" s="4" t="n">
        <v>0</v>
      </c>
      <c r="C43" s="4" t="n">
        <v>0</v>
      </c>
      <c r="D43" s="4" t="n">
        <v>0</v>
      </c>
      <c r="E43" s="4" t="n">
        <v>0</v>
      </c>
    </row>
    <row r="44">
      <c r="A44" s="3" t="inlineStr">
        <is>
          <t>Đầu tư dài hạn</t>
        </is>
      </c>
      <c r="B44" s="4" t="n">
        <v>0</v>
      </c>
      <c r="C44" s="4" t="n">
        <v>0</v>
      </c>
      <c r="D44" s="4" t="n">
        <v>0</v>
      </c>
      <c r="E44" s="4" t="n">
        <v>0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</row>
    <row r="46">
      <c r="A46" s="3" t="inlineStr">
        <is>
          <t>Đầu tư vào các công ty liên kết</t>
        </is>
      </c>
      <c r="B46" s="4" t="n">
        <v>0</v>
      </c>
      <c r="C46" s="4" t="n">
        <v>0</v>
      </c>
      <c r="D46" s="4" t="n">
        <v>0</v>
      </c>
      <c r="E46" s="4" t="n">
        <v>0</v>
      </c>
    </row>
    <row r="47">
      <c r="A47" s="3" t="inlineStr">
        <is>
          <t>Đầu tư dài hạn khác</t>
        </is>
      </c>
      <c r="B47" s="4" t="n">
        <v>0</v>
      </c>
      <c r="C47" s="4" t="n">
        <v>0</v>
      </c>
      <c r="D47" s="4" t="n">
        <v>0</v>
      </c>
      <c r="E47" s="4" t="n">
        <v>0</v>
      </c>
    </row>
    <row r="48">
      <c r="A48" s="3" t="inlineStr">
        <is>
          <t>Dự phòng giảm giá đầu tư dài hạn</t>
        </is>
      </c>
      <c r="B48" s="4" t="n">
        <v>0</v>
      </c>
      <c r="C48" s="4" t="n">
        <v>0</v>
      </c>
      <c r="D48" s="4" t="n">
        <v>0</v>
      </c>
      <c r="E48" s="4" t="n">
        <v>0</v>
      </c>
    </row>
    <row r="49">
      <c r="A49" s="3" t="inlineStr">
        <is>
          <t>Lợi thế thương mại (trước 2015)</t>
        </is>
      </c>
      <c r="B49" s="4" t="n">
        <v>0</v>
      </c>
      <c r="C49" s="4" t="n">
        <v>0</v>
      </c>
      <c r="D49" s="4" t="n">
        <v>0</v>
      </c>
      <c r="E49" s="4" t="n">
        <v>0</v>
      </c>
    </row>
    <row r="50">
      <c r="A50" s="3" t="inlineStr">
        <is>
          <t>Tài sản dài hạn khác</t>
        </is>
      </c>
      <c r="B50" s="4" t="n">
        <v>177772171793</v>
      </c>
      <c r="C50" s="4" t="n">
        <v>195418574905</v>
      </c>
      <c r="D50" s="4" t="n">
        <v>169373442894</v>
      </c>
      <c r="E50" s="4" t="n">
        <v>157004126788</v>
      </c>
    </row>
    <row r="51">
      <c r="A51" s="3" t="inlineStr">
        <is>
          <t>Trả trước dài hạn</t>
        </is>
      </c>
      <c r="B51" s="4" t="n">
        <v>177766571925</v>
      </c>
      <c r="C51" s="4" t="n">
        <v>195418574905</v>
      </c>
      <c r="D51" s="4" t="n">
        <v>169373442894</v>
      </c>
      <c r="E51" s="4" t="n">
        <v>157004126788</v>
      </c>
    </row>
    <row r="52">
      <c r="A52" s="3" t="inlineStr">
        <is>
          <t>Thuế thu nhập hoãn lại</t>
        </is>
      </c>
      <c r="B52" s="4" t="n">
        <v>0</v>
      </c>
      <c r="C52" s="4" t="n">
        <v>14902586</v>
      </c>
      <c r="D52" s="4" t="n">
        <v>31681844</v>
      </c>
      <c r="E52" s="4" t="n">
        <v>31681844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</row>
    <row r="54">
      <c r="A54" s="3" t="inlineStr">
        <is>
          <t>TỔNG CỘNG TÀI SẢN</t>
        </is>
      </c>
      <c r="B54" s="4" t="n">
        <v>10523796935046</v>
      </c>
      <c r="C54" s="4" t="n">
        <v>13098449902604</v>
      </c>
      <c r="D54" s="4" t="n">
        <v>15832550399101</v>
      </c>
      <c r="E54" s="4" t="n">
        <v>23714236170376</v>
      </c>
    </row>
    <row r="55">
      <c r="A55" s="3" t="inlineStr">
        <is>
          <t>NỢ PHẢI TRẢ</t>
        </is>
      </c>
      <c r="B55" s="4" t="n">
        <v>8474461394877</v>
      </c>
      <c r="C55" s="4" t="n">
        <v>11379279324447</v>
      </c>
      <c r="D55" s="4" t="n">
        <v>13712736684773</v>
      </c>
      <c r="E55" s="4" t="n">
        <v>18575165477143</v>
      </c>
    </row>
    <row r="56">
      <c r="A56" s="3" t="inlineStr">
        <is>
          <t>Nợ ngắn hạn</t>
        </is>
      </c>
      <c r="B56" s="4" t="n">
        <v>8474374694877</v>
      </c>
      <c r="C56" s="4" t="n">
        <v>11378723422861</v>
      </c>
      <c r="D56" s="4" t="n">
        <v>13712183502929</v>
      </c>
      <c r="E56" s="4" t="n">
        <v>18574474295299</v>
      </c>
    </row>
    <row r="57">
      <c r="A57" s="3" t="inlineStr">
        <is>
          <t>Vay ngắn hạn</t>
        </is>
      </c>
      <c r="B57" s="4" t="n">
        <v>5363331144812</v>
      </c>
      <c r="C57" s="4" t="n">
        <v>8108271528775</v>
      </c>
      <c r="D57" s="4" t="n">
        <v>8800349446066</v>
      </c>
      <c r="E57" s="4" t="n">
        <v>10051507915817</v>
      </c>
    </row>
    <row r="58">
      <c r="A58" s="3" t="inlineStr">
        <is>
          <t>Phải trả người bán</t>
        </is>
      </c>
      <c r="B58" s="4" t="n">
        <v>2307356375016</v>
      </c>
      <c r="C58" s="4" t="n">
        <v>2274331043145</v>
      </c>
      <c r="D58" s="4" t="n">
        <v>3202439604461</v>
      </c>
      <c r="E58" s="4" t="n">
        <v>5995965425047</v>
      </c>
    </row>
    <row r="59">
      <c r="A59" s="3" t="inlineStr">
        <is>
          <t>Người mua trả tiền trước</t>
        </is>
      </c>
      <c r="B59" s="4" t="n">
        <v>34974952041</v>
      </c>
      <c r="C59" s="4" t="n">
        <v>23463598041</v>
      </c>
      <c r="D59" s="4" t="n">
        <v>37870117550</v>
      </c>
      <c r="E59" s="4" t="n">
        <v>61615375012</v>
      </c>
    </row>
    <row r="60">
      <c r="A60" s="3" t="inlineStr">
        <is>
          <t>Thuế và các khoản phải trả Nhà nước</t>
        </is>
      </c>
      <c r="B60" s="4" t="n">
        <v>3120462679</v>
      </c>
      <c r="C60" s="4" t="n">
        <v>39713137523</v>
      </c>
      <c r="D60" s="4" t="n">
        <v>124543935725</v>
      </c>
      <c r="E60" s="4" t="n">
        <v>244716064984</v>
      </c>
    </row>
    <row r="61">
      <c r="A61" s="3" t="inlineStr">
        <is>
          <t>Phải trả người lao động</t>
        </is>
      </c>
      <c r="B61" s="4" t="n">
        <v>535694930652</v>
      </c>
      <c r="C61" s="4" t="n">
        <v>669094486391</v>
      </c>
      <c r="D61" s="4" t="n">
        <v>1034444152158</v>
      </c>
      <c r="E61" s="4" t="n">
        <v>1331638783393</v>
      </c>
    </row>
    <row r="62">
      <c r="A62" s="3" t="inlineStr">
        <is>
          <t>Chi phí phải trả</t>
        </is>
      </c>
      <c r="B62" s="4" t="n">
        <v>103346666037</v>
      </c>
      <c r="C62" s="4" t="n">
        <v>125947493296</v>
      </c>
      <c r="D62" s="4" t="n">
        <v>194907134412</v>
      </c>
      <c r="E62" s="4" t="n">
        <v>281753290017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</row>
    <row r="64">
      <c r="A64" s="3" t="inlineStr">
        <is>
          <t>Phải trả về xây dựng cơ bản</t>
        </is>
      </c>
      <c r="B64" s="4" t="n">
        <v>0</v>
      </c>
      <c r="C64" s="4" t="n">
        <v>0</v>
      </c>
      <c r="D64" s="4" t="n">
        <v>0</v>
      </c>
      <c r="E64" s="4" t="n">
        <v>0</v>
      </c>
    </row>
    <row r="65">
      <c r="A65" s="3" t="inlineStr">
        <is>
          <t>Phải trả khác</t>
        </is>
      </c>
      <c r="B65" s="4" t="n">
        <v>112206340770</v>
      </c>
      <c r="C65" s="4" t="n">
        <v>113315953611</v>
      </c>
      <c r="D65" s="4" t="n">
        <v>89015814529</v>
      </c>
      <c r="E65" s="4" t="n">
        <v>94765132430</v>
      </c>
    </row>
    <row r="66">
      <c r="A66" s="3" t="inlineStr">
        <is>
          <t>Dự phòng các khoản phải trả ngắn hạn</t>
        </is>
      </c>
      <c r="B66" s="4" t="n">
        <v>0</v>
      </c>
      <c r="C66" s="4" t="n">
        <v>303659660</v>
      </c>
      <c r="D66" s="4" t="n">
        <v>2956037244</v>
      </c>
      <c r="E66" s="4" t="n">
        <v>5828163047</v>
      </c>
    </row>
    <row r="67">
      <c r="A67" s="3" t="inlineStr">
        <is>
          <t>Quỹ khen thưởng, phúc lợi</t>
        </is>
      </c>
      <c r="B67" s="4" t="n">
        <v>14021497597</v>
      </c>
      <c r="C67" s="4" t="n">
        <v>10677497597</v>
      </c>
      <c r="D67" s="4" t="n">
        <v>5733824194</v>
      </c>
      <c r="E67" s="4" t="n">
        <v>8178120854</v>
      </c>
    </row>
    <row r="68">
      <c r="A68" s="3" t="inlineStr">
        <is>
          <t>Nợ dài hạn</t>
        </is>
      </c>
      <c r="B68" s="4" t="n">
        <v>86700000</v>
      </c>
      <c r="C68" s="4" t="n">
        <v>555901586</v>
      </c>
      <c r="D68" s="4" t="n">
        <v>553181844</v>
      </c>
      <c r="E68" s="4" t="n">
        <v>691181844</v>
      </c>
    </row>
    <row r="69">
      <c r="A69" s="3" t="inlineStr">
        <is>
          <t>Phải trả nhà cung cấp dài hạn</t>
        </is>
      </c>
      <c r="B69" s="4" t="n">
        <v>0</v>
      </c>
      <c r="C69" s="4" t="n">
        <v>0</v>
      </c>
      <c r="D69" s="4" t="n">
        <v>0</v>
      </c>
      <c r="E69" s="4" t="n">
        <v>0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</row>
    <row r="71">
      <c r="A71" s="3" t="inlineStr">
        <is>
          <t>Phải trả dài hạn khác</t>
        </is>
      </c>
      <c r="B71" s="4" t="n">
        <v>86700000</v>
      </c>
      <c r="C71" s="4" t="n">
        <v>540999000</v>
      </c>
      <c r="D71" s="4" t="n">
        <v>521500000</v>
      </c>
      <c r="E71" s="4" t="n">
        <v>659500000</v>
      </c>
    </row>
    <row r="72">
      <c r="A72" s="3" t="inlineStr">
        <is>
          <t>Vay dài hạn</t>
        </is>
      </c>
      <c r="B72" s="4" t="n">
        <v>0</v>
      </c>
      <c r="C72" s="4" t="n">
        <v>0</v>
      </c>
      <c r="D72" s="4" t="n">
        <v>0</v>
      </c>
      <c r="E72" s="4" t="n">
        <v>0</v>
      </c>
    </row>
    <row r="73">
      <c r="A73" s="3" t="inlineStr">
        <is>
          <t>Thuế thu nhập hoãn lại</t>
        </is>
      </c>
      <c r="B73" s="4" t="n">
        <v>0</v>
      </c>
      <c r="C73" s="4" t="n">
        <v>14902586</v>
      </c>
      <c r="D73" s="4" t="n">
        <v>31681844</v>
      </c>
      <c r="E73" s="4" t="n">
        <v>31681844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</row>
    <row r="75">
      <c r="A75" s="3" t="inlineStr">
        <is>
          <t>Dự phòng các khoản nợ dài hạn</t>
        </is>
      </c>
      <c r="B75" s="4" t="n">
        <v>0</v>
      </c>
      <c r="C75" s="4" t="n">
        <v>0</v>
      </c>
      <c r="D75" s="4" t="n">
        <v>0</v>
      </c>
      <c r="E75" s="4" t="n">
        <v>0</v>
      </c>
    </row>
    <row r="76">
      <c r="A76" s="3" t="inlineStr">
        <is>
          <t>Doanh thu chưa thực hiện</t>
        </is>
      </c>
      <c r="B76" s="4" t="n">
        <v>0</v>
      </c>
      <c r="C76" s="4" t="n">
        <v>0</v>
      </c>
      <c r="D76" s="4" t="n">
        <v>0</v>
      </c>
      <c r="E76" s="4" t="n">
        <v>0</v>
      </c>
    </row>
    <row r="77">
      <c r="A77" s="3" t="inlineStr">
        <is>
          <t>Quỹ phát triển khoa học công nghệ</t>
        </is>
      </c>
      <c r="B77" s="4" t="n">
        <v>0</v>
      </c>
      <c r="C77" s="4" t="n">
        <v>0</v>
      </c>
      <c r="D77" s="4" t="n">
        <v>0</v>
      </c>
      <c r="E77" s="4" t="n">
        <v>0</v>
      </c>
    </row>
    <row r="78">
      <c r="A78" s="3" t="inlineStr">
        <is>
          <t>Vốn chủ sở hữu</t>
        </is>
      </c>
      <c r="B78" s="4" t="n">
        <v>2049335540169</v>
      </c>
      <c r="C78" s="4" t="n">
        <v>1719170578157</v>
      </c>
      <c r="D78" s="4" t="n">
        <v>2119813714328</v>
      </c>
      <c r="E78" s="4" t="n">
        <v>5139070693233</v>
      </c>
    </row>
    <row r="79">
      <c r="A79" s="3" t="inlineStr">
        <is>
          <t>Vốn và các quỹ</t>
        </is>
      </c>
      <c r="B79" s="4" t="n">
        <v>2049335540169</v>
      </c>
      <c r="C79" s="4" t="n">
        <v>1719170578157</v>
      </c>
      <c r="D79" s="4" t="n">
        <v>2119813714328</v>
      </c>
      <c r="E79" s="4" t="n">
        <v>5139070693233</v>
      </c>
    </row>
    <row r="80">
      <c r="A80" s="3" t="inlineStr">
        <is>
          <t>Vốn góp</t>
        </is>
      </c>
      <c r="B80" s="4" t="n">
        <v>1184725350000</v>
      </c>
      <c r="C80" s="4" t="n">
        <v>1362423890000</v>
      </c>
      <c r="D80" s="4" t="n">
        <v>1362423890000</v>
      </c>
      <c r="E80" s="4" t="n">
        <v>1703017850000</v>
      </c>
    </row>
    <row r="81">
      <c r="A81" s="3" t="inlineStr">
        <is>
          <t>Thặng dư vốn cổ phần</t>
        </is>
      </c>
      <c r="B81" s="4" t="n">
        <v>0</v>
      </c>
      <c r="C81" s="4" t="n">
        <v>0</v>
      </c>
      <c r="D81" s="4" t="n">
        <v>0</v>
      </c>
      <c r="E81" s="4" t="n">
        <v>0</v>
      </c>
    </row>
    <row r="82">
      <c r="A82" s="3" t="inlineStr">
        <is>
          <t>Vốn khác</t>
        </is>
      </c>
      <c r="B82" s="4" t="n">
        <v>0</v>
      </c>
      <c r="C82" s="4" t="n">
        <v>0</v>
      </c>
      <c r="D82" s="4" t="n">
        <v>0</v>
      </c>
      <c r="E82" s="4" t="n">
        <v>0</v>
      </c>
    </row>
    <row r="83">
      <c r="A83" s="3" t="inlineStr">
        <is>
          <t>Cổ phiếu quỹ</t>
        </is>
      </c>
      <c r="B83" s="4" t="n">
        <v>0</v>
      </c>
      <c r="C83" s="4" t="n">
        <v>0</v>
      </c>
      <c r="D83" s="4" t="n">
        <v>0</v>
      </c>
      <c r="E83" s="4" t="n">
        <v>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</row>
    <row r="85">
      <c r="A85" s="3" t="inlineStr">
        <is>
          <t>Chênh lệch tỷ giá</t>
        </is>
      </c>
      <c r="B85" s="4" t="n">
        <v>0</v>
      </c>
      <c r="C85" s="4" t="n">
        <v>0</v>
      </c>
      <c r="D85" s="4" t="n">
        <v>0</v>
      </c>
      <c r="E85" s="4" t="n">
        <v>0</v>
      </c>
    </row>
    <row r="86">
      <c r="A86" s="3" t="inlineStr">
        <is>
          <t>Quỹ đầu tư và phát triển</t>
        </is>
      </c>
      <c r="B86" s="4" t="n">
        <v>0</v>
      </c>
      <c r="C86" s="4" t="n">
        <v>0</v>
      </c>
      <c r="D86" s="4" t="n">
        <v>0</v>
      </c>
      <c r="E86" s="4" t="n">
        <v>0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</row>
    <row r="88">
      <c r="A88" s="3" t="inlineStr">
        <is>
          <t>Quỹ khác</t>
        </is>
      </c>
      <c r="B88" s="4" t="n">
        <v>0</v>
      </c>
      <c r="C88" s="4" t="n">
        <v>0</v>
      </c>
      <c r="D88" s="4" t="n">
        <v>0</v>
      </c>
      <c r="E88" s="4" t="n">
        <v>0</v>
      </c>
    </row>
    <row r="89">
      <c r="A89" s="3" t="inlineStr">
        <is>
          <t>Lãi chưa phân phối</t>
        </is>
      </c>
      <c r="B89" s="4" t="n">
        <v>823505616594</v>
      </c>
      <c r="C89" s="4" t="n">
        <v>236832252322</v>
      </c>
      <c r="D89" s="4" t="n">
        <v>549386390157</v>
      </c>
      <c r="E89" s="4" t="n">
        <v>2468442850502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</row>
    <row r="91">
      <c r="A91" s="3" t="inlineStr">
        <is>
          <t>Vốn Ngân sách nhà nước và quỹ khác</t>
        </is>
      </c>
      <c r="B91" s="4" t="n">
        <v>0</v>
      </c>
      <c r="C91" s="4" t="n">
        <v>0</v>
      </c>
      <c r="D91" s="4" t="n">
        <v>0</v>
      </c>
      <c r="E91" s="4" t="n">
        <v>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</row>
    <row r="93">
      <c r="A93" s="3" t="inlineStr">
        <is>
          <t>Vốn ngân sách nhà nước và quỹ khác</t>
        </is>
      </c>
      <c r="B93" s="4" t="n">
        <v>0</v>
      </c>
      <c r="C93" s="4" t="n">
        <v>0</v>
      </c>
      <c r="D93" s="4" t="n">
        <v>0</v>
      </c>
      <c r="E93" s="4" t="n">
        <v>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</row>
    <row r="95">
      <c r="A95" s="3" t="inlineStr">
        <is>
          <t>Tổng cộng nguồn vốn</t>
        </is>
      </c>
      <c r="B95" s="4" t="n">
        <v>10523796935046</v>
      </c>
      <c r="C95" s="4" t="n">
        <v>13098449902604</v>
      </c>
      <c r="D95" s="4" t="n">
        <v>15832550399101</v>
      </c>
      <c r="E95" s="4" t="n">
        <v>23714236170376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</row>
    <row r="97">
      <c r="A97" s="3" t="inlineStr">
        <is>
          <t>Đầu tư nắm giữ đến ngày đáo hạn</t>
        </is>
      </c>
      <c r="B97" s="4" t="n">
        <v>0</v>
      </c>
      <c r="C97" s="4" t="n">
        <v>0</v>
      </c>
      <c r="D97" s="4" t="n">
        <v>0</v>
      </c>
      <c r="E97" s="4" t="n">
        <v>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</row>
    <row r="99">
      <c r="A99" s="3" t="inlineStr">
        <is>
          <t>Tài sản thiếu cần xử lý</t>
        </is>
      </c>
      <c r="B99" s="4" t="n">
        <v>0</v>
      </c>
      <c r="C99" s="4" t="n">
        <v>0</v>
      </c>
      <c r="D99" s="4" t="n">
        <v>0</v>
      </c>
      <c r="E99" s="4" t="n">
        <v>0</v>
      </c>
    </row>
    <row r="100">
      <c r="A100" s="3" t="inlineStr">
        <is>
          <t>Phải thu cho vay ngắn hạn</t>
        </is>
      </c>
      <c r="B100" s="4" t="n">
        <v>40000000000</v>
      </c>
      <c r="C100" s="4" t="n">
        <v>0</v>
      </c>
      <c r="D100" s="4" t="n">
        <v>0</v>
      </c>
      <c r="E100" s="4" t="n">
        <v>0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0</v>
      </c>
      <c r="D102" s="4" t="n">
        <v>0</v>
      </c>
      <c r="E102" s="4" t="n">
        <v>0</v>
      </c>
    </row>
    <row r="103">
      <c r="A103" s="3" t="inlineStr">
        <is>
          <t>Phải thu cho vay dài hạn</t>
        </is>
      </c>
      <c r="B103" s="4" t="n">
        <v>0</v>
      </c>
      <c r="C103" s="4" t="n">
        <v>0</v>
      </c>
      <c r="D103" s="4" t="n">
        <v>0</v>
      </c>
      <c r="E103" s="4" t="n">
        <v>0</v>
      </c>
    </row>
    <row r="104">
      <c r="A104" s="3" t="inlineStr">
        <is>
          <t>Tài sản dở dang dài hạn</t>
        </is>
      </c>
      <c r="B104" s="4" t="n">
        <v>1795608000</v>
      </c>
      <c r="C104" s="4" t="n">
        <v>770956800</v>
      </c>
      <c r="D104" s="4" t="n">
        <v>8230000000</v>
      </c>
      <c r="E104" s="4" t="n">
        <v>1411954000</v>
      </c>
    </row>
    <row r="105">
      <c r="A105" s="3" t="inlineStr">
        <is>
          <t>Chi phí sản xuất, kinh doanh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</row>
    <row r="106">
      <c r="A106" s="3" t="inlineStr">
        <is>
          <t>Đầu tư nắm giữ đến ngày đáo hạn</t>
        </is>
      </c>
      <c r="B106" s="4" t="n">
        <v>0</v>
      </c>
      <c r="C106" s="4" t="n">
        <v>0</v>
      </c>
      <c r="D106" s="4" t="n">
        <v>0</v>
      </c>
      <c r="E106" s="4" t="n">
        <v>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</row>
    <row r="108">
      <c r="A108" s="3" t="inlineStr">
        <is>
          <t>Doanh thu chưa thực hiện ngắn hạn</t>
        </is>
      </c>
      <c r="B108" s="4" t="n">
        <v>322325273</v>
      </c>
      <c r="C108" s="4" t="n">
        <v>13605024822</v>
      </c>
      <c r="D108" s="4" t="n">
        <v>219923436590</v>
      </c>
      <c r="E108" s="4" t="n">
        <v>498506024698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</row>
    <row r="112">
      <c r="A112" s="3" t="inlineStr">
        <is>
          <t>Chi phí phải trả dài hạn</t>
        </is>
      </c>
      <c r="B112" s="4" t="n">
        <v>0</v>
      </c>
      <c r="C112" s="4" t="n">
        <v>0</v>
      </c>
      <c r="D112" s="4" t="n">
        <v>0</v>
      </c>
      <c r="E112" s="4" t="n">
        <v>0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</row>
    <row r="115">
      <c r="A115" s="3" t="inlineStr">
        <is>
          <t>Cổ phiếu ưu đãi</t>
        </is>
      </c>
      <c r="B115" s="4" t="n">
        <v>0</v>
      </c>
      <c r="C115" s="4" t="n">
        <v>0</v>
      </c>
      <c r="D115" s="4" t="n">
        <v>0</v>
      </c>
      <c r="E115" s="4" t="n">
        <v>0</v>
      </c>
    </row>
    <row r="116">
      <c r="A116" s="3" t="inlineStr">
        <is>
          <t>Cổ phiếu phổ thông</t>
        </is>
      </c>
      <c r="B116" s="4" t="n">
        <v>1184725350000</v>
      </c>
      <c r="C116" s="4" t="n">
        <v>1362423890000</v>
      </c>
      <c r="D116" s="4" t="n">
        <v>1362423890000</v>
      </c>
      <c r="E116" s="4" t="n">
        <v>1703017850000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</row>
    <row r="118">
      <c r="A118" s="3" t="inlineStr">
        <is>
          <t>LNST chưa phân phối lũy kế đến cuối kỳ trước</t>
        </is>
      </c>
      <c r="B118" s="4" t="n">
        <v>437992070152</v>
      </c>
      <c r="C118" s="4" t="n">
        <v>586570809094</v>
      </c>
      <c r="D118" s="4" t="n">
        <v>236975520956</v>
      </c>
      <c r="E118" s="4" t="n">
        <v>197121393961</v>
      </c>
    </row>
    <row r="119">
      <c r="A119" s="3" t="inlineStr">
        <is>
          <t>LNST chưa phân phối kỳ này</t>
        </is>
      </c>
      <c r="B119" s="4" t="n">
        <v>385513546442</v>
      </c>
      <c r="C119" s="4" t="n">
        <v>-349738556772</v>
      </c>
      <c r="D119" s="4" t="n">
        <v>312410869201</v>
      </c>
      <c r="E119" s="4" t="n">
        <v>2271321456541</v>
      </c>
    </row>
    <row r="120">
      <c r="A120" s="3" t="inlineStr">
        <is>
          <t>Xây dựng cơ bản đang dở dang</t>
        </is>
      </c>
      <c r="B120" s="4" t="n">
        <v>1795608000</v>
      </c>
      <c r="C120" s="4" t="n">
        <v>770956800</v>
      </c>
      <c r="D120" s="4" t="n">
        <v>8230000000</v>
      </c>
      <c r="E120" s="4" t="n">
        <v>1411954000</v>
      </c>
    </row>
    <row r="121">
      <c r="A121" s="3" t="inlineStr">
        <is>
          <t>Lợi thế thương mại</t>
        </is>
      </c>
      <c r="B121" s="4" t="n">
        <v>0</v>
      </c>
      <c r="C121" s="4" t="n">
        <v>0</v>
      </c>
      <c r="D121" s="4" t="n">
        <v>0</v>
      </c>
      <c r="E121" s="4" t="n">
        <v>0</v>
      </c>
    </row>
    <row r="122">
      <c r="A122" s="3" t="inlineStr">
        <is>
          <t>Lợi ích cổ đông không kiểm soát</t>
        </is>
      </c>
      <c r="B122" s="4" t="n">
        <v>41104573575</v>
      </c>
      <c r="C122" s="4" t="n">
        <v>119914435835</v>
      </c>
      <c r="D122" s="4" t="n">
        <v>208003434171</v>
      </c>
      <c r="E122" s="4" t="n">
        <v>967609992731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30276710796279</v>
      </c>
      <c r="C2" s="4" t="n">
        <v>31975613596365</v>
      </c>
      <c r="D2" s="4" t="n">
        <v>40241629282059</v>
      </c>
      <c r="E2" s="4" t="n">
        <v>51232049640567</v>
      </c>
    </row>
    <row r="3">
      <c r="A3" s="3" t="inlineStr">
        <is>
          <t>Các khoản giảm trừ doanh thu</t>
        </is>
      </c>
      <c r="B3" s="4" t="n">
        <v>-110910039609</v>
      </c>
      <c r="C3" s="4" t="n">
        <v>-125963979645</v>
      </c>
      <c r="D3" s="4" t="n">
        <v>-137136750875</v>
      </c>
      <c r="E3" s="4" t="n">
        <v>-149181195799</v>
      </c>
    </row>
    <row r="4">
      <c r="A4" s="3" t="inlineStr">
        <is>
          <t>Doanh thu thuần</t>
        </is>
      </c>
      <c r="B4" s="4" t="n">
        <v>30165800756670</v>
      </c>
      <c r="C4" s="4" t="n">
        <v>31849649616720</v>
      </c>
      <c r="D4" s="4" t="n">
        <v>40104492531184</v>
      </c>
      <c r="E4" s="4" t="n">
        <v>51082868444768</v>
      </c>
    </row>
    <row r="5">
      <c r="A5" s="3" t="inlineStr">
        <is>
          <t>Giá vốn hàng bán</t>
        </is>
      </c>
      <c r="B5" s="4" t="n">
        <v>-25462623377413</v>
      </c>
      <c r="C5" s="4" t="n">
        <v>-26688006159054</v>
      </c>
      <c r="D5" s="4" t="n">
        <v>-32521431587237</v>
      </c>
      <c r="E5" s="4" t="n">
        <v>-41073163986683</v>
      </c>
    </row>
    <row r="6">
      <c r="A6" s="3" t="inlineStr">
        <is>
          <t>Lợi nhuận gộp</t>
        </is>
      </c>
      <c r="B6" s="4" t="n">
        <v>4703177379257</v>
      </c>
      <c r="C6" s="4" t="n">
        <v>5161643457666</v>
      </c>
      <c r="D6" s="4" t="n">
        <v>7583060943947</v>
      </c>
      <c r="E6" s="4" t="n">
        <v>10009704458085</v>
      </c>
    </row>
    <row r="7">
      <c r="A7" s="3" t="inlineStr">
        <is>
          <t>Doanh thu hoạt động tài chính</t>
        </is>
      </c>
      <c r="B7" s="4" t="n">
        <v>173746497842</v>
      </c>
      <c r="C7" s="4" t="n">
        <v>80257624527</v>
      </c>
      <c r="D7" s="4" t="n">
        <v>106913298138</v>
      </c>
      <c r="E7" s="4" t="n">
        <v>287764741779</v>
      </c>
    </row>
    <row r="8">
      <c r="A8" s="3" t="inlineStr">
        <is>
          <t>Chi phí tài chính</t>
        </is>
      </c>
      <c r="B8" s="4" t="n">
        <v>-256319530992</v>
      </c>
      <c r="C8" s="4" t="n">
        <v>-292262559450</v>
      </c>
      <c r="D8" s="4" t="n">
        <v>-253792623553</v>
      </c>
      <c r="E8" s="4" t="n">
        <v>-388683187751</v>
      </c>
    </row>
    <row r="9">
      <c r="A9" s="3" t="inlineStr">
        <is>
          <t>Chi phí lãi vay</t>
        </is>
      </c>
      <c r="B9" s="4" t="n">
        <v>-231527904809</v>
      </c>
      <c r="C9" s="4" t="n">
        <v>-284917373606</v>
      </c>
      <c r="D9" s="4" t="n">
        <v>-253428831252</v>
      </c>
      <c r="E9" s="4" t="n">
        <v>-388595922369</v>
      </c>
    </row>
    <row r="10">
      <c r="A10" s="3" t="inlineStr">
        <is>
          <t>Chi phí bán hàng</t>
        </is>
      </c>
      <c r="B10" s="4" t="n">
        <v>-3259297597681</v>
      </c>
      <c r="C10" s="4" t="n">
        <v>-4169668799072</v>
      </c>
      <c r="D10" s="4" t="n">
        <v>-5527210989725</v>
      </c>
      <c r="E10" s="4" t="n">
        <v>-7018206246026</v>
      </c>
    </row>
    <row r="11">
      <c r="A11" s="3" t="inlineStr">
        <is>
          <t>Chi phí quản lý doanh nghiệp</t>
        </is>
      </c>
      <c r="B11" s="4" t="n">
        <v>-887338884656</v>
      </c>
      <c r="C11" s="4" t="n">
        <v>-1076478805719</v>
      </c>
      <c r="D11" s="4" t="n">
        <v>-1365833850070</v>
      </c>
      <c r="E11" s="4" t="n">
        <v>-1677744619772</v>
      </c>
    </row>
    <row r="12">
      <c r="A12" s="3" t="inlineStr">
        <is>
          <t>Lãi/(lỗ) từ hoạt động kinh doanh</t>
        </is>
      </c>
      <c r="B12" s="4" t="n">
        <v>473967863770</v>
      </c>
      <c r="C12" s="4" t="n">
        <v>-296509082048</v>
      </c>
      <c r="D12" s="4" t="n">
        <v>543136778737</v>
      </c>
      <c r="E12" s="4" t="n">
        <v>1212835146315</v>
      </c>
    </row>
    <row r="13">
      <c r="A13" s="3" t="inlineStr">
        <is>
          <t>Thu nhập khác</t>
        </is>
      </c>
      <c r="B13" s="4" t="n">
        <v>16254109001</v>
      </c>
      <c r="C13" s="4" t="n">
        <v>22062244997</v>
      </c>
      <c r="D13" s="4" t="n">
        <v>24090237620</v>
      </c>
      <c r="E13" s="4" t="n">
        <v>29912692698</v>
      </c>
    </row>
    <row r="14">
      <c r="A14" s="3" t="inlineStr">
        <is>
          <t>Chi phí khác</t>
        </is>
      </c>
      <c r="B14" s="4" t="n">
        <v>-4598558802</v>
      </c>
      <c r="C14" s="4" t="n">
        <v>-19734846239</v>
      </c>
      <c r="D14" s="4" t="n">
        <v>-40269928171</v>
      </c>
      <c r="E14" s="4" t="n">
        <v>-23630336340</v>
      </c>
    </row>
    <row r="15">
      <c r="A15" s="3" t="inlineStr">
        <is>
          <t>Thu nhập khác, ròng</t>
        </is>
      </c>
      <c r="B15" s="4" t="n">
        <v>11655550199</v>
      </c>
      <c r="C15" s="4" t="n">
        <v>2327398758</v>
      </c>
      <c r="D15" s="4" t="n">
        <v>-16179690551</v>
      </c>
      <c r="E15" s="4" t="n">
        <v>6282356358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</row>
    <row r="17">
      <c r="A17" s="3" t="inlineStr">
        <is>
          <t>Lãi/(lỗ) trước thuế</t>
        </is>
      </c>
      <c r="B17" s="4" t="n">
        <v>485623413969</v>
      </c>
      <c r="C17" s="4" t="n">
        <v>-294181683290</v>
      </c>
      <c r="D17" s="4" t="n">
        <v>526957088186</v>
      </c>
      <c r="E17" s="4" t="n">
        <v>1219117502673</v>
      </c>
    </row>
    <row r="18">
      <c r="A18" s="3" t="inlineStr">
        <is>
          <t>Thuế thu nhập doanh nghiệp - hiện thời</t>
        </is>
      </c>
      <c r="B18" s="4" t="n">
        <v>-86686691655</v>
      </c>
      <c r="C18" s="4" t="n">
        <v>-34994338768</v>
      </c>
      <c r="D18" s="4" t="n">
        <v>-118526676650</v>
      </c>
      <c r="E18" s="4" t="n">
        <v>-234877775599</v>
      </c>
    </row>
    <row r="19">
      <c r="A19" s="3" t="inlineStr">
        <is>
          <t>Thuế thu nhập doanh nghiệp - hoãn lại</t>
        </is>
      </c>
      <c r="B19" s="4" t="n">
        <v>-862524906</v>
      </c>
      <c r="C19" s="4" t="n">
        <v>-20502454</v>
      </c>
      <c r="D19" s="4" t="n">
        <v>-16779258</v>
      </c>
      <c r="E19" s="4" t="n">
        <v>0</v>
      </c>
    </row>
    <row r="20">
      <c r="A20" s="3" t="inlineStr">
        <is>
          <t>Chi phí thuế thu nhập doanh nghiệp</t>
        </is>
      </c>
      <c r="B20" s="4" t="n">
        <v>-87549216561</v>
      </c>
      <c r="C20" s="4" t="n">
        <v>-35014841222</v>
      </c>
      <c r="D20" s="4" t="n">
        <v>-118543455908</v>
      </c>
      <c r="E20" s="4" t="n">
        <v>-234877775599</v>
      </c>
    </row>
    <row r="21">
      <c r="A21" s="3" t="inlineStr">
        <is>
          <t>Lãi/(lỗ) thuần sau thuế</t>
        </is>
      </c>
      <c r="B21" s="4" t="n">
        <v>398074197408</v>
      </c>
      <c r="C21" s="4" t="n">
        <v>-329196524512</v>
      </c>
      <c r="D21" s="4" t="n">
        <v>408413632278</v>
      </c>
      <c r="E21" s="4" t="n">
        <v>984239727074</v>
      </c>
    </row>
    <row r="22">
      <c r="A22" s="3" t="inlineStr">
        <is>
          <t>Lợi ích của cổ đông thiểu số</t>
        </is>
      </c>
      <c r="B22" s="4" t="n">
        <v>7713342831</v>
      </c>
      <c r="C22" s="4" t="n">
        <v>16446964816</v>
      </c>
      <c r="D22" s="4" t="n">
        <v>90897366661</v>
      </c>
      <c r="E22" s="4" t="n">
        <v>189374783523</v>
      </c>
    </row>
    <row r="23">
      <c r="A23" s="3" t="inlineStr">
        <is>
          <t>Lợi nhuận của Cổ đông của Công ty mẹ</t>
        </is>
      </c>
      <c r="B23" s="4" t="n">
        <v>390360854577</v>
      </c>
      <c r="C23" s="4" t="n">
        <v>-345643489328</v>
      </c>
      <c r="D23" s="4" t="n">
        <v>317516265617</v>
      </c>
      <c r="E23" s="4" t="n">
        <v>794864943551</v>
      </c>
    </row>
    <row r="24">
      <c r="A24" s="3" t="inlineStr">
        <is>
          <t>Lãi cơ bản trên cổ phiếu (VND)</t>
        </is>
      </c>
      <c r="B24" s="4" t="n">
        <v>2865</v>
      </c>
      <c r="C24" s="4" t="n">
        <v>-2537</v>
      </c>
      <c r="D24" s="4" t="n">
        <v>2293</v>
      </c>
      <c r="E24" s="4" t="n">
        <v>4653</v>
      </c>
    </row>
    <row r="25">
      <c r="A25" s="3" t="inlineStr">
        <is>
          <t>Lãi trên cổ phiếu pha loãng (VND)</t>
        </is>
      </c>
      <c r="B25" s="4" t="n">
        <v>2865</v>
      </c>
      <c r="C25" s="4" t="n">
        <v>-2537</v>
      </c>
      <c r="D25" s="4" t="n">
        <v>2293</v>
      </c>
      <c r="E25" s="4" t="n">
        <v>4653</v>
      </c>
    </row>
    <row r="26">
      <c r="A26" s="3" t="inlineStr">
        <is>
          <t>Lãi/(lỗ) từ công ty liên doanh (từ năm 2015)</t>
        </is>
      </c>
      <c r="B26" s="4" t="n">
        <v>0</v>
      </c>
      <c r="C26" s="4" t="n">
        <v>0</v>
      </c>
      <c r="D26" s="4" t="n">
        <v>0</v>
      </c>
      <c r="E2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9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485623413969</v>
      </c>
      <c r="C2" s="4" t="n">
        <v>-294181683290</v>
      </c>
      <c r="D2" s="4" t="n">
        <v>526957088186</v>
      </c>
      <c r="E2" s="4" t="n">
        <v>1219117502673</v>
      </c>
    </row>
    <row r="3">
      <c r="A3" s="3" t="inlineStr">
        <is>
          <t>Khấu hao TSCĐ và BĐSĐT</t>
        </is>
      </c>
      <c r="B3" s="4" t="n">
        <v>115286135177</v>
      </c>
      <c r="C3" s="4" t="n">
        <v>233071988505</v>
      </c>
      <c r="D3" s="4" t="n">
        <v>318442950010</v>
      </c>
      <c r="E3" s="4" t="n">
        <v>402557018224</v>
      </c>
    </row>
    <row r="4">
      <c r="A4" s="3" t="inlineStr">
        <is>
          <t>Chi phí dự phòng</t>
        </is>
      </c>
      <c r="B4" s="4" t="n">
        <v>-4485565669</v>
      </c>
      <c r="C4" s="4" t="n">
        <v>2521192297</v>
      </c>
      <c r="D4" s="4" t="n">
        <v>17863960788</v>
      </c>
      <c r="E4" s="4" t="n">
        <v>32010999772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-42532911</v>
      </c>
      <c r="C5" s="4" t="n">
        <v>-74512931</v>
      </c>
      <c r="D5" s="4" t="n">
        <v>-158409220</v>
      </c>
      <c r="E5" s="4" t="n">
        <v>-20360895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</row>
    <row r="7">
      <c r="A7" s="3" t="inlineStr">
        <is>
          <t>(Lãi)/lỗ từ hoạt động đầu tư</t>
        </is>
      </c>
      <c r="B7" s="4" t="n">
        <v>-147853905457</v>
      </c>
      <c r="C7" s="4" t="n">
        <v>-50019830875</v>
      </c>
      <c r="D7" s="4" t="n">
        <v>-70652632259</v>
      </c>
      <c r="E7" s="4" t="n">
        <v>-267669594473</v>
      </c>
    </row>
    <row r="8">
      <c r="A8" s="3" t="inlineStr">
        <is>
          <t>Chi phí lãi vay</t>
        </is>
      </c>
      <c r="B8" s="4" t="n">
        <v>231527904809</v>
      </c>
      <c r="C8" s="4" t="n">
        <v>284917373606</v>
      </c>
      <c r="D8" s="4" t="n">
        <v>253428831252</v>
      </c>
      <c r="E8" s="4" t="n">
        <v>388595922369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680055449918</v>
      </c>
      <c r="C10" s="4" t="n">
        <v>176234527312</v>
      </c>
      <c r="D10" s="4" t="n">
        <v>1045881788757</v>
      </c>
      <c r="E10" s="4" t="n">
        <v>1774591487670</v>
      </c>
    </row>
    <row r="11">
      <c r="A11" s="3" t="inlineStr">
        <is>
          <t>(Tăng)/giảm các khoản phải thu</t>
        </is>
      </c>
      <c r="B11" s="4" t="n">
        <v>-93023120614</v>
      </c>
      <c r="C11" s="4" t="n">
        <v>27356978357</v>
      </c>
      <c r="D11" s="4" t="n">
        <v>136390770666</v>
      </c>
      <c r="E11" s="4" t="n">
        <v>-289450397420</v>
      </c>
    </row>
    <row r="12">
      <c r="A12" s="3" t="inlineStr">
        <is>
          <t>(Tăng)/giảm hàng tồn kho</t>
        </is>
      </c>
      <c r="B12" s="4" t="n">
        <v>-1549588422248</v>
      </c>
      <c r="C12" s="4" t="n">
        <v>-1944517235201</v>
      </c>
      <c r="D12" s="4" t="n">
        <v>-1821393826979</v>
      </c>
      <c r="E12" s="4" t="n">
        <v>-1721131354627</v>
      </c>
    </row>
    <row r="13">
      <c r="A13" s="3" t="inlineStr">
        <is>
          <t>Tăng/(giảm) các khoản phải trả</t>
        </is>
      </c>
      <c r="B13" s="4" t="n">
        <v>36245882912</v>
      </c>
      <c r="C13" s="4" t="n">
        <v>175960973788</v>
      </c>
      <c r="D13" s="4" t="n">
        <v>1535573066662</v>
      </c>
      <c r="E13" s="4" t="n">
        <v>3488987404115</v>
      </c>
    </row>
    <row r="14">
      <c r="A14" s="3" t="inlineStr">
        <is>
          <t>(Tăng)/giảm chi phí trả trước</t>
        </is>
      </c>
      <c r="B14" s="4" t="n">
        <v>-226194254906</v>
      </c>
      <c r="C14" s="4" t="n">
        <v>12732185744</v>
      </c>
      <c r="D14" s="4" t="n">
        <v>4499571232</v>
      </c>
      <c r="E14" s="4" t="n">
        <v>1680342037</v>
      </c>
    </row>
    <row r="15">
      <c r="A15" s="3" t="inlineStr">
        <is>
          <t>Tiền lãi vay đã trả</t>
        </is>
      </c>
      <c r="B15" s="4" t="n">
        <v>-218989646740</v>
      </c>
      <c r="C15" s="4" t="n">
        <v>-301416254867</v>
      </c>
      <c r="D15" s="4" t="n">
        <v>-224960303416</v>
      </c>
      <c r="E15" s="4" t="n">
        <v>-393209707585</v>
      </c>
    </row>
    <row r="16">
      <c r="A16" s="3" t="inlineStr">
        <is>
          <t>Thuế thu nhập doanh nghiệp đã nộp</t>
        </is>
      </c>
      <c r="B16" s="4" t="n">
        <v>-135411036538</v>
      </c>
      <c r="C16" s="4" t="n">
        <v>-111047856</v>
      </c>
      <c r="D16" s="4" t="n">
        <v>-38914311552</v>
      </c>
      <c r="E16" s="4" t="n">
        <v>-114141221156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0</v>
      </c>
      <c r="D17" s="4" t="n">
        <v>0</v>
      </c>
      <c r="E17" s="4" t="n">
        <v>0</v>
      </c>
    </row>
    <row r="18">
      <c r="A18" s="3" t="inlineStr">
        <is>
          <t>Tiền chi khác cho hoạt động kinh doanh</t>
        </is>
      </c>
      <c r="B18" s="4" t="n">
        <v>-787133000</v>
      </c>
      <c r="C18" s="4" t="n">
        <v>-3344000000</v>
      </c>
      <c r="D18" s="4" t="n">
        <v>-10000000000</v>
      </c>
      <c r="E18" s="4" t="n">
        <v>0</v>
      </c>
    </row>
    <row r="19">
      <c r="A19" s="3" t="inlineStr">
        <is>
          <t>Lưu chuyển tiền tệ ròng từ các hoạt động sản xuất kinh doanh</t>
        </is>
      </c>
      <c r="B19" s="4" t="n">
        <v>-1507692281216</v>
      </c>
      <c r="C19" s="4" t="n">
        <v>-1857103872723</v>
      </c>
      <c r="D19" s="4" t="n">
        <v>627076755370</v>
      </c>
      <c r="E19" s="4" t="n">
        <v>2747326553034</v>
      </c>
    </row>
    <row r="20">
      <c r="A20" s="3" t="inlineStr">
        <is>
          <t>Tiền chi để mua sắm, xây dựng TSCĐ và các tài sản dài hạn khác</t>
        </is>
      </c>
      <c r="B20" s="4" t="n">
        <v>-518166901951</v>
      </c>
      <c r="C20" s="4" t="n">
        <v>-705276095241</v>
      </c>
      <c r="D20" s="4" t="n">
        <v>-489745872056</v>
      </c>
      <c r="E20" s="4" t="n">
        <v>-534361131923</v>
      </c>
    </row>
    <row r="21">
      <c r="A21" s="3" t="inlineStr">
        <is>
          <t>Tiền thu từ thanh lý, nhượng bán TSCĐ và các tài sản dài hạn khác</t>
        </is>
      </c>
      <c r="B21" s="4" t="n">
        <v>239047620</v>
      </c>
      <c r="C21" s="4" t="n">
        <v>38832000</v>
      </c>
      <c r="D21" s="4" t="n">
        <v>22192000</v>
      </c>
      <c r="E21" s="4" t="n">
        <v>10150000</v>
      </c>
    </row>
    <row r="22">
      <c r="A22" s="3" t="inlineStr">
        <is>
          <t>Tiền chi cho vay, mua các công cụ nợ của đơn vị khác</t>
        </is>
      </c>
      <c r="B22" s="4" t="n">
        <v>-6940000000000</v>
      </c>
      <c r="C22" s="4" t="n">
        <v>-2551000000000</v>
      </c>
      <c r="D22" s="4" t="n">
        <v>-2206000000000</v>
      </c>
      <c r="E22" s="4" t="n">
        <v>-9601000000000</v>
      </c>
    </row>
    <row r="23">
      <c r="A23" s="3" t="inlineStr">
        <is>
          <t>Tiền thu hồi cho vay, bán lại các công cụ nợ của đơn vị khác</t>
        </is>
      </c>
      <c r="B23" s="4" t="n">
        <v>9161500000000</v>
      </c>
      <c r="C23" s="4" t="n">
        <v>2516000000000</v>
      </c>
      <c r="D23" s="4" t="n">
        <v>2414000000000</v>
      </c>
      <c r="E23" s="4" t="n">
        <v>4658000000000</v>
      </c>
    </row>
    <row r="24">
      <c r="A24" s="3" t="inlineStr">
        <is>
          <t>Tiền chi đầu tư góp vốn vào đơn vị khác</t>
        </is>
      </c>
      <c r="B24" s="4" t="n">
        <v>-2461794466</v>
      </c>
      <c r="C24" s="4" t="n">
        <v>0</v>
      </c>
      <c r="D24" s="4" t="n">
        <v>0</v>
      </c>
      <c r="E24" s="4" t="n">
        <v>0</v>
      </c>
    </row>
    <row r="25">
      <c r="A25" s="3" t="inlineStr">
        <is>
          <t>Tiền thu hồi đầu tư góp vốn vào đơn vị khác</t>
        </is>
      </c>
      <c r="B25" s="4" t="n">
        <v>0</v>
      </c>
      <c r="C25" s="4" t="n">
        <v>0</v>
      </c>
      <c r="D25" s="4" t="n">
        <v>0</v>
      </c>
      <c r="E25" s="4" t="n">
        <v>0</v>
      </c>
    </row>
    <row r="26">
      <c r="A26" s="3" t="inlineStr">
        <is>
          <t>Tiền thu lãi cho vay, cổ tức và lợi nhuận được chia</t>
        </is>
      </c>
      <c r="B26" s="4" t="n">
        <v>158973736193</v>
      </c>
      <c r="C26" s="4" t="n">
        <v>68561151538</v>
      </c>
      <c r="D26" s="4" t="n">
        <v>102089454700</v>
      </c>
      <c r="E26" s="4" t="n">
        <v>213448572393</v>
      </c>
    </row>
    <row r="27">
      <c r="A27" s="3" t="inlineStr">
        <is>
          <t>Lưu chuyển tiền thuần từ hoạt động đầu tư</t>
        </is>
      </c>
      <c r="B27" s="4" t="n">
        <v>1860084087396</v>
      </c>
      <c r="C27" s="4" t="n">
        <v>-671676111703</v>
      </c>
      <c r="D27" s="4" t="n">
        <v>-179634225356</v>
      </c>
      <c r="E27" s="4" t="n">
        <v>-5263902409530</v>
      </c>
    </row>
    <row r="28">
      <c r="A28" s="3" t="inlineStr">
        <is>
          <t>Tiền thu từ phát hành cổ phiếu, nhận vốn góp của chủ sở hữu</t>
        </is>
      </c>
      <c r="B28" s="4" t="n">
        <v>11478000000</v>
      </c>
      <c r="C28" s="4" t="n">
        <v>58267830000</v>
      </c>
      <c r="D28" s="4" t="n">
        <v>51569080000</v>
      </c>
      <c r="E28" s="4" t="n">
        <v>2037461548491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0</v>
      </c>
      <c r="C29" s="4" t="n">
        <v>0</v>
      </c>
      <c r="D29" s="4" t="n">
        <v>0</v>
      </c>
      <c r="E29" s="4" t="n">
        <v>0</v>
      </c>
    </row>
    <row r="30">
      <c r="A30" s="3" t="inlineStr">
        <is>
          <t>Tiền thu được các khoản đi vay</t>
        </is>
      </c>
      <c r="B30" s="4" t="n">
        <v>13421852950456</v>
      </c>
      <c r="C30" s="4" t="n">
        <v>16941931226074</v>
      </c>
      <c r="D30" s="4" t="n">
        <v>18698414695683</v>
      </c>
      <c r="E30" s="4" t="n">
        <v>24716406311275</v>
      </c>
    </row>
    <row r="31">
      <c r="A31" s="3" t="inlineStr">
        <is>
          <t>Tiền trả nợ gốc vay</t>
        </is>
      </c>
      <c r="B31" s="4" t="n">
        <v>-14105927868424</v>
      </c>
      <c r="C31" s="4" t="n">
        <v>-14196990842111</v>
      </c>
      <c r="D31" s="4" t="n">
        <v>-18006336778392</v>
      </c>
      <c r="E31" s="4" t="n">
        <v>-23465247841524</v>
      </c>
    </row>
    <row r="32">
      <c r="A32" s="3" t="inlineStr">
        <is>
          <t>Tiền trả nợ gốc thuê tài chính</t>
        </is>
      </c>
      <c r="B32" s="4" t="n">
        <v>0</v>
      </c>
      <c r="C32" s="4" t="n">
        <v>0</v>
      </c>
      <c r="D32" s="4" t="n">
        <v>0</v>
      </c>
      <c r="E32" s="4" t="n">
        <v>0</v>
      </c>
    </row>
    <row r="33">
      <c r="A33" s="3" t="inlineStr">
        <is>
          <t>Cổ tức, lợi nhuận đã trả cho chủ sở hữu</t>
        </is>
      </c>
      <c r="B33" s="4" t="n">
        <v>-39490896000</v>
      </c>
      <c r="C33" s="4" t="n">
        <v>-59236267500</v>
      </c>
      <c r="D33" s="4" t="n">
        <v>-54283249510</v>
      </c>
      <c r="E33" s="4" t="n">
        <v>0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</row>
    <row r="35">
      <c r="A35" s="3" t="inlineStr">
        <is>
          <t>Lưu chuyển tiền thuần từ hoạt động tài chính</t>
        </is>
      </c>
      <c r="B35" s="4" t="n">
        <v>-712087813968</v>
      </c>
      <c r="C35" s="4" t="n">
        <v>2743971946463</v>
      </c>
      <c r="D35" s="4" t="n">
        <v>689363747781</v>
      </c>
      <c r="E35" s="4" t="n">
        <v>3288620018242</v>
      </c>
    </row>
    <row r="36">
      <c r="A36" s="3" t="inlineStr">
        <is>
          <t>Lưu chuyển tiền thuần trong kỳ</t>
        </is>
      </c>
      <c r="B36" s="4" t="n">
        <v>-359696007788</v>
      </c>
      <c r="C36" s="4" t="n">
        <v>215191962037</v>
      </c>
      <c r="D36" s="4" t="n">
        <v>1136806277795</v>
      </c>
      <c r="E36" s="4" t="n">
        <v>772044161746</v>
      </c>
    </row>
    <row r="37">
      <c r="A37" s="3" t="inlineStr">
        <is>
          <t>Tiền và tương đương tiền đầu kỳ</t>
        </is>
      </c>
      <c r="B37" s="4" t="n">
        <v>1105209549882</v>
      </c>
      <c r="C37" s="4" t="n">
        <v>745556075005</v>
      </c>
      <c r="D37" s="4" t="n">
        <v>960822549973</v>
      </c>
      <c r="E37" s="4" t="n">
        <v>2097787236988</v>
      </c>
    </row>
    <row r="38">
      <c r="A38" s="3" t="inlineStr">
        <is>
          <t>Ảnh hưởng của thay đổi tỷ giá hối đoái quy đổi ngoại tệ</t>
        </is>
      </c>
      <c r="B38" s="4" t="n">
        <v>42532911</v>
      </c>
      <c r="C38" s="4" t="n">
        <v>74512931</v>
      </c>
      <c r="D38" s="4" t="n">
        <v>158409220</v>
      </c>
      <c r="E38" s="4" t="n">
        <v>20360895</v>
      </c>
    </row>
    <row r="39">
      <c r="A39" s="3" t="inlineStr">
        <is>
          <t>Tiền và tương đương tiền cuối kỳ</t>
        </is>
      </c>
      <c r="B39" s="4" t="n">
        <v>745556075005</v>
      </c>
      <c r="C39" s="4" t="n">
        <v>960822549973</v>
      </c>
      <c r="D39" s="4" t="n">
        <v>2097787236988</v>
      </c>
      <c r="E39" s="4" t="n">
        <v>2869851759629</v>
      </c>
    </row>
    <row r="40">
      <c r="A40" s="3" t="inlineStr">
        <is>
          <t>Phân bổ lợi thế thương mại</t>
        </is>
      </c>
      <c r="B40" s="4" t="n">
        <v>0</v>
      </c>
      <c r="C40" s="4" t="n">
        <v>0</v>
      </c>
      <c r="D40" s="4" t="n">
        <v>0</v>
      </c>
      <c r="E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22" customHeight="1">
      <c r="A1" s="5" t="inlineStr">
        <is>
          <t>CHỈ SỐ TÀI CHÍNH — FRT</t>
        </is>
      </c>
    </row>
    <row r="2" ht="15" customHeight="1">
      <c r="A2" s="6" t="n"/>
    </row>
    <row r="3"/>
    <row r="4">
      <c r="A4" s="7" t="inlineStr">
        <is>
          <t>I. CHỈ SỐ TÀI CHÍNH</t>
        </is>
      </c>
      <c r="B4" s="8" t="n"/>
      <c r="C4" s="8" t="n"/>
      <c r="D4" s="8" t="n"/>
      <c r="E4" s="8" t="n"/>
    </row>
    <row r="5">
      <c r="A5" s="9" t="inlineStr">
        <is>
          <t>Chỉ tiêu</t>
        </is>
      </c>
      <c r="B5" s="10">
        <f>'balance_sheet'!B1</f>
        <v/>
      </c>
      <c r="C5" s="10">
        <f>'balance_sheet'!C1</f>
        <v/>
      </c>
      <c r="D5" s="10">
        <f>'balance_sheet'!D1</f>
        <v/>
      </c>
      <c r="E5" s="10">
        <f>'balance_sheet'!E1</f>
        <v/>
      </c>
    </row>
    <row r="6">
      <c r="A6" s="11" t="inlineStr">
        <is>
          <t>1. Khả năng sinh lời</t>
        </is>
      </c>
    </row>
    <row r="7">
      <c r="A7" s="12" t="inlineStr">
        <is>
          <t>ROE (LNST CĐ Cty mẹ / VCSH bình quân)</t>
        </is>
      </c>
      <c r="B7" s="13" t="inlineStr">
        <is>
          <t>n/a</t>
        </is>
      </c>
      <c r="C7" s="14">
        <f>IFERROR(C$54/((C$39+B$39)/2),"n/a")</f>
        <v/>
      </c>
      <c r="D7" s="14">
        <f>IFERROR(D$54/((D$39+C$39)/2),"n/a")</f>
        <v/>
      </c>
      <c r="E7" s="14">
        <f>IFERROR(E$54/((E$39+D$39)/2),"n/a")</f>
        <v/>
      </c>
    </row>
    <row r="8">
      <c r="A8" s="12" t="inlineStr">
        <is>
          <t>ROA (LNST / Tổng tài sản bình quân)</t>
        </is>
      </c>
      <c r="B8" s="13" t="inlineStr">
        <is>
          <t>n/a</t>
        </is>
      </c>
      <c r="C8" s="14">
        <f>IFERROR(C$53/((C$40+B$40)/2),"n/a")</f>
        <v/>
      </c>
      <c r="D8" s="14">
        <f>IFERROR(D$53/((D$40+C$40)/2),"n/a")</f>
        <v/>
      </c>
      <c r="E8" s="14">
        <f>IFERROR(E$53/((E$40+D$40)/2),"n/a")</f>
        <v/>
      </c>
    </row>
    <row r="9">
      <c r="A9" s="12" t="inlineStr">
        <is>
          <t>Tăng trưởng LN Cổ đông Cty mẹ</t>
        </is>
      </c>
      <c r="B9" s="13" t="inlineStr">
        <is>
          <t>n/a</t>
        </is>
      </c>
      <c r="C9" s="14">
        <f>IFERROR((C$54-B$54)/ABS(B$54),"n/a")</f>
        <v/>
      </c>
      <c r="D9" s="14">
        <f>IFERROR((D$54-C$54)/ABS(C$54),"n/a")</f>
        <v/>
      </c>
      <c r="E9" s="14">
        <f>IFERROR((E$54-D$54)/ABS(D$54),"n/a")</f>
        <v/>
      </c>
    </row>
    <row r="10">
      <c r="A10" s="12" t="inlineStr">
        <is>
          <t>Tăng trưởng Doanh thu thuần</t>
        </is>
      </c>
      <c r="B10" s="13" t="inlineStr">
        <is>
          <t>n/a</t>
        </is>
      </c>
      <c r="C10" s="14">
        <f>IFERROR((C$46-B$46)/ABS(B$46),"n/a")</f>
        <v/>
      </c>
      <c r="D10" s="14">
        <f>IFERROR((D$46-C$46)/ABS(C$46),"n/a")</f>
        <v/>
      </c>
      <c r="E10" s="14">
        <f>IFERROR((E$46-D$46)/ABS(D$46),"n/a")</f>
        <v/>
      </c>
    </row>
    <row r="11"/>
    <row r="12">
      <c r="A12" s="11" t="inlineStr">
        <is>
          <t>2. Biên lợi nhuận</t>
        </is>
      </c>
    </row>
    <row r="13">
      <c r="A13" s="12" t="inlineStr">
        <is>
          <t>Biên lợi nhuận gộp</t>
        </is>
      </c>
      <c r="B13" s="14">
        <f>IFERROR(B$48/B$46,"n/a")</f>
        <v/>
      </c>
      <c r="C13" s="14">
        <f>IFERROR(C$48/C$46,"n/a")</f>
        <v/>
      </c>
      <c r="D13" s="14">
        <f>IFERROR(D$48/D$46,"n/a")</f>
        <v/>
      </c>
      <c r="E13" s="14">
        <f>IFERROR(E$48/E$46,"n/a")</f>
        <v/>
      </c>
    </row>
    <row r="14">
      <c r="A14" s="12" t="inlineStr">
        <is>
          <t>Biên lợi nhuận ròng</t>
        </is>
      </c>
      <c r="B14" s="14">
        <f>IFERROR(B$53/B$46,"n/a")</f>
        <v/>
      </c>
      <c r="C14" s="14">
        <f>IFERROR(C$53/C$46,"n/a")</f>
        <v/>
      </c>
      <c r="D14" s="14">
        <f>IFERROR(D$53/D$46,"n/a")</f>
        <v/>
      </c>
      <c r="E14" s="14">
        <f>IFERROR(E$53/E$46,"n/a")</f>
        <v/>
      </c>
    </row>
    <row r="15"/>
    <row r="16">
      <c r="A16" s="11" t="inlineStr">
        <is>
          <t>3. Đòn bẩy tài chính</t>
        </is>
      </c>
    </row>
    <row r="17">
      <c r="A17" s="12" t="inlineStr">
        <is>
          <t>D/E (Nợ vay / Vốn chủ sở hữu)</t>
        </is>
      </c>
      <c r="B17" s="15">
        <f>IFERROR((B$44+B$45)/B$39,"n/a")</f>
        <v/>
      </c>
      <c r="C17" s="15">
        <f>IFERROR((C$44+C$45)/C$39,"n/a")</f>
        <v/>
      </c>
      <c r="D17" s="15">
        <f>IFERROR((D$44+D$45)/D$39,"n/a")</f>
        <v/>
      </c>
      <c r="E17" s="15">
        <f>IFERROR((E$44+E$45)/E$39,"n/a")</f>
        <v/>
      </c>
    </row>
    <row r="18">
      <c r="A18" s="3" t="inlineStr">
        <is>
          <t xml:space="preserve">     - Nợ vay dài hạn/Vốn chủ sở hữu</t>
        </is>
      </c>
      <c r="B18" s="15">
        <f>IFERROR(B$45/B$39,"n/a")</f>
        <v/>
      </c>
      <c r="C18" s="15">
        <f>IFERROR(C$45/C$39,"n/a")</f>
        <v/>
      </c>
      <c r="D18" s="15">
        <f>IFERROR(D$45/D$39,"n/a")</f>
        <v/>
      </c>
      <c r="E18" s="15">
        <f>IFERROR(E$45/E$39,"n/a")</f>
        <v/>
      </c>
    </row>
    <row r="19">
      <c r="A19" s="3" t="inlineStr">
        <is>
          <t xml:space="preserve">     - Nợ vay ngắn hạn/Vốn chủ sở hữu</t>
        </is>
      </c>
      <c r="B19" s="15">
        <f>IFERROR(B$44/B$39,"n/a")</f>
        <v/>
      </c>
      <c r="C19" s="15">
        <f>IFERROR(C$44/C$39,"n/a")</f>
        <v/>
      </c>
      <c r="D19" s="15">
        <f>IFERROR(D$44/D$39,"n/a")</f>
        <v/>
      </c>
      <c r="E19" s="15">
        <f>IFERROR(E$44/E$39,"n/a")</f>
        <v/>
      </c>
    </row>
    <row r="20">
      <c r="A20" s="12" t="inlineStr">
        <is>
          <t>Nợ phải trả/Vốn chủ sở hữu</t>
        </is>
      </c>
      <c r="B20" s="15">
        <f>IFERROR(B$41/B$39,"n/a")</f>
        <v/>
      </c>
      <c r="C20" s="15">
        <f>IFERROR(C$41/C$39,"n/a")</f>
        <v/>
      </c>
      <c r="D20" s="15">
        <f>IFERROR(D$41/D$39,"n/a")</f>
        <v/>
      </c>
      <c r="E20" s="15">
        <f>IFERROR(E$41/E$39,"n/a")</f>
        <v/>
      </c>
    </row>
    <row r="21">
      <c r="A21" s="3" t="inlineStr">
        <is>
          <t xml:space="preserve">     - Nợ dài hạn/Vốn chủ sở hữu</t>
        </is>
      </c>
      <c r="B21" s="15">
        <f>IFERROR(B$43/B$39,"n/a")</f>
        <v/>
      </c>
      <c r="C21" s="15">
        <f>IFERROR(C$43/C$39,"n/a")</f>
        <v/>
      </c>
      <c r="D21" s="15">
        <f>IFERROR(D$43/D$39,"n/a")</f>
        <v/>
      </c>
      <c r="E21" s="15">
        <f>IFERROR(E$43/E$39,"n/a")</f>
        <v/>
      </c>
    </row>
    <row r="22">
      <c r="A22" s="3" t="inlineStr">
        <is>
          <t xml:space="preserve">     - Nợ ngắn hạn/Vốn chủ sở hữu</t>
        </is>
      </c>
      <c r="B22" s="15">
        <f>IFERROR(B$42/B$39,"n/a")</f>
        <v/>
      </c>
      <c r="C22" s="15">
        <f>IFERROR(C$42/C$39,"n/a")</f>
        <v/>
      </c>
      <c r="D22" s="15">
        <f>IFERROR(D$42/D$39,"n/a")</f>
        <v/>
      </c>
      <c r="E22" s="15">
        <f>IFERROR(E$42/E$39,"n/a")</f>
        <v/>
      </c>
    </row>
    <row r="23"/>
    <row r="24">
      <c r="A24" s="11" t="inlineStr">
        <is>
          <t>4. Chi phí &amp; khả năng trả lãi</t>
        </is>
      </c>
    </row>
    <row r="25">
      <c r="A25" s="12" t="inlineStr">
        <is>
          <t>Chi phí bán hàng, quản lý/LN gộp</t>
        </is>
      </c>
      <c r="B25" s="14">
        <f>IFERROR((ABS(B$49)+ABS(B$50))/B$48,"n/a")</f>
        <v/>
      </c>
      <c r="C25" s="14">
        <f>IFERROR((ABS(C$49)+ABS(C$50))/C$48,"n/a")</f>
        <v/>
      </c>
      <c r="D25" s="14">
        <f>IFERROR((ABS(D$49)+ABS(D$50))/D$48,"n/a")</f>
        <v/>
      </c>
      <c r="E25" s="14">
        <f>IFERROR((ABS(E$49)+ABS(E$50))/E$48,"n/a")</f>
        <v/>
      </c>
    </row>
    <row r="26">
      <c r="A26" s="12" t="inlineStr">
        <is>
          <t>Chi phí lãi vay/LN từ hoạt động kinh doanh</t>
        </is>
      </c>
      <c r="B26" s="14">
        <f>IFERROR(ABS(B$52)/B$51,"n/a")</f>
        <v/>
      </c>
      <c r="C26" s="14">
        <f>IFERROR(ABS(C$52)/C$51,"n/a")</f>
        <v/>
      </c>
      <c r="D26" s="14">
        <f>IFERROR(ABS(D$52)/D$51,"n/a")</f>
        <v/>
      </c>
      <c r="E26" s="14">
        <f>IFERROR(ABS(E$52)/E$51,"n/a")</f>
        <v/>
      </c>
    </row>
    <row r="27"/>
    <row r="28">
      <c r="A28" s="11" t="inlineStr">
        <is>
          <t>5. Chu kỳ hoạt động vốn lưu động</t>
        </is>
      </c>
    </row>
    <row r="29">
      <c r="A29" s="12" t="inlineStr">
        <is>
          <t>Số ngày phải trả (DPO)</t>
        </is>
      </c>
      <c r="B29" s="13" t="inlineStr">
        <is>
          <t>n/a</t>
        </is>
      </c>
      <c r="C29" s="16">
        <f>IFERROR(((C$56+B$56)/2)/ABS(C$47)*365,"n/a")</f>
        <v/>
      </c>
      <c r="D29" s="16">
        <f>IFERROR(((D$56+C$56)/2)/ABS(D$47)*365,"n/a")</f>
        <v/>
      </c>
      <c r="E29" s="16">
        <f>IFERROR(((E$56+D$56)/2)/ABS(E$47)*365,"n/a")</f>
        <v/>
      </c>
    </row>
    <row r="30">
      <c r="A30" s="12" t="inlineStr">
        <is>
          <t>Số ngày phải thu (DSO)</t>
        </is>
      </c>
      <c r="B30" s="13" t="inlineStr">
        <is>
          <t>n/a</t>
        </is>
      </c>
      <c r="C30" s="16">
        <f>IFERROR(((C$55+B$55)/2)/C$46*365,"n/a")</f>
        <v/>
      </c>
      <c r="D30" s="16">
        <f>IFERROR(((D$55+C$55)/2)/D$46*365,"n/a")</f>
        <v/>
      </c>
      <c r="E30" s="16">
        <f>IFERROR(((E$55+D$55)/2)/E$46*365,"n/a")</f>
        <v/>
      </c>
    </row>
    <row r="31">
      <c r="A31" s="12" t="inlineStr">
        <is>
          <t>Số ngày tồn kho (DIO)</t>
        </is>
      </c>
      <c r="B31" s="13" t="inlineStr">
        <is>
          <t>n/a</t>
        </is>
      </c>
      <c r="C31" s="16">
        <f>IFERROR(((C$57+B$57)/2)/ABS(C$47)*365,"n/a")</f>
        <v/>
      </c>
      <c r="D31" s="16">
        <f>IFERROR(((D$57+C$57)/2)/ABS(D$47)*365,"n/a")</f>
        <v/>
      </c>
      <c r="E31" s="16">
        <f>IFERROR(((E$57+D$57)/2)/ABS(E$47)*365,"n/a")</f>
        <v/>
      </c>
    </row>
    <row r="32"/>
    <row r="33">
      <c r="A33" s="11" t="inlineStr">
        <is>
          <t>6. Cơ cấu tài sản</t>
        </is>
      </c>
    </row>
    <row r="34">
      <c r="A34" s="12" t="inlineStr">
        <is>
          <t>Tiền và tương đương tiền/Tài sản</t>
        </is>
      </c>
      <c r="B34" s="14">
        <f>IFERROR(B$58/B$40,"n/a")</f>
        <v/>
      </c>
      <c r="C34" s="14">
        <f>IFERROR(C$58/C$40,"n/a")</f>
        <v/>
      </c>
      <c r="D34" s="14">
        <f>IFERROR(D$58/D$40,"n/a")</f>
        <v/>
      </c>
      <c r="E34" s="14">
        <f>IFERROR(E$58/E$40,"n/a")</f>
        <v/>
      </c>
    </row>
    <row r="35">
      <c r="A35" s="12" t="inlineStr">
        <is>
          <t>Hàng tồn kho/Tài sản</t>
        </is>
      </c>
      <c r="B35" s="14">
        <f>IFERROR(B$57/B$40,"n/a")</f>
        <v/>
      </c>
      <c r="C35" s="14">
        <f>IFERROR(C$57/C$40,"n/a")</f>
        <v/>
      </c>
      <c r="D35" s="14">
        <f>IFERROR(D$57/D$40,"n/a")</f>
        <v/>
      </c>
      <c r="E35" s="14">
        <f>IFERROR(E$57/E$40,"n/a")</f>
        <v/>
      </c>
    </row>
    <row r="36"/>
    <row r="37">
      <c r="A37" s="7" t="inlineStr">
        <is>
          <t>II. DỮ LIỆU TRÍCH XUẤT (tự động dò theo tên khoản mục)</t>
        </is>
      </c>
      <c r="B37" s="8" t="n"/>
      <c r="C37" s="8" t="n"/>
      <c r="D37" s="8" t="n"/>
      <c r="E37" s="8" t="n"/>
    </row>
    <row r="38">
      <c r="A38" s="9" t="inlineStr">
        <is>
          <t>Khoản mục</t>
        </is>
      </c>
      <c r="B38" s="10">
        <f>'balance_sheet'!B1</f>
        <v/>
      </c>
      <c r="C38" s="10">
        <f>'balance_sheet'!C1</f>
        <v/>
      </c>
      <c r="D38" s="10">
        <f>'balance_sheet'!D1</f>
        <v/>
      </c>
      <c r="E38" s="10">
        <f>'balance_sheet'!E1</f>
        <v/>
      </c>
    </row>
    <row r="39">
      <c r="A39" s="3" t="inlineStr">
        <is>
          <t>Vốn chủ sở hữu</t>
        </is>
      </c>
      <c r="B39" s="17">
        <f>IFERROR(INDEX(balance_sheet!$B:$E,MATCH("Vốn chủ sở hữu",balance_sheet!$A:$A,0),MATCH(B$38,balance_sheet!$B$1:$E$1,0)),"")</f>
        <v/>
      </c>
      <c r="C39" s="17">
        <f>IFERROR(INDEX(balance_sheet!$B:$E,MATCH("Vốn chủ sở hữu",balance_sheet!$A:$A,0),MATCH(C$38,balance_sheet!$B$1:$E$1,0)),"")</f>
        <v/>
      </c>
      <c r="D39" s="17">
        <f>IFERROR(INDEX(balance_sheet!$B:$E,MATCH("Vốn chủ sở hữu",balance_sheet!$A:$A,0),MATCH(D$38,balance_sheet!$B$1:$E$1,0)),"")</f>
        <v/>
      </c>
      <c r="E39" s="17">
        <f>IFERROR(INDEX(balance_sheet!$B:$E,MATCH("Vốn chủ sở hữu",balance_sheet!$A:$A,0),MATCH(E$38,balance_sheet!$B$1:$E$1,0)),"")</f>
        <v/>
      </c>
    </row>
    <row r="40">
      <c r="A40" s="3" t="inlineStr">
        <is>
          <t>TỔNG CỘNG TÀI SẢN</t>
        </is>
      </c>
      <c r="B40" s="17">
        <f>IFERROR(INDEX(balance_sheet!$B:$E,MATCH("TỔNG CỘNG TÀI SẢN",balance_sheet!$A:$A,0),MATCH(B$38,balance_sheet!$B$1:$E$1,0)),"")</f>
        <v/>
      </c>
      <c r="C40" s="17">
        <f>IFERROR(INDEX(balance_sheet!$B:$E,MATCH("TỔNG CỘNG TÀI SẢN",balance_sheet!$A:$A,0),MATCH(C$38,balance_sheet!$B$1:$E$1,0)),"")</f>
        <v/>
      </c>
      <c r="D40" s="17">
        <f>IFERROR(INDEX(balance_sheet!$B:$E,MATCH("TỔNG CỘNG TÀI SẢN",balance_sheet!$A:$A,0),MATCH(D$38,balance_sheet!$B$1:$E$1,0)),"")</f>
        <v/>
      </c>
      <c r="E40" s="17">
        <f>IFERROR(INDEX(balance_sheet!$B:$E,MATCH("TỔNG CỘNG TÀI SẢN",balance_sheet!$A:$A,0),MATCH(E$38,balance_sheet!$B$1:$E$1,0)),"")</f>
        <v/>
      </c>
    </row>
    <row r="41">
      <c r="A41" s="3" t="inlineStr">
        <is>
          <t>NỢ PHẢI TRẢ</t>
        </is>
      </c>
      <c r="B41" s="17">
        <f>IFERROR(INDEX(balance_sheet!$B:$E,MATCH("NỢ PHẢI TRẢ",balance_sheet!$A:$A,0),MATCH(B$38,balance_sheet!$B$1:$E$1,0)),"")</f>
        <v/>
      </c>
      <c r="C41" s="17">
        <f>IFERROR(INDEX(balance_sheet!$B:$E,MATCH("NỢ PHẢI TRẢ",balance_sheet!$A:$A,0),MATCH(C$38,balance_sheet!$B$1:$E$1,0)),"")</f>
        <v/>
      </c>
      <c r="D41" s="17">
        <f>IFERROR(INDEX(balance_sheet!$B:$E,MATCH("NỢ PHẢI TRẢ",balance_sheet!$A:$A,0),MATCH(D$38,balance_sheet!$B$1:$E$1,0)),"")</f>
        <v/>
      </c>
      <c r="E41" s="17">
        <f>IFERROR(INDEX(balance_sheet!$B:$E,MATCH("NỢ PHẢI TRẢ",balance_sheet!$A:$A,0),MATCH(E$38,balance_sheet!$B$1:$E$1,0)),"")</f>
        <v/>
      </c>
    </row>
    <row r="42">
      <c r="A42" s="3" t="inlineStr">
        <is>
          <t>Nợ ngắn hạn</t>
        </is>
      </c>
      <c r="B42" s="17">
        <f>IFERROR(INDEX(balance_sheet!$B:$E,MATCH("Nợ ngắn hạn",balance_sheet!$A:$A,0),MATCH(B$38,balance_sheet!$B$1:$E$1,0)),"")</f>
        <v/>
      </c>
      <c r="C42" s="17">
        <f>IFERROR(INDEX(balance_sheet!$B:$E,MATCH("Nợ ngắn hạn",balance_sheet!$A:$A,0),MATCH(C$38,balance_sheet!$B$1:$E$1,0)),"")</f>
        <v/>
      </c>
      <c r="D42" s="17">
        <f>IFERROR(INDEX(balance_sheet!$B:$E,MATCH("Nợ ngắn hạn",balance_sheet!$A:$A,0),MATCH(D$38,balance_sheet!$B$1:$E$1,0)),"")</f>
        <v/>
      </c>
      <c r="E42" s="17">
        <f>IFERROR(INDEX(balance_sheet!$B:$E,MATCH("Nợ ngắn hạn",balance_sheet!$A:$A,0),MATCH(E$38,balance_sheet!$B$1:$E$1,0)),"")</f>
        <v/>
      </c>
    </row>
    <row r="43">
      <c r="A43" s="3" t="inlineStr">
        <is>
          <t>Nợ dài hạn</t>
        </is>
      </c>
      <c r="B43" s="17">
        <f>IFERROR(INDEX(balance_sheet!$B:$E,MATCH("Nợ dài hạn",balance_sheet!$A:$A,0),MATCH(B$38,balance_sheet!$B$1:$E$1,0)),"")</f>
        <v/>
      </c>
      <c r="C43" s="17">
        <f>IFERROR(INDEX(balance_sheet!$B:$E,MATCH("Nợ dài hạn",balance_sheet!$A:$A,0),MATCH(C$38,balance_sheet!$B$1:$E$1,0)),"")</f>
        <v/>
      </c>
      <c r="D43" s="17">
        <f>IFERROR(INDEX(balance_sheet!$B:$E,MATCH("Nợ dài hạn",balance_sheet!$A:$A,0),MATCH(D$38,balance_sheet!$B$1:$E$1,0)),"")</f>
        <v/>
      </c>
      <c r="E43" s="17">
        <f>IFERROR(INDEX(balance_sheet!$B:$E,MATCH("Nợ dài hạn",balance_sheet!$A:$A,0),MATCH(E$38,balance_sheet!$B$1:$E$1,0)),"")</f>
        <v/>
      </c>
    </row>
    <row r="44">
      <c r="A44" s="3" t="inlineStr">
        <is>
          <t>Vay ngắn hạn</t>
        </is>
      </c>
      <c r="B44" s="17">
        <f>IFERROR(INDEX(balance_sheet!$B:$E,MATCH("Vay ngắn hạn",balance_sheet!$A:$A,0),MATCH(B$38,balance_sheet!$B$1:$E$1,0)),"")</f>
        <v/>
      </c>
      <c r="C44" s="17">
        <f>IFERROR(INDEX(balance_sheet!$B:$E,MATCH("Vay ngắn hạn",balance_sheet!$A:$A,0),MATCH(C$38,balance_sheet!$B$1:$E$1,0)),"")</f>
        <v/>
      </c>
      <c r="D44" s="17">
        <f>IFERROR(INDEX(balance_sheet!$B:$E,MATCH("Vay ngắn hạn",balance_sheet!$A:$A,0),MATCH(D$38,balance_sheet!$B$1:$E$1,0)),"")</f>
        <v/>
      </c>
      <c r="E44" s="17">
        <f>IFERROR(INDEX(balance_sheet!$B:$E,MATCH("Vay ngắn hạn",balance_sheet!$A:$A,0),MATCH(E$38,balance_sheet!$B$1:$E$1,0)),"")</f>
        <v/>
      </c>
    </row>
    <row r="45">
      <c r="A45" s="3" t="inlineStr">
        <is>
          <t>Vay dài hạn</t>
        </is>
      </c>
      <c r="B45" s="17">
        <f>IFERROR(INDEX(balance_sheet!$B:$E,MATCH("Vay dài hạn",balance_sheet!$A:$A,0),MATCH(B$38,balance_sheet!$B$1:$E$1,0)),"")</f>
        <v/>
      </c>
      <c r="C45" s="17">
        <f>IFERROR(INDEX(balance_sheet!$B:$E,MATCH("Vay dài hạn",balance_sheet!$A:$A,0),MATCH(C$38,balance_sheet!$B$1:$E$1,0)),"")</f>
        <v/>
      </c>
      <c r="D45" s="17">
        <f>IFERROR(INDEX(balance_sheet!$B:$E,MATCH("Vay dài hạn",balance_sheet!$A:$A,0),MATCH(D$38,balance_sheet!$B$1:$E$1,0)),"")</f>
        <v/>
      </c>
      <c r="E45" s="17">
        <f>IFERROR(INDEX(balance_sheet!$B:$E,MATCH("Vay dài hạn",balance_sheet!$A:$A,0),MATCH(E$38,balance_sheet!$B$1:$E$1,0)),"")</f>
        <v/>
      </c>
    </row>
    <row r="46">
      <c r="A46" s="3" t="inlineStr">
        <is>
          <t>Doanh thu thuần</t>
        </is>
      </c>
      <c r="B46" s="17">
        <f>IFERROR(INDEX(income_statement!$B:$E,MATCH("Doanh thu thuần",income_statement!$A:$A,0),MATCH(B$38,income_statement!$B$1:$E$1,0)),"")</f>
        <v/>
      </c>
      <c r="C46" s="17">
        <f>IFERROR(INDEX(income_statement!$B:$E,MATCH("Doanh thu thuần",income_statement!$A:$A,0),MATCH(C$38,income_statement!$B$1:$E$1,0)),"")</f>
        <v/>
      </c>
      <c r="D46" s="17">
        <f>IFERROR(INDEX(income_statement!$B:$E,MATCH("Doanh thu thuần",income_statement!$A:$A,0),MATCH(D$38,income_statement!$B$1:$E$1,0)),"")</f>
        <v/>
      </c>
      <c r="E46" s="17">
        <f>IFERROR(INDEX(income_statement!$B:$E,MATCH("Doanh thu thuần",income_statement!$A:$A,0),MATCH(E$38,income_statement!$B$1:$E$1,0)),"")</f>
        <v/>
      </c>
    </row>
    <row r="47">
      <c r="A47" s="3" t="inlineStr">
        <is>
          <t>Giá vốn hàng bán</t>
        </is>
      </c>
      <c r="B47" s="17">
        <f>IFERROR(INDEX(income_statement!$B:$E,MATCH("Giá vốn hàng bán",income_statement!$A:$A,0),MATCH(B$38,income_statement!$B$1:$E$1,0)),"")</f>
        <v/>
      </c>
      <c r="C47" s="17">
        <f>IFERROR(INDEX(income_statement!$B:$E,MATCH("Giá vốn hàng bán",income_statement!$A:$A,0),MATCH(C$38,income_statement!$B$1:$E$1,0)),"")</f>
        <v/>
      </c>
      <c r="D47" s="17">
        <f>IFERROR(INDEX(income_statement!$B:$E,MATCH("Giá vốn hàng bán",income_statement!$A:$A,0),MATCH(D$38,income_statement!$B$1:$E$1,0)),"")</f>
        <v/>
      </c>
      <c r="E47" s="17">
        <f>IFERROR(INDEX(income_statement!$B:$E,MATCH("Giá vốn hàng bán",income_statement!$A:$A,0),MATCH(E$38,income_statement!$B$1:$E$1,0)),"")</f>
        <v/>
      </c>
    </row>
    <row r="48">
      <c r="A48" s="3" t="inlineStr">
        <is>
          <t>Lợi nhuận gộp</t>
        </is>
      </c>
      <c r="B48" s="17">
        <f>IFERROR(INDEX(income_statement!$B:$E,MATCH("Lợi nhuận gộp",income_statement!$A:$A,0),MATCH(B$38,income_statement!$B$1:$E$1,0)),"")</f>
        <v/>
      </c>
      <c r="C48" s="17">
        <f>IFERROR(INDEX(income_statement!$B:$E,MATCH("Lợi nhuận gộp",income_statement!$A:$A,0),MATCH(C$38,income_statement!$B$1:$E$1,0)),"")</f>
        <v/>
      </c>
      <c r="D48" s="17">
        <f>IFERROR(INDEX(income_statement!$B:$E,MATCH("Lợi nhuận gộp",income_statement!$A:$A,0),MATCH(D$38,income_statement!$B$1:$E$1,0)),"")</f>
        <v/>
      </c>
      <c r="E48" s="17">
        <f>IFERROR(INDEX(income_statement!$B:$E,MATCH("Lợi nhuận gộp",income_statement!$A:$A,0),MATCH(E$38,income_statement!$B$1:$E$1,0)),"")</f>
        <v/>
      </c>
    </row>
    <row r="49">
      <c r="A49" s="3" t="inlineStr">
        <is>
          <t>Chi phí bán hàng</t>
        </is>
      </c>
      <c r="B49" s="17">
        <f>IFERROR(INDEX(income_statement!$B:$E,MATCH("Chi phí bán hàng",income_statement!$A:$A,0),MATCH(B$38,income_statement!$B$1:$E$1,0)),"")</f>
        <v/>
      </c>
      <c r="C49" s="17">
        <f>IFERROR(INDEX(income_statement!$B:$E,MATCH("Chi phí bán hàng",income_statement!$A:$A,0),MATCH(C$38,income_statement!$B$1:$E$1,0)),"")</f>
        <v/>
      </c>
      <c r="D49" s="17">
        <f>IFERROR(INDEX(income_statement!$B:$E,MATCH("Chi phí bán hàng",income_statement!$A:$A,0),MATCH(D$38,income_statement!$B$1:$E$1,0)),"")</f>
        <v/>
      </c>
      <c r="E49" s="17">
        <f>IFERROR(INDEX(income_statement!$B:$E,MATCH("Chi phí bán hàng",income_statement!$A:$A,0),MATCH(E$38,income_statement!$B$1:$E$1,0)),"")</f>
        <v/>
      </c>
    </row>
    <row r="50">
      <c r="A50" s="3" t="inlineStr">
        <is>
          <t>Chi phí quản lý doanh nghiệp</t>
        </is>
      </c>
      <c r="B50" s="17">
        <f>IFERROR(INDEX(income_statement!$B:$E,MATCH("Chi phí quản lý doanh nghiệp",income_statement!$A:$A,0),MATCH(B$38,income_statement!$B$1:$E$1,0)),"")</f>
        <v/>
      </c>
      <c r="C50" s="17">
        <f>IFERROR(INDEX(income_statement!$B:$E,MATCH("Chi phí quản lý doanh nghiệp",income_statement!$A:$A,0),MATCH(C$38,income_statement!$B$1:$E$1,0)),"")</f>
        <v/>
      </c>
      <c r="D50" s="17">
        <f>IFERROR(INDEX(income_statement!$B:$E,MATCH("Chi phí quản lý doanh nghiệp",income_statement!$A:$A,0),MATCH(D$38,income_statement!$B$1:$E$1,0)),"")</f>
        <v/>
      </c>
      <c r="E50" s="17">
        <f>IFERROR(INDEX(income_statement!$B:$E,MATCH("Chi phí quản lý doanh nghiệp",income_statement!$A:$A,0),MATCH(E$38,income_statement!$B$1:$E$1,0)),"")</f>
        <v/>
      </c>
    </row>
    <row r="51">
      <c r="A51" s="3" t="inlineStr">
        <is>
          <t>Lãi/(lỗ) từ hoạt động kinh doanh</t>
        </is>
      </c>
      <c r="B51" s="17">
        <f>IFERROR(INDEX(income_statement!$B:$E,MATCH("Lãi/(lỗ) từ hoạt động kinh doanh",income_statement!$A:$A,0),MATCH(B$38,income_statement!$B$1:$E$1,0)),"")</f>
        <v/>
      </c>
      <c r="C51" s="17">
        <f>IFERROR(INDEX(income_statement!$B:$E,MATCH("Lãi/(lỗ) từ hoạt động kinh doanh",income_statement!$A:$A,0),MATCH(C$38,income_statement!$B$1:$E$1,0)),"")</f>
        <v/>
      </c>
      <c r="D51" s="17">
        <f>IFERROR(INDEX(income_statement!$B:$E,MATCH("Lãi/(lỗ) từ hoạt động kinh doanh",income_statement!$A:$A,0),MATCH(D$38,income_statement!$B$1:$E$1,0)),"")</f>
        <v/>
      </c>
      <c r="E51" s="17">
        <f>IFERROR(INDEX(income_statement!$B:$E,MATCH("Lãi/(lỗ) từ hoạt động kinh doanh",income_statement!$A:$A,0),MATCH(E$38,income_statement!$B$1:$E$1,0)),"")</f>
        <v/>
      </c>
    </row>
    <row r="52">
      <c r="A52" s="3" t="inlineStr">
        <is>
          <t>Chi phí lãi vay</t>
        </is>
      </c>
      <c r="B52" s="17">
        <f>IFERROR(INDEX(income_statement!$B:$E,MATCH("Chi phí lãi vay",income_statement!$A:$A,0),MATCH(B$38,income_statement!$B$1:$E$1,0)),"")</f>
        <v/>
      </c>
      <c r="C52" s="17">
        <f>IFERROR(INDEX(income_statement!$B:$E,MATCH("Chi phí lãi vay",income_statement!$A:$A,0),MATCH(C$38,income_statement!$B$1:$E$1,0)),"")</f>
        <v/>
      </c>
      <c r="D52" s="17">
        <f>IFERROR(INDEX(income_statement!$B:$E,MATCH("Chi phí lãi vay",income_statement!$A:$A,0),MATCH(D$38,income_statement!$B$1:$E$1,0)),"")</f>
        <v/>
      </c>
      <c r="E52" s="17">
        <f>IFERROR(INDEX(income_statement!$B:$E,MATCH("Chi phí lãi vay",income_statement!$A:$A,0),MATCH(E$38,income_statement!$B$1:$E$1,0)),"")</f>
        <v/>
      </c>
    </row>
    <row r="53">
      <c r="A53" s="3" t="inlineStr">
        <is>
          <t>Lãi/(lỗ) thuần sau thuế</t>
        </is>
      </c>
      <c r="B53" s="17">
        <f>IFERROR(INDEX(income_statement!$B:$E,MATCH("Lãi/(lỗ) thuần sau thuế",income_statement!$A:$A,0),MATCH(B$38,income_statement!$B$1:$E$1,0)),"")</f>
        <v/>
      </c>
      <c r="C53" s="17">
        <f>IFERROR(INDEX(income_statement!$B:$E,MATCH("Lãi/(lỗ) thuần sau thuế",income_statement!$A:$A,0),MATCH(C$38,income_statement!$B$1:$E$1,0)),"")</f>
        <v/>
      </c>
      <c r="D53" s="17">
        <f>IFERROR(INDEX(income_statement!$B:$E,MATCH("Lãi/(lỗ) thuần sau thuế",income_statement!$A:$A,0),MATCH(D$38,income_statement!$B$1:$E$1,0)),"")</f>
        <v/>
      </c>
      <c r="E53" s="17">
        <f>IFERROR(INDEX(income_statement!$B:$E,MATCH("Lãi/(lỗ) thuần sau thuế",income_statement!$A:$A,0),MATCH(E$38,income_statement!$B$1:$E$1,0)),"")</f>
        <v/>
      </c>
    </row>
    <row r="54">
      <c r="A54" s="3" t="inlineStr">
        <is>
          <t>Lợi nhuận của Cổ đông của Công ty mẹ</t>
        </is>
      </c>
      <c r="B54" s="17">
        <f>IFERROR(INDEX(income_statement!$B:$E,MATCH("Lợi nhuận của Cổ đông của Công ty mẹ",income_statement!$A:$A,0),MATCH(B$38,income_statement!$B$1:$E$1,0)),"")</f>
        <v/>
      </c>
      <c r="C54" s="17">
        <f>IFERROR(INDEX(income_statement!$B:$E,MATCH("Lợi nhuận của Cổ đông của Công ty mẹ",income_statement!$A:$A,0),MATCH(C$38,income_statement!$B$1:$E$1,0)),"")</f>
        <v/>
      </c>
      <c r="D54" s="17">
        <f>IFERROR(INDEX(income_statement!$B:$E,MATCH("Lợi nhuận của Cổ đông của Công ty mẹ",income_statement!$A:$A,0),MATCH(D$38,income_statement!$B$1:$E$1,0)),"")</f>
        <v/>
      </c>
      <c r="E54" s="17">
        <f>IFERROR(INDEX(income_statement!$B:$E,MATCH("Lợi nhuận của Cổ đông của Công ty mẹ",income_statement!$A:$A,0),MATCH(E$38,income_statement!$B$1:$E$1,0)),"")</f>
        <v/>
      </c>
    </row>
    <row r="55">
      <c r="A55" s="3" t="inlineStr">
        <is>
          <t>Phải thu khách hàng</t>
        </is>
      </c>
      <c r="B55" s="17">
        <f>IFERROR(INDEX(balance_sheet!$B:$E,MATCH("Phải thu khách hàng",balance_sheet!$A:$A,0),MATCH(B$38,balance_sheet!$B$1:$E$1,0)),"")</f>
        <v/>
      </c>
      <c r="C55" s="17">
        <f>IFERROR(INDEX(balance_sheet!$B:$E,MATCH("Phải thu khách hàng",balance_sheet!$A:$A,0),MATCH(C$38,balance_sheet!$B$1:$E$1,0)),"")</f>
        <v/>
      </c>
      <c r="D55" s="17">
        <f>IFERROR(INDEX(balance_sheet!$B:$E,MATCH("Phải thu khách hàng",balance_sheet!$A:$A,0),MATCH(D$38,balance_sheet!$B$1:$E$1,0)),"")</f>
        <v/>
      </c>
      <c r="E55" s="17">
        <f>IFERROR(INDEX(balance_sheet!$B:$E,MATCH("Phải thu khách hàng",balance_sheet!$A:$A,0),MATCH(E$38,balance_sheet!$B$1:$E$1,0)),"")</f>
        <v/>
      </c>
    </row>
    <row r="56">
      <c r="A56" s="3" t="inlineStr">
        <is>
          <t>Phải trả người bán</t>
        </is>
      </c>
      <c r="B56" s="17">
        <f>IFERROR(INDEX(balance_sheet!$B:$E,MATCH("Phải trả người bán",balance_sheet!$A:$A,0),MATCH(B$38,balance_sheet!$B$1:$E$1,0)),"")</f>
        <v/>
      </c>
      <c r="C56" s="17">
        <f>IFERROR(INDEX(balance_sheet!$B:$E,MATCH("Phải trả người bán",balance_sheet!$A:$A,0),MATCH(C$38,balance_sheet!$B$1:$E$1,0)),"")</f>
        <v/>
      </c>
      <c r="D56" s="17">
        <f>IFERROR(INDEX(balance_sheet!$B:$E,MATCH("Phải trả người bán",balance_sheet!$A:$A,0),MATCH(D$38,balance_sheet!$B$1:$E$1,0)),"")</f>
        <v/>
      </c>
      <c r="E56" s="17">
        <f>IFERROR(INDEX(balance_sheet!$B:$E,MATCH("Phải trả người bán",balance_sheet!$A:$A,0),MATCH(E$38,balance_sheet!$B$1:$E$1,0)),"")</f>
        <v/>
      </c>
    </row>
    <row r="57">
      <c r="A57" s="3" t="inlineStr">
        <is>
          <t>Hàng tồn kho, ròng</t>
        </is>
      </c>
      <c r="B57" s="17">
        <f>IFERROR(INDEX(balance_sheet!$B:$E,MATCH("Hàng tồn kho, ròng",balance_sheet!$A:$A,0),MATCH(B$38,balance_sheet!$B$1:$E$1,0)),"")</f>
        <v/>
      </c>
      <c r="C57" s="17">
        <f>IFERROR(INDEX(balance_sheet!$B:$E,MATCH("Hàng tồn kho, ròng",balance_sheet!$A:$A,0),MATCH(C$38,balance_sheet!$B$1:$E$1,0)),"")</f>
        <v/>
      </c>
      <c r="D57" s="17">
        <f>IFERROR(INDEX(balance_sheet!$B:$E,MATCH("Hàng tồn kho, ròng",balance_sheet!$A:$A,0),MATCH(D$38,balance_sheet!$B$1:$E$1,0)),"")</f>
        <v/>
      </c>
      <c r="E57" s="17">
        <f>IFERROR(INDEX(balance_sheet!$B:$E,MATCH("Hàng tồn kho, ròng",balance_sheet!$A:$A,0),MATCH(E$38,balance_sheet!$B$1:$E$1,0)),"")</f>
        <v/>
      </c>
    </row>
    <row r="58">
      <c r="A58" s="3" t="inlineStr">
        <is>
          <t>Tiền và tương đương tiền</t>
        </is>
      </c>
      <c r="B58" s="17">
        <f>IFERROR(INDEX(balance_sheet!$B:$E,MATCH("Tiền và tương đương tiền",balance_sheet!$A:$A,0),MATCH(B$38,balance_sheet!$B$1:$E$1,0)),"")</f>
        <v/>
      </c>
      <c r="C58" s="17">
        <f>IFERROR(INDEX(balance_sheet!$B:$E,MATCH("Tiền và tương đương tiền",balance_sheet!$A:$A,0),MATCH(C$38,balance_sheet!$B$1:$E$1,0)),"")</f>
        <v/>
      </c>
      <c r="D58" s="17">
        <f>IFERROR(INDEX(balance_sheet!$B:$E,MATCH("Tiền và tương đương tiền",balance_sheet!$A:$A,0),MATCH(D$38,balance_sheet!$B$1:$E$1,0)),"")</f>
        <v/>
      </c>
      <c r="E58" s="17">
        <f>IFERROR(INDEX(balance_sheet!$B:$E,MATCH("Tiền và tương đương tiền",balance_sheet!$A:$A,0),MATCH(E$38,balance_sheet!$B$1:$E$1,0)),"")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2026-08-18T09:49:22Z</dcterms:created>
  <dcterms:modified xmlns:dcterms="http://purl.org/dc/terms/" xmlns:xsi="http://www.w3.org/2001/XMLSchema-instance" xsi:type="dcterms:W3CDTF">2026-08-20T07:05:59Z</dcterms:modified>
</cp:coreProperties>
</file>
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#,##0;\(#,##0\);\-"/>
    <numFmt numFmtId="167" formatCode="0.00\x"/>
  </numFmts>
  <fonts count="15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charset val="1"/>
      <family val="2"/>
      <b val="1"/>
      <sz val="10"/>
    </font>
    <font>
      <name val="Tahoma"/>
      <family val="2"/>
      <color rgb="FF00800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3" pivotButton="0" quotePrefix="0" xfId="0"/>
    <xf numFmtId="0" fontId="8" fillId="4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9" fillId="0" borderId="3" pivotButton="0" quotePrefix="0" xfId="0"/>
    <xf numFmtId="0" fontId="7" fillId="0" borderId="3" pivotButton="0" quotePrefix="0" xfId="0"/>
    <xf numFmtId="166" fontId="10" fillId="0" borderId="3" pivotButton="0" quotePrefix="0" xfId="0"/>
    <xf numFmtId="166" fontId="11" fillId="0" borderId="3" pivotButton="0" quotePrefix="0" xfId="0"/>
    <xf numFmtId="0" fontId="12" fillId="0" borderId="3" pivotButton="0" quotePrefix="0" xfId="0"/>
    <xf numFmtId="166" fontId="12" fillId="0" borderId="3" pivotButton="0" quotePrefix="0" xfId="0"/>
    <xf numFmtId="9" fontId="12" fillId="0" borderId="3" pivotButton="0" quotePrefix="0" xfId="0"/>
    <xf numFmtId="166" fontId="11" fillId="0" borderId="0" pivotButton="0" quotePrefix="0" xfId="0"/>
    <xf numFmtId="0" fontId="4" fillId="0" borderId="4" pivotButton="0" quotePrefix="0" xfId="0"/>
    <xf numFmtId="10" fontId="10" fillId="0" borderId="3" pivotButton="0" quotePrefix="0" xfId="0"/>
    <xf numFmtId="166" fontId="10" fillId="0" borderId="0" pivotButton="0" quotePrefix="0" xfId="0"/>
    <xf numFmtId="0" fontId="13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3" fontId="8" fillId="0" borderId="3" pivotButton="0" quotePrefix="0" xfId="0"/>
    <xf numFmtId="41" fontId="14" fillId="0" borderId="3" pivotButton="0" quotePrefix="0" xfId="0"/>
    <xf numFmtId="2" fontId="14" fillId="0" borderId="3" pivotButton="0" quotePrefix="0" xfId="0"/>
    <xf numFmtId="0" fontId="14" fillId="0" borderId="0" pivotButton="0" quotePrefix="0" xfId="0"/>
    <xf numFmtId="9" fontId="8" fillId="0" borderId="3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workbookViewId="0">
      <selection activeCell="A1" sqref="A1"/>
    </sheetView>
  </sheetViews>
  <sheetFormatPr baseColWidth="8" defaultRowHeight="15"/>
  <cols>
    <col width="40.77734375" customWidth="1" min="1" max="1"/>
    <col width="17.21875" customWidth="1" min="2" max="2"/>
    <col width="18.21875" customWidth="1" min="9" max="9"/>
    <col width="20.5546875" customWidth="1" min="10" max="10"/>
    <col width="9" customWidth="1" min="11" max="11"/>
    <col width="8.8867187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IFERROR(C$52/((C$39+B$39)/2),"n/a")</f>
        <v/>
      </c>
      <c r="D2" s="8">
        <f>IFERROR(D$52/((D$39+C$39)/2),"n/a")</f>
        <v/>
      </c>
      <c r="E2" s="8">
        <f>IFERROR(E$52/((E$39+D$39)/2),"n/a")</f>
        <v/>
      </c>
      <c r="F2" s="8">
        <f>IFERROR(F$52/((F$39+E$39)/2),"n/a")</f>
        <v/>
      </c>
      <c r="G2" s="8">
        <f>IFERROR(G$52/((G$39+F$39)/2),"n/a")</f>
        <v/>
      </c>
      <c r="H2" s="8">
        <f>IFERROR(H$52/((H$39+G$39)/2),"n/a")</f>
        <v/>
      </c>
      <c r="I2" s="8">
        <f>IFERROR(I$52/((I$39+H$39)/2),"n/a")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IFERROR((C$52-B$52)/ABS(B$52),"n/a")</f>
        <v/>
      </c>
      <c r="D4" s="8">
        <f>IFERROR((D$52-C$52)/ABS(C$52),"n/a")</f>
        <v/>
      </c>
      <c r="E4" s="8">
        <f>IFERROR((E$52-D$52)/ABS(D$52),"n/a")</f>
        <v/>
      </c>
      <c r="F4" s="8">
        <f>IFERROR((F$52-E$52)/ABS(E$52),"n/a")</f>
        <v/>
      </c>
      <c r="G4" s="8">
        <f>IFERROR((G$52-F$52)/ABS(F$52),"n/a")</f>
        <v/>
      </c>
      <c r="H4" s="8">
        <f>IFERROR((H$52-G$52)/ABS(G$52),"n/a")</f>
        <v/>
      </c>
      <c r="I4" s="8">
        <f>IFERROR((I$52-H$52)/ABS(H$52),"n/a")</f>
        <v/>
      </c>
      <c r="J4" s="8">
        <f>IFERROR((J$52-I$52)/ABS(I$52),"n/a")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IFERROR(B$52/B$43,"n/a")</f>
        <v/>
      </c>
      <c r="C7" s="8">
        <f>IFERROR(C$52/C$43,"n/a")</f>
        <v/>
      </c>
      <c r="D7" s="8">
        <f>IFERROR(D$52/D$43,"n/a")</f>
        <v/>
      </c>
      <c r="E7" s="8">
        <f>IFERROR(E$52/E$43,"n/a")</f>
        <v/>
      </c>
      <c r="F7" s="8">
        <f>IFERROR(F$52/F$43,"n/a")</f>
        <v/>
      </c>
      <c r="G7" s="8">
        <f>IFERROR(G$52/G$43,"n/a")</f>
        <v/>
      </c>
      <c r="H7" s="8">
        <f>IFERROR(H$52/H$43,"n/a")</f>
        <v/>
      </c>
      <c r="I7" s="8">
        <f>IFERROR(I$52/I$43,"n/a")</f>
        <v/>
      </c>
      <c r="J7" s="8">
        <f>IFERROR(J$52/J$43,"n/a")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 t="n">
        <v>6096125000000</v>
      </c>
    </row>
    <row r="40">
      <c r="A40" s="21" t="inlineStr">
        <is>
          <t>Tăng VCSH/LN cổ đông cty mẹ</t>
        </is>
      </c>
      <c r="B40" s="22" t="n"/>
      <c r="C40" s="23">
        <f>(C39-B39)/C52</f>
        <v/>
      </c>
      <c r="D40" s="23">
        <f>(D39-C39)/D52</f>
        <v/>
      </c>
      <c r="E40" s="23">
        <f>(E39-D39)/E52</f>
        <v/>
      </c>
      <c r="F40" s="23">
        <f>(F39-E39)/F52</f>
        <v/>
      </c>
      <c r="G40" s="23">
        <f>(G39-F39)/G52</f>
        <v/>
      </c>
      <c r="H40" s="23">
        <f>(H39-G39)/H52</f>
        <v/>
      </c>
      <c r="I40" s="23">
        <f>(I39-H39)/I52</f>
        <v/>
      </c>
      <c r="J40" s="24" t="n"/>
    </row>
    <row r="41">
      <c r="A41" s="15" t="inlineStr">
        <is>
          <t>Lợi ích của cổ đông thiểu số</t>
        </is>
      </c>
      <c r="B41" s="20">
        <f>IFERROR(INDEX(balance_sheet!$B:$I,MATCH("Lợi ích của cổ đông thiểu số",balance_sheet!$A:$A,0),MATCH(B$23,balance_sheet!$B$1:$I$1,0)),"")</f>
        <v/>
      </c>
      <c r="C41" s="20">
        <f>IFERROR(INDEX(balance_sheet!$B:$I,MATCH("Lợi ích của cổ đông thiểu số",balance_sheet!$A:$A,0),MATCH(C$23,balance_sheet!$B$1:$I$1,0)),"")</f>
        <v/>
      </c>
      <c r="D41" s="20">
        <f>IFERROR(INDEX(balance_sheet!$B:$I,MATCH("Lợi ích của cổ đông thiểu số",balance_sheet!$A:$A,0),MATCH(D$23,balance_sheet!$B$1:$I$1,0)),"")</f>
        <v/>
      </c>
      <c r="E41" s="20">
        <f>IFERROR(INDEX(balance_sheet!$B:$I,MATCH("Lợi ích của cổ đông thiểu số",balance_sheet!$A:$A,0),MATCH(E$23,balance_sheet!$B$1:$I$1,0)),"")</f>
        <v/>
      </c>
      <c r="F41" s="20">
        <f>IFERROR(INDEX(balance_sheet!$B:$I,MATCH("Lợi ích của cổ đông thiểu số",balance_sheet!$A:$A,0),MATCH(F$23,balance_sheet!$B$1:$I$1,0)),"")</f>
        <v/>
      </c>
      <c r="G41" s="20">
        <f>IFERROR(INDEX(balance_sheet!$B:$I,MATCH("Lợi ích của cổ đông thiểu số",balance_sheet!$A:$A,0),MATCH(G$23,balance_sheet!$B$1:$I$1,0)),"")</f>
        <v/>
      </c>
      <c r="H41" s="20">
        <f>IFERROR(INDEX(balance_sheet!$B:$I,MATCH("Lợi ích của cổ đông thiểu số",balance_sheet!$A:$A,0),MATCH(H$23,balance_sheet!$B$1:$I$1,0)),"")</f>
        <v/>
      </c>
      <c r="I41" s="20">
        <f>IFERROR(INDEX(balance_sheet!$B:$I,MATCH("Lợi ích của cổ đông thiểu số",balance_sheet!$A:$A,0),MATCH(I$23,balance_sheet!$B$1:$I$1,0)),"")</f>
        <v/>
      </c>
      <c r="J41" s="24" t="n"/>
    </row>
    <row r="42">
      <c r="A42" s="15" t="inlineStr">
        <is>
          <t>Kết quả hoạt động kinh doanh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>
      <c r="A43" s="15" t="inlineStr">
        <is>
          <t>Doanh thu thuần</t>
        </is>
      </c>
      <c r="B43" s="20">
        <f>IFERROR(INDEX(income_statement!$B:$I,MATCH("Doanh thu thuần",income_statement!$A:$A,0),MATCH(B$23,income_statement!$B$1:$I$1,0)),"")</f>
        <v/>
      </c>
      <c r="C43" s="20">
        <f>IFERROR(INDEX(income_statement!$B:$I,MATCH("Doanh thu thuần",income_statement!$A:$A,0),MATCH(C$23,income_statement!$B$1:$I$1,0)),"")</f>
        <v/>
      </c>
      <c r="D43" s="20">
        <f>IFERROR(INDEX(income_statement!$B:$I,MATCH("Doanh thu thuần",income_statement!$A:$A,0),MATCH(D$23,income_statement!$B$1:$I$1,0)),"")</f>
        <v/>
      </c>
      <c r="E43" s="20">
        <f>IFERROR(INDEX(income_statement!$B:$I,MATCH("Doanh thu thuần",income_statement!$A:$A,0),MATCH(E$23,income_statement!$B$1:$I$1,0)),"")</f>
        <v/>
      </c>
      <c r="F43" s="20">
        <f>IFERROR(INDEX(income_statement!$B:$I,MATCH("Doanh thu thuần",income_statement!$A:$A,0),MATCH(F$23,income_statement!$B$1:$I$1,0)),"")</f>
        <v/>
      </c>
      <c r="G43" s="20">
        <f>IFERROR(INDEX(income_statement!$B:$I,MATCH("Doanh thu thuần",income_statement!$A:$A,0),MATCH(G$23,income_statement!$B$1:$I$1,0)),"")</f>
        <v/>
      </c>
      <c r="H43" s="20">
        <f>IFERROR(INDEX(income_statement!$B:$I,MATCH("Doanh thu thuần",income_statement!$A:$A,0),MATCH(H$23,income_statement!$B$1:$I$1,0)),"")</f>
        <v/>
      </c>
      <c r="I43" s="20">
        <f>IFERROR(INDEX(income_statement!$B:$I,MATCH("Doanh thu thuần",income_statement!$A:$A,0),MATCH(I$23,income_statement!$B$1:$I$1,0)),"")</f>
        <v/>
      </c>
      <c r="J43" s="20" t="n">
        <v>59500000000000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20">
        <f>IFERROR(INDEX(income_statement!$B:$I,MATCH("Lợi nhuận gộp",income_statement!$A:$A,0),MATCH(B$23,income_statement!$B$1:$I$1,0)),"")</f>
        <v/>
      </c>
      <c r="C45" s="20">
        <f>IFERROR(INDEX(income_statement!$B:$I,MATCH("Lợi nhuận gộp",income_statement!$A:$A,0),MATCH(C$23,income_statement!$B$1:$I$1,0)),"")</f>
        <v/>
      </c>
      <c r="D45" s="20">
        <f>IFERROR(INDEX(income_statement!$B:$I,MATCH("Lợi nhuận gộp",income_statement!$A:$A,0),MATCH(D$23,income_statement!$B$1:$I$1,0)),"")</f>
        <v/>
      </c>
      <c r="E45" s="20">
        <f>IFERROR(INDEX(income_statement!$B:$I,MATCH("Lợi nhuận gộp",income_statement!$A:$A,0),MATCH(E$23,income_statement!$B$1:$I$1,0)),"")</f>
        <v/>
      </c>
      <c r="F45" s="20">
        <f>IFERROR(INDEX(income_statement!$B:$I,MATCH("Lợi nhuận gộp",income_statement!$A:$A,0),MATCH(F$23,income_statement!$B$1:$I$1,0)),"")</f>
        <v/>
      </c>
      <c r="G45" s="20">
        <f>IFERROR(INDEX(income_statement!$B:$I,MATCH("Lợi nhuận gộp",income_statement!$A:$A,0),MATCH(G$23,income_statement!$B$1:$I$1,0)),"")</f>
        <v/>
      </c>
      <c r="H45" s="20">
        <f>IFERROR(INDEX(income_statement!$B:$I,MATCH("Lợi nhuận gộp",income_statement!$A:$A,0),MATCH(H$23,income_statement!$B$1:$I$1,0)),"")</f>
        <v/>
      </c>
      <c r="I45" s="20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>
      <c r="A50" s="25" t="inlineStr">
        <is>
          <t>Lãi/(lỗ) trước thuế</t>
        </is>
      </c>
      <c r="B50" s="20">
        <f>IFERROR(INDEX(income_statement!$B:$I,MATCH("Lãi/(lỗ) trước thuế",income_statement!$A:$A,0),MATCH(B$23,income_statement!$B$1:$I$1,0)),"")</f>
        <v/>
      </c>
      <c r="C50" s="20">
        <f>IFERROR(INDEX(income_statement!$B:$I,MATCH("Lãi/(lỗ) trước thuế",income_statement!$A:$A,0),MATCH(C$23,income_statement!$B$1:$I$1,0)),"")</f>
        <v/>
      </c>
      <c r="D50" s="20">
        <f>IFERROR(INDEX(income_statement!$B:$I,MATCH("Lãi/(lỗ) trước thuế",income_statement!$A:$A,0),MATCH(D$23,income_statement!$B$1:$I$1,0)),"")</f>
        <v/>
      </c>
      <c r="E50" s="20">
        <f>IFERROR(INDEX(income_statement!$B:$I,MATCH("Lãi/(lỗ) trước thuế",income_statement!$A:$A,0),MATCH(E$23,income_statement!$B$1:$I$1,0)),"")</f>
        <v/>
      </c>
      <c r="F50" s="20">
        <f>IFERROR(INDEX(income_statement!$B:$I,MATCH("Lãi/(lỗ) trước thuế",income_statement!$A:$A,0),MATCH(F$23,income_statement!$B$1:$I$1,0)),"")</f>
        <v/>
      </c>
      <c r="G50" s="20">
        <f>IFERROR(INDEX(income_statement!$B:$I,MATCH("Lãi/(lỗ) trước thuế",income_statement!$A:$A,0),MATCH(G$23,income_statement!$B$1:$I$1,0)),"")</f>
        <v/>
      </c>
      <c r="H50" s="20">
        <f>IFERROR(INDEX(income_statement!$B:$I,MATCH("Lãi/(lỗ) trước thuế",income_statement!$A:$A,0),MATCH(H$23,income_statement!$B$1:$I$1,0)),"")</f>
        <v/>
      </c>
      <c r="I50" s="20">
        <f>IFERROR(INDEX(income_statement!$B:$I,MATCH("Lãi/(lỗ) trước thuế",income_statement!$A:$A,0),MATCH(I$23,income_statement!$B$1:$I$1,0)),"")</f>
        <v/>
      </c>
      <c r="J50" s="20" t="n">
        <v>1550000000000</v>
      </c>
    </row>
    <row r="51">
      <c r="A51" s="18" t="inlineStr">
        <is>
          <t>Lãi/(lỗ) thuần sau thuế</t>
        </is>
      </c>
      <c r="B51" s="19">
        <f>IFERROR(INDEX(income_statement!$B:$I,MATCH("Lãi/(lỗ) thuần sau thuế",income_statement!$A:$A,0),MATCH(B$23,income_statement!$B$1:$I$1,0)),"")</f>
        <v/>
      </c>
      <c r="C51" s="19">
        <f>IFERROR(INDEX(income_statement!$B:$I,MATCH("Lãi/(lỗ) thuần sau thuế",income_statement!$A:$A,0),MATCH(C$23,income_statement!$B$1:$I$1,0)),"")</f>
        <v/>
      </c>
      <c r="D51" s="19">
        <f>IFERROR(INDEX(income_statement!$B:$I,MATCH("Lãi/(lỗ) thuần sau thuế",income_statement!$A:$A,0),MATCH(D$23,income_statement!$B$1:$I$1,0)),"")</f>
        <v/>
      </c>
      <c r="E51" s="19">
        <f>IFERROR(INDEX(income_statement!$B:$I,MATCH("Lãi/(lỗ) thuần sau thuế",income_statement!$A:$A,0),MATCH(E$23,income_statement!$B$1:$I$1,0)),"")</f>
        <v/>
      </c>
      <c r="F51" s="19">
        <f>IFERROR(INDEX(income_statement!$B:$I,MATCH("Lãi/(lỗ) thuần sau thuế",income_statement!$A:$A,0),MATCH(F$23,income_statement!$B$1:$I$1,0)),"")</f>
        <v/>
      </c>
      <c r="G51" s="19">
        <f>IFERROR(INDEX(income_statement!$B:$I,MATCH("Lãi/(lỗ) thuần sau thuế",income_statement!$A:$A,0),MATCH(G$23,income_statement!$B$1:$I$1,0)),"")</f>
        <v/>
      </c>
      <c r="H51" s="19">
        <f>IFERROR(INDEX(income_statement!$B:$I,MATCH("Lãi/(lỗ) thuần sau thuế",income_statement!$A:$A,0),MATCH(H$23,income_statement!$B$1:$I$1,0)),"")</f>
        <v/>
      </c>
      <c r="I51" s="19">
        <f>IFERROR(INDEX(income_statement!$B:$I,MATCH("Lãi/(lỗ) thuần sau thuế",income_statement!$A:$A,0),MATCH(I$23,income_statement!$B$1:$I$1,0)),"")</f>
        <v/>
      </c>
    </row>
    <row r="52">
      <c r="A52" s="15" t="inlineStr">
        <is>
          <t>Lợi nhuận của Cổ đông của Công ty mẹ</t>
        </is>
      </c>
      <c r="B52" s="20">
        <f>IFERROR(INDEX(income_statement!$B:$I,MATCH("Lợi nhuận của Cổ đông của Công ty mẹ",income_statement!$A:$A,0),MATCH(B$23,income_statement!$B$1:$I$1,0)),"")</f>
        <v/>
      </c>
      <c r="C52" s="20">
        <f>IFERROR(INDEX(income_statement!$B:$I,MATCH("Lợi nhuận của Cổ đông của Công ty mẹ",income_statement!$A:$A,0),MATCH(C$23,income_statement!$B$1:$I$1,0)),"")</f>
        <v/>
      </c>
      <c r="D52" s="20">
        <f>IFERROR(INDEX(income_statement!$B:$I,MATCH("Lợi nhuận của Cổ đông của Công ty mẹ",income_statement!$A:$A,0),MATCH(D$23,income_statement!$B$1:$I$1,0)),"")</f>
        <v/>
      </c>
      <c r="E52" s="20">
        <f>IFERROR(INDEX(income_statement!$B:$I,MATCH("Lợi nhuận của Cổ đông của Công ty mẹ",income_statement!$A:$A,0),MATCH(E$23,income_statement!$B$1:$I$1,0)),"")</f>
        <v/>
      </c>
      <c r="F52" s="20">
        <f>IFERROR(INDEX(income_statement!$B:$I,MATCH("Lợi nhuận của Cổ đông của Công ty mẹ",income_statement!$A:$A,0),MATCH(F$23,income_statement!$B$1:$I$1,0)),"")</f>
        <v/>
      </c>
      <c r="G52" s="20">
        <f>IFERROR(INDEX(income_statement!$B:$I,MATCH("Lợi nhuận của Cổ đông của Công ty mẹ",income_statement!$A:$A,0),MATCH(G$23,income_statement!$B$1:$I$1,0)),"")</f>
        <v/>
      </c>
      <c r="H52" s="20">
        <f>IFERROR(INDEX(income_statement!$B:$I,MATCH("Lợi nhuận của Cổ đông của Công ty mẹ",income_statement!$A:$A,0),MATCH(H$23,income_statement!$B$1:$I$1,0)),"")</f>
        <v/>
      </c>
      <c r="I52" s="20">
        <f>IFERROR(INDEX(income_statement!$B:$I,MATCH("Lợi nhuận của Cổ đông của Công ty mẹ",income_statement!$A:$A,0),MATCH(I$23,income_statement!$B$1:$I$1,0)),"")</f>
        <v/>
      </c>
      <c r="J52" s="20">
        <f>J50*0.65</f>
        <v/>
      </c>
    </row>
    <row r="53">
      <c r="A53" s="18" t="inlineStr">
        <is>
          <t>LN cổ đông cty mẹ/ LN trước thuế</t>
        </is>
      </c>
      <c r="B53" s="26">
        <f>B52/B50</f>
        <v/>
      </c>
      <c r="C53" s="26">
        <f>C52/C50</f>
        <v/>
      </c>
      <c r="D53" s="26">
        <f>D52/D50</f>
        <v/>
      </c>
      <c r="E53" s="26">
        <f>E52/E50</f>
        <v/>
      </c>
      <c r="F53" s="26">
        <f>F52/F50</f>
        <v/>
      </c>
      <c r="G53" s="26">
        <f>G52/G50</f>
        <v/>
      </c>
      <c r="H53" s="26">
        <f>H52/H50</f>
        <v/>
      </c>
      <c r="I53" s="26">
        <f>I52/I50</f>
        <v/>
      </c>
      <c r="J53" s="27" t="n"/>
    </row>
    <row r="54">
      <c r="A54" s="15" t="inlineStr">
        <is>
          <t>Lưu chuyển tiền tệ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</row>
    <row r="55">
      <c r="A55" s="18" t="inlineStr">
        <is>
          <t>Khấu hao TSCĐ và BĐSĐT</t>
        </is>
      </c>
      <c r="B55" s="19">
        <f>IFERROR(INDEX(cash_flow!$B:$I,MATCH("Khấu hao TSCĐ và BĐSĐT",cash_flow!$A:$A,0),MATCH(B$23,cash_flow!$B$1:$I$1,0)),"")</f>
        <v/>
      </c>
      <c r="C55" s="19">
        <f>IFERROR(INDEX(cash_flow!$B:$I,MATCH("Khấu hao TSCĐ và BĐSĐT",cash_flow!$A:$A,0),MATCH(C$23,cash_flow!$B$1:$I$1,0)),"")</f>
        <v/>
      </c>
      <c r="D55" s="19">
        <f>IFERROR(INDEX(cash_flow!$B:$I,MATCH("Khấu hao TSCĐ và BĐSĐT",cash_flow!$A:$A,0),MATCH(D$23,cash_flow!$B$1:$I$1,0)),"")</f>
        <v/>
      </c>
      <c r="E55" s="19">
        <f>IFERROR(INDEX(cash_flow!$B:$I,MATCH("Khấu hao TSCĐ và BĐSĐT",cash_flow!$A:$A,0),MATCH(E$23,cash_flow!$B$1:$I$1,0)),"")</f>
        <v/>
      </c>
      <c r="F55" s="19">
        <f>IFERROR(INDEX(cash_flow!$B:$I,MATCH("Khấu hao TSCĐ và BĐSĐT",cash_flow!$A:$A,0),MATCH(F$23,cash_flow!$B$1:$I$1,0)),"")</f>
        <v/>
      </c>
      <c r="G55" s="19">
        <f>IFERROR(INDEX(cash_flow!$B:$I,MATCH("Khấu hao TSCĐ và BĐSĐT",cash_flow!$A:$A,0),MATCH(G$23,cash_flow!$B$1:$I$1,0)),"")</f>
        <v/>
      </c>
      <c r="H55" s="19">
        <f>IFERROR(INDEX(cash_flow!$B:$I,MATCH("Khấu hao TSCĐ và BĐSĐT",cash_flow!$A:$A,0),MATCH(H$23,cash_flow!$B$1:$I$1,0)),"")</f>
        <v/>
      </c>
      <c r="I55" s="1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19">
        <f>IFERROR(INDEX(cash_flow!$B:$I,MATCH("Tiền chi để mua sắm, xây dựng TSCĐ và các tài sản dài hạn khác",cash_flow!$A:$A,0),MATCH(B$23,cash_flow!$B$1:$I$1,0)),"")</f>
        <v/>
      </c>
      <c r="C56" s="19">
        <f>IFERROR(INDEX(cash_flow!$B:$I,MATCH("Tiền chi để mua sắm, xây dựng TSCĐ và các tài sản dài hạn khác",cash_flow!$A:$A,0),MATCH(C$23,cash_flow!$B$1:$I$1,0)),"")</f>
        <v/>
      </c>
      <c r="D56" s="19">
        <f>IFERROR(INDEX(cash_flow!$B:$I,MATCH("Tiền chi để mua sắm, xây dựng TSCĐ và các tài sản dài hạn khác",cash_flow!$A:$A,0),MATCH(D$23,cash_flow!$B$1:$I$1,0)),"")</f>
        <v/>
      </c>
      <c r="E56" s="19">
        <f>IFERROR(INDEX(cash_flow!$B:$I,MATCH("Tiền chi để mua sắm, xây dựng TSCĐ và các tài sản dài hạn khác",cash_flow!$A:$A,0),MATCH(E$23,cash_flow!$B$1:$I$1,0)),"")</f>
        <v/>
      </c>
      <c r="F56" s="19">
        <f>IFERROR(INDEX(cash_flow!$B:$I,MATCH("Tiền chi để mua sắm, xây dựng TSCĐ và các tài sản dài hạn khác",cash_flow!$A:$A,0),MATCH(F$23,cash_flow!$B$1:$I$1,0)),"")</f>
        <v/>
      </c>
      <c r="G56" s="19">
        <f>IFERROR(INDEX(cash_flow!$B:$I,MATCH("Tiền chi để mua sắm, xây dựng TSCĐ và các tài sản dài hạn khác",cash_flow!$A:$A,0),MATCH(G$23,cash_flow!$B$1:$I$1,0)),"")</f>
        <v/>
      </c>
      <c r="H56" s="19">
        <f>IFERROR(INDEX(cash_flow!$B:$I,MATCH("Tiền chi để mua sắm, xây dựng TSCĐ và các tài sản dài hạn khác",cash_flow!$A:$A,0),MATCH(H$23,cash_flow!$B$1:$I$1,0)),"")</f>
        <v/>
      </c>
      <c r="I56" s="1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19">
        <f>IFERROR(INDEX(cash_flow!$B:$I,MATCH("Lưu chuyển tiền tệ ròng từ các hoạt động sản xuất kinh doanh",cash_flow!$A:$A,0),MATCH(B$23,cash_flow!$B$1:$I$1,0)),"")</f>
        <v/>
      </c>
      <c r="C57" s="19">
        <f>IFERROR(INDEX(cash_flow!$B:$I,MATCH("Lưu chuyển tiền tệ ròng từ các hoạt động sản xuất kinh doanh",cash_flow!$A:$A,0),MATCH(C$23,cash_flow!$B$1:$I$1,0)),"")</f>
        <v/>
      </c>
      <c r="D57" s="19">
        <f>IFERROR(INDEX(cash_flow!$B:$I,MATCH("Lưu chuyển tiền tệ ròng từ các hoạt động sản xuất kinh doanh",cash_flow!$A:$A,0),MATCH(D$23,cash_flow!$B$1:$I$1,0)),"")</f>
        <v/>
      </c>
      <c r="E57" s="19">
        <f>IFERROR(INDEX(cash_flow!$B:$I,MATCH("Lưu chuyển tiền tệ ròng từ các hoạt động sản xuất kinh doanh",cash_flow!$A:$A,0),MATCH(E$23,cash_flow!$B$1:$I$1,0)),"")</f>
        <v/>
      </c>
      <c r="F57" s="19">
        <f>IFERROR(INDEX(cash_flow!$B:$I,MATCH("Lưu chuyển tiền tệ ròng từ các hoạt động sản xuất kinh doanh",cash_flow!$A:$A,0),MATCH(F$23,cash_flow!$B$1:$I$1,0)),"")</f>
        <v/>
      </c>
      <c r="G57" s="19">
        <f>IFERROR(INDEX(cash_flow!$B:$I,MATCH("Lưu chuyển tiền tệ ròng từ các hoạt động sản xuất kinh doanh",cash_flow!$A:$A,0),MATCH(G$23,cash_flow!$B$1:$I$1,0)),"")</f>
        <v/>
      </c>
      <c r="H57" s="19">
        <f>IFERROR(INDEX(cash_flow!$B:$I,MATCH("Lưu chuyển tiền tệ ròng từ các hoạt động sản xuất kinh doanh",cash_flow!$A:$A,0),MATCH(H$23,cash_flow!$B$1:$I$1,0)),"")</f>
        <v/>
      </c>
      <c r="I57" s="19">
        <f>IFERROR(INDEX(cash_flow!$B:$I,MATCH("Lưu chuyển tiền tệ ròng từ các hoạt động sản xuất kinh doanh",cash_flow!$A:$A,0),MATCH(I$23,cash_flow!$B$1:$I$1,0)),"")</f>
        <v/>
      </c>
    </row>
    <row r="58"/>
    <row r="59"/>
    <row r="60"/>
    <row r="61">
      <c r="A61" s="28" t="inlineStr">
        <is>
          <t>CHỈ SỐ THÊM</t>
        </is>
      </c>
      <c r="B61" s="16" t="n">
        <v>2018</v>
      </c>
      <c r="C61" s="16" t="n">
        <v>2019</v>
      </c>
      <c r="D61" s="16" t="n">
        <v>2020</v>
      </c>
      <c r="E61" s="16" t="n">
        <v>2021</v>
      </c>
      <c r="F61" s="16" t="n">
        <v>2022</v>
      </c>
      <c r="G61" s="16" t="n">
        <v>2023</v>
      </c>
      <c r="H61" s="16" t="n">
        <v>2024</v>
      </c>
      <c r="I61" s="16" t="n">
        <v>2025</v>
      </c>
    </row>
    <row r="62">
      <c r="A62" s="28" t="inlineStr">
        <is>
          <t>Khả năng sinh lời &amp; hiệu quả sử dụng vốn</t>
        </is>
      </c>
      <c r="B62" s="29" t="n"/>
      <c r="C62" s="29" t="n"/>
      <c r="D62" s="29" t="n"/>
      <c r="E62" s="29" t="n"/>
      <c r="F62" s="29" t="n"/>
      <c r="G62" s="29" t="n"/>
      <c r="H62" s="29" t="n"/>
      <c r="I62" s="29" t="n"/>
    </row>
    <row r="63">
      <c r="A63" s="29" t="inlineStr">
        <is>
          <t>ROCE</t>
        </is>
      </c>
      <c r="B63" s="30">
        <f>IFERROR(B$65/(B$31-B$35),"n/a")</f>
        <v/>
      </c>
      <c r="C63" s="30">
        <f>IFERROR(C$65/(C$31-C$35),"n/a")</f>
        <v/>
      </c>
      <c r="D63" s="30">
        <f>IFERROR(D$65/(D$31-D$35),"n/a")</f>
        <v/>
      </c>
      <c r="E63" s="30">
        <f>IFERROR(E$65/(E$31-E$35),"n/a")</f>
        <v/>
      </c>
      <c r="F63" s="30">
        <f>IFERROR(F$65/(F$31-F$35),"n/a")</f>
        <v/>
      </c>
      <c r="G63" s="30">
        <f>IFERROR(G$65/(G$31-G$35),"n/a")</f>
        <v/>
      </c>
      <c r="H63" s="30">
        <f>IFERROR(H$65/(H$31-H$35),"n/a")</f>
        <v/>
      </c>
      <c r="I63" s="30">
        <f>IFERROR(I$65/(I$31-I$35),"n/a")</f>
        <v/>
      </c>
    </row>
    <row r="64">
      <c r="A64" s="29" t="inlineStr">
        <is>
          <t>CROIC</t>
        </is>
      </c>
      <c r="B64" s="30">
        <f>IFERROR(B$69/(B$31-B$35),"n/a")</f>
        <v/>
      </c>
      <c r="C64" s="30">
        <f>IFERROR(C$69/(C$31-C$35),"n/a")</f>
        <v/>
      </c>
      <c r="D64" s="30">
        <f>IFERROR(D$69/(D$31-D$35),"n/a")</f>
        <v/>
      </c>
      <c r="E64" s="30">
        <f>IFERROR(E$69/(E$31-E$35),"n/a")</f>
        <v/>
      </c>
      <c r="F64" s="30">
        <f>IFERROR(F$69/(F$31-F$35),"n/a")</f>
        <v/>
      </c>
      <c r="G64" s="30">
        <f>IFERROR(G$69/(G$31-G$35),"n/a")</f>
        <v/>
      </c>
      <c r="H64" s="30">
        <f>IFERROR(H$69/(H$31-H$35),"n/a")</f>
        <v/>
      </c>
      <c r="I64" s="30">
        <f>IFERROR(I$69/(I$31-I$35),"n/a")</f>
        <v/>
      </c>
    </row>
    <row r="65">
      <c r="A65" s="29" t="inlineStr">
        <is>
          <t>EBIT</t>
        </is>
      </c>
      <c r="B65" s="31">
        <f>IFERROR(B$48+ABS(B$49),"n/a")</f>
        <v/>
      </c>
      <c r="C65" s="31">
        <f>IFERROR(C$48+ABS(C$49),"n/a")</f>
        <v/>
      </c>
      <c r="D65" s="31">
        <f>IFERROR(D$48+ABS(D$49),"n/a")</f>
        <v/>
      </c>
      <c r="E65" s="31">
        <f>IFERROR(E$48+ABS(E$49),"n/a")</f>
        <v/>
      </c>
      <c r="F65" s="31">
        <f>IFERROR(F$48+ABS(F$49),"n/a")</f>
        <v/>
      </c>
      <c r="G65" s="31">
        <f>IFERROR(G$48+ABS(G$49),"n/a")</f>
        <v/>
      </c>
      <c r="H65" s="31">
        <f>IFERROR(H$48+ABS(H$49),"n/a")</f>
        <v/>
      </c>
      <c r="I65" s="31">
        <f>IFERROR(I$48+ABS(I$49),"n/a")</f>
        <v/>
      </c>
    </row>
    <row r="66">
      <c r="A66" s="29" t="inlineStr">
        <is>
          <t>EBIT/DT</t>
        </is>
      </c>
      <c r="B66" s="30">
        <f>IFERROR(B$65/B$43,"n/a")</f>
        <v/>
      </c>
      <c r="C66" s="30">
        <f>IFERROR(C$65/C$43,"n/a")</f>
        <v/>
      </c>
      <c r="D66" s="30">
        <f>IFERROR(D$65/D$43,"n/a")</f>
        <v/>
      </c>
      <c r="E66" s="30">
        <f>IFERROR(E$65/E$43,"n/a")</f>
        <v/>
      </c>
      <c r="F66" s="30">
        <f>IFERROR(F$65/F$43,"n/a")</f>
        <v/>
      </c>
      <c r="G66" s="30">
        <f>IFERROR(G$65/G$43,"n/a")</f>
        <v/>
      </c>
      <c r="H66" s="30">
        <f>IFERROR(H$65/H$43,"n/a")</f>
        <v/>
      </c>
      <c r="I66" s="30">
        <f>IFERROR(I$65/I$43,"n/a")</f>
        <v/>
      </c>
    </row>
    <row r="67">
      <c r="A67" s="29" t="inlineStr">
        <is>
          <t>DT/TS</t>
        </is>
      </c>
      <c r="B67" s="30">
        <f>IFERROR(B$43/B$31,"n/a")</f>
        <v/>
      </c>
      <c r="C67" s="30">
        <f>IFERROR(C$43/C$31,"n/a")</f>
        <v/>
      </c>
      <c r="D67" s="30">
        <f>IFERROR(D$43/D$31,"n/a")</f>
        <v/>
      </c>
      <c r="E67" s="30">
        <f>IFERROR(E$43/E$31,"n/a")</f>
        <v/>
      </c>
      <c r="F67" s="30">
        <f>IFERROR(F$43/F$31,"n/a")</f>
        <v/>
      </c>
      <c r="G67" s="30">
        <f>IFERROR(G$43/G$31,"n/a")</f>
        <v/>
      </c>
      <c r="H67" s="30">
        <f>IFERROR(H$43/H$31,"n/a")</f>
        <v/>
      </c>
      <c r="I67" s="30">
        <f>IFERROR(I$43/I$31,"n/a")</f>
        <v/>
      </c>
    </row>
    <row r="68">
      <c r="A68" s="28" t="inlineStr">
        <is>
          <t>Dòng tiền &amp; tái đầu tư</t>
        </is>
      </c>
      <c r="B68" s="29" t="n"/>
      <c r="C68" s="29" t="n"/>
      <c r="D68" s="29" t="n"/>
      <c r="E68" s="29" t="n"/>
      <c r="F68" s="29" t="n"/>
      <c r="G68" s="29" t="n"/>
      <c r="H68" s="29" t="n"/>
      <c r="I68" s="29" t="n"/>
    </row>
    <row r="69">
      <c r="A69" s="29" t="inlineStr">
        <is>
          <t>FCF</t>
        </is>
      </c>
      <c r="B69" s="31">
        <f>IFERROR(B$57-ABS(B$56),"n/a")</f>
        <v/>
      </c>
      <c r="C69" s="31">
        <f>IFERROR(C$57-ABS(C$56),"n/a")</f>
        <v/>
      </c>
      <c r="D69" s="31">
        <f>IFERROR(D$57-ABS(D$56),"n/a")</f>
        <v/>
      </c>
      <c r="E69" s="31">
        <f>IFERROR(E$57-ABS(E$56),"n/a")</f>
        <v/>
      </c>
      <c r="F69" s="31">
        <f>IFERROR(F$57-ABS(F$56),"n/a")</f>
        <v/>
      </c>
      <c r="G69" s="31">
        <f>IFERROR(G$57-ABS(G$56),"n/a")</f>
        <v/>
      </c>
      <c r="H69" s="31">
        <f>IFERROR(H$57-ABS(H$56),"n/a")</f>
        <v/>
      </c>
      <c r="I69" s="31">
        <f>IFERROR(I$57-ABS(I$56),"n/a")</f>
        <v/>
      </c>
    </row>
    <row r="70">
      <c r="A70" s="29" t="inlineStr">
        <is>
          <t>FCF/DT</t>
        </is>
      </c>
      <c r="B70" s="30">
        <f>IFERROR(B$69/B$43,"n/a")</f>
        <v/>
      </c>
      <c r="C70" s="30">
        <f>IFERROR(C$69/C$43,"n/a")</f>
        <v/>
      </c>
      <c r="D70" s="30">
        <f>IFERROR(D$69/D$43,"n/a")</f>
        <v/>
      </c>
      <c r="E70" s="30">
        <f>IFERROR(E$69/E$43,"n/a")</f>
        <v/>
      </c>
      <c r="F70" s="30">
        <f>IFERROR(F$69/F$43,"n/a")</f>
        <v/>
      </c>
      <c r="G70" s="30">
        <f>IFERROR(G$69/G$43,"n/a")</f>
        <v/>
      </c>
      <c r="H70" s="30">
        <f>IFERROR(H$69/H$43,"n/a")</f>
        <v/>
      </c>
      <c r="I70" s="30">
        <f>IFERROR(I$69/I$43,"n/a")</f>
        <v/>
      </c>
    </row>
    <row r="71">
      <c r="A71" s="29" t="inlineStr">
        <is>
          <t>FCF/Nợ ngắn hạn</t>
        </is>
      </c>
      <c r="B71" s="30">
        <f>IFERROR(B$69/B$35,"n/a")</f>
        <v/>
      </c>
      <c r="C71" s="30">
        <f>IFERROR(C$69/C$35,"n/a")</f>
        <v/>
      </c>
      <c r="D71" s="30">
        <f>IFERROR(D$69/D$35,"n/a")</f>
        <v/>
      </c>
      <c r="E71" s="30">
        <f>IFERROR(E$69/E$35,"n/a")</f>
        <v/>
      </c>
      <c r="F71" s="30">
        <f>IFERROR(F$69/F$35,"n/a")</f>
        <v/>
      </c>
      <c r="G71" s="30">
        <f>IFERROR(G$69/G$35,"n/a")</f>
        <v/>
      </c>
      <c r="H71" s="30">
        <f>IFERROR(H$69/H$35,"n/a")</f>
        <v/>
      </c>
      <c r="I71" s="30">
        <f>IFERROR(I$69/I$35,"n/a")</f>
        <v/>
      </c>
    </row>
    <row r="72">
      <c r="A72" s="29" t="inlineStr">
        <is>
          <t>Capex</t>
        </is>
      </c>
      <c r="B72" s="31">
        <f>IFERROR(ABS(B$56),"n/a")</f>
        <v/>
      </c>
      <c r="C72" s="31">
        <f>IFERROR(ABS(C$56),"n/a")</f>
        <v/>
      </c>
      <c r="D72" s="31">
        <f>IFERROR(ABS(D$56),"n/a")</f>
        <v/>
      </c>
      <c r="E72" s="31">
        <f>IFERROR(ABS(E$56),"n/a")</f>
        <v/>
      </c>
      <c r="F72" s="31">
        <f>IFERROR(ABS(F$56),"n/a")</f>
        <v/>
      </c>
      <c r="G72" s="31">
        <f>IFERROR(ABS(G$56),"n/a")</f>
        <v/>
      </c>
      <c r="H72" s="31">
        <f>IFERROR(ABS(H$56),"n/a")</f>
        <v/>
      </c>
      <c r="I72" s="31">
        <f>IFERROR(ABS(I$56),"n/a")</f>
        <v/>
      </c>
    </row>
    <row r="73">
      <c r="A73" s="29" t="inlineStr">
        <is>
          <t>Capex/TS</t>
        </is>
      </c>
      <c r="B73" s="30">
        <f>IFERROR(B$72/B$31,"n/a")</f>
        <v/>
      </c>
      <c r="C73" s="30">
        <f>IFERROR(C$72/C$31,"n/a")</f>
        <v/>
      </c>
      <c r="D73" s="30">
        <f>IFERROR(D$72/D$31,"n/a")</f>
        <v/>
      </c>
      <c r="E73" s="30">
        <f>IFERROR(E$72/E$31,"n/a")</f>
        <v/>
      </c>
      <c r="F73" s="30">
        <f>IFERROR(F$72/F$31,"n/a")</f>
        <v/>
      </c>
      <c r="G73" s="30">
        <f>IFERROR(G$72/G$31,"n/a")</f>
        <v/>
      </c>
      <c r="H73" s="30">
        <f>IFERROR(H$72/H$31,"n/a")</f>
        <v/>
      </c>
      <c r="I73" s="30">
        <f>IFERROR(I$72/I$31,"n/a")</f>
        <v/>
      </c>
    </row>
    <row r="74">
      <c r="A74" s="29" t="inlineStr">
        <is>
          <t>Capex/LNST</t>
        </is>
      </c>
      <c r="B74" s="30">
        <f>IFERROR(B$72/ABS(B$51),"n/a")</f>
        <v/>
      </c>
      <c r="C74" s="30">
        <f>IFERROR(C$72/ABS(C$51),"n/a")</f>
        <v/>
      </c>
      <c r="D74" s="30">
        <f>IFERROR(D$72/ABS(D$51),"n/a")</f>
        <v/>
      </c>
      <c r="E74" s="30">
        <f>IFERROR(E$72/ABS(E$51),"n/a")</f>
        <v/>
      </c>
      <c r="F74" s="30">
        <f>IFERROR(F$72/ABS(F$51),"n/a")</f>
        <v/>
      </c>
      <c r="G74" s="30">
        <f>IFERROR(G$72/ABS(G$51),"n/a")</f>
        <v/>
      </c>
      <c r="H74" s="30">
        <f>IFERROR(H$72/ABS(H$51),"n/a")</f>
        <v/>
      </c>
      <c r="I74" s="30">
        <f>IFERROR(I$72/ABS(I$51),"n/a")</f>
        <v/>
      </c>
    </row>
    <row r="75">
      <c r="A75" s="29" t="inlineStr">
        <is>
          <t>Chi phí khấu hao/Lợi nhuận gộp</t>
        </is>
      </c>
      <c r="B75" s="30">
        <f>IFERROR(ABS(B$55)/B$45,"n/a")</f>
        <v/>
      </c>
      <c r="C75" s="30">
        <f>IFERROR(ABS(C$55)/C$45,"n/a")</f>
        <v/>
      </c>
      <c r="D75" s="30">
        <f>IFERROR(ABS(D$55)/D$45,"n/a")</f>
        <v/>
      </c>
      <c r="E75" s="30">
        <f>IFERROR(ABS(E$55)/E$45,"n/a")</f>
        <v/>
      </c>
      <c r="F75" s="30">
        <f>IFERROR(ABS(F$55)/F$45,"n/a")</f>
        <v/>
      </c>
      <c r="G75" s="30">
        <f>IFERROR(ABS(G$55)/G$45,"n/a")</f>
        <v/>
      </c>
      <c r="H75" s="30">
        <f>IFERROR(ABS(H$55)/H$45,"n/a")</f>
        <v/>
      </c>
      <c r="I75" s="30">
        <f>IFERROR(ABS(I$55)/I$45,"n/a")</f>
        <v/>
      </c>
    </row>
    <row r="76">
      <c r="A76" s="29" t="inlineStr">
        <is>
          <t>EBIT/Chi phí lãi vay</t>
        </is>
      </c>
      <c r="B76" s="32">
        <f>IFERROR(B$65/ABS(B$49),"n/a")</f>
        <v/>
      </c>
      <c r="C76" s="32">
        <f>IFERROR(C$65/ABS(C$49),"n/a")</f>
        <v/>
      </c>
      <c r="D76" s="32">
        <f>IFERROR(D$65/ABS(D$49),"n/a")</f>
        <v/>
      </c>
      <c r="E76" s="32">
        <f>IFERROR(E$65/ABS(E$49),"n/a")</f>
        <v/>
      </c>
      <c r="F76" s="32">
        <f>IFERROR(F$65/ABS(F$49),"n/a")</f>
        <v/>
      </c>
      <c r="G76" s="32">
        <f>IFERROR(G$65/ABS(G$49),"n/a")</f>
        <v/>
      </c>
      <c r="H76" s="32">
        <f>IFERROR(H$65/ABS(H$49),"n/a")</f>
        <v/>
      </c>
      <c r="I76" s="32">
        <f>IFERROR(I$65/ABS(I$49),"n/a")</f>
        <v/>
      </c>
    </row>
    <row r="77">
      <c r="A77" s="28" t="inlineStr">
        <is>
          <t>Vốn lưu động &amp; hiệu quả hoạt động</t>
        </is>
      </c>
      <c r="B77" s="29" t="n"/>
      <c r="C77" s="29" t="n"/>
      <c r="D77" s="29" t="n"/>
      <c r="E77" s="29" t="n"/>
      <c r="F77" s="29" t="n"/>
      <c r="G77" s="29" t="n"/>
      <c r="H77" s="29" t="n"/>
      <c r="I77" s="29" t="n"/>
    </row>
    <row r="78">
      <c r="A78" s="29" t="inlineStr">
        <is>
          <t>Vòng quay tiền mặt</t>
        </is>
      </c>
      <c r="B78" s="33">
        <f>IFERROR(B$17+B$18-B$16,"n/a")</f>
        <v/>
      </c>
      <c r="C78" s="33">
        <f>IFERROR(C$17+C$18-C$16,"n/a")</f>
        <v/>
      </c>
      <c r="D78" s="33">
        <f>IFERROR(D$17+D$18-D$16,"n/a")</f>
        <v/>
      </c>
      <c r="E78" s="33">
        <f>IFERROR(E$17+E$18-E$16,"n/a")</f>
        <v/>
      </c>
      <c r="F78" s="33">
        <f>IFERROR(F$17+F$18-F$16,"n/a")</f>
        <v/>
      </c>
      <c r="G78" s="33">
        <f>IFERROR(G$17+G$18-G$16,"n/a")</f>
        <v/>
      </c>
      <c r="H78" s="33">
        <f>IFERROR(H$17+H$18-H$16,"n/a")</f>
        <v/>
      </c>
      <c r="I78" s="33">
        <f>IFERROR(I$17+I$18-I$16,"n/a")</f>
        <v/>
      </c>
    </row>
    <row r="79">
      <c r="A79" s="29" t="inlineStr">
        <is>
          <t>HTK/DT</t>
        </is>
      </c>
      <c r="B79" s="30">
        <f>IFERROR(B$28/B$43,"n/a")</f>
        <v/>
      </c>
      <c r="C79" s="30">
        <f>IFERROR(C$28/C$43,"n/a")</f>
        <v/>
      </c>
      <c r="D79" s="30">
        <f>IFERROR(D$28/D$43,"n/a")</f>
        <v/>
      </c>
      <c r="E79" s="30">
        <f>IFERROR(E$28/E$43,"n/a")</f>
        <v/>
      </c>
      <c r="F79" s="30">
        <f>IFERROR(F$28/F$43,"n/a")</f>
        <v/>
      </c>
      <c r="G79" s="30">
        <f>IFERROR(G$28/G$43,"n/a")</f>
        <v/>
      </c>
      <c r="H79" s="30">
        <f>IFERROR(H$28/H$43,"n/a")</f>
        <v/>
      </c>
      <c r="I79" s="30">
        <f>IFERROR(I$28/I$43,"n/a")</f>
        <v/>
      </c>
    </row>
    <row r="80">
      <c r="A80" s="29" t="inlineStr">
        <is>
          <t>HTK/TS</t>
        </is>
      </c>
      <c r="B80" s="30">
        <f>IFERROR(B$28/B$31,"n/a")</f>
        <v/>
      </c>
      <c r="C80" s="30">
        <f>IFERROR(C$28/C$31,"n/a")</f>
        <v/>
      </c>
      <c r="D80" s="30">
        <f>IFERROR(D$28/D$31,"n/a")</f>
        <v/>
      </c>
      <c r="E80" s="30">
        <f>IFERROR(E$28/E$31,"n/a")</f>
        <v/>
      </c>
      <c r="F80" s="30">
        <f>IFERROR(F$28/F$31,"n/a")</f>
        <v/>
      </c>
      <c r="G80" s="30">
        <f>IFERROR(G$28/G$31,"n/a")</f>
        <v/>
      </c>
      <c r="H80" s="30">
        <f>IFERROR(H$28/H$31,"n/a")</f>
        <v/>
      </c>
      <c r="I80" s="30">
        <f>IFERROR(I$28/I$31,"n/a")</f>
        <v/>
      </c>
    </row>
    <row r="81">
      <c r="A81" s="29" t="inlineStr">
        <is>
          <t>DT/TS</t>
        </is>
      </c>
      <c r="B81" s="30">
        <f>IFERROR(B$43/B$31,"n/a")</f>
        <v/>
      </c>
      <c r="C81" s="30">
        <f>IFERROR(C$43/C$31,"n/a")</f>
        <v/>
      </c>
      <c r="D81" s="30">
        <f>IFERROR(D$43/D$31,"n/a")</f>
        <v/>
      </c>
      <c r="E81" s="30">
        <f>IFERROR(E$43/E$31,"n/a")</f>
        <v/>
      </c>
      <c r="F81" s="30">
        <f>IFERROR(F$43/F$31,"n/a")</f>
        <v/>
      </c>
      <c r="G81" s="30">
        <f>IFERROR(G$43/G$31,"n/a")</f>
        <v/>
      </c>
      <c r="H81" s="30">
        <f>IFERROR(H$43/H$31,"n/a")</f>
        <v/>
      </c>
      <c r="I81" s="30">
        <f>IFERROR(I$43/I$31,"n/a")</f>
        <v/>
      </c>
    </row>
    <row r="82">
      <c r="A82" s="28" t="inlineStr">
        <is>
          <t>Khả năng thanh toán</t>
        </is>
      </c>
      <c r="B82" s="29" t="n"/>
      <c r="C82" s="29" t="n"/>
      <c r="D82" s="29" t="n"/>
      <c r="E82" s="29" t="n"/>
      <c r="F82" s="29" t="n"/>
      <c r="G82" s="29" t="n"/>
      <c r="H82" s="29" t="n"/>
      <c r="I82" s="29" t="n"/>
    </row>
    <row r="83">
      <c r="A83" s="29" t="inlineStr">
        <is>
          <t>(TS ngắn hạn − HTK)/Nợ ngắn hạn</t>
        </is>
      </c>
      <c r="B83" s="32">
        <f>IFERROR((B$29-B$28)/B$35,"n/a")</f>
        <v/>
      </c>
      <c r="C83" s="32">
        <f>IFERROR((C$29-C$28)/C$35,"n/a")</f>
        <v/>
      </c>
      <c r="D83" s="32">
        <f>IFERROR((D$29-D$28)/D$35,"n/a")</f>
        <v/>
      </c>
      <c r="E83" s="32">
        <f>IFERROR((E$29-E$28)/E$35,"n/a")</f>
        <v/>
      </c>
      <c r="F83" s="32">
        <f>IFERROR((F$29-F$28)/F$35,"n/a")</f>
        <v/>
      </c>
      <c r="G83" s="32">
        <f>IFERROR((G$29-G$28)/G$35,"n/a")</f>
        <v/>
      </c>
      <c r="H83" s="32">
        <f>IFERROR((H$29-H$28)/H$35,"n/a")</f>
        <v/>
      </c>
      <c r="I83" s="32">
        <f>IFERROR((I$29-I$28)/I$35,"n/a")</f>
        <v/>
      </c>
    </row>
    <row r="84">
      <c r="A84" s="29" t="inlineStr">
        <is>
          <t>TS ngắn hạn/Nợ ngắn hạn</t>
        </is>
      </c>
      <c r="B84" s="32">
        <f>IFERROR(B$29/B$35,"n/a")</f>
        <v/>
      </c>
      <c r="C84" s="32">
        <f>IFERROR(C$29/C$35,"n/a")</f>
        <v/>
      </c>
      <c r="D84" s="32">
        <f>IFERROR(D$29/D$35,"n/a")</f>
        <v/>
      </c>
      <c r="E84" s="32">
        <f>IFERROR(E$29/E$35,"n/a")</f>
        <v/>
      </c>
      <c r="F84" s="32">
        <f>IFERROR(F$29/F$35,"n/a")</f>
        <v/>
      </c>
      <c r="G84" s="32">
        <f>IFERROR(G$29/G$35,"n/a")</f>
        <v/>
      </c>
      <c r="H84" s="32">
        <f>IFERROR(H$29/H$35,"n/a")</f>
        <v/>
      </c>
      <c r="I84" s="32">
        <f>IFERROR(I$29/I$35,"n/a")</f>
        <v/>
      </c>
    </row>
    <row r="85">
      <c r="A85" s="28" t="inlineStr">
        <is>
          <t>Tài sản &amp; cơ cấu tài sản</t>
        </is>
      </c>
      <c r="B85" s="29" t="n"/>
      <c r="C85" s="29" t="n"/>
      <c r="D85" s="29" t="n"/>
      <c r="E85" s="29" t="n"/>
      <c r="F85" s="29" t="n"/>
      <c r="G85" s="29" t="n"/>
      <c r="H85" s="29" t="n"/>
      <c r="I85" s="29" t="n"/>
    </row>
    <row r="86">
      <c r="A86" s="29" t="inlineStr">
        <is>
          <t>TSCĐ vô hình</t>
        </is>
      </c>
      <c r="B86" s="31">
        <f>IFERROR(B$30,"n/a")</f>
        <v/>
      </c>
      <c r="C86" s="31">
        <f>IFERROR(C$30,"n/a")</f>
        <v/>
      </c>
      <c r="D86" s="31">
        <f>IFERROR(D$30,"n/a")</f>
        <v/>
      </c>
      <c r="E86" s="31">
        <f>IFERROR(E$30,"n/a")</f>
        <v/>
      </c>
      <c r="F86" s="31">
        <f>IFERROR(F$30,"n/a")</f>
        <v/>
      </c>
      <c r="G86" s="31">
        <f>IFERROR(G$30,"n/a")</f>
        <v/>
      </c>
      <c r="H86" s="31">
        <f>IFERROR(H$30,"n/a")</f>
        <v/>
      </c>
      <c r="I86" s="31">
        <f>IFERROR(I$30,"n/a")</f>
        <v/>
      </c>
    </row>
    <row r="87">
      <c r="A87" s="29" t="inlineStr">
        <is>
          <t>Tài sản vô hình/Giá trị sổ sách</t>
        </is>
      </c>
      <c r="B87" s="30">
        <f>IFERROR(B$30/B$39,"n/a")</f>
        <v/>
      </c>
      <c r="C87" s="30">
        <f>IFERROR(C$30/C$39,"n/a")</f>
        <v/>
      </c>
      <c r="D87" s="30">
        <f>IFERROR(D$30/D$39,"n/a")</f>
        <v/>
      </c>
      <c r="E87" s="30">
        <f>IFERROR(E$30/E$39,"n/a")</f>
        <v/>
      </c>
      <c r="F87" s="30">
        <f>IFERROR(F$30/F$39,"n/a")</f>
        <v/>
      </c>
      <c r="G87" s="30">
        <f>IFERROR(G$30/G$39,"n/a")</f>
        <v/>
      </c>
      <c r="H87" s="30">
        <f>IFERROR(H$30/H$39,"n/a")</f>
        <v/>
      </c>
      <c r="I87" s="30">
        <f>IFERROR(I$30/I$39,"n/a")</f>
        <v/>
      </c>
    </row>
  </sheetData>
  <conditionalFormatting sqref="B2:I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1.77734375" customWidth="1" min="1" max="1"/>
    <col width="17.44140625" customWidth="1" min="2" max="2"/>
    <col width="11.77734375" customWidth="1" min="7" max="7"/>
  </cols>
  <sheetData>
    <row r="1" ht="13.5" customHeight="1">
      <c r="A1" s="29" t="n"/>
      <c r="B1" s="29" t="inlineStr">
        <is>
          <t>Q4/2025</t>
        </is>
      </c>
      <c r="C1" s="29" t="inlineStr">
        <is>
          <t>Q1/2026</t>
        </is>
      </c>
      <c r="D1" s="29" t="inlineStr">
        <is>
          <t>Q2/2026</t>
        </is>
      </c>
      <c r="E1" s="29" t="inlineStr">
        <is>
          <t>Q3/2026</t>
        </is>
      </c>
      <c r="F1" s="29" t="inlineStr">
        <is>
          <t>Q4/2026</t>
        </is>
      </c>
    </row>
    <row r="2" ht="13.5" customHeight="1">
      <c r="A2" s="29" t="inlineStr">
        <is>
          <t>Số CP</t>
        </is>
      </c>
      <c r="B2" s="34" t="n">
        <v>178815054</v>
      </c>
      <c r="C2" s="34" t="n">
        <v>178815054</v>
      </c>
      <c r="D2" s="34" t="n">
        <v>178815054</v>
      </c>
      <c r="E2" s="34" t="n">
        <v>178815054</v>
      </c>
      <c r="F2" s="34" t="n">
        <v>178815054</v>
      </c>
    </row>
    <row r="3" ht="13.5" customHeight="1">
      <c r="A3" s="29" t="inlineStr">
        <is>
          <t>Thị giá</t>
        </is>
      </c>
      <c r="B3" s="34">
        <f>[1]Sheet1!$F$2</f>
        <v/>
      </c>
      <c r="C3" s="34">
        <f>[1]Sheet1!$F$2</f>
        <v/>
      </c>
      <c r="D3" s="34">
        <f>[1]Sheet1!$F$2</f>
        <v/>
      </c>
      <c r="E3" s="34">
        <f>[1]Sheet1!$F$2</f>
        <v/>
      </c>
      <c r="F3" s="34">
        <f>[1]Sheet1!$F$2</f>
        <v/>
      </c>
    </row>
    <row r="4" ht="13.5" customHeight="1">
      <c r="A4" s="29" t="inlineStr">
        <is>
          <t>Vốn hoá</t>
        </is>
      </c>
      <c r="B4" s="34">
        <f>B2*B3</f>
        <v/>
      </c>
      <c r="C4" s="34">
        <f>C2*C3</f>
        <v/>
      </c>
      <c r="D4" s="34">
        <f>D2*D3</f>
        <v/>
      </c>
      <c r="E4" s="34">
        <f>E2*E3</f>
        <v/>
      </c>
      <c r="F4" s="34">
        <f>F2*F3</f>
        <v/>
      </c>
    </row>
    <row r="5" ht="13.5" customHeight="1"/>
    <row r="6" ht="13.5" customHeight="1">
      <c r="A6" s="29" t="inlineStr">
        <is>
          <t>VCSH</t>
        </is>
      </c>
      <c r="B6" s="34">
        <f>chi_so_tai_chinh!I39</f>
        <v/>
      </c>
      <c r="C6" s="34" t="n">
        <v>5514000000000</v>
      </c>
      <c r="D6" s="34">
        <f>$C$6*(($F$6/$C$6)^(1/3))</f>
        <v/>
      </c>
      <c r="E6" s="34">
        <f>$C$6*(($F$6/$C$6)^(2/3))</f>
        <v/>
      </c>
      <c r="F6" s="34">
        <f>chi_so_tai_chinh!J39</f>
        <v/>
      </c>
    </row>
    <row r="7" ht="13.5" customHeight="1">
      <c r="A7" s="29" t="inlineStr">
        <is>
          <t>LICĐKKS</t>
        </is>
      </c>
      <c r="B7" s="34">
        <f>chi_so_tai_chinh!I41</f>
        <v/>
      </c>
      <c r="C7" s="34">
        <f>chi_so_tai_chinh!J41</f>
        <v/>
      </c>
      <c r="D7" s="34">
        <f>chi_so_tai_chinh!K41</f>
        <v/>
      </c>
      <c r="E7" s="34">
        <f>chi_so_tai_chinh!L41</f>
        <v/>
      </c>
      <c r="F7" s="34">
        <f>chi_so_tai_chinh!M41</f>
        <v/>
      </c>
    </row>
    <row r="8" ht="13.5" customHeight="1">
      <c r="A8" s="29" t="inlineStr">
        <is>
          <t>BV</t>
        </is>
      </c>
      <c r="B8" s="34">
        <f>B6-B7</f>
        <v/>
      </c>
      <c r="C8" s="34">
        <f>C6-C7</f>
        <v/>
      </c>
      <c r="D8" s="34">
        <f>D6-D7</f>
        <v/>
      </c>
      <c r="E8" s="34">
        <f>E6-E7</f>
        <v/>
      </c>
      <c r="F8" s="34">
        <f>F6-F7</f>
        <v/>
      </c>
    </row>
    <row r="9" ht="13.5" customHeight="1">
      <c r="A9" s="29" t="inlineStr">
        <is>
          <t>BVPS</t>
        </is>
      </c>
      <c r="B9" s="35">
        <f>B8/B2</f>
        <v/>
      </c>
      <c r="C9" s="35">
        <f>C8/C2</f>
        <v/>
      </c>
      <c r="D9" s="35">
        <f>D8/D2</f>
        <v/>
      </c>
      <c r="E9" s="35">
        <f>E8/E2</f>
        <v/>
      </c>
      <c r="F9" s="35">
        <f>F8/F2</f>
        <v/>
      </c>
    </row>
    <row r="10" ht="13.5" customHeight="1">
      <c r="A10" s="29" t="inlineStr">
        <is>
          <t>PB</t>
        </is>
      </c>
      <c r="B10" s="36">
        <f>B3/B9</f>
        <v/>
      </c>
      <c r="C10" s="36">
        <f>C3/C9</f>
        <v/>
      </c>
      <c r="D10" s="36">
        <f>D3/D9</f>
        <v/>
      </c>
      <c r="E10" s="36">
        <f>E3/E9</f>
        <v/>
      </c>
      <c r="F10" s="36">
        <f>F3/F9</f>
        <v/>
      </c>
    </row>
    <row r="11" ht="13.5" customHeight="1">
      <c r="H11" s="37" t="n"/>
      <c r="I11" s="37" t="n"/>
      <c r="J11" s="37" t="n"/>
    </row>
    <row r="12" ht="13.5" customHeight="1">
      <c r="A12" s="29" t="inlineStr">
        <is>
          <t>DT</t>
        </is>
      </c>
      <c r="B12" s="34">
        <f>chi_so_tai_chinh!I43</f>
        <v/>
      </c>
      <c r="C12" s="34">
        <f>$B$12*(($F$12/$B$12)^(1/4))</f>
        <v/>
      </c>
      <c r="D12" s="34">
        <f>$B$12*(($F$12/$B$12)^(2/4))</f>
        <v/>
      </c>
      <c r="E12" s="34">
        <f>$B$12*(($F$12/$B$12)^(3/4))</f>
        <v/>
      </c>
      <c r="F12" s="34">
        <f>chi_so_tai_chinh!J43</f>
        <v/>
      </c>
    </row>
    <row r="13" ht="13.5" customHeight="1">
      <c r="A13" s="29" t="inlineStr">
        <is>
          <t>DT per share</t>
        </is>
      </c>
      <c r="B13" s="35">
        <f>B12/C2</f>
        <v/>
      </c>
      <c r="C13" s="35">
        <f>C12/C2</f>
        <v/>
      </c>
      <c r="D13" s="35">
        <f>D12/D2</f>
        <v/>
      </c>
      <c r="E13" s="35">
        <f>E12/E2</f>
        <v/>
      </c>
      <c r="F13" s="35">
        <f>F12/F2</f>
        <v/>
      </c>
    </row>
    <row r="14" ht="13.5" customHeight="1">
      <c r="A14" s="29" t="inlineStr">
        <is>
          <t>PS</t>
        </is>
      </c>
      <c r="B14" s="36">
        <f>C3/B13</f>
        <v/>
      </c>
      <c r="C14" s="36">
        <f>C4/C12</f>
        <v/>
      </c>
      <c r="D14" s="36">
        <f>D4/D12</f>
        <v/>
      </c>
      <c r="E14" s="36">
        <f>E4/E12</f>
        <v/>
      </c>
      <c r="F14" s="36">
        <f>F4/F12</f>
        <v/>
      </c>
    </row>
    <row r="15" ht="13.5" customHeight="1"/>
    <row r="16" ht="13.5" customHeight="1">
      <c r="A16" s="29" t="inlineStr">
        <is>
          <t>Earning</t>
        </is>
      </c>
      <c r="B16" s="34">
        <f>chi_so_tai_chinh!I52</f>
        <v/>
      </c>
      <c r="C16" s="34">
        <f>$B$16*(($F$16/$B$16)^(1/4))</f>
        <v/>
      </c>
      <c r="D16" s="34">
        <f>$B$16*(($F$16/$B$16)^(2/4))</f>
        <v/>
      </c>
      <c r="E16" s="34">
        <f>$B$16*(($F$16/$B$16)^(3/4))</f>
        <v/>
      </c>
      <c r="F16" s="34">
        <f>chi_so_tai_chinh!J52</f>
        <v/>
      </c>
    </row>
    <row r="17" ht="13.5" customHeight="1">
      <c r="A17" s="29" t="inlineStr">
        <is>
          <t>EPS</t>
        </is>
      </c>
      <c r="B17" s="35">
        <f>B16/$F$2</f>
        <v/>
      </c>
      <c r="C17" s="35">
        <f>C16/$F$2</f>
        <v/>
      </c>
      <c r="D17" s="35">
        <f>D16/$F$2</f>
        <v/>
      </c>
      <c r="E17" s="35">
        <f>E16/$F$2</f>
        <v/>
      </c>
      <c r="F17" s="35">
        <f>F16/$F$2</f>
        <v/>
      </c>
    </row>
    <row r="18" ht="13.5" customHeight="1">
      <c r="A18" s="29" t="inlineStr">
        <is>
          <t>PE</t>
        </is>
      </c>
      <c r="B18" s="36">
        <f>$F$3/B17</f>
        <v/>
      </c>
      <c r="C18" s="36">
        <f>$F$3/C17</f>
        <v/>
      </c>
      <c r="D18" s="36">
        <f>$F$3/D17</f>
        <v/>
      </c>
      <c r="E18" s="36">
        <f>$F$3/E17</f>
        <v/>
      </c>
      <c r="F18" s="36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.44140625" customWidth="1" min="1" max="1"/>
    <col width="12.6640625" customWidth="1" min="2" max="2"/>
    <col width="11.33203125" customWidth="1" min="6" max="6"/>
    <col width="8.88671875" customWidth="1" min="7" max="7"/>
  </cols>
  <sheetData>
    <row r="1">
      <c r="A1" s="29" t="inlineStr">
        <is>
          <t>Chỉ tiêu</t>
        </is>
      </c>
      <c r="B1" s="29" t="n">
        <v>2022</v>
      </c>
      <c r="C1" s="29" t="n">
        <v>2023</v>
      </c>
      <c r="D1" s="29" t="n">
        <v>2024</v>
      </c>
      <c r="E1" s="29" t="n">
        <v>2025</v>
      </c>
      <c r="F1" s="29" t="n">
        <v>2026</v>
      </c>
    </row>
    <row r="2">
      <c r="A2" s="29" t="inlineStr">
        <is>
          <t>Doanh thu kế hoạch</t>
        </is>
      </c>
      <c r="B2" s="34" t="n">
        <v>27000000</v>
      </c>
      <c r="C2" s="34" t="n">
        <v>34000000</v>
      </c>
      <c r="D2" s="34" t="n">
        <v>37300000</v>
      </c>
      <c r="E2" s="34" t="n">
        <v>48100000</v>
      </c>
      <c r="F2" s="34" t="n">
        <v>59500</v>
      </c>
    </row>
    <row r="3">
      <c r="A3" s="29" t="inlineStr">
        <is>
          <t>Doanh thu thuần về bán hàng và cung cấp dịch vụ</t>
        </is>
      </c>
      <c r="B3" s="34">
        <f>[2]KQHĐKD!F4*1000</f>
        <v/>
      </c>
      <c r="C3" s="34">
        <f>[2]KQHĐKD!G4*1000</f>
        <v/>
      </c>
      <c r="D3" s="34">
        <f>[2]KQHĐKD!H4*1000</f>
        <v/>
      </c>
      <c r="E3" s="34" t="n">
        <v>59500000</v>
      </c>
      <c r="F3" s="29" t="n"/>
    </row>
    <row r="4">
      <c r="A4" s="29" t="inlineStr">
        <is>
          <t>%thực hiện</t>
        </is>
      </c>
      <c r="B4" s="38">
        <f>B3/B2</f>
        <v/>
      </c>
      <c r="C4" s="38">
        <f>C3/C2</f>
        <v/>
      </c>
      <c r="D4" s="38">
        <f>D3/D2</f>
        <v/>
      </c>
      <c r="E4" s="38">
        <f>E3/E2</f>
        <v/>
      </c>
      <c r="F4" s="29" t="n"/>
    </row>
    <row r="5">
      <c r="A5" s="29" t="inlineStr">
        <is>
          <t>Lợi nhuận trước thuế kế hoạch</t>
        </is>
      </c>
      <c r="B5" s="34" t="n">
        <v>720000</v>
      </c>
      <c r="C5" s="34" t="n">
        <v>240000</v>
      </c>
      <c r="D5" s="34" t="n">
        <v>125000</v>
      </c>
      <c r="E5" s="34" t="n">
        <v>900000</v>
      </c>
      <c r="F5" s="34" t="n">
        <v>1550000</v>
      </c>
    </row>
    <row r="6">
      <c r="A6" s="29" t="inlineStr">
        <is>
          <t>Lợi nhuận trước thuế thu nhập doanh nghiệp</t>
        </is>
      </c>
      <c r="B6" s="34">
        <f>[2]KQHĐKD!F18*1000</f>
        <v/>
      </c>
      <c r="C6" s="34">
        <f>[2]KQHĐKD!G18*1000</f>
        <v/>
      </c>
      <c r="D6" s="34">
        <f>[2]KQHĐKD!H18*1000</f>
        <v/>
      </c>
      <c r="E6" s="34" t="n">
        <v>1219117.502673</v>
      </c>
      <c r="F6" s="29" t="n"/>
    </row>
    <row r="7">
      <c r="A7" s="29" t="inlineStr">
        <is>
          <t>%thực hiện</t>
        </is>
      </c>
      <c r="B7" s="38">
        <f>B6/B5</f>
        <v/>
      </c>
      <c r="C7" s="38">
        <f>C6/C5</f>
        <v/>
      </c>
      <c r="D7" s="38">
        <f>D6/D5</f>
        <v/>
      </c>
      <c r="E7" s="38">
        <f>E6/E5</f>
        <v/>
      </c>
      <c r="F7" s="29" t="n"/>
    </row>
    <row r="8"/>
    <row r="9">
      <c r="A9" s="29" t="inlineStr">
        <is>
          <t>Trung vị %thực hiện DT</t>
        </is>
      </c>
      <c r="B9" s="38">
        <f>MEDIAN(B4:D4)</f>
        <v/>
      </c>
    </row>
    <row r="10">
      <c r="A10" s="29" t="inlineStr">
        <is>
          <t>Trung vị %thực hiện LNST</t>
        </is>
      </c>
      <c r="B10" s="38">
        <f>MEDIAN(B7:D7)</f>
        <v/>
      </c>
    </row>
    <row r="11"/>
    <row r="12">
      <c r="A12" s="29" t="inlineStr">
        <is>
          <t>Tỷ lệ hoàn thành DT trên 95%</t>
        </is>
      </c>
      <c r="B12" s="38">
        <f>COUNTIF(B4:E4,"&gt;=95%")/COUNT(B4:E4)</f>
        <v/>
      </c>
    </row>
    <row r="13">
      <c r="A13" s="29" t="inlineStr">
        <is>
          <t>Tỷ lệ hoàn thành LNST trên 95%</t>
        </is>
      </c>
      <c r="B13" s="38">
        <f>COUNTIF(B7:F7,"&gt;=95%")/COUNT(B7:F7)</f>
        <v/>
      </c>
    </row>
  </sheetData>
  <conditionalFormatting sqref="B9:B10">
    <cfRule type="cellIs" priority="1" operator="greaterThanOrEqual" dxfId="3">
      <formula>1</formula>
    </cfRule>
  </conditionalFormatting>
  <conditionalFormatting sqref="B4:E4 B7:E7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2026-09-23T03:38:30Z</dcterms:created>
  <dcterms:modified xsi:type="dcterms:W3CDTF">2026-09-23T03:38:31Z</dcterms:modified>
</cp:coreProperties>
</file>
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ế hoạ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;\(#,##0\);\-"/>
    <numFmt numFmtId="167" formatCode="0.00\x"/>
  </numFmts>
  <fonts count="1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family val="2"/>
      <b val="1"/>
      <sz val="10"/>
    </font>
    <font>
      <name val="Tahoma"/>
      <family val="2"/>
      <i val="1"/>
      <color rgb="FF808080"/>
      <sz val="10"/>
    </font>
    <font>
      <name val="Tahoma"/>
      <family val="2"/>
      <color rgb="FF000000"/>
      <sz val="10"/>
    </font>
    <font>
      <name val="Tahoma"/>
      <family val="2"/>
      <sz val="10"/>
    </font>
    <font>
      <name val="Tahoma"/>
      <family val="2"/>
      <color theme="1"/>
      <sz val="10"/>
    </font>
    <font>
      <name val="Tahoma"/>
      <charset val="1"/>
      <family val="2"/>
      <b val="1"/>
      <sz val="10"/>
    </font>
    <font>
      <name val="Tahoma"/>
      <family val="2"/>
      <color rgb="FF008000"/>
      <sz val="10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family val="2"/>
      <b val="1"/>
      <color theme="1"/>
      <sz val="10"/>
    </font>
    <font>
      <name val="Tahoma"/>
      <family val="2"/>
      <color rgb="FF7030A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65" fontId="5" fillId="3" borderId="2" pivotButton="0" quotePrefix="0" xfId="0"/>
    <xf numFmtId="9" fontId="5" fillId="3" borderId="2" pivotButton="0" quotePrefix="0" xfId="0"/>
    <xf numFmtId="0" fontId="6" fillId="3" borderId="2" pivotButton="0" quotePrefix="0" xfId="0"/>
    <xf numFmtId="1" fontId="4" fillId="3" borderId="2" pivotButton="0" quotePrefix="0" xfId="0"/>
    <xf numFmtId="1" fontId="5" fillId="3" borderId="2" pivotButton="0" quotePrefix="0" xfId="0"/>
    <xf numFmtId="0" fontId="3" fillId="4" borderId="2" pivotButton="0" quotePrefix="0" xfId="0"/>
    <xf numFmtId="0" fontId="7" fillId="4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0" fontId="8" fillId="0" borderId="2" pivotButton="0" quotePrefix="0" xfId="0"/>
    <xf numFmtId="0" fontId="6" fillId="0" borderId="2" pivotButton="0" quotePrefix="0" xfId="0"/>
    <xf numFmtId="166" fontId="9" fillId="0" borderId="2" pivotButton="0" quotePrefix="0" xfId="0"/>
    <xf numFmtId="166" fontId="10" fillId="0" borderId="2" pivotButton="0" quotePrefix="0" xfId="0"/>
    <xf numFmtId="0" fontId="11" fillId="0" borderId="2" pivotButton="0" quotePrefix="0" xfId="0"/>
    <xf numFmtId="166" fontId="11" fillId="0" borderId="2" pivotButton="0" quotePrefix="0" xfId="0"/>
    <xf numFmtId="9" fontId="11" fillId="0" borderId="2" pivotButton="0" quotePrefix="0" xfId="0"/>
    <xf numFmtId="166" fontId="10" fillId="0" borderId="0" pivotButton="0" quotePrefix="0" xfId="0"/>
    <xf numFmtId="0" fontId="3" fillId="0" borderId="3" pivotButton="0" quotePrefix="0" xfId="0"/>
    <xf numFmtId="10" fontId="9" fillId="0" borderId="2" pivotButton="0" quotePrefix="0" xfId="0"/>
    <xf numFmtId="166" fontId="9" fillId="0" borderId="0" pivotButton="0" quotePrefix="0" xfId="0"/>
    <xf numFmtId="0" fontId="12" fillId="0" borderId="2" pivotButton="0" quotePrefix="0" xfId="0"/>
    <xf numFmtId="0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167" fontId="7" fillId="0" borderId="2" pivotButton="0" quotePrefix="0" xfId="0"/>
    <xf numFmtId="1" fontId="7" fillId="0" borderId="2" pivotButton="0" quotePrefix="0" xfId="0"/>
    <xf numFmtId="3" fontId="7" fillId="0" borderId="2" pivotButton="0" quotePrefix="0" xfId="0"/>
    <xf numFmtId="41" fontId="13" fillId="0" borderId="2" pivotButton="0" quotePrefix="0" xfId="0"/>
    <xf numFmtId="2" fontId="13" fillId="0" borderId="2" pivotButton="0" quotePrefix="0" xfId="0"/>
    <xf numFmtId="0" fontId="13" fillId="0" borderId="0" pivotButton="0" quotePrefix="0" xfId="0"/>
    <xf numFmtId="9" fontId="7" fillId="0" borderId="2" pivotButton="0" quotePrefix="0" xfId="0"/>
  </cellXfs>
  <cellStyles count="1">
    <cellStyle name="Normal" xfId="0" builtinId="0" hidden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4815269284036</v>
      </c>
      <c r="C2" s="4" t="n">
        <v>6173238780511</v>
      </c>
      <c r="D2" s="4" t="n">
        <v>4959999144880</v>
      </c>
      <c r="E2" s="4" t="n">
        <v>10185041534436</v>
      </c>
      <c r="F2" s="4" t="n">
        <v>9326797408285</v>
      </c>
      <c r="G2" s="4" t="n">
        <v>11415308018413</v>
      </c>
      <c r="H2" s="4" t="n">
        <v>14026158730456</v>
      </c>
      <c r="I2" s="4" t="n">
        <v>21787052185671</v>
      </c>
    </row>
    <row r="3">
      <c r="A3" s="3" t="inlineStr">
        <is>
          <t>Tiền và tương đương tiền</t>
        </is>
      </c>
      <c r="B3" s="4" t="n">
        <v>948378394826</v>
      </c>
      <c r="C3" s="4" t="n">
        <v>869649553585</v>
      </c>
      <c r="D3" s="4" t="n">
        <v>701504239398</v>
      </c>
      <c r="E3" s="4" t="n">
        <v>1105209549882</v>
      </c>
      <c r="F3" s="4" t="n">
        <v>745556075005</v>
      </c>
      <c r="G3" s="4" t="n">
        <v>960822549973</v>
      </c>
      <c r="H3" s="4" t="n">
        <v>2097787236988</v>
      </c>
      <c r="I3" s="4" t="n">
        <v>2869851759629</v>
      </c>
    </row>
    <row r="4">
      <c r="A4" s="3" t="inlineStr">
        <is>
          <t>Tiền</t>
        </is>
      </c>
      <c r="B4" s="4" t="n">
        <v>855378394826</v>
      </c>
      <c r="C4" s="4" t="n">
        <v>415978667247</v>
      </c>
      <c r="D4" s="4" t="n">
        <v>551504239398</v>
      </c>
      <c r="E4" s="4" t="n">
        <v>679938797236</v>
      </c>
      <c r="F4" s="4" t="n">
        <v>450488205110</v>
      </c>
      <c r="G4" s="4" t="n">
        <v>514817562060</v>
      </c>
      <c r="H4" s="4" t="n">
        <v>475787236988</v>
      </c>
      <c r="I4" s="4" t="n">
        <v>385251759629</v>
      </c>
    </row>
    <row r="5">
      <c r="A5" s="3" t="inlineStr">
        <is>
          <t>Các khoản tương đương tiền</t>
        </is>
      </c>
      <c r="B5" s="4" t="n">
        <v>93000000000</v>
      </c>
      <c r="C5" s="4" t="n">
        <v>453670886338</v>
      </c>
      <c r="D5" s="4" t="n">
        <v>150000000000</v>
      </c>
      <c r="E5" s="4" t="n">
        <v>425270752646</v>
      </c>
      <c r="F5" s="4" t="n">
        <v>295067869895</v>
      </c>
      <c r="G5" s="4" t="n">
        <v>446004987913</v>
      </c>
      <c r="H5" s="4" t="n">
        <v>1622000000000</v>
      </c>
      <c r="I5" s="4" t="n">
        <v>2484600000000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Đầu tư ngắn hạn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1206756927412</v>
      </c>
      <c r="C9" s="4" t="n">
        <v>1178069210426</v>
      </c>
      <c r="D9" s="4" t="n">
        <v>1498241305903</v>
      </c>
      <c r="E9" s="4" t="n">
        <v>1948474611240</v>
      </c>
      <c r="F9" s="4" t="n">
        <v>538346191905</v>
      </c>
      <c r="G9" s="4" t="n">
        <v>394464296948</v>
      </c>
      <c r="H9" s="4" t="n">
        <v>417127103606</v>
      </c>
      <c r="I9" s="4" t="n">
        <v>728878339921</v>
      </c>
    </row>
    <row r="10">
      <c r="A10" s="3" t="inlineStr">
        <is>
          <t>Phải thu khách hàng</t>
        </is>
      </c>
      <c r="B10" s="4" t="n">
        <v>237824070242</v>
      </c>
      <c r="C10" s="4" t="n">
        <v>294574594760</v>
      </c>
      <c r="D10" s="4" t="n">
        <v>172584643781</v>
      </c>
      <c r="E10" s="4" t="n">
        <v>80725494654</v>
      </c>
      <c r="F10" s="4" t="n">
        <v>89622537320</v>
      </c>
      <c r="G10" s="4" t="n">
        <v>126026140388</v>
      </c>
      <c r="H10" s="4" t="n">
        <v>176150692098</v>
      </c>
      <c r="I10" s="4" t="n">
        <v>233091257926</v>
      </c>
    </row>
    <row r="11">
      <c r="A11" s="3" t="inlineStr">
        <is>
          <t>Trả trước người bán</t>
        </is>
      </c>
      <c r="B11" s="4" t="n">
        <v>144013265281</v>
      </c>
      <c r="C11" s="4" t="n">
        <v>96527158702</v>
      </c>
      <c r="D11" s="4" t="n">
        <v>93596830533</v>
      </c>
      <c r="E11" s="4" t="n">
        <v>128696749438</v>
      </c>
      <c r="F11" s="4" t="n">
        <v>73767134666</v>
      </c>
      <c r="G11" s="4" t="n">
        <v>48902780339</v>
      </c>
      <c r="H11" s="4" t="n">
        <v>43997579646</v>
      </c>
      <c r="I11" s="4" t="n">
        <v>94792455388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722345486208</v>
      </c>
      <c r="C14" s="4" t="n">
        <v>499067505423</v>
      </c>
      <c r="D14" s="4" t="n">
        <v>405045636978</v>
      </c>
      <c r="E14" s="4" t="n">
        <v>186801082361</v>
      </c>
      <c r="F14" s="4" t="n">
        <v>342099580137</v>
      </c>
      <c r="G14" s="4" t="n">
        <v>227411821380</v>
      </c>
      <c r="H14" s="4" t="n">
        <v>206546170984</v>
      </c>
      <c r="I14" s="4" t="n">
        <v>410499058289</v>
      </c>
    </row>
    <row r="15">
      <c r="A15" s="3" t="inlineStr">
        <is>
          <t>Dự phòng nợ khó đòi</t>
        </is>
      </c>
      <c r="B15" s="4" t="n">
        <v>-17784960512</v>
      </c>
      <c r="C15" s="4" t="n">
        <v>-34459114652</v>
      </c>
      <c r="D15" s="4" t="n">
        <v>-57985805389</v>
      </c>
      <c r="E15" s="4" t="n">
        <v>-7748715213</v>
      </c>
      <c r="F15" s="4" t="n">
        <v>-7143060218</v>
      </c>
      <c r="G15" s="4" t="n">
        <v>-7876445159</v>
      </c>
      <c r="H15" s="4" t="n">
        <v>-9567339122</v>
      </c>
      <c r="I15" s="4" t="n">
        <v>-9504431682</v>
      </c>
    </row>
    <row r="16">
      <c r="A16" s="3" t="inlineStr">
        <is>
          <t>Hàng tồn kho, ròng</t>
        </is>
      </c>
      <c r="B16" s="4" t="n">
        <v>2506218917201</v>
      </c>
      <c r="C16" s="4" t="n">
        <v>3383542174980</v>
      </c>
      <c r="D16" s="4" t="n">
        <v>1826717690762</v>
      </c>
      <c r="E16" s="4" t="n">
        <v>4930359332607</v>
      </c>
      <c r="F16" s="4" t="n">
        <v>6483827665529</v>
      </c>
      <c r="G16" s="4" t="n">
        <v>8426860753034</v>
      </c>
      <c r="H16" s="4" t="n">
        <v>10234733890772</v>
      </c>
      <c r="I16" s="4" t="n">
        <v>11926663463990</v>
      </c>
    </row>
    <row r="17">
      <c r="A17" s="3" t="inlineStr">
        <is>
          <t>Hàng tồn kho</t>
        </is>
      </c>
      <c r="B17" s="4" t="n">
        <v>2519583804091</v>
      </c>
      <c r="C17" s="4" t="n">
        <v>3399092416117</v>
      </c>
      <c r="D17" s="4" t="n">
        <v>1853134198142</v>
      </c>
      <c r="E17" s="4" t="n">
        <v>4975973822810</v>
      </c>
      <c r="F17" s="4" t="n">
        <v>6525562245058</v>
      </c>
      <c r="G17" s="4" t="n">
        <v>8470079480259</v>
      </c>
      <c r="H17" s="4" t="n">
        <v>10291473307238</v>
      </c>
      <c r="I17" s="4" t="n">
        <v>12012604661865</v>
      </c>
    </row>
    <row r="18">
      <c r="A18" s="3" t="inlineStr">
        <is>
          <t>Dự phòng giảm giá hàng tồn kho</t>
        </is>
      </c>
      <c r="B18" s="4" t="n">
        <v>-13364886890</v>
      </c>
      <c r="C18" s="4" t="n">
        <v>-15550241137</v>
      </c>
      <c r="D18" s="4" t="n">
        <v>-26416507380</v>
      </c>
      <c r="E18" s="4" t="n">
        <v>-45614490203</v>
      </c>
      <c r="F18" s="4" t="n">
        <v>-41734579529</v>
      </c>
      <c r="G18" s="4" t="n">
        <v>-43218727225</v>
      </c>
      <c r="H18" s="4" t="n">
        <v>-56739416466</v>
      </c>
      <c r="I18" s="4" t="n">
        <v>-85941197875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94320134590</v>
      </c>
      <c r="C20" s="4" t="n">
        <v>118431159332</v>
      </c>
      <c r="D20" s="4" t="n">
        <v>119330193082</v>
      </c>
      <c r="E20" s="4" t="n">
        <v>163029953119</v>
      </c>
      <c r="F20" s="4" t="n">
        <v>260931923787</v>
      </c>
      <c r="G20" s="4" t="n">
        <v>230547735063</v>
      </c>
      <c r="H20" s="4" t="n">
        <v>252093295842</v>
      </c>
      <c r="I20" s="4" t="n">
        <v>262782269911</v>
      </c>
    </row>
    <row r="21">
      <c r="A21" s="3" t="inlineStr">
        <is>
          <t>Thuế GTGT được khấu trừ</t>
        </is>
      </c>
      <c r="B21" s="4" t="n">
        <v>55454839536</v>
      </c>
      <c r="C21" s="4" t="n">
        <v>128901646703</v>
      </c>
      <c r="D21" s="4" t="n">
        <v>26045172004</v>
      </c>
      <c r="E21" s="4" t="n">
        <v>217235680315</v>
      </c>
      <c r="F21" s="4" t="n">
        <v>157021246028</v>
      </c>
      <c r="G21" s="4" t="n">
        <v>186402495200</v>
      </c>
      <c r="H21" s="4" t="n">
        <v>16870747637</v>
      </c>
      <c r="I21" s="4" t="n">
        <v>47661947145</v>
      </c>
    </row>
    <row r="22">
      <c r="A22" s="3" t="inlineStr">
        <is>
          <t>Phải thu thuế khác</t>
        </is>
      </c>
      <c r="B22" s="4" t="n">
        <v>27500</v>
      </c>
      <c r="C22" s="4" t="n">
        <v>1858819</v>
      </c>
      <c r="D22" s="4" t="n">
        <v>1858819</v>
      </c>
      <c r="E22" s="4" t="n">
        <v>232407273</v>
      </c>
      <c r="F22" s="4" t="n">
        <v>22114306031</v>
      </c>
      <c r="G22" s="4" t="n">
        <v>22210188195</v>
      </c>
      <c r="H22" s="4" t="n">
        <v>21546455611</v>
      </c>
      <c r="I22" s="4" t="n">
        <v>22214405075</v>
      </c>
    </row>
    <row r="23">
      <c r="A23" s="3" t="inlineStr">
        <is>
          <t>Tài sản lưu động khác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352400130929</v>
      </c>
      <c r="C24" s="4" t="n">
        <v>420534253911</v>
      </c>
      <c r="D24" s="4" t="n">
        <v>427578741148</v>
      </c>
      <c r="E24" s="4" t="n">
        <v>635298266482</v>
      </c>
      <c r="F24" s="4" t="n">
        <v>1196999526761</v>
      </c>
      <c r="G24" s="4" t="n">
        <v>1683141884191</v>
      </c>
      <c r="H24" s="4" t="n">
        <v>1806391668645</v>
      </c>
      <c r="I24" s="4" t="n">
        <v>1927183984705</v>
      </c>
    </row>
    <row r="25">
      <c r="A25" s="3" t="inlineStr">
        <is>
          <t>Phải thu dài hạn</t>
        </is>
      </c>
      <c r="B25" s="4" t="n">
        <v>84027534483</v>
      </c>
      <c r="C25" s="4" t="n">
        <v>105270293641</v>
      </c>
      <c r="D25" s="4" t="n">
        <v>116400384163</v>
      </c>
      <c r="E25" s="4" t="n">
        <v>136776859874</v>
      </c>
      <c r="F25" s="4" t="n">
        <v>170162186921</v>
      </c>
      <c r="G25" s="4" t="n">
        <v>179315098485</v>
      </c>
      <c r="H25" s="4" t="n">
        <v>182805424079</v>
      </c>
      <c r="I25" s="4" t="n">
        <v>194450060810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84027534483</v>
      </c>
      <c r="C28" s="4" t="n">
        <v>105270293641</v>
      </c>
      <c r="D28" s="4" t="n">
        <v>116400384163</v>
      </c>
      <c r="E28" s="4" t="n">
        <v>136776859874</v>
      </c>
      <c r="F28" s="4" t="n">
        <v>170162186921</v>
      </c>
      <c r="G28" s="4" t="n">
        <v>179315098485</v>
      </c>
      <c r="H28" s="4" t="n">
        <v>182805424079</v>
      </c>
      <c r="I28" s="4" t="n">
        <v>194450060810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45591818347</v>
      </c>
      <c r="C30" s="4" t="n">
        <v>48570958580</v>
      </c>
      <c r="D30" s="4" t="n">
        <v>50627870323</v>
      </c>
      <c r="E30" s="4" t="n">
        <v>448088085056</v>
      </c>
      <c r="F30" s="4" t="n">
        <v>847269560047</v>
      </c>
      <c r="G30" s="4" t="n">
        <v>1307637254001</v>
      </c>
      <c r="H30" s="4" t="n">
        <v>1445982801672</v>
      </c>
      <c r="I30" s="4" t="n">
        <v>1574317843107</v>
      </c>
    </row>
    <row r="31">
      <c r="A31" s="3" t="inlineStr">
        <is>
          <t>GTCL TSCĐ hữu hình</t>
        </is>
      </c>
      <c r="B31" s="4" t="n">
        <v>5154076518</v>
      </c>
      <c r="C31" s="4" t="n">
        <v>6614568303</v>
      </c>
      <c r="D31" s="4" t="n">
        <v>8708246794</v>
      </c>
      <c r="E31" s="4" t="n">
        <v>292481788227</v>
      </c>
      <c r="F31" s="4" t="n">
        <v>675128050014</v>
      </c>
      <c r="G31" s="4" t="n">
        <v>1079496087742</v>
      </c>
      <c r="H31" s="4" t="n">
        <v>1156676461871</v>
      </c>
      <c r="I31" s="4" t="n">
        <v>1196539820561</v>
      </c>
    </row>
    <row r="32">
      <c r="A32" s="3" t="inlineStr">
        <is>
          <t>Nguyên giá TSCĐ hữu hình</t>
        </is>
      </c>
      <c r="B32" s="4" t="n">
        <v>9344459141</v>
      </c>
      <c r="C32" s="4" t="n">
        <v>11190777144</v>
      </c>
      <c r="D32" s="4" t="n">
        <v>14159992286</v>
      </c>
      <c r="E32" s="4" t="n">
        <v>489527414193</v>
      </c>
      <c r="F32" s="4" t="n">
        <v>979182072742</v>
      </c>
      <c r="G32" s="4" t="n">
        <v>1608729339222</v>
      </c>
      <c r="H32" s="4" t="n">
        <v>1915183739839</v>
      </c>
      <c r="I32" s="4" t="n">
        <v>2285328752900</v>
      </c>
    </row>
    <row r="33">
      <c r="A33" s="3" t="inlineStr">
        <is>
          <t>Khấu hao lũy kế TSCĐ hữu hình</t>
        </is>
      </c>
      <c r="B33" s="4" t="n">
        <v>-4190382623</v>
      </c>
      <c r="C33" s="4" t="n">
        <v>-4576208841</v>
      </c>
      <c r="D33" s="4" t="n">
        <v>-5451745492</v>
      </c>
      <c r="E33" s="4" t="n">
        <v>-197045625966</v>
      </c>
      <c r="F33" s="4" t="n">
        <v>-304054022728</v>
      </c>
      <c r="G33" s="4" t="n">
        <v>-529233251480</v>
      </c>
      <c r="H33" s="4" t="n">
        <v>-758507277968</v>
      </c>
      <c r="I33" s="4" t="n">
        <v>-1088788932339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40437741829</v>
      </c>
      <c r="C37" s="4" t="n">
        <v>41956390277</v>
      </c>
      <c r="D37" s="4" t="n">
        <v>41919623529</v>
      </c>
      <c r="E37" s="4" t="n">
        <v>155606296829</v>
      </c>
      <c r="F37" s="4" t="n">
        <v>172141510033</v>
      </c>
      <c r="G37" s="4" t="n">
        <v>228141166259</v>
      </c>
      <c r="H37" s="4" t="n">
        <v>289306339801</v>
      </c>
      <c r="I37" s="4" t="n">
        <v>377778022546</v>
      </c>
    </row>
    <row r="38">
      <c r="A38" s="3" t="inlineStr">
        <is>
          <t>Nguyên giá TSCĐ vô hình</t>
        </is>
      </c>
      <c r="B38" s="4" t="n">
        <v>44481737990</v>
      </c>
      <c r="C38" s="4" t="n">
        <v>46415767990</v>
      </c>
      <c r="D38" s="4" t="n">
        <v>46875627990</v>
      </c>
      <c r="E38" s="4" t="n">
        <v>162787719740</v>
      </c>
      <c r="F38" s="4" t="n">
        <v>183893578870</v>
      </c>
      <c r="G38" s="4" t="n">
        <v>255220010970</v>
      </c>
      <c r="H38" s="4" t="n">
        <v>348666597970</v>
      </c>
      <c r="I38" s="4" t="n">
        <v>495746297007</v>
      </c>
    </row>
    <row r="39">
      <c r="A39" s="3" t="inlineStr">
        <is>
          <t>Khấu hao lũy kế TSCĐ vô hình</t>
        </is>
      </c>
      <c r="B39" s="4" t="n">
        <v>-4043996161</v>
      </c>
      <c r="C39" s="4" t="n">
        <v>-4459377713</v>
      </c>
      <c r="D39" s="4" t="n">
        <v>-4956004461</v>
      </c>
      <c r="E39" s="4" t="n">
        <v>-7181422911</v>
      </c>
      <c r="F39" s="4" t="n">
        <v>-11752068837</v>
      </c>
      <c r="G39" s="4" t="n">
        <v>-27078844711</v>
      </c>
      <c r="H39" s="4" t="n">
        <v>-59360258169</v>
      </c>
      <c r="I39" s="4" t="n">
        <v>-117968274461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</row>
    <row r="47">
      <c r="A47" s="3" t="inlineStr">
        <is>
          <t>Đầu tư dài hạn khác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Dự phòng giảm giá đầu tư dài hạn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222780778099</v>
      </c>
      <c r="C50" s="4" t="n">
        <v>266693001690</v>
      </c>
      <c r="D50" s="4" t="n">
        <v>260550486662</v>
      </c>
      <c r="E50" s="4" t="n">
        <v>50342412461</v>
      </c>
      <c r="F50" s="4" t="n">
        <v>177772171793</v>
      </c>
      <c r="G50" s="4" t="n">
        <v>195418574905</v>
      </c>
      <c r="H50" s="4" t="n">
        <v>169373442894</v>
      </c>
      <c r="I50" s="4" t="n">
        <v>157004126788</v>
      </c>
    </row>
    <row r="51">
      <c r="A51" s="3" t="inlineStr">
        <is>
          <t>Trả trước dài hạn</t>
        </is>
      </c>
      <c r="B51" s="4" t="n">
        <v>222780778099</v>
      </c>
      <c r="C51" s="4" t="n">
        <v>266693001690</v>
      </c>
      <c r="D51" s="4" t="n">
        <v>257565908116</v>
      </c>
      <c r="E51" s="4" t="n">
        <v>49474287687</v>
      </c>
      <c r="F51" s="4" t="n">
        <v>177766571925</v>
      </c>
      <c r="G51" s="4" t="n">
        <v>195418574905</v>
      </c>
      <c r="H51" s="4" t="n">
        <v>169373442894</v>
      </c>
      <c r="I51" s="4" t="n">
        <v>157004126788</v>
      </c>
    </row>
    <row r="52">
      <c r="A52" s="3" t="inlineStr">
        <is>
          <t>Thuế thu nhập hoãn lại</t>
        </is>
      </c>
      <c r="B52" s="4" t="n">
        <v>0</v>
      </c>
      <c r="C52" s="4" t="n">
        <v>6279401759</v>
      </c>
      <c r="D52" s="4" t="n">
        <v>0</v>
      </c>
      <c r="E52" s="4" t="n">
        <v>0</v>
      </c>
      <c r="F52" s="4" t="n">
        <v>0</v>
      </c>
      <c r="G52" s="4" t="n">
        <v>14902586</v>
      </c>
      <c r="H52" s="4" t="n">
        <v>31681844</v>
      </c>
      <c r="I52" s="4" t="n">
        <v>31681844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5167669414965</v>
      </c>
      <c r="C54" s="4" t="n">
        <v>6593773034422</v>
      </c>
      <c r="D54" s="4" t="n">
        <v>5387577886028</v>
      </c>
      <c r="E54" s="4" t="n">
        <v>10820339800918</v>
      </c>
      <c r="F54" s="4" t="n">
        <v>10523796935046</v>
      </c>
      <c r="G54" s="4" t="n">
        <v>13098449902604</v>
      </c>
      <c r="H54" s="4" t="n">
        <v>15832550399101</v>
      </c>
      <c r="I54" s="4" t="n">
        <v>23714236170376</v>
      </c>
    </row>
    <row r="55">
      <c r="A55" s="3" t="inlineStr">
        <is>
          <t>NỢ PHẢI TRẢ</t>
        </is>
      </c>
      <c r="B55" s="4" t="n">
        <v>4008902282342</v>
      </c>
      <c r="C55" s="4" t="n">
        <v>5314409715145</v>
      </c>
      <c r="D55" s="4" t="n">
        <v>4162447981264</v>
      </c>
      <c r="E55" s="4" t="n">
        <v>9141065562157</v>
      </c>
      <c r="F55" s="4" t="n">
        <v>8474461394877</v>
      </c>
      <c r="G55" s="4" t="n">
        <v>11379279324447</v>
      </c>
      <c r="H55" s="4" t="n">
        <v>13712736684773</v>
      </c>
      <c r="I55" s="4" t="n">
        <v>18575165477143</v>
      </c>
    </row>
    <row r="56">
      <c r="A56" s="3" t="inlineStr">
        <is>
          <t>Nợ ngắn hạn</t>
        </is>
      </c>
      <c r="B56" s="4" t="n">
        <v>4008902282342</v>
      </c>
      <c r="C56" s="4" t="n">
        <v>5308130313386</v>
      </c>
      <c r="D56" s="4" t="n">
        <v>4162447981264</v>
      </c>
      <c r="E56" s="4" t="n">
        <v>9140978862157</v>
      </c>
      <c r="F56" s="4" t="n">
        <v>8474374694877</v>
      </c>
      <c r="G56" s="4" t="n">
        <v>11378723422861</v>
      </c>
      <c r="H56" s="4" t="n">
        <v>13712183502929</v>
      </c>
      <c r="I56" s="4" t="n">
        <v>18574474295299</v>
      </c>
    </row>
    <row r="57">
      <c r="A57" s="3" t="inlineStr">
        <is>
          <t>Vay ngắn hạn</t>
        </is>
      </c>
      <c r="B57" s="4" t="n">
        <v>2947271984607</v>
      </c>
      <c r="C57" s="4" t="n">
        <v>3698035574035</v>
      </c>
      <c r="D57" s="4" t="n">
        <v>2485948231980</v>
      </c>
      <c r="E57" s="4" t="n">
        <v>6047406062780</v>
      </c>
      <c r="F57" s="4" t="n">
        <v>5363331144812</v>
      </c>
      <c r="G57" s="4" t="n">
        <v>8108271528775</v>
      </c>
      <c r="H57" s="4" t="n">
        <v>8800349446066</v>
      </c>
      <c r="I57" s="4" t="n">
        <v>10051507915817</v>
      </c>
    </row>
    <row r="58">
      <c r="A58" s="3" t="inlineStr">
        <is>
          <t>Phải trả người bán</t>
        </is>
      </c>
      <c r="B58" s="4" t="n">
        <v>705892254385</v>
      </c>
      <c r="C58" s="4" t="n">
        <v>1287522072458</v>
      </c>
      <c r="D58" s="4" t="n">
        <v>1214790045465</v>
      </c>
      <c r="E58" s="4" t="n">
        <v>2372633079056</v>
      </c>
      <c r="F58" s="4" t="n">
        <v>2307356375016</v>
      </c>
      <c r="G58" s="4" t="n">
        <v>2274331043145</v>
      </c>
      <c r="H58" s="4" t="n">
        <v>3202439604461</v>
      </c>
      <c r="I58" s="4" t="n">
        <v>5995965425047</v>
      </c>
    </row>
    <row r="59">
      <c r="A59" s="3" t="inlineStr">
        <is>
          <t>Người mua trả tiền trước</t>
        </is>
      </c>
      <c r="B59" s="4" t="n">
        <v>13917697969</v>
      </c>
      <c r="C59" s="4" t="n">
        <v>19464369762</v>
      </c>
      <c r="D59" s="4" t="n">
        <v>28401024820</v>
      </c>
      <c r="E59" s="4" t="n">
        <v>54005913363</v>
      </c>
      <c r="F59" s="4" t="n">
        <v>34974952041</v>
      </c>
      <c r="G59" s="4" t="n">
        <v>23463598041</v>
      </c>
      <c r="H59" s="4" t="n">
        <v>37870117550</v>
      </c>
      <c r="I59" s="4" t="n">
        <v>61615375012</v>
      </c>
    </row>
    <row r="60">
      <c r="A60" s="3" t="inlineStr">
        <is>
          <t>Thuế và các khoản phải trả Nhà nước</t>
        </is>
      </c>
      <c r="B60" s="4" t="n">
        <v>24449995872</v>
      </c>
      <c r="C60" s="4" t="n">
        <v>9107550641</v>
      </c>
      <c r="D60" s="4" t="n">
        <v>31619901384</v>
      </c>
      <c r="E60" s="4" t="n">
        <v>71323601688</v>
      </c>
      <c r="F60" s="4" t="n">
        <v>3120462679</v>
      </c>
      <c r="G60" s="4" t="n">
        <v>39713137523</v>
      </c>
      <c r="H60" s="4" t="n">
        <v>124543935725</v>
      </c>
      <c r="I60" s="4" t="n">
        <v>244716064984</v>
      </c>
    </row>
    <row r="61">
      <c r="A61" s="3" t="inlineStr">
        <is>
          <t>Phải trả người lao động</t>
        </is>
      </c>
      <c r="B61" s="4" t="n">
        <v>1115924887</v>
      </c>
      <c r="C61" s="4" t="n">
        <v>1512347136</v>
      </c>
      <c r="D61" s="4" t="n">
        <v>1577532062</v>
      </c>
      <c r="E61" s="4" t="n">
        <v>408611138142</v>
      </c>
      <c r="F61" s="4" t="n">
        <v>535694930652</v>
      </c>
      <c r="G61" s="4" t="n">
        <v>669094486391</v>
      </c>
      <c r="H61" s="4" t="n">
        <v>1034444152158</v>
      </c>
      <c r="I61" s="4" t="n">
        <v>1331638783393</v>
      </c>
    </row>
    <row r="62">
      <c r="A62" s="3" t="inlineStr">
        <is>
          <t>Chi phí phải trả</t>
        </is>
      </c>
      <c r="B62" s="4" t="n">
        <v>157056851165</v>
      </c>
      <c r="C62" s="4" t="n">
        <v>162531437632</v>
      </c>
      <c r="D62" s="4" t="n">
        <v>219972444070</v>
      </c>
      <c r="E62" s="4" t="n">
        <v>86457469555</v>
      </c>
      <c r="F62" s="4" t="n">
        <v>103346666037</v>
      </c>
      <c r="G62" s="4" t="n">
        <v>125947493296</v>
      </c>
      <c r="H62" s="4" t="n">
        <v>194907134412</v>
      </c>
      <c r="I62" s="4" t="n">
        <v>281753290017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146801625616</v>
      </c>
      <c r="C65" s="4" t="n">
        <v>110701883788</v>
      </c>
      <c r="D65" s="4" t="n">
        <v>162944770886</v>
      </c>
      <c r="E65" s="4" t="n">
        <v>85527316976</v>
      </c>
      <c r="F65" s="4" t="n">
        <v>112206340770</v>
      </c>
      <c r="G65" s="4" t="n">
        <v>113315953611</v>
      </c>
      <c r="H65" s="4" t="n">
        <v>89015814529</v>
      </c>
      <c r="I65" s="4" t="n">
        <v>94765132430</v>
      </c>
    </row>
    <row r="66">
      <c r="A66" s="3" t="inlineStr">
        <is>
          <t>Dự phòng các khoản phải trả ngắn hạn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303659660</v>
      </c>
      <c r="H66" s="4" t="n">
        <v>2956037244</v>
      </c>
      <c r="I66" s="4" t="n">
        <v>5828163047</v>
      </c>
    </row>
    <row r="67">
      <c r="A67" s="3" t="inlineStr">
        <is>
          <t>Quỹ khen thưởng, phúc lợi</t>
        </is>
      </c>
      <c r="B67" s="4" t="n">
        <v>12395947841</v>
      </c>
      <c r="C67" s="4" t="n">
        <v>19255077934</v>
      </c>
      <c r="D67" s="4" t="n">
        <v>17194030597</v>
      </c>
      <c r="E67" s="4" t="n">
        <v>14808630597</v>
      </c>
      <c r="F67" s="4" t="n">
        <v>14021497597</v>
      </c>
      <c r="G67" s="4" t="n">
        <v>10677497597</v>
      </c>
      <c r="H67" s="4" t="n">
        <v>5733824194</v>
      </c>
      <c r="I67" s="4" t="n">
        <v>8178120854</v>
      </c>
    </row>
    <row r="68">
      <c r="A68" s="3" t="inlineStr">
        <is>
          <t>Nợ dài hạn</t>
        </is>
      </c>
      <c r="B68" s="4" t="n">
        <v>0</v>
      </c>
      <c r="C68" s="4" t="n">
        <v>6279401759</v>
      </c>
      <c r="D68" s="4" t="n">
        <v>0</v>
      </c>
      <c r="E68" s="4" t="n">
        <v>86700000</v>
      </c>
      <c r="F68" s="4" t="n">
        <v>86700000</v>
      </c>
      <c r="G68" s="4" t="n">
        <v>555901586</v>
      </c>
      <c r="H68" s="4" t="n">
        <v>553181844</v>
      </c>
      <c r="I68" s="4" t="n">
        <v>691181844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0</v>
      </c>
      <c r="C71" s="4" t="n">
        <v>0</v>
      </c>
      <c r="D71" s="4" t="n">
        <v>0</v>
      </c>
      <c r="E71" s="4" t="n">
        <v>86700000</v>
      </c>
      <c r="F71" s="4" t="n">
        <v>86700000</v>
      </c>
      <c r="G71" s="4" t="n">
        <v>540999000</v>
      </c>
      <c r="H71" s="4" t="n">
        <v>521500000</v>
      </c>
      <c r="I71" s="4" t="n">
        <v>659500000</v>
      </c>
    </row>
    <row r="72">
      <c r="A72" s="3" t="inlineStr">
        <is>
          <t>Vay dài hạn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Thuế thu nhập hoãn lại</t>
        </is>
      </c>
      <c r="B73" s="4" t="inlineStr"/>
      <c r="C73" s="4" t="inlineStr"/>
      <c r="D73" s="4" t="inlineStr"/>
      <c r="E73" s="4" t="inlineStr"/>
      <c r="F73" s="4" t="n">
        <v>0</v>
      </c>
      <c r="G73" s="4" t="n">
        <v>14902586</v>
      </c>
      <c r="H73" s="4" t="n">
        <v>31681844</v>
      </c>
      <c r="I73" s="4" t="n">
        <v>31681844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1158767132623</v>
      </c>
      <c r="C78" s="4" t="n">
        <v>1279363319277</v>
      </c>
      <c r="D78" s="4" t="n">
        <v>1225129904764</v>
      </c>
      <c r="E78" s="4" t="n">
        <v>1679274238761</v>
      </c>
      <c r="F78" s="4" t="n">
        <v>2049335540169</v>
      </c>
      <c r="G78" s="4" t="n">
        <v>1719170578157</v>
      </c>
      <c r="H78" s="4" t="n">
        <v>2119813714328</v>
      </c>
      <c r="I78" s="4" t="n">
        <v>5139070693233</v>
      </c>
    </row>
    <row r="79">
      <c r="A79" s="3" t="inlineStr">
        <is>
          <t>Vốn và các quỹ</t>
        </is>
      </c>
      <c r="B79" s="4" t="n">
        <v>1158767132623</v>
      </c>
      <c r="C79" s="4" t="n">
        <v>1279363319277</v>
      </c>
      <c r="D79" s="4" t="n">
        <v>1225129904764</v>
      </c>
      <c r="E79" s="4" t="n">
        <v>1679274238761</v>
      </c>
      <c r="F79" s="4" t="n">
        <v>2049335540169</v>
      </c>
      <c r="G79" s="4" t="n">
        <v>1719170578157</v>
      </c>
      <c r="H79" s="4" t="n">
        <v>2119813714328</v>
      </c>
      <c r="I79" s="4" t="n">
        <v>5139070693233</v>
      </c>
    </row>
    <row r="80">
      <c r="A80" s="3" t="inlineStr">
        <is>
          <t>Vốn góp</t>
        </is>
      </c>
      <c r="B80" s="4" t="n">
        <v>680000000000</v>
      </c>
      <c r="C80" s="4" t="n">
        <v>789817920000</v>
      </c>
      <c r="D80" s="4" t="n">
        <v>789817920000</v>
      </c>
      <c r="E80" s="4" t="n">
        <v>789817920000</v>
      </c>
      <c r="F80" s="4" t="n">
        <v>1184725350000</v>
      </c>
      <c r="G80" s="4" t="n">
        <v>1362423890000</v>
      </c>
      <c r="H80" s="4" t="n">
        <v>1362423890000</v>
      </c>
      <c r="I80" s="4" t="n">
        <v>1703017850000</v>
      </c>
    </row>
    <row r="81">
      <c r="A81" s="3" t="inlineStr">
        <is>
          <t>Thặng dư vốn cổ phần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</row>
    <row r="82">
      <c r="A82" s="3" t="inlineStr">
        <is>
          <t>Vốn khác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Quỹ đầu tư và phát triển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453783369453</v>
      </c>
      <c r="C89" s="4" t="n">
        <v>483908235123</v>
      </c>
      <c r="D89" s="4" t="n">
        <v>423908570033</v>
      </c>
      <c r="E89" s="4" t="n">
        <v>872390396152</v>
      </c>
      <c r="F89" s="4" t="n">
        <v>823505616594</v>
      </c>
      <c r="G89" s="4" t="n">
        <v>236832252322</v>
      </c>
      <c r="H89" s="4" t="n">
        <v>549386390157</v>
      </c>
      <c r="I89" s="4" t="n">
        <v>2468442850502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5167669414965</v>
      </c>
      <c r="C95" s="4" t="n">
        <v>6593773034422</v>
      </c>
      <c r="D95" s="4" t="n">
        <v>5387577886028</v>
      </c>
      <c r="E95" s="4" t="n">
        <v>10820339800918</v>
      </c>
      <c r="F95" s="4" t="n">
        <v>10523796935046</v>
      </c>
      <c r="G95" s="4" t="n">
        <v>13098449902604</v>
      </c>
      <c r="H95" s="4" t="n">
        <v>15832550399101</v>
      </c>
      <c r="I95" s="4" t="n">
        <v>23714236170376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Phải thu cho vay ngắn hạn</t>
        </is>
      </c>
      <c r="B100" s="4" t="n">
        <v>120359066193</v>
      </c>
      <c r="C100" s="4" t="n">
        <v>322359066193</v>
      </c>
      <c r="D100" s="4" t="n">
        <v>885000000000</v>
      </c>
      <c r="E100" s="4" t="n">
        <v>1560000000000</v>
      </c>
      <c r="F100" s="4" t="n">
        <v>40000000000</v>
      </c>
      <c r="G100" s="4" t="n">
        <v>0</v>
      </c>
      <c r="H100" s="4" t="n">
        <v>0</v>
      </c>
      <c r="I100" s="4" t="n">
        <v>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0</v>
      </c>
      <c r="C104" s="4" t="n">
        <v>0</v>
      </c>
      <c r="D104" s="4" t="n">
        <v>0</v>
      </c>
      <c r="E104" s="4" t="n">
        <v>90909091</v>
      </c>
      <c r="F104" s="4" t="n">
        <v>1795608000</v>
      </c>
      <c r="G104" s="4" t="n">
        <v>770956800</v>
      </c>
      <c r="H104" s="4" t="n">
        <v>8230000000</v>
      </c>
      <c r="I104" s="4" t="n">
        <v>1411954000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inlineStr"/>
      <c r="C106" s="4" t="inlineStr"/>
      <c r="D106" s="4" t="inlineStr"/>
      <c r="E106" s="4" t="inlineStr"/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0</v>
      </c>
      <c r="C108" s="4" t="n">
        <v>0</v>
      </c>
      <c r="D108" s="4" t="n">
        <v>0</v>
      </c>
      <c r="E108" s="4" t="n">
        <v>205650000</v>
      </c>
      <c r="F108" s="4" t="n">
        <v>322325273</v>
      </c>
      <c r="G108" s="4" t="n">
        <v>13605024822</v>
      </c>
      <c r="H108" s="4" t="n">
        <v>219923436590</v>
      </c>
      <c r="I108" s="4" t="n">
        <v>498506024698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680000000000</v>
      </c>
      <c r="C116" s="4" t="n">
        <v>789817920000</v>
      </c>
      <c r="D116" s="4" t="n">
        <v>789817920000</v>
      </c>
      <c r="E116" s="4" t="n">
        <v>789817920000</v>
      </c>
      <c r="F116" s="4" t="n">
        <v>1184725350000</v>
      </c>
      <c r="G116" s="4" t="n">
        <v>1362423890000</v>
      </c>
      <c r="H116" s="4" t="n">
        <v>1362423890000</v>
      </c>
      <c r="I116" s="4" t="n">
        <v>1703017850000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116454372696</v>
      </c>
      <c r="C118" s="4" t="n">
        <v>282085449452</v>
      </c>
      <c r="D118" s="4" t="n">
        <v>404926443124</v>
      </c>
      <c r="E118" s="4" t="n">
        <v>423908570033</v>
      </c>
      <c r="F118" s="4" t="n">
        <v>437992070152</v>
      </c>
      <c r="G118" s="4" t="n">
        <v>586570809094</v>
      </c>
      <c r="H118" s="4" t="n">
        <v>236975520956</v>
      </c>
      <c r="I118" s="4" t="n">
        <v>197121393961</v>
      </c>
    </row>
    <row r="119">
      <c r="A119" s="3" t="inlineStr">
        <is>
          <t>LNST chưa phân phối kỳ này</t>
        </is>
      </c>
      <c r="B119" s="4" t="n">
        <v>337328996757</v>
      </c>
      <c r="C119" s="4" t="n">
        <v>201822785671</v>
      </c>
      <c r="D119" s="4" t="n">
        <v>18982126909</v>
      </c>
      <c r="E119" s="4" t="n">
        <v>448481826119</v>
      </c>
      <c r="F119" s="4" t="n">
        <v>385513546442</v>
      </c>
      <c r="G119" s="4" t="n">
        <v>-349738556772</v>
      </c>
      <c r="H119" s="4" t="n">
        <v>312410869201</v>
      </c>
      <c r="I119" s="4" t="n">
        <v>2271321456541</v>
      </c>
    </row>
    <row r="120">
      <c r="A120" s="3" t="inlineStr">
        <is>
          <t>Xây dựng cơ bản đang dở dang</t>
        </is>
      </c>
      <c r="B120" s="4" t="n">
        <v>0</v>
      </c>
      <c r="C120" s="4" t="n">
        <v>0</v>
      </c>
      <c r="D120" s="4" t="n">
        <v>0</v>
      </c>
      <c r="E120" s="4" t="n">
        <v>90909091</v>
      </c>
      <c r="F120" s="4" t="n">
        <v>1795608000</v>
      </c>
      <c r="G120" s="4" t="n">
        <v>770956800</v>
      </c>
      <c r="H120" s="4" t="n">
        <v>8230000000</v>
      </c>
      <c r="I120" s="4" t="n">
        <v>1411954000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24983763170</v>
      </c>
      <c r="C122" s="4" t="n">
        <v>5637164154</v>
      </c>
      <c r="D122" s="4" t="n">
        <v>11403414731</v>
      </c>
      <c r="E122" s="4" t="n">
        <v>17065922609</v>
      </c>
      <c r="F122" s="4" t="n">
        <v>41104573575</v>
      </c>
      <c r="G122" s="4" t="n">
        <v>119914435835</v>
      </c>
      <c r="H122" s="4" t="n">
        <v>208003434171</v>
      </c>
      <c r="I122" s="4" t="n">
        <v>967609992731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15889645872798</v>
      </c>
      <c r="C2" s="4" t="n">
        <v>16988956546078</v>
      </c>
      <c r="D2" s="4" t="n">
        <v>14799952534765</v>
      </c>
      <c r="E2" s="4" t="n">
        <v>22619505421050</v>
      </c>
      <c r="F2" s="4" t="n">
        <v>30276710796279</v>
      </c>
      <c r="G2" s="4" t="n">
        <v>31975613596365</v>
      </c>
      <c r="H2" s="4" t="n">
        <v>40241629282059</v>
      </c>
      <c r="I2" s="4" t="n">
        <v>51232049640567</v>
      </c>
    </row>
    <row r="3">
      <c r="A3" s="3" t="inlineStr">
        <is>
          <t>Các khoản giảm trừ doanh thu</t>
        </is>
      </c>
      <c r="B3" s="4" t="n">
        <v>-591311306900</v>
      </c>
      <c r="C3" s="4" t="n">
        <v>-354996798915</v>
      </c>
      <c r="D3" s="4" t="n">
        <v>-138535502543</v>
      </c>
      <c r="E3" s="4" t="n">
        <v>-124544012968</v>
      </c>
      <c r="F3" s="4" t="n">
        <v>-110910039609</v>
      </c>
      <c r="G3" s="4" t="n">
        <v>-125963979645</v>
      </c>
      <c r="H3" s="4" t="n">
        <v>-137136750875</v>
      </c>
      <c r="I3" s="4" t="n">
        <v>-149181195799</v>
      </c>
    </row>
    <row r="4">
      <c r="A4" s="3" t="inlineStr">
        <is>
          <t>Doanh thu thuần</t>
        </is>
      </c>
      <c r="B4" s="4" t="n">
        <v>15298334565898</v>
      </c>
      <c r="C4" s="4" t="n">
        <v>16633959747163</v>
      </c>
      <c r="D4" s="4" t="n">
        <v>14661417032222</v>
      </c>
      <c r="E4" s="4" t="n">
        <v>22494961408082</v>
      </c>
      <c r="F4" s="4" t="n">
        <v>30165800756670</v>
      </c>
      <c r="G4" s="4" t="n">
        <v>31849649616720</v>
      </c>
      <c r="H4" s="4" t="n">
        <v>40104492531184</v>
      </c>
      <c r="I4" s="4" t="n">
        <v>51082868444768</v>
      </c>
    </row>
    <row r="5">
      <c r="A5" s="3" t="inlineStr">
        <is>
          <t>Giá vốn hàng bán</t>
        </is>
      </c>
      <c r="B5" s="4" t="n">
        <v>-13254725142547</v>
      </c>
      <c r="C5" s="4" t="n">
        <v>-14522902581026</v>
      </c>
      <c r="D5" s="4" t="n">
        <v>-12620414733505</v>
      </c>
      <c r="E5" s="4" t="n">
        <v>-19343448146483</v>
      </c>
      <c r="F5" s="4" t="n">
        <v>-25462623377413</v>
      </c>
      <c r="G5" s="4" t="n">
        <v>-26688006159054</v>
      </c>
      <c r="H5" s="4" t="n">
        <v>-32521431587237</v>
      </c>
      <c r="I5" s="4" t="n">
        <v>-41073163986683</v>
      </c>
    </row>
    <row r="6">
      <c r="A6" s="3" t="inlineStr">
        <is>
          <t>Lợi nhuận gộp</t>
        </is>
      </c>
      <c r="B6" s="4" t="n">
        <v>2043609423351</v>
      </c>
      <c r="C6" s="4" t="n">
        <v>2111057166137</v>
      </c>
      <c r="D6" s="4" t="n">
        <v>2041002298717</v>
      </c>
      <c r="E6" s="4" t="n">
        <v>3151513261599</v>
      </c>
      <c r="F6" s="4" t="n">
        <v>4703177379257</v>
      </c>
      <c r="G6" s="4" t="n">
        <v>5161643457666</v>
      </c>
      <c r="H6" s="4" t="n">
        <v>7583060943947</v>
      </c>
      <c r="I6" s="4" t="n">
        <v>10009704458085</v>
      </c>
    </row>
    <row r="7">
      <c r="A7" s="3" t="inlineStr">
        <is>
          <t>Doanh thu hoạt động tài chính</t>
        </is>
      </c>
      <c r="B7" s="4" t="n">
        <v>42866217249</v>
      </c>
      <c r="C7" s="4" t="n">
        <v>78050133404</v>
      </c>
      <c r="D7" s="4" t="n">
        <v>70749420260</v>
      </c>
      <c r="E7" s="4" t="n">
        <v>197580982169</v>
      </c>
      <c r="F7" s="4" t="n">
        <v>173746497842</v>
      </c>
      <c r="G7" s="4" t="n">
        <v>80257624527</v>
      </c>
      <c r="H7" s="4" t="n">
        <v>106913298138</v>
      </c>
      <c r="I7" s="4" t="n">
        <v>287764741779</v>
      </c>
    </row>
    <row r="8">
      <c r="A8" s="3" t="inlineStr">
        <is>
          <t>Chi phí tài chính</t>
        </is>
      </c>
      <c r="B8" s="4" t="n">
        <v>-100572817952</v>
      </c>
      <c r="C8" s="4" t="n">
        <v>-147964791194</v>
      </c>
      <c r="D8" s="4" t="n">
        <v>-133811898461</v>
      </c>
      <c r="E8" s="4" t="n">
        <v>-146245489692</v>
      </c>
      <c r="F8" s="4" t="n">
        <v>-256319530992</v>
      </c>
      <c r="G8" s="4" t="n">
        <v>-292262559450</v>
      </c>
      <c r="H8" s="4" t="n">
        <v>-253792623553</v>
      </c>
      <c r="I8" s="4" t="n">
        <v>-388683187751</v>
      </c>
    </row>
    <row r="9">
      <c r="A9" s="3" t="inlineStr">
        <is>
          <t>Chi phí lãi vay</t>
        </is>
      </c>
      <c r="B9" s="4" t="n">
        <v>-95670507863</v>
      </c>
      <c r="C9" s="4" t="n">
        <v>-135183263352</v>
      </c>
      <c r="D9" s="4" t="n">
        <v>-113682404790</v>
      </c>
      <c r="E9" s="4" t="n">
        <v>-132229176761</v>
      </c>
      <c r="F9" s="4" t="n">
        <v>-231527904809</v>
      </c>
      <c r="G9" s="4" t="n">
        <v>-284917373606</v>
      </c>
      <c r="H9" s="4" t="n">
        <v>-253428831252</v>
      </c>
      <c r="I9" s="4" t="n">
        <v>-388595922369</v>
      </c>
    </row>
    <row r="10">
      <c r="A10" s="3" t="inlineStr">
        <is>
          <t>Chi phí bán hàng</t>
        </is>
      </c>
      <c r="B10" s="4" t="n">
        <v>-1296274813568</v>
      </c>
      <c r="C10" s="4" t="n">
        <v>-1419309973054</v>
      </c>
      <c r="D10" s="4" t="n">
        <v>-1565736555190</v>
      </c>
      <c r="E10" s="4" t="n">
        <v>-2071124789339</v>
      </c>
      <c r="F10" s="4" t="n">
        <v>-3259297597681</v>
      </c>
      <c r="G10" s="4" t="n">
        <v>-4169668799072</v>
      </c>
      <c r="H10" s="4" t="n">
        <v>-5527210989725</v>
      </c>
      <c r="I10" s="4" t="n">
        <v>-7018206246026</v>
      </c>
    </row>
    <row r="11">
      <c r="A11" s="3" t="inlineStr">
        <is>
          <t>Chi phí quản lý doanh nghiệp</t>
        </is>
      </c>
      <c r="B11" s="4" t="n">
        <v>-286839549948</v>
      </c>
      <c r="C11" s="4" t="n">
        <v>-349010009416</v>
      </c>
      <c r="D11" s="4" t="n">
        <v>-397884049877</v>
      </c>
      <c r="E11" s="4" t="n">
        <v>-585528444388</v>
      </c>
      <c r="F11" s="4" t="n">
        <v>-887338884656</v>
      </c>
      <c r="G11" s="4" t="n">
        <v>-1076478805719</v>
      </c>
      <c r="H11" s="4" t="n">
        <v>-1365833850070</v>
      </c>
      <c r="I11" s="4" t="n">
        <v>-1677744619772</v>
      </c>
    </row>
    <row r="12">
      <c r="A12" s="3" t="inlineStr">
        <is>
          <t>Lãi/(lỗ) từ hoạt động kinh doanh</t>
        </is>
      </c>
      <c r="B12" s="4" t="n">
        <v>402788459132</v>
      </c>
      <c r="C12" s="4" t="n">
        <v>272822525877</v>
      </c>
      <c r="D12" s="4" t="n">
        <v>14319215449</v>
      </c>
      <c r="E12" s="4" t="n">
        <v>546195520349</v>
      </c>
      <c r="F12" s="4" t="n">
        <v>473967863770</v>
      </c>
      <c r="G12" s="4" t="n">
        <v>-296509082048</v>
      </c>
      <c r="H12" s="4" t="n">
        <v>543136778737</v>
      </c>
      <c r="I12" s="4" t="n">
        <v>1212835146315</v>
      </c>
    </row>
    <row r="13">
      <c r="A13" s="3" t="inlineStr">
        <is>
          <t>Thu nhập khác</t>
        </is>
      </c>
      <c r="B13" s="4" t="n">
        <v>34150544259</v>
      </c>
      <c r="C13" s="4" t="n">
        <v>5334005795</v>
      </c>
      <c r="D13" s="4" t="n">
        <v>14991747878</v>
      </c>
      <c r="E13" s="4" t="n">
        <v>9425637534</v>
      </c>
      <c r="F13" s="4" t="n">
        <v>16254109001</v>
      </c>
      <c r="G13" s="4" t="n">
        <v>22062244997</v>
      </c>
      <c r="H13" s="4" t="n">
        <v>24090237620</v>
      </c>
      <c r="I13" s="4" t="n">
        <v>29912692698</v>
      </c>
    </row>
    <row r="14">
      <c r="A14" s="3" t="inlineStr">
        <is>
          <t>Chi phí khác</t>
        </is>
      </c>
      <c r="B14" s="4" t="n">
        <v>-2163805024</v>
      </c>
      <c r="C14" s="4" t="n">
        <v>-153872420</v>
      </c>
      <c r="D14" s="4" t="n">
        <v>-883584837</v>
      </c>
      <c r="E14" s="4" t="n">
        <v>-1480892306</v>
      </c>
      <c r="F14" s="4" t="n">
        <v>-4598558802</v>
      </c>
      <c r="G14" s="4" t="n">
        <v>-19734846239</v>
      </c>
      <c r="H14" s="4" t="n">
        <v>-40269928171</v>
      </c>
      <c r="I14" s="4" t="n">
        <v>-23630336340</v>
      </c>
    </row>
    <row r="15">
      <c r="A15" s="3" t="inlineStr">
        <is>
          <t>Thu nhập khác, ròng</t>
        </is>
      </c>
      <c r="B15" s="4" t="n">
        <v>31986739235</v>
      </c>
      <c r="C15" s="4" t="n">
        <v>5180133375</v>
      </c>
      <c r="D15" s="4" t="n">
        <v>14108163041</v>
      </c>
      <c r="E15" s="4" t="n">
        <v>7944745228</v>
      </c>
      <c r="F15" s="4" t="n">
        <v>11655550199</v>
      </c>
      <c r="G15" s="4" t="n">
        <v>2327398758</v>
      </c>
      <c r="H15" s="4" t="n">
        <v>-16179690551</v>
      </c>
      <c r="I15" s="4" t="n">
        <v>6282356358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434775198367</v>
      </c>
      <c r="C17" s="4" t="n">
        <v>278002659252</v>
      </c>
      <c r="D17" s="4" t="n">
        <v>28427378490</v>
      </c>
      <c r="E17" s="4" t="n">
        <v>554140265577</v>
      </c>
      <c r="F17" s="4" t="n">
        <v>485623413969</v>
      </c>
      <c r="G17" s="4" t="n">
        <v>-294181683290</v>
      </c>
      <c r="H17" s="4" t="n">
        <v>526957088186</v>
      </c>
      <c r="I17" s="4" t="n">
        <v>1219117502673</v>
      </c>
    </row>
    <row r="18">
      <c r="A18" s="3" t="inlineStr">
        <is>
          <t>Thuế thu nhập doanh nghiệp - hiện thời</t>
        </is>
      </c>
      <c r="B18" s="4" t="n">
        <v>-87028076358</v>
      </c>
      <c r="C18" s="4" t="n">
        <v>-67875765738</v>
      </c>
      <c r="D18" s="4" t="n">
        <v>-27474628269</v>
      </c>
      <c r="E18" s="4" t="n">
        <v>-108125465377</v>
      </c>
      <c r="F18" s="4" t="n">
        <v>-86686691655</v>
      </c>
      <c r="G18" s="4" t="n">
        <v>-34994338768</v>
      </c>
      <c r="H18" s="4" t="n">
        <v>-118526676650</v>
      </c>
      <c r="I18" s="4" t="n">
        <v>-234877775599</v>
      </c>
    </row>
    <row r="19">
      <c r="A19" s="3" t="inlineStr">
        <is>
          <t>Thuế thu nhập doanh nghiệp - hoãn lại</t>
        </is>
      </c>
      <c r="B19" s="4" t="n">
        <v>0</v>
      </c>
      <c r="C19" s="4" t="n">
        <v>-6279401759</v>
      </c>
      <c r="D19" s="4" t="n">
        <v>9263980305</v>
      </c>
      <c r="E19" s="4" t="n">
        <v>-2116453772</v>
      </c>
      <c r="F19" s="4" t="n">
        <v>-862524906</v>
      </c>
      <c r="G19" s="4" t="n">
        <v>-20502454</v>
      </c>
      <c r="H19" s="4" t="n">
        <v>-16779258</v>
      </c>
      <c r="I19" s="4" t="n">
        <v>0</v>
      </c>
    </row>
    <row r="20">
      <c r="A20" s="3" t="inlineStr">
        <is>
          <t>Chi phí thuế thu nhập doanh nghiệp</t>
        </is>
      </c>
      <c r="B20" s="4" t="n">
        <v>-87028076358</v>
      </c>
      <c r="C20" s="4" t="n">
        <v>-74155167497</v>
      </c>
      <c r="D20" s="4" t="n">
        <v>-18210647964</v>
      </c>
      <c r="E20" s="4" t="n">
        <v>-110241919149</v>
      </c>
      <c r="F20" s="4" t="n">
        <v>-87549216561</v>
      </c>
      <c r="G20" s="4" t="n">
        <v>-35014841222</v>
      </c>
      <c r="H20" s="4" t="n">
        <v>-118543455908</v>
      </c>
      <c r="I20" s="4" t="n">
        <v>-234877775599</v>
      </c>
    </row>
    <row r="21">
      <c r="A21" s="3" t="inlineStr">
        <is>
          <t>Lãi/(lỗ) thuần sau thuế</t>
        </is>
      </c>
      <c r="B21" s="4" t="n">
        <v>347747122009</v>
      </c>
      <c r="C21" s="4" t="n">
        <v>203847491755</v>
      </c>
      <c r="D21" s="4" t="n">
        <v>10216730526</v>
      </c>
      <c r="E21" s="4" t="n">
        <v>443898346428</v>
      </c>
      <c r="F21" s="4" t="n">
        <v>398074197408</v>
      </c>
      <c r="G21" s="4" t="n">
        <v>-329196524512</v>
      </c>
      <c r="H21" s="4" t="n">
        <v>408413632278</v>
      </c>
      <c r="I21" s="4" t="n">
        <v>984239727074</v>
      </c>
    </row>
    <row r="22">
      <c r="A22" s="3" t="inlineStr">
        <is>
          <t>Lợi ích của cổ đông thiểu số</t>
        </is>
      </c>
      <c r="B22" s="4" t="n">
        <v>-16236829</v>
      </c>
      <c r="C22" s="4" t="n">
        <v>-9167987408</v>
      </c>
      <c r="D22" s="4" t="n">
        <v>-14501865720</v>
      </c>
      <c r="E22" s="4" t="n">
        <v>166178809</v>
      </c>
      <c r="F22" s="4" t="n">
        <v>7713342831</v>
      </c>
      <c r="G22" s="4" t="n">
        <v>16446964816</v>
      </c>
      <c r="H22" s="4" t="n">
        <v>90897366661</v>
      </c>
      <c r="I22" s="4" t="n">
        <v>189374783523</v>
      </c>
    </row>
    <row r="23">
      <c r="A23" s="3" t="inlineStr">
        <is>
          <t>Lợi nhuận của Cổ đông của Công ty mẹ</t>
        </is>
      </c>
      <c r="B23" s="4" t="n">
        <v>347763358838</v>
      </c>
      <c r="C23" s="4" t="n">
        <v>213015479163</v>
      </c>
      <c r="D23" s="4" t="n">
        <v>24718596246</v>
      </c>
      <c r="E23" s="4" t="n">
        <v>443732167619</v>
      </c>
      <c r="F23" s="4" t="n">
        <v>390360854577</v>
      </c>
      <c r="G23" s="4" t="n">
        <v>-345643489328</v>
      </c>
      <c r="H23" s="4" t="n">
        <v>317516265617</v>
      </c>
      <c r="I23" s="4" t="n">
        <v>794864943551</v>
      </c>
    </row>
    <row r="24">
      <c r="A24" s="3" t="inlineStr">
        <is>
          <t>Lãi cơ bản trên cổ phiếu (VND)</t>
        </is>
      </c>
      <c r="B24" s="4" t="n">
        <v>4961</v>
      </c>
      <c r="C24" s="4" t="n">
        <v>2612</v>
      </c>
      <c r="D24" s="4" t="n">
        <v>266</v>
      </c>
      <c r="E24" s="4" t="n">
        <v>3745</v>
      </c>
      <c r="F24" s="4" t="n">
        <v>2865</v>
      </c>
      <c r="G24" s="4" t="n">
        <v>-2537</v>
      </c>
      <c r="H24" s="4" t="n">
        <v>2293</v>
      </c>
      <c r="I24" s="4" t="n">
        <v>4653</v>
      </c>
    </row>
    <row r="25">
      <c r="A25" s="3" t="inlineStr">
        <is>
          <t>Lãi trên cổ phiếu pha loãng (VND)</t>
        </is>
      </c>
      <c r="B25" s="4" t="n">
        <v>0</v>
      </c>
      <c r="C25" s="4" t="n">
        <v>0</v>
      </c>
      <c r="D25" s="4" t="n">
        <v>0</v>
      </c>
      <c r="E25" s="4" t="n">
        <v>3745</v>
      </c>
      <c r="F25" s="4" t="n">
        <v>2865</v>
      </c>
      <c r="G25" s="4" t="n">
        <v>-2537</v>
      </c>
      <c r="H25" s="4" t="n">
        <v>2293</v>
      </c>
      <c r="I25" s="4" t="n">
        <v>4653</v>
      </c>
    </row>
    <row r="26">
      <c r="A26" s="3" t="inlineStr">
        <is>
          <t>Lãi/(lỗ) từ công ty liên doanh (từ năm 2015)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434775198367</v>
      </c>
      <c r="C2" s="4" t="n">
        <v>278002659252</v>
      </c>
      <c r="D2" s="4" t="n">
        <v>28427378490</v>
      </c>
      <c r="E2" s="4" t="n">
        <v>554140265577</v>
      </c>
      <c r="F2" s="4" t="n">
        <v>485623413969</v>
      </c>
      <c r="G2" s="4" t="n">
        <v>-294181683290</v>
      </c>
      <c r="H2" s="4" t="n">
        <v>526957088186</v>
      </c>
      <c r="I2" s="4" t="n">
        <v>1219117502673</v>
      </c>
    </row>
    <row r="3">
      <c r="A3" s="3" t="inlineStr">
        <is>
          <t>Khấu hao TSCĐ và BĐSĐT</t>
        </is>
      </c>
      <c r="B3" s="4" t="n">
        <v>781002276</v>
      </c>
      <c r="C3" s="4" t="n">
        <v>836635952</v>
      </c>
      <c r="D3" s="4" t="n">
        <v>1372163399</v>
      </c>
      <c r="E3" s="4" t="n">
        <v>71537572161</v>
      </c>
      <c r="F3" s="4" t="n">
        <v>115286135177</v>
      </c>
      <c r="G3" s="4" t="n">
        <v>233071988505</v>
      </c>
      <c r="H3" s="4" t="n">
        <v>318442950010</v>
      </c>
      <c r="I3" s="4" t="n">
        <v>402557018224</v>
      </c>
    </row>
    <row r="4">
      <c r="A4" s="3" t="inlineStr">
        <is>
          <t>Chi phí dự phòng</t>
        </is>
      </c>
      <c r="B4" s="4" t="n">
        <v>14477629465</v>
      </c>
      <c r="C4" s="4" t="n">
        <v>18859508387</v>
      </c>
      <c r="D4" s="4" t="n">
        <v>34392956980</v>
      </c>
      <c r="E4" s="4" t="n">
        <v>-31039107353</v>
      </c>
      <c r="F4" s="4" t="n">
        <v>-4485565669</v>
      </c>
      <c r="G4" s="4" t="n">
        <v>2521192297</v>
      </c>
      <c r="H4" s="4" t="n">
        <v>17863960788</v>
      </c>
      <c r="I4" s="4" t="n">
        <v>32010999772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-2380950000</v>
      </c>
      <c r="C5" s="4" t="n">
        <v>-1573500000</v>
      </c>
      <c r="D5" s="4" t="n">
        <v>-75365966</v>
      </c>
      <c r="E5" s="4" t="n">
        <v>7513094690</v>
      </c>
      <c r="F5" s="4" t="n">
        <v>-42532911</v>
      </c>
      <c r="G5" s="4" t="n">
        <v>-74512931</v>
      </c>
      <c r="H5" s="4" t="n">
        <v>-158409220</v>
      </c>
      <c r="I5" s="4" t="n">
        <v>-20360895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-20946487598</v>
      </c>
      <c r="C7" s="4" t="n">
        <v>-61193294228</v>
      </c>
      <c r="D7" s="4" t="n">
        <v>-55870719645</v>
      </c>
      <c r="E7" s="4" t="n">
        <v>-169344292160</v>
      </c>
      <c r="F7" s="4" t="n">
        <v>-147853905457</v>
      </c>
      <c r="G7" s="4" t="n">
        <v>-50019830875</v>
      </c>
      <c r="H7" s="4" t="n">
        <v>-70652632259</v>
      </c>
      <c r="I7" s="4" t="n">
        <v>-267669594473</v>
      </c>
    </row>
    <row r="8">
      <c r="A8" s="3" t="inlineStr">
        <is>
          <t>Chi phí lãi vay</t>
        </is>
      </c>
      <c r="B8" s="4" t="n">
        <v>95670507863</v>
      </c>
      <c r="C8" s="4" t="n">
        <v>135183263352</v>
      </c>
      <c r="D8" s="4" t="n">
        <v>113682404790</v>
      </c>
      <c r="E8" s="4" t="n">
        <v>132229176761</v>
      </c>
      <c r="F8" s="4" t="n">
        <v>231527904809</v>
      </c>
      <c r="G8" s="4" t="n">
        <v>284917373606</v>
      </c>
      <c r="H8" s="4" t="n">
        <v>253428831252</v>
      </c>
      <c r="I8" s="4" t="n">
        <v>388595922369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522376900373</v>
      </c>
      <c r="C10" s="4" t="n">
        <v>370115272715</v>
      </c>
      <c r="D10" s="4" t="n">
        <v>121928818048</v>
      </c>
      <c r="E10" s="4" t="n">
        <v>565036709676</v>
      </c>
      <c r="F10" s="4" t="n">
        <v>680055449918</v>
      </c>
      <c r="G10" s="4" t="n">
        <v>176234527312</v>
      </c>
      <c r="H10" s="4" t="n">
        <v>1045881788757</v>
      </c>
      <c r="I10" s="4" t="n">
        <v>1774591487670</v>
      </c>
    </row>
    <row r="11">
      <c r="A11" s="3" t="inlineStr">
        <is>
          <t>(Tăng)/giảm các khoản phải thu</t>
        </is>
      </c>
      <c r="B11" s="4" t="n">
        <v>-60063346100</v>
      </c>
      <c r="C11" s="4" t="n">
        <v>131185574067</v>
      </c>
      <c r="D11" s="4" t="n">
        <v>-79329822257</v>
      </c>
      <c r="E11" s="4" t="n">
        <v>88624032848</v>
      </c>
      <c r="F11" s="4" t="n">
        <v>-93023120614</v>
      </c>
      <c r="G11" s="4" t="n">
        <v>27356978357</v>
      </c>
      <c r="H11" s="4" t="n">
        <v>136390770666</v>
      </c>
      <c r="I11" s="4" t="n">
        <v>-289450397420</v>
      </c>
    </row>
    <row r="12">
      <c r="A12" s="3" t="inlineStr">
        <is>
          <t>(Tăng)/giảm hàng tồn kho</t>
        </is>
      </c>
      <c r="B12" s="4" t="n">
        <v>-790234430865</v>
      </c>
      <c r="C12" s="4" t="n">
        <v>-879508612026</v>
      </c>
      <c r="D12" s="4" t="n">
        <v>1545958217975</v>
      </c>
      <c r="E12" s="4" t="n">
        <v>-3122839624668</v>
      </c>
      <c r="F12" s="4" t="n">
        <v>-1549588422248</v>
      </c>
      <c r="G12" s="4" t="n">
        <v>-1944517235201</v>
      </c>
      <c r="H12" s="4" t="n">
        <v>-1821393826979</v>
      </c>
      <c r="I12" s="4" t="n">
        <v>-1721131354627</v>
      </c>
    </row>
    <row r="13">
      <c r="A13" s="3" t="inlineStr">
        <is>
          <t>Tăng/(giảm) các khoản phải trả</t>
        </is>
      </c>
      <c r="B13" s="4" t="n">
        <v>-849889822830</v>
      </c>
      <c r="C13" s="4" t="n">
        <v>554572458872</v>
      </c>
      <c r="D13" s="4" t="n">
        <v>65446926710</v>
      </c>
      <c r="E13" s="4" t="n">
        <v>1387811818622</v>
      </c>
      <c r="F13" s="4" t="n">
        <v>36245882912</v>
      </c>
      <c r="G13" s="4" t="n">
        <v>175960973788</v>
      </c>
      <c r="H13" s="4" t="n">
        <v>1535573066662</v>
      </c>
      <c r="I13" s="4" t="n">
        <v>3488987404115</v>
      </c>
    </row>
    <row r="14">
      <c r="A14" s="3" t="inlineStr">
        <is>
          <t>(Tăng)/giảm chi phí trả trước</t>
        </is>
      </c>
      <c r="B14" s="4" t="n">
        <v>-17223193362</v>
      </c>
      <c r="C14" s="4" t="n">
        <v>-68023248333</v>
      </c>
      <c r="D14" s="4" t="n">
        <v>8228059824</v>
      </c>
      <c r="E14" s="4" t="n">
        <v>-9225639566</v>
      </c>
      <c r="F14" s="4" t="n">
        <v>-226194254906</v>
      </c>
      <c r="G14" s="4" t="n">
        <v>12732185744</v>
      </c>
      <c r="H14" s="4" t="n">
        <v>4499571232</v>
      </c>
      <c r="I14" s="4" t="n">
        <v>1680342037</v>
      </c>
    </row>
    <row r="15">
      <c r="A15" s="3" t="inlineStr">
        <is>
          <t>Tiền lãi vay đã trả</t>
        </is>
      </c>
      <c r="B15" s="4" t="n">
        <v>-90618315335</v>
      </c>
      <c r="C15" s="4" t="n">
        <v>-133877354423</v>
      </c>
      <c r="D15" s="4" t="n">
        <v>-114531622270</v>
      </c>
      <c r="E15" s="4" t="n">
        <v>-120489823926</v>
      </c>
      <c r="F15" s="4" t="n">
        <v>-218989646740</v>
      </c>
      <c r="G15" s="4" t="n">
        <v>-301416254867</v>
      </c>
      <c r="H15" s="4" t="n">
        <v>-224960303416</v>
      </c>
      <c r="I15" s="4" t="n">
        <v>-393209707585</v>
      </c>
    </row>
    <row r="16">
      <c r="A16" s="3" t="inlineStr">
        <is>
          <t>Thuế thu nhập doanh nghiệp đã nộp</t>
        </is>
      </c>
      <c r="B16" s="4" t="n">
        <v>-92733427092</v>
      </c>
      <c r="C16" s="4" t="n">
        <v>-82148822013</v>
      </c>
      <c r="D16" s="4" t="n">
        <v>-23606280229</v>
      </c>
      <c r="E16" s="4" t="n">
        <v>-90641021151</v>
      </c>
      <c r="F16" s="4" t="n">
        <v>-135411036538</v>
      </c>
      <c r="G16" s="4" t="n">
        <v>-111047856</v>
      </c>
      <c r="H16" s="4" t="n">
        <v>-38914311552</v>
      </c>
      <c r="I16" s="4" t="n">
        <v>-114141221156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-8350581050</v>
      </c>
      <c r="C18" s="4" t="n">
        <v>-512175011</v>
      </c>
      <c r="D18" s="4" t="n">
        <v>-5761400376</v>
      </c>
      <c r="E18" s="4" t="n">
        <v>-2385400000</v>
      </c>
      <c r="F18" s="4" t="n">
        <v>-787133000</v>
      </c>
      <c r="G18" s="4" t="n">
        <v>-3344000000</v>
      </c>
      <c r="H18" s="4" t="n">
        <v>-10000000000</v>
      </c>
      <c r="I18" s="4" t="n">
        <v>0</v>
      </c>
    </row>
    <row r="19">
      <c r="A19" s="3" t="inlineStr">
        <is>
          <t>Lưu chuyển tiền tệ ròng từ các hoạt động sản xuất kinh doanh</t>
        </is>
      </c>
      <c r="B19" s="4" t="n">
        <v>-1386736216261</v>
      </c>
      <c r="C19" s="4" t="n">
        <v>-108196906152</v>
      </c>
      <c r="D19" s="4" t="n">
        <v>1518332897425</v>
      </c>
      <c r="E19" s="4" t="n">
        <v>-1304108948165</v>
      </c>
      <c r="F19" s="4" t="n">
        <v>-1507692281216</v>
      </c>
      <c r="G19" s="4" t="n">
        <v>-1857103872723</v>
      </c>
      <c r="H19" s="4" t="n">
        <v>627076755370</v>
      </c>
      <c r="I19" s="4" t="n">
        <v>2747326553034</v>
      </c>
    </row>
    <row r="20">
      <c r="A20" s="3" t="inlineStr">
        <is>
          <t>Tiền chi để mua sắm, xây dựng TSCĐ và các tài sản dài hạn khác</t>
        </is>
      </c>
      <c r="B20" s="4" t="n">
        <v>-74372727</v>
      </c>
      <c r="C20" s="4" t="n">
        <v>-3815776185</v>
      </c>
      <c r="D20" s="4" t="n">
        <v>-3429075142</v>
      </c>
      <c r="E20" s="4" t="n">
        <v>-172331745214</v>
      </c>
      <c r="F20" s="4" t="n">
        <v>-518166901951</v>
      </c>
      <c r="G20" s="4" t="n">
        <v>-705276095241</v>
      </c>
      <c r="H20" s="4" t="n">
        <v>-489745872056</v>
      </c>
      <c r="I20" s="4" t="n">
        <v>-534361131923</v>
      </c>
    </row>
    <row r="21">
      <c r="A21" s="3" t="inlineStr">
        <is>
          <t>Tiền thu từ thanh lý, nhượng bán TSCĐ và các tài sản dài hạn khác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239047620</v>
      </c>
      <c r="G21" s="4" t="n">
        <v>38832000</v>
      </c>
      <c r="H21" s="4" t="n">
        <v>22192000</v>
      </c>
      <c r="I21" s="4" t="n">
        <v>10150000</v>
      </c>
    </row>
    <row r="22">
      <c r="A22" s="3" t="inlineStr">
        <is>
          <t>Tiền chi cho vay, mua các công cụ nợ của đơn vị khác</t>
        </is>
      </c>
      <c r="B22" s="4" t="n">
        <v>-124499109164</v>
      </c>
      <c r="C22" s="4" t="n">
        <v>-1321150000000</v>
      </c>
      <c r="D22" s="4" t="n">
        <v>-1549982232750</v>
      </c>
      <c r="E22" s="4" t="n">
        <v>-12892435886578</v>
      </c>
      <c r="F22" s="4" t="n">
        <v>-6940000000000</v>
      </c>
      <c r="G22" s="4" t="n">
        <v>-2551000000000</v>
      </c>
      <c r="H22" s="4" t="n">
        <v>-2206000000000</v>
      </c>
      <c r="I22" s="4" t="n">
        <v>-9601000000000</v>
      </c>
    </row>
    <row r="23">
      <c r="A23" s="3" t="inlineStr">
        <is>
          <t>Tiền thu hồi cho vay, bán lại các công cụ nợ của đơn vị khác</t>
        </is>
      </c>
      <c r="B23" s="4" t="n">
        <v>0</v>
      </c>
      <c r="C23" s="4" t="n">
        <v>628646866305</v>
      </c>
      <c r="D23" s="4" t="n">
        <v>1098825790697</v>
      </c>
      <c r="E23" s="4" t="n">
        <v>11185094571490</v>
      </c>
      <c r="F23" s="4" t="n">
        <v>9161500000000</v>
      </c>
      <c r="G23" s="4" t="n">
        <v>2516000000000</v>
      </c>
      <c r="H23" s="4" t="n">
        <v>2414000000000</v>
      </c>
      <c r="I23" s="4" t="n">
        <v>4658000000000</v>
      </c>
    </row>
    <row r="24">
      <c r="A24" s="3" t="inlineStr">
        <is>
          <t>Tiền chi đầu tư góp vốn vào đơn vị khác</t>
        </is>
      </c>
      <c r="B24" s="4" t="n">
        <v>0</v>
      </c>
      <c r="C24" s="4" t="n">
        <v>0</v>
      </c>
      <c r="D24" s="4" t="n">
        <v>0</v>
      </c>
      <c r="E24" s="4" t="n">
        <v>-120627928834</v>
      </c>
      <c r="F24" s="4" t="n">
        <v>-2461794466</v>
      </c>
      <c r="G24" s="4" t="n">
        <v>0</v>
      </c>
      <c r="H24" s="4" t="n">
        <v>0</v>
      </c>
      <c r="I24" s="4" t="n">
        <v>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Tiền thu lãi cho vay, cổ tức và lợi nhuận được chia</t>
        </is>
      </c>
      <c r="B26" s="4" t="n">
        <v>19961655437</v>
      </c>
      <c r="C26" s="4" t="n">
        <v>49329885363</v>
      </c>
      <c r="D26" s="4" t="n">
        <v>58323657870</v>
      </c>
      <c r="E26" s="4" t="n">
        <v>143926511675</v>
      </c>
      <c r="F26" s="4" t="n">
        <v>158973736193</v>
      </c>
      <c r="G26" s="4" t="n">
        <v>68561151538</v>
      </c>
      <c r="H26" s="4" t="n">
        <v>102089454700</v>
      </c>
      <c r="I26" s="4" t="n">
        <v>213448572393</v>
      </c>
    </row>
    <row r="27">
      <c r="A27" s="3" t="inlineStr">
        <is>
          <t>Lưu chuyển tiền thuần từ hoạt động đầu tư</t>
        </is>
      </c>
      <c r="B27" s="4" t="n">
        <v>-104611826454</v>
      </c>
      <c r="C27" s="4" t="n">
        <v>-646989024517</v>
      </c>
      <c r="D27" s="4" t="n">
        <v>-396261859325</v>
      </c>
      <c r="E27" s="4" t="n">
        <v>-1856374477461</v>
      </c>
      <c r="F27" s="4" t="n">
        <v>1860084087396</v>
      </c>
      <c r="G27" s="4" t="n">
        <v>-671676111703</v>
      </c>
      <c r="H27" s="4" t="n">
        <v>-179634225356</v>
      </c>
      <c r="I27" s="4" t="n">
        <v>-5263902409530</v>
      </c>
    </row>
    <row r="28">
      <c r="A28" s="3" t="inlineStr">
        <is>
          <t>Tiền thu từ phát hành cổ phiếu, nhận vốn góp của chủ sở hữu</t>
        </is>
      </c>
      <c r="B28" s="4" t="n">
        <v>25000000000</v>
      </c>
      <c r="C28" s="4" t="n">
        <v>6800000000</v>
      </c>
      <c r="D28" s="4" t="n">
        <v>18232000000</v>
      </c>
      <c r="E28" s="4" t="n">
        <v>10244000000</v>
      </c>
      <c r="F28" s="4" t="n">
        <v>11478000000</v>
      </c>
      <c r="G28" s="4" t="n">
        <v>58267830000</v>
      </c>
      <c r="H28" s="4" t="n">
        <v>51569080000</v>
      </c>
      <c r="I28" s="4" t="n">
        <v>2037461548491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-14000000000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Tiền thu được các khoản đi vay</t>
        </is>
      </c>
      <c r="B30" s="4" t="n">
        <v>8665290182642</v>
      </c>
      <c r="C30" s="4" t="n">
        <v>11735834006696</v>
      </c>
      <c r="D30" s="4" t="n">
        <v>10586373171060</v>
      </c>
      <c r="E30" s="4" t="n">
        <v>14976648751486</v>
      </c>
      <c r="F30" s="4" t="n">
        <v>13421852950456</v>
      </c>
      <c r="G30" s="4" t="n">
        <v>16941931226074</v>
      </c>
      <c r="H30" s="4" t="n">
        <v>18698414695683</v>
      </c>
      <c r="I30" s="4" t="n">
        <v>24716406311275</v>
      </c>
    </row>
    <row r="31">
      <c r="A31" s="3" t="inlineStr">
        <is>
          <t>Tiền trả nợ gốc vay</t>
        </is>
      </c>
      <c r="B31" s="4" t="n">
        <v>-6888639840795</v>
      </c>
      <c r="C31" s="4" t="n">
        <v>-10983496917268</v>
      </c>
      <c r="D31" s="4" t="n">
        <v>-11798460513115</v>
      </c>
      <c r="E31" s="4" t="n">
        <v>-11422699256314</v>
      </c>
      <c r="F31" s="4" t="n">
        <v>-14105927868424</v>
      </c>
      <c r="G31" s="4" t="n">
        <v>-14196990842111</v>
      </c>
      <c r="H31" s="4" t="n">
        <v>-18006336778392</v>
      </c>
      <c r="I31" s="4" t="n">
        <v>-23465247841524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0</v>
      </c>
      <c r="C33" s="4" t="n">
        <v>-68680000000</v>
      </c>
      <c r="D33" s="4" t="n">
        <v>-78981792000</v>
      </c>
      <c r="E33" s="4" t="n">
        <v>0</v>
      </c>
      <c r="F33" s="4" t="n">
        <v>-39490896000</v>
      </c>
      <c r="G33" s="4" t="n">
        <v>-59236267500</v>
      </c>
      <c r="H33" s="4" t="n">
        <v>-54283249510</v>
      </c>
      <c r="I33" s="4" t="n">
        <v>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1801650341847</v>
      </c>
      <c r="C35" s="4" t="n">
        <v>676457089428</v>
      </c>
      <c r="D35" s="4" t="n">
        <v>-1272837134055</v>
      </c>
      <c r="E35" s="4" t="n">
        <v>3564193495172</v>
      </c>
      <c r="F35" s="4" t="n">
        <v>-712087813968</v>
      </c>
      <c r="G35" s="4" t="n">
        <v>2743971946463</v>
      </c>
      <c r="H35" s="4" t="n">
        <v>689363747781</v>
      </c>
      <c r="I35" s="4" t="n">
        <v>3288620018242</v>
      </c>
    </row>
    <row r="36">
      <c r="A36" s="3" t="inlineStr">
        <is>
          <t>Lưu chuyển tiền thuần trong kỳ</t>
        </is>
      </c>
      <c r="B36" s="4" t="n">
        <v>310302299132</v>
      </c>
      <c r="C36" s="4" t="n">
        <v>-78728841241</v>
      </c>
      <c r="D36" s="4" t="n">
        <v>-150766095955</v>
      </c>
      <c r="E36" s="4" t="n">
        <v>403710069546</v>
      </c>
      <c r="F36" s="4" t="n">
        <v>-359696007788</v>
      </c>
      <c r="G36" s="4" t="n">
        <v>215191962037</v>
      </c>
      <c r="H36" s="4" t="n">
        <v>1136806277795</v>
      </c>
      <c r="I36" s="4" t="n">
        <v>772044161746</v>
      </c>
    </row>
    <row r="37">
      <c r="A37" s="3" t="inlineStr">
        <is>
          <t>Tiền và tương đương tiền đầu kỳ</t>
        </is>
      </c>
      <c r="B37" s="4" t="n">
        <v>638076095694</v>
      </c>
      <c r="C37" s="4" t="n">
        <v>948378394826</v>
      </c>
      <c r="D37" s="4" t="n">
        <v>852194969387</v>
      </c>
      <c r="E37" s="4" t="n">
        <v>701504239398</v>
      </c>
      <c r="F37" s="4" t="n">
        <v>1105209549882</v>
      </c>
      <c r="G37" s="4" t="n">
        <v>745556075005</v>
      </c>
      <c r="H37" s="4" t="n">
        <v>960822549973</v>
      </c>
      <c r="I37" s="4" t="n">
        <v>2097787236988</v>
      </c>
    </row>
    <row r="38">
      <c r="A38" s="3" t="inlineStr">
        <is>
          <t>Ảnh hưởng của thay đổi tỷ giá hối đoái quy đổi ngoại tệ</t>
        </is>
      </c>
      <c r="B38" s="4" t="n">
        <v>0</v>
      </c>
      <c r="C38" s="4" t="n">
        <v>0</v>
      </c>
      <c r="D38" s="4" t="n">
        <v>75365966</v>
      </c>
      <c r="E38" s="4" t="n">
        <v>-4759062</v>
      </c>
      <c r="F38" s="4" t="n">
        <v>42532911</v>
      </c>
      <c r="G38" s="4" t="n">
        <v>74512931</v>
      </c>
      <c r="H38" s="4" t="n">
        <v>158409220</v>
      </c>
      <c r="I38" s="4" t="n">
        <v>20360895</v>
      </c>
    </row>
    <row r="39">
      <c r="A39" s="3" t="inlineStr">
        <is>
          <t>Tiền và tương đương tiền cuối kỳ</t>
        </is>
      </c>
      <c r="B39" s="4" t="n">
        <v>948378394826</v>
      </c>
      <c r="C39" s="4" t="n">
        <v>869649553585</v>
      </c>
      <c r="D39" s="4" t="n">
        <v>701504239398</v>
      </c>
      <c r="E39" s="4" t="n">
        <v>1105209549882</v>
      </c>
      <c r="F39" s="4" t="n">
        <v>745556075005</v>
      </c>
      <c r="G39" s="4" t="n">
        <v>960822549973</v>
      </c>
      <c r="H39" s="4" t="n">
        <v>2097787236988</v>
      </c>
      <c r="I39" s="4" t="n">
        <v>2869851759629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40.75" customWidth="1" min="1" max="1"/>
    <col width="17.25" customWidth="1" min="2" max="2"/>
    <col width="18.25" customWidth="1" min="9" max="9"/>
    <col width="20.5" customWidth="1" min="10" max="10"/>
    <col width="9" customWidth="1" min="11" max="11"/>
    <col width="8.875" customWidth="1" min="12" max="12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5" t="inlineStr">
        <is>
          <t>ROE (LNST CĐ Cty mẹ / VCSH bình quân)</t>
        </is>
      </c>
      <c r="B2" s="7" t="inlineStr">
        <is>
          <t>n/a</t>
        </is>
      </c>
      <c r="C2" s="8">
        <f>IFERROR(C$52/((C$39+B$39)/2),"n/a")</f>
        <v/>
      </c>
      <c r="D2" s="8">
        <f>IFERROR(D$52/((D$39+C$39)/2),"n/a")</f>
        <v/>
      </c>
      <c r="E2" s="8">
        <f>IFERROR(E$52/((E$39+D$39)/2),"n/a")</f>
        <v/>
      </c>
      <c r="F2" s="8">
        <f>IFERROR(F$52/((F$39+E$39)/2),"n/a")</f>
        <v/>
      </c>
      <c r="G2" s="8">
        <f>IFERROR(G$52/((G$39+F$39)/2),"n/a")</f>
        <v/>
      </c>
      <c r="H2" s="8">
        <f>IFERROR(H$52/((H$39+G$39)/2),"n/a")</f>
        <v/>
      </c>
      <c r="I2" s="8">
        <f>IFERROR(I$52/((I$39+H$39)/2),"n/a")</f>
        <v/>
      </c>
    </row>
    <row r="3">
      <c r="A3" s="5" t="inlineStr">
        <is>
          <t>ROA (LNST / Tổng tài sản bình quân)</t>
        </is>
      </c>
      <c r="B3" s="7" t="inlineStr">
        <is>
          <t>n/a</t>
        </is>
      </c>
      <c r="C3" s="8">
        <f>IFERROR(C$51/((C$31+B$31)/2),"n/a")</f>
        <v/>
      </c>
      <c r="D3" s="8">
        <f>IFERROR(D$51/((D$31+C$31)/2),"n/a")</f>
        <v/>
      </c>
      <c r="E3" s="8">
        <f>IFERROR(E$51/((E$31+D$31)/2),"n/a")</f>
        <v/>
      </c>
      <c r="F3" s="8">
        <f>IFERROR(F$51/((F$31+E$31)/2),"n/a")</f>
        <v/>
      </c>
      <c r="G3" s="8">
        <f>IFERROR(G$51/((G$31+F$31)/2),"n/a")</f>
        <v/>
      </c>
      <c r="H3" s="8">
        <f>IFERROR(H$51/((H$31+G$31)/2),"n/a")</f>
        <v/>
      </c>
      <c r="I3" s="8">
        <f>IFERROR(I$51/((I$31+H$31)/2),"n/a")</f>
        <v/>
      </c>
    </row>
    <row r="4">
      <c r="A4" s="5" t="inlineStr">
        <is>
          <t>Tăng trưởng LN Cổ đông Cty mẹ</t>
        </is>
      </c>
      <c r="B4" s="7" t="inlineStr">
        <is>
          <t>n/a</t>
        </is>
      </c>
      <c r="C4" s="8">
        <f>IFERROR((C$52-B$52)/ABS(B$52),"n/a")</f>
        <v/>
      </c>
      <c r="D4" s="8">
        <f>IFERROR((D$52-C$52)/ABS(C$52),"n/a")</f>
        <v/>
      </c>
      <c r="E4" s="8">
        <f>IFERROR((E$52-D$52)/ABS(D$52),"n/a")</f>
        <v/>
      </c>
      <c r="F4" s="8">
        <f>IFERROR((F$52-E$52)/ABS(E$52),"n/a")</f>
        <v/>
      </c>
      <c r="G4" s="8">
        <f>IFERROR((G$52-F$52)/ABS(F$52),"n/a")</f>
        <v/>
      </c>
      <c r="H4" s="8">
        <f>IFERROR((H$52-G$52)/ABS(G$52),"n/a")</f>
        <v/>
      </c>
      <c r="I4" s="8">
        <f>IFERROR((I$52-H$52)/ABS(H$52),"n/a")</f>
        <v/>
      </c>
      <c r="J4" s="8">
        <f>IFERROR((J$52-I$52)/ABS(I$52),"n/a")</f>
        <v/>
      </c>
    </row>
    <row r="5">
      <c r="A5" s="5" t="inlineStr">
        <is>
          <t>Tăng trưởng Doanh thu thuần</t>
        </is>
      </c>
      <c r="B5" s="7" t="inlineStr">
        <is>
          <t>n/a</t>
        </is>
      </c>
      <c r="C5" s="8">
        <f>IFERROR((C$43-B$43)/ABS(B$43),"n/a")</f>
        <v/>
      </c>
      <c r="D5" s="8">
        <f>IFERROR((D$43-C$43)/ABS(C$43),"n/a")</f>
        <v/>
      </c>
      <c r="E5" s="8">
        <f>IFERROR((E$43-D$43)/ABS(D$43),"n/a")</f>
        <v/>
      </c>
      <c r="F5" s="8">
        <f>IFERROR((F$43-E$43)/ABS(E$43),"n/a")</f>
        <v/>
      </c>
      <c r="G5" s="8">
        <f>IFERROR((G$43-F$43)/ABS(F$43),"n/a")</f>
        <v/>
      </c>
      <c r="H5" s="8">
        <f>IFERROR((H$43-G$43)/ABS(G$43),"n/a")</f>
        <v/>
      </c>
      <c r="I5" s="8">
        <f>IFERROR((I$43-H$43)/ABS(H$43),"n/a")</f>
        <v/>
      </c>
      <c r="J5" s="8">
        <f>IFERROR((J$43-I$43)/ABS(I$43),"n/a")</f>
        <v/>
      </c>
    </row>
    <row r="6">
      <c r="A6" s="5" t="inlineStr">
        <is>
          <t>Biên lợi nhuận gộp</t>
        </is>
      </c>
      <c r="B6" s="8">
        <f>IFERROR(B$45/B$43,"n/a")</f>
        <v/>
      </c>
      <c r="C6" s="8">
        <f>IFERROR(C$45/C$43,"n/a")</f>
        <v/>
      </c>
      <c r="D6" s="8">
        <f>IFERROR(D$45/D$43,"n/a")</f>
        <v/>
      </c>
      <c r="E6" s="8">
        <f>IFERROR(E$45/E$43,"n/a")</f>
        <v/>
      </c>
      <c r="F6" s="8">
        <f>IFERROR(F$45/F$43,"n/a")</f>
        <v/>
      </c>
      <c r="G6" s="8">
        <f>IFERROR(G$45/G$43,"n/a")</f>
        <v/>
      </c>
      <c r="H6" s="8">
        <f>IFERROR(H$45/H$43,"n/a")</f>
        <v/>
      </c>
      <c r="I6" s="8">
        <f>IFERROR(I$45/I$43,"n/a")</f>
        <v/>
      </c>
    </row>
    <row r="7">
      <c r="A7" s="5" t="inlineStr">
        <is>
          <t>Biên lợi nhuận ròng</t>
        </is>
      </c>
      <c r="B7" s="8">
        <f>IFERROR(B$52/B$43,"n/a")</f>
        <v/>
      </c>
      <c r="C7" s="8">
        <f>IFERROR(C$52/C$43,"n/a")</f>
        <v/>
      </c>
      <c r="D7" s="8">
        <f>IFERROR(D$52/D$43,"n/a")</f>
        <v/>
      </c>
      <c r="E7" s="8">
        <f>IFERROR(E$52/E$43,"n/a")</f>
        <v/>
      </c>
      <c r="F7" s="8">
        <f>IFERROR(F$52/F$43,"n/a")</f>
        <v/>
      </c>
      <c r="G7" s="8">
        <f>IFERROR(G$52/G$43,"n/a")</f>
        <v/>
      </c>
      <c r="H7" s="8">
        <f>IFERROR(H$52/H$43,"n/a")</f>
        <v/>
      </c>
      <c r="I7" s="8">
        <f>IFERROR(I$52/I$43,"n/a")</f>
        <v/>
      </c>
      <c r="J7" s="8">
        <f>IFERROR(J$52/J$43,"n/a")</f>
        <v/>
      </c>
    </row>
    <row r="8">
      <c r="A8" s="5" t="inlineStr">
        <is>
          <t>D/E (Nợ vay / Vốn chủ sở hữu)</t>
        </is>
      </c>
      <c r="B8" s="9">
        <f>IFERROR((B$34+B$36)/B$39,"n/a")</f>
        <v/>
      </c>
      <c r="C8" s="9">
        <f>IFERROR((C$34+C$36)/C$39,"n/a")</f>
        <v/>
      </c>
      <c r="D8" s="9">
        <f>IFERROR((D$34+D$36)/D$39,"n/a")</f>
        <v/>
      </c>
      <c r="E8" s="9">
        <f>IFERROR((E$34+E$36)/E$39,"n/a")</f>
        <v/>
      </c>
      <c r="F8" s="9">
        <f>IFERROR((F$34+F$36)/F$39,"n/a")</f>
        <v/>
      </c>
      <c r="G8" s="9">
        <f>IFERROR((G$34+G$36)/G$39,"n/a")</f>
        <v/>
      </c>
      <c r="H8" s="9">
        <f>IFERROR((H$34+H$36)/H$39,"n/a")</f>
        <v/>
      </c>
      <c r="I8" s="9">
        <f>IFERROR((I$34+I$36)/I$39,"n/a")</f>
        <v/>
      </c>
    </row>
    <row r="9">
      <c r="A9" s="10" t="inlineStr">
        <is>
          <t xml:space="preserve">     - Nợ vay dài hạn/Vốn chủ sở hữu</t>
        </is>
      </c>
      <c r="B9" s="9">
        <f>IFERROR(B$36/B$39,"n/a")</f>
        <v/>
      </c>
      <c r="C9" s="9">
        <f>IFERROR(C$36/C$39,"n/a")</f>
        <v/>
      </c>
      <c r="D9" s="9">
        <f>IFERROR(D$36/D$39,"n/a")</f>
        <v/>
      </c>
      <c r="E9" s="9">
        <f>IFERROR(E$36/E$39,"n/a")</f>
        <v/>
      </c>
      <c r="F9" s="9">
        <f>IFERROR(F$36/F$39,"n/a")</f>
        <v/>
      </c>
      <c r="G9" s="9">
        <f>IFERROR(G$36/G$39,"n/a")</f>
        <v/>
      </c>
      <c r="H9" s="9">
        <f>IFERROR(H$36/H$39,"n/a")</f>
        <v/>
      </c>
      <c r="I9" s="9">
        <f>IFERROR(I$36/I$39,"n/a")</f>
        <v/>
      </c>
    </row>
    <row r="10">
      <c r="A10" s="10" t="inlineStr">
        <is>
          <t xml:space="preserve">     - Nợ vay ngắn hạn/Vốn chủ sở hữu</t>
        </is>
      </c>
      <c r="B10" s="9">
        <f>IFERROR(B$34/B$39,"n/a")</f>
        <v/>
      </c>
      <c r="C10" s="9">
        <f>IFERROR(C$34/C$39,"n/a")</f>
        <v/>
      </c>
      <c r="D10" s="9">
        <f>IFERROR(D$34/D$39,"n/a")</f>
        <v/>
      </c>
      <c r="E10" s="9">
        <f>IFERROR(E$34/E$39,"n/a")</f>
        <v/>
      </c>
      <c r="F10" s="9">
        <f>IFERROR(F$34/F$39,"n/a")</f>
        <v/>
      </c>
      <c r="G10" s="9">
        <f>IFERROR(G$34/G$39,"n/a")</f>
        <v/>
      </c>
      <c r="H10" s="9">
        <f>IFERROR(H$34/H$39,"n/a")</f>
        <v/>
      </c>
      <c r="I10" s="9">
        <f>IFERROR(I$34/I$39,"n/a")</f>
        <v/>
      </c>
    </row>
    <row r="11">
      <c r="A11" s="5" t="inlineStr">
        <is>
          <t>Nợ phải trả/Vốn chủ sở hữu</t>
        </is>
      </c>
      <c r="B11" s="9">
        <f>IFERROR(B$38/B$39,"n/a")</f>
        <v/>
      </c>
      <c r="C11" s="9">
        <f>IFERROR(C$38/C$39,"n/a")</f>
        <v/>
      </c>
      <c r="D11" s="9">
        <f>IFERROR(D$38/D$39,"n/a")</f>
        <v/>
      </c>
      <c r="E11" s="9">
        <f>IFERROR(E$38/E$39,"n/a")</f>
        <v/>
      </c>
      <c r="F11" s="9">
        <f>IFERROR(F$38/F$39,"n/a")</f>
        <v/>
      </c>
      <c r="G11" s="9">
        <f>IFERROR(G$38/G$39,"n/a")</f>
        <v/>
      </c>
      <c r="H11" s="9">
        <f>IFERROR(H$38/H$39,"n/a")</f>
        <v/>
      </c>
      <c r="I11" s="9">
        <f>IFERROR(I$38/I$39,"n/a")</f>
        <v/>
      </c>
    </row>
    <row r="12">
      <c r="A12" s="10" t="inlineStr">
        <is>
          <t xml:space="preserve">     - Nợ dài hạn/Vốn chủ sở hữu</t>
        </is>
      </c>
      <c r="B12" s="9">
        <f>IFERROR(B$37/B$39,"n/a")</f>
        <v/>
      </c>
      <c r="C12" s="9">
        <f>IFERROR(C$37/C$39,"n/a")</f>
        <v/>
      </c>
      <c r="D12" s="9">
        <f>IFERROR(D$37/D$39,"n/a")</f>
        <v/>
      </c>
      <c r="E12" s="9">
        <f>IFERROR(E$37/E$39,"n/a")</f>
        <v/>
      </c>
      <c r="F12" s="9">
        <f>IFERROR(F$37/F$39,"n/a")</f>
        <v/>
      </c>
      <c r="G12" s="9">
        <f>IFERROR(G$37/G$39,"n/a")</f>
        <v/>
      </c>
      <c r="H12" s="9">
        <f>IFERROR(H$37/H$39,"n/a")</f>
        <v/>
      </c>
      <c r="I12" s="9">
        <f>IFERROR(I$37/I$39,"n/a")</f>
        <v/>
      </c>
    </row>
    <row r="13">
      <c r="A13" s="10" t="inlineStr">
        <is>
          <t xml:space="preserve">     - Nợ ngắn hạn/Vốn chủ sở hữu</t>
        </is>
      </c>
      <c r="B13" s="9">
        <f>IFERROR(B$35/B$39,"n/a")</f>
        <v/>
      </c>
      <c r="C13" s="9">
        <f>IFERROR(C$35/C$39,"n/a")</f>
        <v/>
      </c>
      <c r="D13" s="9">
        <f>IFERROR(D$35/D$39,"n/a")</f>
        <v/>
      </c>
      <c r="E13" s="9">
        <f>IFERROR(E$35/E$39,"n/a")</f>
        <v/>
      </c>
      <c r="F13" s="9">
        <f>IFERROR(F$35/F$39,"n/a")</f>
        <v/>
      </c>
      <c r="G13" s="9">
        <f>IFERROR(G$35/G$39,"n/a")</f>
        <v/>
      </c>
      <c r="H13" s="9">
        <f>IFERROR(H$35/H$39,"n/a")</f>
        <v/>
      </c>
      <c r="I13" s="9">
        <f>IFERROR(I$35/I$39,"n/a")</f>
        <v/>
      </c>
    </row>
    <row r="14">
      <c r="A14" s="5" t="inlineStr">
        <is>
          <t>Chi phí bán hàng, quản lý/LN gộp</t>
        </is>
      </c>
      <c r="B14" s="8">
        <f>IFERROR((ABS(B$46)+ABS(B$47))/B$45,"n/a")</f>
        <v/>
      </c>
      <c r="C14" s="8">
        <f>IFERROR((ABS(C$46)+ABS(C$47))/C$45,"n/a")</f>
        <v/>
      </c>
      <c r="D14" s="8">
        <f>IFERROR((ABS(D$46)+ABS(D$47))/D$45,"n/a")</f>
        <v/>
      </c>
      <c r="E14" s="8">
        <f>IFERROR((ABS(E$46)+ABS(E$47))/E$45,"n/a")</f>
        <v/>
      </c>
      <c r="F14" s="8">
        <f>IFERROR((ABS(F$46)+ABS(F$47))/F$45,"n/a")</f>
        <v/>
      </c>
      <c r="G14" s="8">
        <f>IFERROR((ABS(G$46)+ABS(G$47))/G$45,"n/a")</f>
        <v/>
      </c>
      <c r="H14" s="8">
        <f>IFERROR((ABS(H$46)+ABS(H$47))/H$45,"n/a")</f>
        <v/>
      </c>
      <c r="I14" s="8">
        <f>IFERROR((ABS(I$46)+ABS(I$47))/I$45,"n/a")</f>
        <v/>
      </c>
    </row>
    <row r="15">
      <c r="A15" s="5" t="inlineStr">
        <is>
          <t>Chi phí lãi vay/LN từ hoạt động kinh doanh</t>
        </is>
      </c>
      <c r="B15" s="8">
        <f>IFERROR(ABS(B$49)/B$48,"n/a")</f>
        <v/>
      </c>
      <c r="C15" s="8">
        <f>IFERROR(ABS(C$49)/C$48,"n/a")</f>
        <v/>
      </c>
      <c r="D15" s="8">
        <f>IFERROR(ABS(D$49)/D$48,"n/a")</f>
        <v/>
      </c>
      <c r="E15" s="8">
        <f>IFERROR(ABS(E$49)/E$48,"n/a")</f>
        <v/>
      </c>
      <c r="F15" s="8">
        <f>IFERROR(ABS(F$49)/F$48,"n/a")</f>
        <v/>
      </c>
      <c r="G15" s="8">
        <f>IFERROR(ABS(G$49)/G$48,"n/a")</f>
        <v/>
      </c>
      <c r="H15" s="8">
        <f>IFERROR(ABS(H$49)/H$48,"n/a")</f>
        <v/>
      </c>
      <c r="I15" s="8">
        <f>IFERROR(ABS(I$49)/I$48,"n/a")</f>
        <v/>
      </c>
    </row>
    <row r="16">
      <c r="A16" s="5" t="inlineStr">
        <is>
          <t>Số ngày phải trả (DPO)</t>
        </is>
      </c>
      <c r="B16" s="11" t="inlineStr">
        <is>
          <t>n/a</t>
        </is>
      </c>
      <c r="C16" s="12">
        <f>IFERROR(((C$33+B$33)/2)/ABS(C$44)*365,"n/a")</f>
        <v/>
      </c>
      <c r="D16" s="12">
        <f>IFERROR(((D$33+C$33)/2)/ABS(D$44)*365,"n/a")</f>
        <v/>
      </c>
      <c r="E16" s="12">
        <f>IFERROR(((E$33+D$33)/2)/ABS(E$44)*365,"n/a")</f>
        <v/>
      </c>
      <c r="F16" s="12">
        <f>IFERROR(((F$33+E$33)/2)/ABS(F$44)*365,"n/a")</f>
        <v/>
      </c>
      <c r="G16" s="12">
        <f>IFERROR(((G$33+F$33)/2)/ABS(G$44)*365,"n/a")</f>
        <v/>
      </c>
      <c r="H16" s="12">
        <f>IFERROR(((H$33+G$33)/2)/ABS(H$44)*365,"n/a")</f>
        <v/>
      </c>
      <c r="I16" s="12">
        <f>IFERROR(((I$33+H$33)/2)/ABS(I$44)*365,"n/a")</f>
        <v/>
      </c>
    </row>
    <row r="17">
      <c r="A17" s="5" t="inlineStr">
        <is>
          <t>Số ngày phải thu (DSO)</t>
        </is>
      </c>
      <c r="B17" s="11" t="inlineStr">
        <is>
          <t>n/a</t>
        </is>
      </c>
      <c r="C17" s="12">
        <f>IFERROR(((C$27+B$27)/2)/C$43*365,"n/a")</f>
        <v/>
      </c>
      <c r="D17" s="12">
        <f>IFERROR(((D$27+C$27)/2)/D$43*365,"n/a")</f>
        <v/>
      </c>
      <c r="E17" s="12">
        <f>IFERROR(((E$27+D$27)/2)/E$43*365,"n/a")</f>
        <v/>
      </c>
      <c r="F17" s="12">
        <f>IFERROR(((F$27+E$27)/2)/F$43*365,"n/a")</f>
        <v/>
      </c>
      <c r="G17" s="12">
        <f>IFERROR(((G$27+F$27)/2)/G$43*365,"n/a")</f>
        <v/>
      </c>
      <c r="H17" s="12">
        <f>IFERROR(((H$27+G$27)/2)/H$43*365,"n/a")</f>
        <v/>
      </c>
      <c r="I17" s="12">
        <f>IFERROR(((I$27+H$27)/2)/I$43*365,"n/a")</f>
        <v/>
      </c>
    </row>
    <row r="18">
      <c r="A18" s="5" t="inlineStr">
        <is>
          <t>Số ngày tồn kho (DIO)</t>
        </is>
      </c>
      <c r="B18" s="11" t="inlineStr">
        <is>
          <t>n/a</t>
        </is>
      </c>
      <c r="C18" s="12">
        <f>IFERROR(((C$28+B$28)/2)/ABS(C$44)*365,"n/a")</f>
        <v/>
      </c>
      <c r="D18" s="12">
        <f>IFERROR(((D$28+C$28)/2)/ABS(D$44)*365,"n/a")</f>
        <v/>
      </c>
      <c r="E18" s="12">
        <f>IFERROR(((E$28+D$28)/2)/ABS(E$44)*365,"n/a")</f>
        <v/>
      </c>
      <c r="F18" s="12">
        <f>IFERROR(((F$28+E$28)/2)/ABS(F$44)*365,"n/a")</f>
        <v/>
      </c>
      <c r="G18" s="12">
        <f>IFERROR(((G$28+F$28)/2)/ABS(G$44)*365,"n/a")</f>
        <v/>
      </c>
      <c r="H18" s="12">
        <f>IFERROR(((H$28+G$28)/2)/ABS(H$44)*365,"n/a")</f>
        <v/>
      </c>
      <c r="I18" s="12">
        <f>IFERROR(((I$28+H$28)/2)/ABS(I$44)*365,"n/a")</f>
        <v/>
      </c>
    </row>
    <row r="19">
      <c r="A19" s="5" t="inlineStr">
        <is>
          <t>Tiền và tương đương tiền/Tài sản</t>
        </is>
      </c>
      <c r="B19" s="8">
        <f>IFERROR(B$26/B$31,"n/a")</f>
        <v/>
      </c>
      <c r="C19" s="8">
        <f>IFERROR(C$26/C$31,"n/a")</f>
        <v/>
      </c>
      <c r="D19" s="8">
        <f>IFERROR(D$26/D$31,"n/a")</f>
        <v/>
      </c>
      <c r="E19" s="8">
        <f>IFERROR(E$26/E$31,"n/a")</f>
        <v/>
      </c>
      <c r="F19" s="8">
        <f>IFERROR(F$26/F$31,"n/a")</f>
        <v/>
      </c>
      <c r="G19" s="8">
        <f>IFERROR(G$26/G$31,"n/a")</f>
        <v/>
      </c>
      <c r="H19" s="8">
        <f>IFERROR(H$26/H$31,"n/a")</f>
        <v/>
      </c>
      <c r="I19" s="8">
        <f>IFERROR(I$26/I$31,"n/a")</f>
        <v/>
      </c>
    </row>
    <row r="20">
      <c r="A20" s="5" t="inlineStr">
        <is>
          <t>Hàng tồn kho/Tài sản</t>
        </is>
      </c>
      <c r="B20" s="8">
        <f>IFERROR(B$28/B$31,"n/a")</f>
        <v/>
      </c>
      <c r="C20" s="8">
        <f>IFERROR(C$28/C$31,"n/a")</f>
        <v/>
      </c>
      <c r="D20" s="8">
        <f>IFERROR(D$28/D$31,"n/a")</f>
        <v/>
      </c>
      <c r="E20" s="8">
        <f>IFERROR(E$28/E$31,"n/a")</f>
        <v/>
      </c>
      <c r="F20" s="8">
        <f>IFERROR(F$28/F$31,"n/a")</f>
        <v/>
      </c>
      <c r="G20" s="8">
        <f>IFERROR(G$28/G$31,"n/a")</f>
        <v/>
      </c>
      <c r="H20" s="8">
        <f>IFERROR(H$28/H$31,"n/a")</f>
        <v/>
      </c>
      <c r="I20" s="8">
        <f>IFERROR(I$28/I$31,"n/a")</f>
        <v/>
      </c>
    </row>
    <row r="21"/>
    <row r="22">
      <c r="A22" s="13" t="inlineStr">
        <is>
          <t>II. DỮ LIỆU TRÍCH XUẤT (tự động dò theo tên khoản mục)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5" t="inlineStr">
        <is>
          <t>Khoản mục</t>
        </is>
      </c>
      <c r="B23" s="16">
        <f>balance_sheet!B1</f>
        <v/>
      </c>
      <c r="C23" s="16">
        <f>balance_sheet!C1</f>
        <v/>
      </c>
      <c r="D23" s="16">
        <f>balance_sheet!D1</f>
        <v/>
      </c>
      <c r="E23" s="16">
        <f>balance_sheet!E1</f>
        <v/>
      </c>
      <c r="F23" s="16">
        <f>balance_sheet!F1</f>
        <v/>
      </c>
      <c r="G23" s="16">
        <f>balance_sheet!G1</f>
        <v/>
      </c>
      <c r="H23" s="16">
        <f>balance_sheet!H1</f>
        <v/>
      </c>
      <c r="I23" s="16">
        <f>balance_sheet!I1</f>
        <v/>
      </c>
    </row>
    <row r="24">
      <c r="A24" s="17" t="inlineStr">
        <is>
          <t>CĐKT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7" t="inlineStr">
        <is>
          <t>Tài sản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8" t="inlineStr">
        <is>
          <t>Tiền và tương đương tiền</t>
        </is>
      </c>
      <c r="B26" s="19">
        <f>IFERROR(INDEX(balance_sheet!$B:$I,MATCH("Tiền và tương đương tiền",balance_sheet!$A:$A,0),MATCH(B$23,balance_sheet!$B$1:$I$1,0)),"")</f>
        <v/>
      </c>
      <c r="C26" s="19">
        <f>IFERROR(INDEX(balance_sheet!$B:$I,MATCH("Tiền và tương đương tiền",balance_sheet!$A:$A,0),MATCH(C$23,balance_sheet!$B$1:$I$1,0)),"")</f>
        <v/>
      </c>
      <c r="D26" s="19">
        <f>IFERROR(INDEX(balance_sheet!$B:$I,MATCH("Tiền và tương đương tiền",balance_sheet!$A:$A,0),MATCH(D$23,balance_sheet!$B$1:$I$1,0)),"")</f>
        <v/>
      </c>
      <c r="E26" s="19">
        <f>IFERROR(INDEX(balance_sheet!$B:$I,MATCH("Tiền và tương đương tiền",balance_sheet!$A:$A,0),MATCH(E$23,balance_sheet!$B$1:$I$1,0)),"")</f>
        <v/>
      </c>
      <c r="F26" s="19">
        <f>IFERROR(INDEX(balance_sheet!$B:$I,MATCH("Tiền và tương đương tiền",balance_sheet!$A:$A,0),MATCH(F$23,balance_sheet!$B$1:$I$1,0)),"")</f>
        <v/>
      </c>
      <c r="G26" s="19">
        <f>IFERROR(INDEX(balance_sheet!$B:$I,MATCH("Tiền và tương đương tiền",balance_sheet!$A:$A,0),MATCH(G$23,balance_sheet!$B$1:$I$1,0)),"")</f>
        <v/>
      </c>
      <c r="H26" s="19">
        <f>IFERROR(INDEX(balance_sheet!$B:$I,MATCH("Tiền và tương đương tiền",balance_sheet!$A:$A,0),MATCH(H$23,balance_sheet!$B$1:$I$1,0)),"")</f>
        <v/>
      </c>
      <c r="I26" s="19">
        <f>IFERROR(INDEX(balance_sheet!$B:$I,MATCH("Tiền và tương đương tiền",balance_sheet!$A:$A,0),MATCH(I$23,balance_sheet!$B$1:$I$1,0)),"")</f>
        <v/>
      </c>
    </row>
    <row r="27">
      <c r="A27" s="18" t="inlineStr">
        <is>
          <t>Phải thu khách hàng</t>
        </is>
      </c>
      <c r="B27" s="19">
        <f>IFERROR(INDEX(balance_sheet!$B:$I,MATCH("Phải thu khách hàng",balance_sheet!$A:$A,0),MATCH(B$23,balance_sheet!$B$1:$I$1,0)),"")</f>
        <v/>
      </c>
      <c r="C27" s="19">
        <f>IFERROR(INDEX(balance_sheet!$B:$I,MATCH("Phải thu khách hàng",balance_sheet!$A:$A,0),MATCH(C$23,balance_sheet!$B$1:$I$1,0)),"")</f>
        <v/>
      </c>
      <c r="D27" s="19">
        <f>IFERROR(INDEX(balance_sheet!$B:$I,MATCH("Phải thu khách hàng",balance_sheet!$A:$A,0),MATCH(D$23,balance_sheet!$B$1:$I$1,0)),"")</f>
        <v/>
      </c>
      <c r="E27" s="19">
        <f>IFERROR(INDEX(balance_sheet!$B:$I,MATCH("Phải thu khách hàng",balance_sheet!$A:$A,0),MATCH(E$23,balance_sheet!$B$1:$I$1,0)),"")</f>
        <v/>
      </c>
      <c r="F27" s="19">
        <f>IFERROR(INDEX(balance_sheet!$B:$I,MATCH("Phải thu khách hàng",balance_sheet!$A:$A,0),MATCH(F$23,balance_sheet!$B$1:$I$1,0)),"")</f>
        <v/>
      </c>
      <c r="G27" s="19">
        <f>IFERROR(INDEX(balance_sheet!$B:$I,MATCH("Phải thu khách hàng",balance_sheet!$A:$A,0),MATCH(G$23,balance_sheet!$B$1:$I$1,0)),"")</f>
        <v/>
      </c>
      <c r="H27" s="19">
        <f>IFERROR(INDEX(balance_sheet!$B:$I,MATCH("Phải thu khách hàng",balance_sheet!$A:$A,0),MATCH(H$23,balance_sheet!$B$1:$I$1,0)),"")</f>
        <v/>
      </c>
      <c r="I27" s="19">
        <f>IFERROR(INDEX(balance_sheet!$B:$I,MATCH("Phải thu khách hàng",balance_sheet!$A:$A,0),MATCH(I$23,balance_sheet!$B$1:$I$1,0)),"")</f>
        <v/>
      </c>
    </row>
    <row r="28">
      <c r="A28" s="18" t="inlineStr">
        <is>
          <t>Hàng tồn kho, ròng</t>
        </is>
      </c>
      <c r="B28" s="19">
        <f>IFERROR(INDEX(balance_sheet!$B:$I,MATCH("Hàng tồn kho, ròng",balance_sheet!$A:$A,0),MATCH(B$23,balance_sheet!$B$1:$I$1,0)),"")</f>
        <v/>
      </c>
      <c r="C28" s="19">
        <f>IFERROR(INDEX(balance_sheet!$B:$I,MATCH("Hàng tồn kho, ròng",balance_sheet!$A:$A,0),MATCH(C$23,balance_sheet!$B$1:$I$1,0)),"")</f>
        <v/>
      </c>
      <c r="D28" s="19">
        <f>IFERROR(INDEX(balance_sheet!$B:$I,MATCH("Hàng tồn kho, ròng",balance_sheet!$A:$A,0),MATCH(D$23,balance_sheet!$B$1:$I$1,0)),"")</f>
        <v/>
      </c>
      <c r="E28" s="19">
        <f>IFERROR(INDEX(balance_sheet!$B:$I,MATCH("Hàng tồn kho, ròng",balance_sheet!$A:$A,0),MATCH(E$23,balance_sheet!$B$1:$I$1,0)),"")</f>
        <v/>
      </c>
      <c r="F28" s="19">
        <f>IFERROR(INDEX(balance_sheet!$B:$I,MATCH("Hàng tồn kho, ròng",balance_sheet!$A:$A,0),MATCH(F$23,balance_sheet!$B$1:$I$1,0)),"")</f>
        <v/>
      </c>
      <c r="G28" s="19">
        <f>IFERROR(INDEX(balance_sheet!$B:$I,MATCH("Hàng tồn kho, ròng",balance_sheet!$A:$A,0),MATCH(G$23,balance_sheet!$B$1:$I$1,0)),"")</f>
        <v/>
      </c>
      <c r="H28" s="19">
        <f>IFERROR(INDEX(balance_sheet!$B:$I,MATCH("Hàng tồn kho, ròng",balance_sheet!$A:$A,0),MATCH(H$23,balance_sheet!$B$1:$I$1,0)),"")</f>
        <v/>
      </c>
      <c r="I28" s="19">
        <f>IFERROR(INDEX(balance_sheet!$B:$I,MATCH("Hàng tồn kho, ròng",balance_sheet!$A:$A,0),MATCH(I$23,balance_sheet!$B$1:$I$1,0)),"")</f>
        <v/>
      </c>
    </row>
    <row r="29">
      <c r="A29" s="18" t="inlineStr">
        <is>
          <t>TÀI SẢN NGẮN HẠN</t>
        </is>
      </c>
      <c r="B29" s="19">
        <f>IFERROR(INDEX(balance_sheet!$B:$I,MATCH("TÀI SẢN NGẮN HẠN",balance_sheet!$A:$A,0),MATCH(B$23,balance_sheet!$B$1:$I$1,0)),"")</f>
        <v/>
      </c>
      <c r="C29" s="19">
        <f>IFERROR(INDEX(balance_sheet!$B:$I,MATCH("TÀI SẢN NGẮN HẠN",balance_sheet!$A:$A,0),MATCH(C$23,balance_sheet!$B$1:$I$1,0)),"")</f>
        <v/>
      </c>
      <c r="D29" s="19">
        <f>IFERROR(INDEX(balance_sheet!$B:$I,MATCH("TÀI SẢN NGẮN HẠN",balance_sheet!$A:$A,0),MATCH(D$23,balance_sheet!$B$1:$I$1,0)),"")</f>
        <v/>
      </c>
      <c r="E29" s="19">
        <f>IFERROR(INDEX(balance_sheet!$B:$I,MATCH("TÀI SẢN NGẮN HẠN",balance_sheet!$A:$A,0),MATCH(E$23,balance_sheet!$B$1:$I$1,0)),"")</f>
        <v/>
      </c>
      <c r="F29" s="19">
        <f>IFERROR(INDEX(balance_sheet!$B:$I,MATCH("TÀI SẢN NGẮN HẠN",balance_sheet!$A:$A,0),MATCH(F$23,balance_sheet!$B$1:$I$1,0)),"")</f>
        <v/>
      </c>
      <c r="G29" s="19">
        <f>IFERROR(INDEX(balance_sheet!$B:$I,MATCH("TÀI SẢN NGẮN HẠN",balance_sheet!$A:$A,0),MATCH(G$23,balance_sheet!$B$1:$I$1,0)),"")</f>
        <v/>
      </c>
      <c r="H29" s="19">
        <f>IFERROR(INDEX(balance_sheet!$B:$I,MATCH("TÀI SẢN NGẮN HẠN",balance_sheet!$A:$A,0),MATCH(H$23,balance_sheet!$B$1:$I$1,0)),"")</f>
        <v/>
      </c>
      <c r="I29" s="19">
        <f>IFERROR(INDEX(balance_sheet!$B:$I,MATCH("TÀI SẢN NGẮN HẠN",balance_sheet!$A:$A,0),MATCH(I$23,balance_sheet!$B$1:$I$1,0)),"")</f>
        <v/>
      </c>
    </row>
    <row r="30">
      <c r="A30" s="18" t="inlineStr">
        <is>
          <t>GTCL tài sản cố định vô hình</t>
        </is>
      </c>
      <c r="B30" s="19">
        <f>IFERROR(INDEX(balance_sheet!$B:$I,MATCH("GTCL tài sản cố định vô hình",balance_sheet!$A:$A,0),MATCH(B$23,balance_sheet!$B$1:$I$1,0)),"")</f>
        <v/>
      </c>
      <c r="C30" s="19">
        <f>IFERROR(INDEX(balance_sheet!$B:$I,MATCH("GTCL tài sản cố định vô hình",balance_sheet!$A:$A,0),MATCH(C$23,balance_sheet!$B$1:$I$1,0)),"")</f>
        <v/>
      </c>
      <c r="D30" s="19">
        <f>IFERROR(INDEX(balance_sheet!$B:$I,MATCH("GTCL tài sản cố định vô hình",balance_sheet!$A:$A,0),MATCH(D$23,balance_sheet!$B$1:$I$1,0)),"")</f>
        <v/>
      </c>
      <c r="E30" s="19">
        <f>IFERROR(INDEX(balance_sheet!$B:$I,MATCH("GTCL tài sản cố định vô hình",balance_sheet!$A:$A,0),MATCH(E$23,balance_sheet!$B$1:$I$1,0)),"")</f>
        <v/>
      </c>
      <c r="F30" s="19">
        <f>IFERROR(INDEX(balance_sheet!$B:$I,MATCH("GTCL tài sản cố định vô hình",balance_sheet!$A:$A,0),MATCH(F$23,balance_sheet!$B$1:$I$1,0)),"")</f>
        <v/>
      </c>
      <c r="G30" s="19">
        <f>IFERROR(INDEX(balance_sheet!$B:$I,MATCH("GTCL tài sản cố định vô hình",balance_sheet!$A:$A,0),MATCH(G$23,balance_sheet!$B$1:$I$1,0)),"")</f>
        <v/>
      </c>
      <c r="H30" s="19">
        <f>IFERROR(INDEX(balance_sheet!$B:$I,MATCH("GTCL tài sản cố định vô hình",balance_sheet!$A:$A,0),MATCH(H$23,balance_sheet!$B$1:$I$1,0)),"")</f>
        <v/>
      </c>
      <c r="I30" s="19">
        <f>IFERROR(INDEX(balance_sheet!$B:$I,MATCH("GTCL tài sản cố định vô hình",balance_sheet!$A:$A,0),MATCH(I$23,balance_sheet!$B$1:$I$1,0)),"")</f>
        <v/>
      </c>
    </row>
    <row r="31">
      <c r="A31" s="18" t="inlineStr">
        <is>
          <t>TỔNG CỘNG TÀI SẢN</t>
        </is>
      </c>
      <c r="B31" s="19">
        <f>IFERROR(INDEX(balance_sheet!$B:$I,MATCH("TỔNG CỘNG TÀI SẢN",balance_sheet!$A:$A,0),MATCH(B$23,balance_sheet!$B$1:$I$1,0)),"")</f>
        <v/>
      </c>
      <c r="C31" s="19">
        <f>IFERROR(INDEX(balance_sheet!$B:$I,MATCH("TỔNG CỘNG TÀI SẢN",balance_sheet!$A:$A,0),MATCH(C$23,balance_sheet!$B$1:$I$1,0)),"")</f>
        <v/>
      </c>
      <c r="D31" s="19">
        <f>IFERROR(INDEX(balance_sheet!$B:$I,MATCH("TỔNG CỘNG TÀI SẢN",balance_sheet!$A:$A,0),MATCH(D$23,balance_sheet!$B$1:$I$1,0)),"")</f>
        <v/>
      </c>
      <c r="E31" s="19">
        <f>IFERROR(INDEX(balance_sheet!$B:$I,MATCH("TỔNG CỘNG TÀI SẢN",balance_sheet!$A:$A,0),MATCH(E$23,balance_sheet!$B$1:$I$1,0)),"")</f>
        <v/>
      </c>
      <c r="F31" s="19">
        <f>IFERROR(INDEX(balance_sheet!$B:$I,MATCH("TỔNG CỘNG TÀI SẢN",balance_sheet!$A:$A,0),MATCH(F$23,balance_sheet!$B$1:$I$1,0)),"")</f>
        <v/>
      </c>
      <c r="G31" s="19">
        <f>IFERROR(INDEX(balance_sheet!$B:$I,MATCH("TỔNG CỘNG TÀI SẢN",balance_sheet!$A:$A,0),MATCH(G$23,balance_sheet!$B$1:$I$1,0)),"")</f>
        <v/>
      </c>
      <c r="H31" s="19">
        <f>IFERROR(INDEX(balance_sheet!$B:$I,MATCH("TỔNG CỘNG TÀI SẢN",balance_sheet!$A:$A,0),MATCH(H$23,balance_sheet!$B$1:$I$1,0)),"")</f>
        <v/>
      </c>
      <c r="I31" s="19">
        <f>IFERROR(INDEX(balance_sheet!$B:$I,MATCH("TỔNG CỘNG TÀI SẢN",balance_sheet!$A:$A,0),MATCH(I$23,balance_sheet!$B$1:$I$1,0)),"")</f>
        <v/>
      </c>
    </row>
    <row r="32">
      <c r="A32" s="15" t="inlineStr">
        <is>
          <t>Nguồn vốn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</row>
    <row r="33">
      <c r="A33" s="18" t="inlineStr">
        <is>
          <t>Phải trả người bán</t>
        </is>
      </c>
      <c r="B33" s="19">
        <f>IFERROR(INDEX(balance_sheet!$B:$I,MATCH("Phải trả người bán",balance_sheet!$A:$A,0),MATCH(B$23,balance_sheet!$B$1:$I$1,0)),"")</f>
        <v/>
      </c>
      <c r="C33" s="19">
        <f>IFERROR(INDEX(balance_sheet!$B:$I,MATCH("Phải trả người bán",balance_sheet!$A:$A,0),MATCH(C$23,balance_sheet!$B$1:$I$1,0)),"")</f>
        <v/>
      </c>
      <c r="D33" s="19">
        <f>IFERROR(INDEX(balance_sheet!$B:$I,MATCH("Phải trả người bán",balance_sheet!$A:$A,0),MATCH(D$23,balance_sheet!$B$1:$I$1,0)),"")</f>
        <v/>
      </c>
      <c r="E33" s="19">
        <f>IFERROR(INDEX(balance_sheet!$B:$I,MATCH("Phải trả người bán",balance_sheet!$A:$A,0),MATCH(E$23,balance_sheet!$B$1:$I$1,0)),"")</f>
        <v/>
      </c>
      <c r="F33" s="19">
        <f>IFERROR(INDEX(balance_sheet!$B:$I,MATCH("Phải trả người bán",balance_sheet!$A:$A,0),MATCH(F$23,balance_sheet!$B$1:$I$1,0)),"")</f>
        <v/>
      </c>
      <c r="G33" s="19">
        <f>IFERROR(INDEX(balance_sheet!$B:$I,MATCH("Phải trả người bán",balance_sheet!$A:$A,0),MATCH(G$23,balance_sheet!$B$1:$I$1,0)),"")</f>
        <v/>
      </c>
      <c r="H33" s="19">
        <f>IFERROR(INDEX(balance_sheet!$B:$I,MATCH("Phải trả người bán",balance_sheet!$A:$A,0),MATCH(H$23,balance_sheet!$B$1:$I$1,0)),"")</f>
        <v/>
      </c>
      <c r="I33" s="19">
        <f>IFERROR(INDEX(balance_sheet!$B:$I,MATCH("Phải trả người bán",balance_sheet!$A:$A,0),MATCH(I$23,balance_sheet!$B$1:$I$1,0)),"")</f>
        <v/>
      </c>
    </row>
    <row r="34">
      <c r="A34" s="18" t="inlineStr">
        <is>
          <t>Vay ngắn hạn</t>
        </is>
      </c>
      <c r="B34" s="19">
        <f>IFERROR(INDEX(balance_sheet!$B:$I,MATCH("Vay ngắn hạn",balance_sheet!$A:$A,0),MATCH(B$23,balance_sheet!$B$1:$I$1,0)),"")</f>
        <v/>
      </c>
      <c r="C34" s="19">
        <f>IFERROR(INDEX(balance_sheet!$B:$I,MATCH("Vay ngắn hạn",balance_sheet!$A:$A,0),MATCH(C$23,balance_sheet!$B$1:$I$1,0)),"")</f>
        <v/>
      </c>
      <c r="D34" s="19">
        <f>IFERROR(INDEX(balance_sheet!$B:$I,MATCH("Vay ngắn hạn",balance_sheet!$A:$A,0),MATCH(D$23,balance_sheet!$B$1:$I$1,0)),"")</f>
        <v/>
      </c>
      <c r="E34" s="19">
        <f>IFERROR(INDEX(balance_sheet!$B:$I,MATCH("Vay ngắn hạn",balance_sheet!$A:$A,0),MATCH(E$23,balance_sheet!$B$1:$I$1,0)),"")</f>
        <v/>
      </c>
      <c r="F34" s="19">
        <f>IFERROR(INDEX(balance_sheet!$B:$I,MATCH("Vay ngắn hạn",balance_sheet!$A:$A,0),MATCH(F$23,balance_sheet!$B$1:$I$1,0)),"")</f>
        <v/>
      </c>
      <c r="G34" s="19">
        <f>IFERROR(INDEX(balance_sheet!$B:$I,MATCH("Vay ngắn hạn",balance_sheet!$A:$A,0),MATCH(G$23,balance_sheet!$B$1:$I$1,0)),"")</f>
        <v/>
      </c>
      <c r="H34" s="19">
        <f>IFERROR(INDEX(balance_sheet!$B:$I,MATCH("Vay ngắn hạn",balance_sheet!$A:$A,0),MATCH(H$23,balance_sheet!$B$1:$I$1,0)),"")</f>
        <v/>
      </c>
      <c r="I34" s="19">
        <f>IFERROR(INDEX(balance_sheet!$B:$I,MATCH("Vay ngắn hạn",balance_sheet!$A:$A,0),MATCH(I$23,balance_sheet!$B$1:$I$1,0)),"")</f>
        <v/>
      </c>
    </row>
    <row r="35">
      <c r="A35" s="18" t="inlineStr">
        <is>
          <t>Nợ ngắn hạn</t>
        </is>
      </c>
      <c r="B35" s="19">
        <f>IFERROR(INDEX(balance_sheet!$B:$I,MATCH("Nợ ngắn hạn",balance_sheet!$A:$A,0),MATCH(B$23,balance_sheet!$B$1:$I$1,0)),"")</f>
        <v/>
      </c>
      <c r="C35" s="19">
        <f>IFERROR(INDEX(balance_sheet!$B:$I,MATCH("Nợ ngắn hạn",balance_sheet!$A:$A,0),MATCH(C$23,balance_sheet!$B$1:$I$1,0)),"")</f>
        <v/>
      </c>
      <c r="D35" s="19">
        <f>IFERROR(INDEX(balance_sheet!$B:$I,MATCH("Nợ ngắn hạn",balance_sheet!$A:$A,0),MATCH(D$23,balance_sheet!$B$1:$I$1,0)),"")</f>
        <v/>
      </c>
      <c r="E35" s="19">
        <f>IFERROR(INDEX(balance_sheet!$B:$I,MATCH("Nợ ngắn hạn",balance_sheet!$A:$A,0),MATCH(E$23,balance_sheet!$B$1:$I$1,0)),"")</f>
        <v/>
      </c>
      <c r="F35" s="19">
        <f>IFERROR(INDEX(balance_sheet!$B:$I,MATCH("Nợ ngắn hạn",balance_sheet!$A:$A,0),MATCH(F$23,balance_sheet!$B$1:$I$1,0)),"")</f>
        <v/>
      </c>
      <c r="G35" s="19">
        <f>IFERROR(INDEX(balance_sheet!$B:$I,MATCH("Nợ ngắn hạn",balance_sheet!$A:$A,0),MATCH(G$23,balance_sheet!$B$1:$I$1,0)),"")</f>
        <v/>
      </c>
      <c r="H35" s="19">
        <f>IFERROR(INDEX(balance_sheet!$B:$I,MATCH("Nợ ngắn hạn",balance_sheet!$A:$A,0),MATCH(H$23,balance_sheet!$B$1:$I$1,0)),"")</f>
        <v/>
      </c>
      <c r="I35" s="19">
        <f>IFERROR(INDEX(balance_sheet!$B:$I,MATCH("Nợ ngắn hạn",balance_sheet!$A:$A,0),MATCH(I$23,balance_sheet!$B$1:$I$1,0)),"")</f>
        <v/>
      </c>
    </row>
    <row r="36">
      <c r="A36" s="18" t="inlineStr">
        <is>
          <t>Vay dài hạn</t>
        </is>
      </c>
      <c r="B36" s="19">
        <f>IFERROR(INDEX(balance_sheet!$B:$I,MATCH("Vay dài hạn",balance_sheet!$A:$A,0),MATCH(B$23,balance_sheet!$B$1:$I$1,0)),"")</f>
        <v/>
      </c>
      <c r="C36" s="19">
        <f>IFERROR(INDEX(balance_sheet!$B:$I,MATCH("Vay dài hạn",balance_sheet!$A:$A,0),MATCH(C$23,balance_sheet!$B$1:$I$1,0)),"")</f>
        <v/>
      </c>
      <c r="D36" s="19">
        <f>IFERROR(INDEX(balance_sheet!$B:$I,MATCH("Vay dài hạn",balance_sheet!$A:$A,0),MATCH(D$23,balance_sheet!$B$1:$I$1,0)),"")</f>
        <v/>
      </c>
      <c r="E36" s="19">
        <f>IFERROR(INDEX(balance_sheet!$B:$I,MATCH("Vay dài hạn",balance_sheet!$A:$A,0),MATCH(E$23,balance_sheet!$B$1:$I$1,0)),"")</f>
        <v/>
      </c>
      <c r="F36" s="19">
        <f>IFERROR(INDEX(balance_sheet!$B:$I,MATCH("Vay dài hạn",balance_sheet!$A:$A,0),MATCH(F$23,balance_sheet!$B$1:$I$1,0)),"")</f>
        <v/>
      </c>
      <c r="G36" s="19">
        <f>IFERROR(INDEX(balance_sheet!$B:$I,MATCH("Vay dài hạn",balance_sheet!$A:$A,0),MATCH(G$23,balance_sheet!$B$1:$I$1,0)),"")</f>
        <v/>
      </c>
      <c r="H36" s="19">
        <f>IFERROR(INDEX(balance_sheet!$B:$I,MATCH("Vay dài hạn",balance_sheet!$A:$A,0),MATCH(H$23,balance_sheet!$B$1:$I$1,0)),"")</f>
        <v/>
      </c>
      <c r="I36" s="19">
        <f>IFERROR(INDEX(balance_sheet!$B:$I,MATCH("Vay dài hạn",balance_sheet!$A:$A,0),MATCH(I$23,balance_sheet!$B$1:$I$1,0)),"")</f>
        <v/>
      </c>
    </row>
    <row r="37">
      <c r="A37" s="18" t="inlineStr">
        <is>
          <t>Nợ dài hạn</t>
        </is>
      </c>
      <c r="B37" s="19">
        <f>IFERROR(INDEX(balance_sheet!$B:$I,MATCH("Nợ dài hạn",balance_sheet!$A:$A,0),MATCH(B$23,balance_sheet!$B$1:$I$1,0)),"")</f>
        <v/>
      </c>
      <c r="C37" s="19">
        <f>IFERROR(INDEX(balance_sheet!$B:$I,MATCH("Nợ dài hạn",balance_sheet!$A:$A,0),MATCH(C$23,balance_sheet!$B$1:$I$1,0)),"")</f>
        <v/>
      </c>
      <c r="D37" s="19">
        <f>IFERROR(INDEX(balance_sheet!$B:$I,MATCH("Nợ dài hạn",balance_sheet!$A:$A,0),MATCH(D$23,balance_sheet!$B$1:$I$1,0)),"")</f>
        <v/>
      </c>
      <c r="E37" s="19">
        <f>IFERROR(INDEX(balance_sheet!$B:$I,MATCH("Nợ dài hạn",balance_sheet!$A:$A,0),MATCH(E$23,balance_sheet!$B$1:$I$1,0)),"")</f>
        <v/>
      </c>
      <c r="F37" s="19">
        <f>IFERROR(INDEX(balance_sheet!$B:$I,MATCH("Nợ dài hạn",balance_sheet!$A:$A,0),MATCH(F$23,balance_sheet!$B$1:$I$1,0)),"")</f>
        <v/>
      </c>
      <c r="G37" s="19">
        <f>IFERROR(INDEX(balance_sheet!$B:$I,MATCH("Nợ dài hạn",balance_sheet!$A:$A,0),MATCH(G$23,balance_sheet!$B$1:$I$1,0)),"")</f>
        <v/>
      </c>
      <c r="H37" s="19">
        <f>IFERROR(INDEX(balance_sheet!$B:$I,MATCH("Nợ dài hạn",balance_sheet!$A:$A,0),MATCH(H$23,balance_sheet!$B$1:$I$1,0)),"")</f>
        <v/>
      </c>
      <c r="I37" s="19">
        <f>IFERROR(INDEX(balance_sheet!$B:$I,MATCH("Nợ dài hạn",balance_sheet!$A:$A,0),MATCH(I$23,balance_sheet!$B$1:$I$1,0)),"")</f>
        <v/>
      </c>
    </row>
    <row r="38">
      <c r="A38" s="18" t="inlineStr">
        <is>
          <t>NỢ PHẢI TRẢ</t>
        </is>
      </c>
      <c r="B38" s="19">
        <f>IFERROR(INDEX(balance_sheet!$B:$I,MATCH("NỢ PHẢI TRẢ",balance_sheet!$A:$A,0),MATCH(B$23,balance_sheet!$B$1:$I$1,0)),"")</f>
        <v/>
      </c>
      <c r="C38" s="19">
        <f>IFERROR(INDEX(balance_sheet!$B:$I,MATCH("NỢ PHẢI TRẢ",balance_sheet!$A:$A,0),MATCH(C$23,balance_sheet!$B$1:$I$1,0)),"")</f>
        <v/>
      </c>
      <c r="D38" s="19">
        <f>IFERROR(INDEX(balance_sheet!$B:$I,MATCH("NỢ PHẢI TRẢ",balance_sheet!$A:$A,0),MATCH(D$23,balance_sheet!$B$1:$I$1,0)),"")</f>
        <v/>
      </c>
      <c r="E38" s="19">
        <f>IFERROR(INDEX(balance_sheet!$B:$I,MATCH("NỢ PHẢI TRẢ",balance_sheet!$A:$A,0),MATCH(E$23,balance_sheet!$B$1:$I$1,0)),"")</f>
        <v/>
      </c>
      <c r="F38" s="19">
        <f>IFERROR(INDEX(balance_sheet!$B:$I,MATCH("NỢ PHẢI TRẢ",balance_sheet!$A:$A,0),MATCH(F$23,balance_sheet!$B$1:$I$1,0)),"")</f>
        <v/>
      </c>
      <c r="G38" s="19">
        <f>IFERROR(INDEX(balance_sheet!$B:$I,MATCH("NỢ PHẢI TRẢ",balance_sheet!$A:$A,0),MATCH(G$23,balance_sheet!$B$1:$I$1,0)),"")</f>
        <v/>
      </c>
      <c r="H38" s="19">
        <f>IFERROR(INDEX(balance_sheet!$B:$I,MATCH("NỢ PHẢI TRẢ",balance_sheet!$A:$A,0),MATCH(H$23,balance_sheet!$B$1:$I$1,0)),"")</f>
        <v/>
      </c>
      <c r="I38" s="19">
        <f>IFERROR(INDEX(balance_sheet!$B:$I,MATCH("NỢ PHẢI TRẢ",balance_sheet!$A:$A,0),MATCH(I$23,balance_sheet!$B$1:$I$1,0)),"")</f>
        <v/>
      </c>
    </row>
    <row r="39">
      <c r="A39" s="15" t="inlineStr">
        <is>
          <t>Vốn chủ sở hữu</t>
        </is>
      </c>
      <c r="B39" s="20">
        <f>IFERROR(INDEX(balance_sheet!$B:$I,MATCH("Vốn chủ sở hữu",balance_sheet!$A:$A,0),MATCH(B$23,balance_sheet!$B$1:$I$1,0)),"")</f>
        <v/>
      </c>
      <c r="C39" s="20">
        <f>IFERROR(INDEX(balance_sheet!$B:$I,MATCH("Vốn chủ sở hữu",balance_sheet!$A:$A,0),MATCH(C$23,balance_sheet!$B$1:$I$1,0)),"")</f>
        <v/>
      </c>
      <c r="D39" s="20">
        <f>IFERROR(INDEX(balance_sheet!$B:$I,MATCH("Vốn chủ sở hữu",balance_sheet!$A:$A,0),MATCH(D$23,balance_sheet!$B$1:$I$1,0)),"")</f>
        <v/>
      </c>
      <c r="E39" s="20">
        <f>IFERROR(INDEX(balance_sheet!$B:$I,MATCH("Vốn chủ sở hữu",balance_sheet!$A:$A,0),MATCH(E$23,balance_sheet!$B$1:$I$1,0)),"")</f>
        <v/>
      </c>
      <c r="F39" s="20">
        <f>IFERROR(INDEX(balance_sheet!$B:$I,MATCH("Vốn chủ sở hữu",balance_sheet!$A:$A,0),MATCH(F$23,balance_sheet!$B$1:$I$1,0)),"")</f>
        <v/>
      </c>
      <c r="G39" s="20">
        <f>IFERROR(INDEX(balance_sheet!$B:$I,MATCH("Vốn chủ sở hữu",balance_sheet!$A:$A,0),MATCH(G$23,balance_sheet!$B$1:$I$1,0)),"")</f>
        <v/>
      </c>
      <c r="H39" s="20">
        <f>IFERROR(INDEX(balance_sheet!$B:$I,MATCH("Vốn chủ sở hữu",balance_sheet!$A:$A,0),MATCH(H$23,balance_sheet!$B$1:$I$1,0)),"")</f>
        <v/>
      </c>
      <c r="I39" s="20">
        <f>IFERROR(INDEX(balance_sheet!$B:$I,MATCH("Vốn chủ sở hữu",balance_sheet!$A:$A,0),MATCH(I$23,balance_sheet!$B$1:$I$1,0)),"")</f>
        <v/>
      </c>
      <c r="J39" s="20" t="n">
        <v>6096125000000</v>
      </c>
    </row>
    <row r="40">
      <c r="A40" s="21" t="inlineStr">
        <is>
          <t>Tăng VCSH/LN cổ đông cty mẹ</t>
        </is>
      </c>
      <c r="B40" s="22" t="n"/>
      <c r="C40" s="23">
        <f>(C39-B39)/C52</f>
        <v/>
      </c>
      <c r="D40" s="23">
        <f>(D39-C39)/D52</f>
        <v/>
      </c>
      <c r="E40" s="23">
        <f>(E39-D39)/E52</f>
        <v/>
      </c>
      <c r="F40" s="23">
        <f>(F39-E39)/F52</f>
        <v/>
      </c>
      <c r="G40" s="23">
        <f>(G39-F39)/G52</f>
        <v/>
      </c>
      <c r="H40" s="23">
        <f>(H39-G39)/H52</f>
        <v/>
      </c>
      <c r="I40" s="23">
        <f>(I39-H39)/I52</f>
        <v/>
      </c>
      <c r="J40" s="24" t="n"/>
    </row>
    <row r="41">
      <c r="A41" s="15" t="inlineStr">
        <is>
          <t>Lợi ích của cổ đông thiểu số</t>
        </is>
      </c>
      <c r="B41" s="20">
        <f>IFERROR(INDEX(balance_sheet!$B:$I,MATCH("Lợi ích của cổ đông thiểu số",balance_sheet!$A:$A,0),MATCH(B$23,balance_sheet!$B$1:$I$1,0)),"")</f>
        <v/>
      </c>
      <c r="C41" s="20">
        <f>IFERROR(INDEX(balance_sheet!$B:$I,MATCH("Lợi ích của cổ đông thiểu số",balance_sheet!$A:$A,0),MATCH(C$23,balance_sheet!$B$1:$I$1,0)),"")</f>
        <v/>
      </c>
      <c r="D41" s="20">
        <f>IFERROR(INDEX(balance_sheet!$B:$I,MATCH("Lợi ích của cổ đông thiểu số",balance_sheet!$A:$A,0),MATCH(D$23,balance_sheet!$B$1:$I$1,0)),"")</f>
        <v/>
      </c>
      <c r="E41" s="20">
        <f>IFERROR(INDEX(balance_sheet!$B:$I,MATCH("Lợi ích của cổ đông thiểu số",balance_sheet!$A:$A,0),MATCH(E$23,balance_sheet!$B$1:$I$1,0)),"")</f>
        <v/>
      </c>
      <c r="F41" s="20">
        <f>IFERROR(INDEX(balance_sheet!$B:$I,MATCH("Lợi ích của cổ đông thiểu số",balance_sheet!$A:$A,0),MATCH(F$23,balance_sheet!$B$1:$I$1,0)),"")</f>
        <v/>
      </c>
      <c r="G41" s="20">
        <f>IFERROR(INDEX(balance_sheet!$B:$I,MATCH("Lợi ích của cổ đông thiểu số",balance_sheet!$A:$A,0),MATCH(G$23,balance_sheet!$B$1:$I$1,0)),"")</f>
        <v/>
      </c>
      <c r="H41" s="20">
        <f>IFERROR(INDEX(balance_sheet!$B:$I,MATCH("Lợi ích của cổ đông thiểu số",balance_sheet!$A:$A,0),MATCH(H$23,balance_sheet!$B$1:$I$1,0)),"")</f>
        <v/>
      </c>
      <c r="I41" s="20">
        <f>IFERROR(INDEX(balance_sheet!$B:$I,MATCH("Lợi ích của cổ đông thiểu số",balance_sheet!$A:$A,0),MATCH(I$23,balance_sheet!$B$1:$I$1,0)),"")</f>
        <v/>
      </c>
      <c r="J41" s="24" t="n"/>
    </row>
    <row r="42">
      <c r="A42" s="15" t="inlineStr">
        <is>
          <t>Kết quả hoạt động kinh doanh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</row>
    <row r="43">
      <c r="A43" s="15" t="inlineStr">
        <is>
          <t>Doanh thu thuần</t>
        </is>
      </c>
      <c r="B43" s="20">
        <f>IFERROR(INDEX(income_statement!$B:$I,MATCH("Doanh thu thuần",income_statement!$A:$A,0),MATCH(B$23,income_statement!$B$1:$I$1,0)),"")</f>
        <v/>
      </c>
      <c r="C43" s="20">
        <f>IFERROR(INDEX(income_statement!$B:$I,MATCH("Doanh thu thuần",income_statement!$A:$A,0),MATCH(C$23,income_statement!$B$1:$I$1,0)),"")</f>
        <v/>
      </c>
      <c r="D43" s="20">
        <f>IFERROR(INDEX(income_statement!$B:$I,MATCH("Doanh thu thuần",income_statement!$A:$A,0),MATCH(D$23,income_statement!$B$1:$I$1,0)),"")</f>
        <v/>
      </c>
      <c r="E43" s="20">
        <f>IFERROR(INDEX(income_statement!$B:$I,MATCH("Doanh thu thuần",income_statement!$A:$A,0),MATCH(E$23,income_statement!$B$1:$I$1,0)),"")</f>
        <v/>
      </c>
      <c r="F43" s="20">
        <f>IFERROR(INDEX(income_statement!$B:$I,MATCH("Doanh thu thuần",income_statement!$A:$A,0),MATCH(F$23,income_statement!$B$1:$I$1,0)),"")</f>
        <v/>
      </c>
      <c r="G43" s="20">
        <f>IFERROR(INDEX(income_statement!$B:$I,MATCH("Doanh thu thuần",income_statement!$A:$A,0),MATCH(G$23,income_statement!$B$1:$I$1,0)),"")</f>
        <v/>
      </c>
      <c r="H43" s="20">
        <f>IFERROR(INDEX(income_statement!$B:$I,MATCH("Doanh thu thuần",income_statement!$A:$A,0),MATCH(H$23,income_statement!$B$1:$I$1,0)),"")</f>
        <v/>
      </c>
      <c r="I43" s="20">
        <f>IFERROR(INDEX(income_statement!$B:$I,MATCH("Doanh thu thuần",income_statement!$A:$A,0),MATCH(I$23,income_statement!$B$1:$I$1,0)),"")</f>
        <v/>
      </c>
      <c r="J43" s="20" t="n">
        <v>59500000000000</v>
      </c>
    </row>
    <row r="44">
      <c r="A44" s="18" t="inlineStr">
        <is>
          <t>Giá vốn hàng bán</t>
        </is>
      </c>
      <c r="B44" s="19">
        <f>IFERROR(INDEX(income_statement!$B:$I,MATCH("Giá vốn hàng bán",income_statement!$A:$A,0),MATCH(B$23,income_statement!$B$1:$I$1,0)),"")</f>
        <v/>
      </c>
      <c r="C44" s="19">
        <f>IFERROR(INDEX(income_statement!$B:$I,MATCH("Giá vốn hàng bán",income_statement!$A:$A,0),MATCH(C$23,income_statement!$B$1:$I$1,0)),"")</f>
        <v/>
      </c>
      <c r="D44" s="19">
        <f>IFERROR(INDEX(income_statement!$B:$I,MATCH("Giá vốn hàng bán",income_statement!$A:$A,0),MATCH(D$23,income_statement!$B$1:$I$1,0)),"")</f>
        <v/>
      </c>
      <c r="E44" s="19">
        <f>IFERROR(INDEX(income_statement!$B:$I,MATCH("Giá vốn hàng bán",income_statement!$A:$A,0),MATCH(E$23,income_statement!$B$1:$I$1,0)),"")</f>
        <v/>
      </c>
      <c r="F44" s="19">
        <f>IFERROR(INDEX(income_statement!$B:$I,MATCH("Giá vốn hàng bán",income_statement!$A:$A,0),MATCH(F$23,income_statement!$B$1:$I$1,0)),"")</f>
        <v/>
      </c>
      <c r="G44" s="19">
        <f>IFERROR(INDEX(income_statement!$B:$I,MATCH("Giá vốn hàng bán",income_statement!$A:$A,0),MATCH(G$23,income_statement!$B$1:$I$1,0)),"")</f>
        <v/>
      </c>
      <c r="H44" s="19">
        <f>IFERROR(INDEX(income_statement!$B:$I,MATCH("Giá vốn hàng bán",income_statement!$A:$A,0),MATCH(H$23,income_statement!$B$1:$I$1,0)),"")</f>
        <v/>
      </c>
      <c r="I44" s="19">
        <f>IFERROR(INDEX(income_statement!$B:$I,MATCH("Giá vốn hàng bán",income_statement!$A:$A,0),MATCH(I$23,income_statement!$B$1:$I$1,0)),"")</f>
        <v/>
      </c>
    </row>
    <row r="45">
      <c r="A45" s="15" t="inlineStr">
        <is>
          <t>Lợi nhuận gộp</t>
        </is>
      </c>
      <c r="B45" s="20">
        <f>IFERROR(INDEX(income_statement!$B:$I,MATCH("Lợi nhuận gộp",income_statement!$A:$A,0),MATCH(B$23,income_statement!$B$1:$I$1,0)),"")</f>
        <v/>
      </c>
      <c r="C45" s="20">
        <f>IFERROR(INDEX(income_statement!$B:$I,MATCH("Lợi nhuận gộp",income_statement!$A:$A,0),MATCH(C$23,income_statement!$B$1:$I$1,0)),"")</f>
        <v/>
      </c>
      <c r="D45" s="20">
        <f>IFERROR(INDEX(income_statement!$B:$I,MATCH("Lợi nhuận gộp",income_statement!$A:$A,0),MATCH(D$23,income_statement!$B$1:$I$1,0)),"")</f>
        <v/>
      </c>
      <c r="E45" s="20">
        <f>IFERROR(INDEX(income_statement!$B:$I,MATCH("Lợi nhuận gộp",income_statement!$A:$A,0),MATCH(E$23,income_statement!$B$1:$I$1,0)),"")</f>
        <v/>
      </c>
      <c r="F45" s="20">
        <f>IFERROR(INDEX(income_statement!$B:$I,MATCH("Lợi nhuận gộp",income_statement!$A:$A,0),MATCH(F$23,income_statement!$B$1:$I$1,0)),"")</f>
        <v/>
      </c>
      <c r="G45" s="20">
        <f>IFERROR(INDEX(income_statement!$B:$I,MATCH("Lợi nhuận gộp",income_statement!$A:$A,0),MATCH(G$23,income_statement!$B$1:$I$1,0)),"")</f>
        <v/>
      </c>
      <c r="H45" s="20">
        <f>IFERROR(INDEX(income_statement!$B:$I,MATCH("Lợi nhuận gộp",income_statement!$A:$A,0),MATCH(H$23,income_statement!$B$1:$I$1,0)),"")</f>
        <v/>
      </c>
      <c r="I45" s="20">
        <f>IFERROR(INDEX(income_statement!$B:$I,MATCH("Lợi nhuận gộp",income_statement!$A:$A,0),MATCH(I$23,income_statement!$B$1:$I$1,0)),"")</f>
        <v/>
      </c>
    </row>
    <row r="46">
      <c r="A46" s="18" t="inlineStr">
        <is>
          <t>Chi phí bán hàng</t>
        </is>
      </c>
      <c r="B46" s="19">
        <f>IFERROR(INDEX(income_statement!$B:$I,MATCH("Chi phí bán hàng",income_statement!$A:$A,0),MATCH(B$23,income_statement!$B$1:$I$1,0)),"")</f>
        <v/>
      </c>
      <c r="C46" s="19">
        <f>IFERROR(INDEX(income_statement!$B:$I,MATCH("Chi phí bán hàng",income_statement!$A:$A,0),MATCH(C$23,income_statement!$B$1:$I$1,0)),"")</f>
        <v/>
      </c>
      <c r="D46" s="19">
        <f>IFERROR(INDEX(income_statement!$B:$I,MATCH("Chi phí bán hàng",income_statement!$A:$A,0),MATCH(D$23,income_statement!$B$1:$I$1,0)),"")</f>
        <v/>
      </c>
      <c r="E46" s="19">
        <f>IFERROR(INDEX(income_statement!$B:$I,MATCH("Chi phí bán hàng",income_statement!$A:$A,0),MATCH(E$23,income_statement!$B$1:$I$1,0)),"")</f>
        <v/>
      </c>
      <c r="F46" s="19">
        <f>IFERROR(INDEX(income_statement!$B:$I,MATCH("Chi phí bán hàng",income_statement!$A:$A,0),MATCH(F$23,income_statement!$B$1:$I$1,0)),"")</f>
        <v/>
      </c>
      <c r="G46" s="19">
        <f>IFERROR(INDEX(income_statement!$B:$I,MATCH("Chi phí bán hàng",income_statement!$A:$A,0),MATCH(G$23,income_statement!$B$1:$I$1,0)),"")</f>
        <v/>
      </c>
      <c r="H46" s="19">
        <f>IFERROR(INDEX(income_statement!$B:$I,MATCH("Chi phí bán hàng",income_statement!$A:$A,0),MATCH(H$23,income_statement!$B$1:$I$1,0)),"")</f>
        <v/>
      </c>
      <c r="I46" s="19">
        <f>IFERROR(INDEX(income_statement!$B:$I,MATCH("Chi phí bán hàng",income_statement!$A:$A,0),MATCH(I$23,income_statement!$B$1:$I$1,0)),"")</f>
        <v/>
      </c>
    </row>
    <row r="47">
      <c r="A47" s="18" t="inlineStr">
        <is>
          <t>Chi phí quản lý doanh nghiệp</t>
        </is>
      </c>
      <c r="B47" s="19">
        <f>IFERROR(INDEX(income_statement!$B:$I,MATCH("Chi phí quản lý doanh nghiệp",income_statement!$A:$A,0),MATCH(B$23,income_statement!$B$1:$I$1,0)),"")</f>
        <v/>
      </c>
      <c r="C47" s="19">
        <f>IFERROR(INDEX(income_statement!$B:$I,MATCH("Chi phí quản lý doanh nghiệp",income_statement!$A:$A,0),MATCH(C$23,income_statement!$B$1:$I$1,0)),"")</f>
        <v/>
      </c>
      <c r="D47" s="19">
        <f>IFERROR(INDEX(income_statement!$B:$I,MATCH("Chi phí quản lý doanh nghiệp",income_statement!$A:$A,0),MATCH(D$23,income_statement!$B$1:$I$1,0)),"")</f>
        <v/>
      </c>
      <c r="E47" s="19">
        <f>IFERROR(INDEX(income_statement!$B:$I,MATCH("Chi phí quản lý doanh nghiệp",income_statement!$A:$A,0),MATCH(E$23,income_statement!$B$1:$I$1,0)),"")</f>
        <v/>
      </c>
      <c r="F47" s="19">
        <f>IFERROR(INDEX(income_statement!$B:$I,MATCH("Chi phí quản lý doanh nghiệp",income_statement!$A:$A,0),MATCH(F$23,income_statement!$B$1:$I$1,0)),"")</f>
        <v/>
      </c>
      <c r="G47" s="19">
        <f>IFERROR(INDEX(income_statement!$B:$I,MATCH("Chi phí quản lý doanh nghiệp",income_statement!$A:$A,0),MATCH(G$23,income_statement!$B$1:$I$1,0)),"")</f>
        <v/>
      </c>
      <c r="H47" s="19">
        <f>IFERROR(INDEX(income_statement!$B:$I,MATCH("Chi phí quản lý doanh nghiệp",income_statement!$A:$A,0),MATCH(H$23,income_statement!$B$1:$I$1,0)),"")</f>
        <v/>
      </c>
      <c r="I47" s="19">
        <f>IFERROR(INDEX(income_statement!$B:$I,MATCH("Chi phí quản lý doanh nghiệp",income_statement!$A:$A,0),MATCH(I$23,income_statement!$B$1:$I$1,0)),"")</f>
        <v/>
      </c>
    </row>
    <row r="48">
      <c r="A48" s="18" t="inlineStr">
        <is>
          <t>Lãi/(lỗ) từ hoạt động kinh doanh</t>
        </is>
      </c>
      <c r="B48" s="19">
        <f>IFERROR(INDEX(income_statement!$B:$I,MATCH("Lãi/(lỗ) từ hoạt động kinh doanh",income_statement!$A:$A,0),MATCH(B$23,income_statement!$B$1:$I$1,0)),"")</f>
        <v/>
      </c>
      <c r="C48" s="19">
        <f>IFERROR(INDEX(income_statement!$B:$I,MATCH("Lãi/(lỗ) từ hoạt động kinh doanh",income_statement!$A:$A,0),MATCH(C$23,income_statement!$B$1:$I$1,0)),"")</f>
        <v/>
      </c>
      <c r="D48" s="19">
        <f>IFERROR(INDEX(income_statement!$B:$I,MATCH("Lãi/(lỗ) từ hoạt động kinh doanh",income_statement!$A:$A,0),MATCH(D$23,income_statement!$B$1:$I$1,0)),"")</f>
        <v/>
      </c>
      <c r="E48" s="19">
        <f>IFERROR(INDEX(income_statement!$B:$I,MATCH("Lãi/(lỗ) từ hoạt động kinh doanh",income_statement!$A:$A,0),MATCH(E$23,income_statement!$B$1:$I$1,0)),"")</f>
        <v/>
      </c>
      <c r="F48" s="19">
        <f>IFERROR(INDEX(income_statement!$B:$I,MATCH("Lãi/(lỗ) từ hoạt động kinh doanh",income_statement!$A:$A,0),MATCH(F$23,income_statement!$B$1:$I$1,0)),"")</f>
        <v/>
      </c>
      <c r="G48" s="19">
        <f>IFERROR(INDEX(income_statement!$B:$I,MATCH("Lãi/(lỗ) từ hoạt động kinh doanh",income_statement!$A:$A,0),MATCH(G$23,income_statement!$B$1:$I$1,0)),"")</f>
        <v/>
      </c>
      <c r="H48" s="19">
        <f>IFERROR(INDEX(income_statement!$B:$I,MATCH("Lãi/(lỗ) từ hoạt động kinh doanh",income_statement!$A:$A,0),MATCH(H$23,income_statement!$B$1:$I$1,0)),"")</f>
        <v/>
      </c>
      <c r="I48" s="19">
        <f>IFERROR(INDEX(income_statement!$B:$I,MATCH("Lãi/(lỗ) từ hoạt động kinh doanh",income_statement!$A:$A,0),MATCH(I$23,income_statement!$B$1:$I$1,0)),"")</f>
        <v/>
      </c>
    </row>
    <row r="49">
      <c r="A49" s="18" t="inlineStr">
        <is>
          <t>Chi phí lãi vay</t>
        </is>
      </c>
      <c r="B49" s="19">
        <f>IFERROR(INDEX(income_statement!$B:$I,MATCH("Chi phí lãi vay",income_statement!$A:$A,0),MATCH(B$23,income_statement!$B$1:$I$1,0)),"")</f>
        <v/>
      </c>
      <c r="C49" s="19">
        <f>IFERROR(INDEX(income_statement!$B:$I,MATCH("Chi phí lãi vay",income_statement!$A:$A,0),MATCH(C$23,income_statement!$B$1:$I$1,0)),"")</f>
        <v/>
      </c>
      <c r="D49" s="19">
        <f>IFERROR(INDEX(income_statement!$B:$I,MATCH("Chi phí lãi vay",income_statement!$A:$A,0),MATCH(D$23,income_statement!$B$1:$I$1,0)),"")</f>
        <v/>
      </c>
      <c r="E49" s="19">
        <f>IFERROR(INDEX(income_statement!$B:$I,MATCH("Chi phí lãi vay",income_statement!$A:$A,0),MATCH(E$23,income_statement!$B$1:$I$1,0)),"")</f>
        <v/>
      </c>
      <c r="F49" s="19">
        <f>IFERROR(INDEX(income_statement!$B:$I,MATCH("Chi phí lãi vay",income_statement!$A:$A,0),MATCH(F$23,income_statement!$B$1:$I$1,0)),"")</f>
        <v/>
      </c>
      <c r="G49" s="19">
        <f>IFERROR(INDEX(income_statement!$B:$I,MATCH("Chi phí lãi vay",income_statement!$A:$A,0),MATCH(G$23,income_statement!$B$1:$I$1,0)),"")</f>
        <v/>
      </c>
      <c r="H49" s="19">
        <f>IFERROR(INDEX(income_statement!$B:$I,MATCH("Chi phí lãi vay",income_statement!$A:$A,0),MATCH(H$23,income_statement!$B$1:$I$1,0)),"")</f>
        <v/>
      </c>
      <c r="I49" s="19">
        <f>IFERROR(INDEX(income_statement!$B:$I,MATCH("Chi phí lãi vay",income_statement!$A:$A,0),MATCH(I$23,income_statement!$B$1:$I$1,0)),"")</f>
        <v/>
      </c>
    </row>
    <row r="50">
      <c r="A50" s="25" t="inlineStr">
        <is>
          <t>Lãi/(lỗ) trước thuế</t>
        </is>
      </c>
      <c r="B50" s="20">
        <f>IFERROR(INDEX(income_statement!$B:$I,MATCH("Lãi/(lỗ) trước thuế",income_statement!$A:$A,0),MATCH(B$23,income_statement!$B$1:$I$1,0)),"")</f>
        <v/>
      </c>
      <c r="C50" s="20">
        <f>IFERROR(INDEX(income_statement!$B:$I,MATCH("Lãi/(lỗ) trước thuế",income_statement!$A:$A,0),MATCH(C$23,income_statement!$B$1:$I$1,0)),"")</f>
        <v/>
      </c>
      <c r="D50" s="20">
        <f>IFERROR(INDEX(income_statement!$B:$I,MATCH("Lãi/(lỗ) trước thuế",income_statement!$A:$A,0),MATCH(D$23,income_statement!$B$1:$I$1,0)),"")</f>
        <v/>
      </c>
      <c r="E50" s="20">
        <f>IFERROR(INDEX(income_statement!$B:$I,MATCH("Lãi/(lỗ) trước thuế",income_statement!$A:$A,0),MATCH(E$23,income_statement!$B$1:$I$1,0)),"")</f>
        <v/>
      </c>
      <c r="F50" s="20">
        <f>IFERROR(INDEX(income_statement!$B:$I,MATCH("Lãi/(lỗ) trước thuế",income_statement!$A:$A,0),MATCH(F$23,income_statement!$B$1:$I$1,0)),"")</f>
        <v/>
      </c>
      <c r="G50" s="20">
        <f>IFERROR(INDEX(income_statement!$B:$I,MATCH("Lãi/(lỗ) trước thuế",income_statement!$A:$A,0),MATCH(G$23,income_statement!$B$1:$I$1,0)),"")</f>
        <v/>
      </c>
      <c r="H50" s="20">
        <f>IFERROR(INDEX(income_statement!$B:$I,MATCH("Lãi/(lỗ) trước thuế",income_statement!$A:$A,0),MATCH(H$23,income_statement!$B$1:$I$1,0)),"")</f>
        <v/>
      </c>
      <c r="I50" s="20">
        <f>IFERROR(INDEX(income_statement!$B:$I,MATCH("Lãi/(lỗ) trước thuế",income_statement!$A:$A,0),MATCH(I$23,income_statement!$B$1:$I$1,0)),"")</f>
        <v/>
      </c>
      <c r="J50" s="20" t="n">
        <v>1550000000000</v>
      </c>
    </row>
    <row r="51">
      <c r="A51" s="18" t="inlineStr">
        <is>
          <t>Lãi/(lỗ) thuần sau thuế</t>
        </is>
      </c>
      <c r="B51" s="19">
        <f>IFERROR(INDEX(income_statement!$B:$I,MATCH("Lãi/(lỗ) thuần sau thuế",income_statement!$A:$A,0),MATCH(B$23,income_statement!$B$1:$I$1,0)),"")</f>
        <v/>
      </c>
      <c r="C51" s="19">
        <f>IFERROR(INDEX(income_statement!$B:$I,MATCH("Lãi/(lỗ) thuần sau thuế",income_statement!$A:$A,0),MATCH(C$23,income_statement!$B$1:$I$1,0)),"")</f>
        <v/>
      </c>
      <c r="D51" s="19">
        <f>IFERROR(INDEX(income_statement!$B:$I,MATCH("Lãi/(lỗ) thuần sau thuế",income_statement!$A:$A,0),MATCH(D$23,income_statement!$B$1:$I$1,0)),"")</f>
        <v/>
      </c>
      <c r="E51" s="19">
        <f>IFERROR(INDEX(income_statement!$B:$I,MATCH("Lãi/(lỗ) thuần sau thuế",income_statement!$A:$A,0),MATCH(E$23,income_statement!$B$1:$I$1,0)),"")</f>
        <v/>
      </c>
      <c r="F51" s="19">
        <f>IFERROR(INDEX(income_statement!$B:$I,MATCH("Lãi/(lỗ) thuần sau thuế",income_statement!$A:$A,0),MATCH(F$23,income_statement!$B$1:$I$1,0)),"")</f>
        <v/>
      </c>
      <c r="G51" s="19">
        <f>IFERROR(INDEX(income_statement!$B:$I,MATCH("Lãi/(lỗ) thuần sau thuế",income_statement!$A:$A,0),MATCH(G$23,income_statement!$B$1:$I$1,0)),"")</f>
        <v/>
      </c>
      <c r="H51" s="19">
        <f>IFERROR(INDEX(income_statement!$B:$I,MATCH("Lãi/(lỗ) thuần sau thuế",income_statement!$A:$A,0),MATCH(H$23,income_statement!$B$1:$I$1,0)),"")</f>
        <v/>
      </c>
      <c r="I51" s="19">
        <f>IFERROR(INDEX(income_statement!$B:$I,MATCH("Lãi/(lỗ) thuần sau thuế",income_statement!$A:$A,0),MATCH(I$23,income_statement!$B$1:$I$1,0)),"")</f>
        <v/>
      </c>
    </row>
    <row r="52">
      <c r="A52" s="15" t="inlineStr">
        <is>
          <t>Lợi nhuận của Cổ đông của Công ty mẹ</t>
        </is>
      </c>
      <c r="B52" s="20">
        <f>IFERROR(INDEX(income_statement!$B:$I,MATCH("Lợi nhuận của Cổ đông của Công ty mẹ",income_statement!$A:$A,0),MATCH(B$23,income_statement!$B$1:$I$1,0)),"")</f>
        <v/>
      </c>
      <c r="C52" s="20">
        <f>IFERROR(INDEX(income_statement!$B:$I,MATCH("Lợi nhuận của Cổ đông của Công ty mẹ",income_statement!$A:$A,0),MATCH(C$23,income_statement!$B$1:$I$1,0)),"")</f>
        <v/>
      </c>
      <c r="D52" s="20">
        <f>IFERROR(INDEX(income_statement!$B:$I,MATCH("Lợi nhuận của Cổ đông của Công ty mẹ",income_statement!$A:$A,0),MATCH(D$23,income_statement!$B$1:$I$1,0)),"")</f>
        <v/>
      </c>
      <c r="E52" s="20">
        <f>IFERROR(INDEX(income_statement!$B:$I,MATCH("Lợi nhuận của Cổ đông của Công ty mẹ",income_statement!$A:$A,0),MATCH(E$23,income_statement!$B$1:$I$1,0)),"")</f>
        <v/>
      </c>
      <c r="F52" s="20">
        <f>IFERROR(INDEX(income_statement!$B:$I,MATCH("Lợi nhuận của Cổ đông của Công ty mẹ",income_statement!$A:$A,0),MATCH(F$23,income_statement!$B$1:$I$1,0)),"")</f>
        <v/>
      </c>
      <c r="G52" s="20">
        <f>IFERROR(INDEX(income_statement!$B:$I,MATCH("Lợi nhuận của Cổ đông của Công ty mẹ",income_statement!$A:$A,0),MATCH(G$23,income_statement!$B$1:$I$1,0)),"")</f>
        <v/>
      </c>
      <c r="H52" s="20">
        <f>IFERROR(INDEX(income_statement!$B:$I,MATCH("Lợi nhuận của Cổ đông của Công ty mẹ",income_statement!$A:$A,0),MATCH(H$23,income_statement!$B$1:$I$1,0)),"")</f>
        <v/>
      </c>
      <c r="I52" s="20">
        <f>IFERROR(INDEX(income_statement!$B:$I,MATCH("Lợi nhuận của Cổ đông của Công ty mẹ",income_statement!$A:$A,0),MATCH(I$23,income_statement!$B$1:$I$1,0)),"")</f>
        <v/>
      </c>
      <c r="J52" s="20">
        <f>J50*0.65</f>
        <v/>
      </c>
    </row>
    <row r="53">
      <c r="A53" s="18" t="inlineStr">
        <is>
          <t>LN cổ đông cty mẹ/ LN trước thuế</t>
        </is>
      </c>
      <c r="B53" s="26">
        <f>B52/B50</f>
        <v/>
      </c>
      <c r="C53" s="26">
        <f>C52/C50</f>
        <v/>
      </c>
      <c r="D53" s="26">
        <f>D52/D50</f>
        <v/>
      </c>
      <c r="E53" s="26">
        <f>E52/E50</f>
        <v/>
      </c>
      <c r="F53" s="26">
        <f>F52/F50</f>
        <v/>
      </c>
      <c r="G53" s="26">
        <f>G52/G50</f>
        <v/>
      </c>
      <c r="H53" s="26">
        <f>H52/H50</f>
        <v/>
      </c>
      <c r="I53" s="26">
        <f>I52/I50</f>
        <v/>
      </c>
      <c r="J53" s="27" t="n"/>
    </row>
    <row r="54">
      <c r="A54" s="15" t="inlineStr">
        <is>
          <t>Lưu chuyển tiền tệ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</row>
    <row r="55">
      <c r="A55" s="18" t="inlineStr">
        <is>
          <t>Khấu hao TSCĐ và BĐSĐT</t>
        </is>
      </c>
      <c r="B55" s="19">
        <f>IFERROR(INDEX(cash_flow!$B:$I,MATCH("Khấu hao TSCĐ và BĐSĐT",cash_flow!$A:$A,0),MATCH(B$23,cash_flow!$B$1:$I$1,0)),"")</f>
        <v/>
      </c>
      <c r="C55" s="19">
        <f>IFERROR(INDEX(cash_flow!$B:$I,MATCH("Khấu hao TSCĐ và BĐSĐT",cash_flow!$A:$A,0),MATCH(C$23,cash_flow!$B$1:$I$1,0)),"")</f>
        <v/>
      </c>
      <c r="D55" s="19">
        <f>IFERROR(INDEX(cash_flow!$B:$I,MATCH("Khấu hao TSCĐ và BĐSĐT",cash_flow!$A:$A,0),MATCH(D$23,cash_flow!$B$1:$I$1,0)),"")</f>
        <v/>
      </c>
      <c r="E55" s="19">
        <f>IFERROR(INDEX(cash_flow!$B:$I,MATCH("Khấu hao TSCĐ và BĐSĐT",cash_flow!$A:$A,0),MATCH(E$23,cash_flow!$B$1:$I$1,0)),"")</f>
        <v/>
      </c>
      <c r="F55" s="19">
        <f>IFERROR(INDEX(cash_flow!$B:$I,MATCH("Khấu hao TSCĐ và BĐSĐT",cash_flow!$A:$A,0),MATCH(F$23,cash_flow!$B$1:$I$1,0)),"")</f>
        <v/>
      </c>
      <c r="G55" s="19">
        <f>IFERROR(INDEX(cash_flow!$B:$I,MATCH("Khấu hao TSCĐ và BĐSĐT",cash_flow!$A:$A,0),MATCH(G$23,cash_flow!$B$1:$I$1,0)),"")</f>
        <v/>
      </c>
      <c r="H55" s="19">
        <f>IFERROR(INDEX(cash_flow!$B:$I,MATCH("Khấu hao TSCĐ và BĐSĐT",cash_flow!$A:$A,0),MATCH(H$23,cash_flow!$B$1:$I$1,0)),"")</f>
        <v/>
      </c>
      <c r="I55" s="19">
        <f>IFERROR(INDEX(cash_flow!$B:$I,MATCH("Khấu hao TSCĐ và BĐSĐT",cash_flow!$A:$A,0),MATCH(I$23,cash_flow!$B$1:$I$1,0)),"")</f>
        <v/>
      </c>
    </row>
    <row r="56">
      <c r="A56" s="18" t="inlineStr">
        <is>
          <t>Tiền chi để mua sắm, xây dựng TSCĐ và các tài sản dài hạn khác</t>
        </is>
      </c>
      <c r="B56" s="19">
        <f>IFERROR(INDEX(cash_flow!$B:$I,MATCH("Tiền chi để mua sắm, xây dựng TSCĐ và các tài sản dài hạn khác",cash_flow!$A:$A,0),MATCH(B$23,cash_flow!$B$1:$I$1,0)),"")</f>
        <v/>
      </c>
      <c r="C56" s="19">
        <f>IFERROR(INDEX(cash_flow!$B:$I,MATCH("Tiền chi để mua sắm, xây dựng TSCĐ và các tài sản dài hạn khác",cash_flow!$A:$A,0),MATCH(C$23,cash_flow!$B$1:$I$1,0)),"")</f>
        <v/>
      </c>
      <c r="D56" s="19">
        <f>IFERROR(INDEX(cash_flow!$B:$I,MATCH("Tiền chi để mua sắm, xây dựng TSCĐ và các tài sản dài hạn khác",cash_flow!$A:$A,0),MATCH(D$23,cash_flow!$B$1:$I$1,0)),"")</f>
        <v/>
      </c>
      <c r="E56" s="19">
        <f>IFERROR(INDEX(cash_flow!$B:$I,MATCH("Tiền chi để mua sắm, xây dựng TSCĐ và các tài sản dài hạn khác",cash_flow!$A:$A,0),MATCH(E$23,cash_flow!$B$1:$I$1,0)),"")</f>
        <v/>
      </c>
      <c r="F56" s="19">
        <f>IFERROR(INDEX(cash_flow!$B:$I,MATCH("Tiền chi để mua sắm, xây dựng TSCĐ và các tài sản dài hạn khác",cash_flow!$A:$A,0),MATCH(F$23,cash_flow!$B$1:$I$1,0)),"")</f>
        <v/>
      </c>
      <c r="G56" s="19">
        <f>IFERROR(INDEX(cash_flow!$B:$I,MATCH("Tiền chi để mua sắm, xây dựng TSCĐ và các tài sản dài hạn khác",cash_flow!$A:$A,0),MATCH(G$23,cash_flow!$B$1:$I$1,0)),"")</f>
        <v/>
      </c>
      <c r="H56" s="19">
        <f>IFERROR(INDEX(cash_flow!$B:$I,MATCH("Tiền chi để mua sắm, xây dựng TSCĐ và các tài sản dài hạn khác",cash_flow!$A:$A,0),MATCH(H$23,cash_flow!$B$1:$I$1,0)),"")</f>
        <v/>
      </c>
      <c r="I56" s="19">
        <f>IFERROR(INDEX(cash_flow!$B:$I,MATCH("Tiền chi để mua sắm, xây dựng TSCĐ và các tài sản dài hạn khác",cash_flow!$A:$A,0),MATCH(I$23,cash_flow!$B$1:$I$1,0)),"")</f>
        <v/>
      </c>
    </row>
    <row r="57">
      <c r="A57" s="18" t="inlineStr">
        <is>
          <t>Lưu chuyển tiền tệ ròng từ các hoạt động sản xuất kinh doanh</t>
        </is>
      </c>
      <c r="B57" s="19">
        <f>IFERROR(INDEX(cash_flow!$B:$I,MATCH("Lưu chuyển tiền tệ ròng từ các hoạt động sản xuất kinh doanh",cash_flow!$A:$A,0),MATCH(B$23,cash_flow!$B$1:$I$1,0)),"")</f>
        <v/>
      </c>
      <c r="C57" s="19">
        <f>IFERROR(INDEX(cash_flow!$B:$I,MATCH("Lưu chuyển tiền tệ ròng từ các hoạt động sản xuất kinh doanh",cash_flow!$A:$A,0),MATCH(C$23,cash_flow!$B$1:$I$1,0)),"")</f>
        <v/>
      </c>
      <c r="D57" s="19">
        <f>IFERROR(INDEX(cash_flow!$B:$I,MATCH("Lưu chuyển tiền tệ ròng từ các hoạt động sản xuất kinh doanh",cash_flow!$A:$A,0),MATCH(D$23,cash_flow!$B$1:$I$1,0)),"")</f>
        <v/>
      </c>
      <c r="E57" s="19">
        <f>IFERROR(INDEX(cash_flow!$B:$I,MATCH("Lưu chuyển tiền tệ ròng từ các hoạt động sản xuất kinh doanh",cash_flow!$A:$A,0),MATCH(E$23,cash_flow!$B$1:$I$1,0)),"")</f>
        <v/>
      </c>
      <c r="F57" s="19">
        <f>IFERROR(INDEX(cash_flow!$B:$I,MATCH("Lưu chuyển tiền tệ ròng từ các hoạt động sản xuất kinh doanh",cash_flow!$A:$A,0),MATCH(F$23,cash_flow!$B$1:$I$1,0)),"")</f>
        <v/>
      </c>
      <c r="G57" s="19">
        <f>IFERROR(INDEX(cash_flow!$B:$I,MATCH("Lưu chuyển tiền tệ ròng từ các hoạt động sản xuất kinh doanh",cash_flow!$A:$A,0),MATCH(G$23,cash_flow!$B$1:$I$1,0)),"")</f>
        <v/>
      </c>
      <c r="H57" s="19">
        <f>IFERROR(INDEX(cash_flow!$B:$I,MATCH("Lưu chuyển tiền tệ ròng từ các hoạt động sản xuất kinh doanh",cash_flow!$A:$A,0),MATCH(H$23,cash_flow!$B$1:$I$1,0)),"")</f>
        <v/>
      </c>
      <c r="I57" s="19">
        <f>IFERROR(INDEX(cash_flow!$B:$I,MATCH("Lưu chuyển tiền tệ ròng từ các hoạt động sản xuất kinh doanh",cash_flow!$A:$A,0),MATCH(I$23,cash_flow!$B$1:$I$1,0)),"")</f>
        <v/>
      </c>
    </row>
    <row r="58"/>
    <row r="59"/>
    <row r="60"/>
    <row r="61">
      <c r="A61" s="28" t="inlineStr">
        <is>
          <t>CHỈ SỐ THÊM</t>
        </is>
      </c>
      <c r="B61" s="16" t="n">
        <v>2018</v>
      </c>
      <c r="C61" s="16" t="n">
        <v>2019</v>
      </c>
      <c r="D61" s="16" t="n">
        <v>2020</v>
      </c>
      <c r="E61" s="16" t="n">
        <v>2021</v>
      </c>
      <c r="F61" s="16" t="n">
        <v>2022</v>
      </c>
      <c r="G61" s="16" t="n">
        <v>2023</v>
      </c>
      <c r="H61" s="16" t="n">
        <v>2024</v>
      </c>
      <c r="I61" s="16" t="n">
        <v>2025</v>
      </c>
    </row>
    <row r="62">
      <c r="A62" s="28" t="inlineStr">
        <is>
          <t>Khả năng sinh lời &amp; hiệu quả sử dụng vốn</t>
        </is>
      </c>
      <c r="B62" s="29" t="n"/>
      <c r="C62" s="29" t="n"/>
      <c r="D62" s="29" t="n"/>
      <c r="E62" s="29" t="n"/>
      <c r="F62" s="29" t="n"/>
      <c r="G62" s="29" t="n"/>
      <c r="H62" s="29" t="n"/>
      <c r="I62" s="29" t="n"/>
    </row>
    <row r="63">
      <c r="A63" s="29" t="inlineStr">
        <is>
          <t>ROCE</t>
        </is>
      </c>
      <c r="B63" s="30">
        <f>IFERROR(B$65/(B$31-B$35),"n/a")</f>
        <v/>
      </c>
      <c r="C63" s="30">
        <f>IFERROR(C$65/(C$31-C$35),"n/a")</f>
        <v/>
      </c>
      <c r="D63" s="30">
        <f>IFERROR(D$65/(D$31-D$35),"n/a")</f>
        <v/>
      </c>
      <c r="E63" s="30">
        <f>IFERROR(E$65/(E$31-E$35),"n/a")</f>
        <v/>
      </c>
      <c r="F63" s="30">
        <f>IFERROR(F$65/(F$31-F$35),"n/a")</f>
        <v/>
      </c>
      <c r="G63" s="30">
        <f>IFERROR(G$65/(G$31-G$35),"n/a")</f>
        <v/>
      </c>
      <c r="H63" s="30">
        <f>IFERROR(H$65/(H$31-H$35),"n/a")</f>
        <v/>
      </c>
      <c r="I63" s="30">
        <f>IFERROR(I$65/(I$31-I$35),"n/a")</f>
        <v/>
      </c>
    </row>
    <row r="64">
      <c r="A64" s="29" t="inlineStr">
        <is>
          <t>CROIC</t>
        </is>
      </c>
      <c r="B64" s="30">
        <f>IFERROR(B$69/(B$31-B$35),"n/a")</f>
        <v/>
      </c>
      <c r="C64" s="30">
        <f>IFERROR(C$69/(C$31-C$35),"n/a")</f>
        <v/>
      </c>
      <c r="D64" s="30">
        <f>IFERROR(D$69/(D$31-D$35),"n/a")</f>
        <v/>
      </c>
      <c r="E64" s="30">
        <f>IFERROR(E$69/(E$31-E$35),"n/a")</f>
        <v/>
      </c>
      <c r="F64" s="30">
        <f>IFERROR(F$69/(F$31-F$35),"n/a")</f>
        <v/>
      </c>
      <c r="G64" s="30">
        <f>IFERROR(G$69/(G$31-G$35),"n/a")</f>
        <v/>
      </c>
      <c r="H64" s="30">
        <f>IFERROR(H$69/(H$31-H$35),"n/a")</f>
        <v/>
      </c>
      <c r="I64" s="30">
        <f>IFERROR(I$69/(I$31-I$35),"n/a")</f>
        <v/>
      </c>
    </row>
    <row r="65">
      <c r="A65" s="29" t="inlineStr">
        <is>
          <t>EBIT</t>
        </is>
      </c>
      <c r="B65" s="31">
        <f>IFERROR(B$48+ABS(B$49),"n/a")</f>
        <v/>
      </c>
      <c r="C65" s="31">
        <f>IFERROR(C$48+ABS(C$49),"n/a")</f>
        <v/>
      </c>
      <c r="D65" s="31">
        <f>IFERROR(D$48+ABS(D$49),"n/a")</f>
        <v/>
      </c>
      <c r="E65" s="31">
        <f>IFERROR(E$48+ABS(E$49),"n/a")</f>
        <v/>
      </c>
      <c r="F65" s="31">
        <f>IFERROR(F$48+ABS(F$49),"n/a")</f>
        <v/>
      </c>
      <c r="G65" s="31">
        <f>IFERROR(G$48+ABS(G$49),"n/a")</f>
        <v/>
      </c>
      <c r="H65" s="31">
        <f>IFERROR(H$48+ABS(H$49),"n/a")</f>
        <v/>
      </c>
      <c r="I65" s="31">
        <f>IFERROR(I$48+ABS(I$49),"n/a")</f>
        <v/>
      </c>
    </row>
    <row r="66">
      <c r="A66" s="29" t="inlineStr">
        <is>
          <t>EBIT/DT</t>
        </is>
      </c>
      <c r="B66" s="30">
        <f>IFERROR(B$65/B$43,"n/a")</f>
        <v/>
      </c>
      <c r="C66" s="30">
        <f>IFERROR(C$65/C$43,"n/a")</f>
        <v/>
      </c>
      <c r="D66" s="30">
        <f>IFERROR(D$65/D$43,"n/a")</f>
        <v/>
      </c>
      <c r="E66" s="30">
        <f>IFERROR(E$65/E$43,"n/a")</f>
        <v/>
      </c>
      <c r="F66" s="30">
        <f>IFERROR(F$65/F$43,"n/a")</f>
        <v/>
      </c>
      <c r="G66" s="30">
        <f>IFERROR(G$65/G$43,"n/a")</f>
        <v/>
      </c>
      <c r="H66" s="30">
        <f>IFERROR(H$65/H$43,"n/a")</f>
        <v/>
      </c>
      <c r="I66" s="30">
        <f>IFERROR(I$65/I$43,"n/a")</f>
        <v/>
      </c>
    </row>
    <row r="67">
      <c r="A67" s="29" t="inlineStr">
        <is>
          <t>DT/TS</t>
        </is>
      </c>
      <c r="B67" s="30">
        <f>IFERROR(B$43/B$31,"n/a")</f>
        <v/>
      </c>
      <c r="C67" s="30">
        <f>IFERROR(C$43/C$31,"n/a")</f>
        <v/>
      </c>
      <c r="D67" s="30">
        <f>IFERROR(D$43/D$31,"n/a")</f>
        <v/>
      </c>
      <c r="E67" s="30">
        <f>IFERROR(E$43/E$31,"n/a")</f>
        <v/>
      </c>
      <c r="F67" s="30">
        <f>IFERROR(F$43/F$31,"n/a")</f>
        <v/>
      </c>
      <c r="G67" s="30">
        <f>IFERROR(G$43/G$31,"n/a")</f>
        <v/>
      </c>
      <c r="H67" s="30">
        <f>IFERROR(H$43/H$31,"n/a")</f>
        <v/>
      </c>
      <c r="I67" s="30">
        <f>IFERROR(I$43/I$31,"n/a")</f>
        <v/>
      </c>
    </row>
    <row r="68">
      <c r="A68" s="28" t="inlineStr">
        <is>
          <t>Dòng tiền &amp; tái đầu tư</t>
        </is>
      </c>
      <c r="B68" s="29" t="n"/>
      <c r="C68" s="29" t="n"/>
      <c r="D68" s="29" t="n"/>
      <c r="E68" s="29" t="n"/>
      <c r="F68" s="29" t="n"/>
      <c r="G68" s="29" t="n"/>
      <c r="H68" s="29" t="n"/>
      <c r="I68" s="29" t="n"/>
    </row>
    <row r="69">
      <c r="A69" s="29" t="inlineStr">
        <is>
          <t>FCF</t>
        </is>
      </c>
      <c r="B69" s="31">
        <f>IFERROR(B$57-ABS(B$56),"n/a")</f>
        <v/>
      </c>
      <c r="C69" s="31">
        <f>IFERROR(C$57-ABS(C$56),"n/a")</f>
        <v/>
      </c>
      <c r="D69" s="31">
        <f>IFERROR(D$57-ABS(D$56),"n/a")</f>
        <v/>
      </c>
      <c r="E69" s="31">
        <f>IFERROR(E$57-ABS(E$56),"n/a")</f>
        <v/>
      </c>
      <c r="F69" s="31">
        <f>IFERROR(F$57-ABS(F$56),"n/a")</f>
        <v/>
      </c>
      <c r="G69" s="31">
        <f>IFERROR(G$57-ABS(G$56),"n/a")</f>
        <v/>
      </c>
      <c r="H69" s="31">
        <f>IFERROR(H$57-ABS(H$56),"n/a")</f>
        <v/>
      </c>
      <c r="I69" s="31">
        <f>IFERROR(I$57-ABS(I$56),"n/a")</f>
        <v/>
      </c>
    </row>
    <row r="70">
      <c r="A70" s="29" t="inlineStr">
        <is>
          <t>FCF/DT</t>
        </is>
      </c>
      <c r="B70" s="30">
        <f>IFERROR(B$69/B$43,"n/a")</f>
        <v/>
      </c>
      <c r="C70" s="30">
        <f>IFERROR(C$69/C$43,"n/a")</f>
        <v/>
      </c>
      <c r="D70" s="30">
        <f>IFERROR(D$69/D$43,"n/a")</f>
        <v/>
      </c>
      <c r="E70" s="30">
        <f>IFERROR(E$69/E$43,"n/a")</f>
        <v/>
      </c>
      <c r="F70" s="30">
        <f>IFERROR(F$69/F$43,"n/a")</f>
        <v/>
      </c>
      <c r="G70" s="30">
        <f>IFERROR(G$69/G$43,"n/a")</f>
        <v/>
      </c>
      <c r="H70" s="30">
        <f>IFERROR(H$69/H$43,"n/a")</f>
        <v/>
      </c>
      <c r="I70" s="30">
        <f>IFERROR(I$69/I$43,"n/a")</f>
        <v/>
      </c>
    </row>
    <row r="71">
      <c r="A71" s="29" t="inlineStr">
        <is>
          <t>FCF/Nợ ngắn hạn</t>
        </is>
      </c>
      <c r="B71" s="30">
        <f>IFERROR(B$69/B$35,"n/a")</f>
        <v/>
      </c>
      <c r="C71" s="30">
        <f>IFERROR(C$69/C$35,"n/a")</f>
        <v/>
      </c>
      <c r="D71" s="30">
        <f>IFERROR(D$69/D$35,"n/a")</f>
        <v/>
      </c>
      <c r="E71" s="30">
        <f>IFERROR(E$69/E$35,"n/a")</f>
        <v/>
      </c>
      <c r="F71" s="30">
        <f>IFERROR(F$69/F$35,"n/a")</f>
        <v/>
      </c>
      <c r="G71" s="30">
        <f>IFERROR(G$69/G$35,"n/a")</f>
        <v/>
      </c>
      <c r="H71" s="30">
        <f>IFERROR(H$69/H$35,"n/a")</f>
        <v/>
      </c>
      <c r="I71" s="30">
        <f>IFERROR(I$69/I$35,"n/a")</f>
        <v/>
      </c>
    </row>
    <row r="72">
      <c r="A72" s="29" t="inlineStr">
        <is>
          <t>Capex</t>
        </is>
      </c>
      <c r="B72" s="31">
        <f>IFERROR(ABS(B$56),"n/a")</f>
        <v/>
      </c>
      <c r="C72" s="31">
        <f>IFERROR(ABS(C$56),"n/a")</f>
        <v/>
      </c>
      <c r="D72" s="31">
        <f>IFERROR(ABS(D$56),"n/a")</f>
        <v/>
      </c>
      <c r="E72" s="31">
        <f>IFERROR(ABS(E$56),"n/a")</f>
        <v/>
      </c>
      <c r="F72" s="31">
        <f>IFERROR(ABS(F$56),"n/a")</f>
        <v/>
      </c>
      <c r="G72" s="31">
        <f>IFERROR(ABS(G$56),"n/a")</f>
        <v/>
      </c>
      <c r="H72" s="31">
        <f>IFERROR(ABS(H$56),"n/a")</f>
        <v/>
      </c>
      <c r="I72" s="31">
        <f>IFERROR(ABS(I$56),"n/a")</f>
        <v/>
      </c>
    </row>
    <row r="73">
      <c r="A73" s="29" t="inlineStr">
        <is>
          <t>Capex/TS</t>
        </is>
      </c>
      <c r="B73" s="30">
        <f>IFERROR(B$72/B$31,"n/a")</f>
        <v/>
      </c>
      <c r="C73" s="30">
        <f>IFERROR(C$72/C$31,"n/a")</f>
        <v/>
      </c>
      <c r="D73" s="30">
        <f>IFERROR(D$72/D$31,"n/a")</f>
        <v/>
      </c>
      <c r="E73" s="30">
        <f>IFERROR(E$72/E$31,"n/a")</f>
        <v/>
      </c>
      <c r="F73" s="30">
        <f>IFERROR(F$72/F$31,"n/a")</f>
        <v/>
      </c>
      <c r="G73" s="30">
        <f>IFERROR(G$72/G$31,"n/a")</f>
        <v/>
      </c>
      <c r="H73" s="30">
        <f>IFERROR(H$72/H$31,"n/a")</f>
        <v/>
      </c>
      <c r="I73" s="30">
        <f>IFERROR(I$72/I$31,"n/a")</f>
        <v/>
      </c>
    </row>
    <row r="74">
      <c r="A74" s="29" t="inlineStr">
        <is>
          <t>Capex/LNST</t>
        </is>
      </c>
      <c r="B74" s="30">
        <f>IFERROR(B$72/ABS(B$51),"n/a")</f>
        <v/>
      </c>
      <c r="C74" s="30">
        <f>IFERROR(C$72/ABS(C$51),"n/a")</f>
        <v/>
      </c>
      <c r="D74" s="30">
        <f>IFERROR(D$72/ABS(D$51),"n/a")</f>
        <v/>
      </c>
      <c r="E74" s="30">
        <f>IFERROR(E$72/ABS(E$51),"n/a")</f>
        <v/>
      </c>
      <c r="F74" s="30">
        <f>IFERROR(F$72/ABS(F$51),"n/a")</f>
        <v/>
      </c>
      <c r="G74" s="30">
        <f>IFERROR(G$72/ABS(G$51),"n/a")</f>
        <v/>
      </c>
      <c r="H74" s="30">
        <f>IFERROR(H$72/ABS(H$51),"n/a")</f>
        <v/>
      </c>
      <c r="I74" s="30">
        <f>IFERROR(I$72/ABS(I$51),"n/a")</f>
        <v/>
      </c>
    </row>
    <row r="75">
      <c r="A75" s="29" t="inlineStr">
        <is>
          <t>Chi phí khấu hao/Lợi nhuận gộp</t>
        </is>
      </c>
      <c r="B75" s="30">
        <f>IFERROR(ABS(B$55)/B$45,"n/a")</f>
        <v/>
      </c>
      <c r="C75" s="30">
        <f>IFERROR(ABS(C$55)/C$45,"n/a")</f>
        <v/>
      </c>
      <c r="D75" s="30">
        <f>IFERROR(ABS(D$55)/D$45,"n/a")</f>
        <v/>
      </c>
      <c r="E75" s="30">
        <f>IFERROR(ABS(E$55)/E$45,"n/a")</f>
        <v/>
      </c>
      <c r="F75" s="30">
        <f>IFERROR(ABS(F$55)/F$45,"n/a")</f>
        <v/>
      </c>
      <c r="G75" s="30">
        <f>IFERROR(ABS(G$55)/G$45,"n/a")</f>
        <v/>
      </c>
      <c r="H75" s="30">
        <f>IFERROR(ABS(H$55)/H$45,"n/a")</f>
        <v/>
      </c>
      <c r="I75" s="30">
        <f>IFERROR(ABS(I$55)/I$45,"n/a")</f>
        <v/>
      </c>
    </row>
    <row r="76">
      <c r="A76" s="29" t="inlineStr">
        <is>
          <t>EBIT/Chi phí lãi vay</t>
        </is>
      </c>
      <c r="B76" s="32">
        <f>IFERROR(B$65/ABS(B$49),"n/a")</f>
        <v/>
      </c>
      <c r="C76" s="32">
        <f>IFERROR(C$65/ABS(C$49),"n/a")</f>
        <v/>
      </c>
      <c r="D76" s="32">
        <f>IFERROR(D$65/ABS(D$49),"n/a")</f>
        <v/>
      </c>
      <c r="E76" s="32">
        <f>IFERROR(E$65/ABS(E$49),"n/a")</f>
        <v/>
      </c>
      <c r="F76" s="32">
        <f>IFERROR(F$65/ABS(F$49),"n/a")</f>
        <v/>
      </c>
      <c r="G76" s="32">
        <f>IFERROR(G$65/ABS(G$49),"n/a")</f>
        <v/>
      </c>
      <c r="H76" s="32">
        <f>IFERROR(H$65/ABS(H$49),"n/a")</f>
        <v/>
      </c>
      <c r="I76" s="32">
        <f>IFERROR(I$65/ABS(I$49),"n/a")</f>
        <v/>
      </c>
    </row>
    <row r="77">
      <c r="A77" s="28" t="inlineStr">
        <is>
          <t>Vốn lưu động &amp; hiệu quả hoạt động</t>
        </is>
      </c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>
      <c r="A78" s="29" t="inlineStr">
        <is>
          <t>Vòng quay tiền mặt</t>
        </is>
      </c>
      <c r="B78" s="33">
        <f>IFERROR(B$17+B$18-B$16,"n/a")</f>
        <v/>
      </c>
      <c r="C78" s="33">
        <f>IFERROR(C$17+C$18-C$16,"n/a")</f>
        <v/>
      </c>
      <c r="D78" s="33">
        <f>IFERROR(D$17+D$18-D$16,"n/a")</f>
        <v/>
      </c>
      <c r="E78" s="33">
        <f>IFERROR(E$17+E$18-E$16,"n/a")</f>
        <v/>
      </c>
      <c r="F78" s="33">
        <f>IFERROR(F$17+F$18-F$16,"n/a")</f>
        <v/>
      </c>
      <c r="G78" s="33">
        <f>IFERROR(G$17+G$18-G$16,"n/a")</f>
        <v/>
      </c>
      <c r="H78" s="33">
        <f>IFERROR(H$17+H$18-H$16,"n/a")</f>
        <v/>
      </c>
      <c r="I78" s="33">
        <f>IFERROR(I$17+I$18-I$16,"n/a")</f>
        <v/>
      </c>
    </row>
    <row r="79">
      <c r="A79" s="29" t="inlineStr">
        <is>
          <t>HTK/DT</t>
        </is>
      </c>
      <c r="B79" s="30">
        <f>IFERROR(B$28/B$43,"n/a")</f>
        <v/>
      </c>
      <c r="C79" s="30">
        <f>IFERROR(C$28/C$43,"n/a")</f>
        <v/>
      </c>
      <c r="D79" s="30">
        <f>IFERROR(D$28/D$43,"n/a")</f>
        <v/>
      </c>
      <c r="E79" s="30">
        <f>IFERROR(E$28/E$43,"n/a")</f>
        <v/>
      </c>
      <c r="F79" s="30">
        <f>IFERROR(F$28/F$43,"n/a")</f>
        <v/>
      </c>
      <c r="G79" s="30">
        <f>IFERROR(G$28/G$43,"n/a")</f>
        <v/>
      </c>
      <c r="H79" s="30">
        <f>IFERROR(H$28/H$43,"n/a")</f>
        <v/>
      </c>
      <c r="I79" s="30">
        <f>IFERROR(I$28/I$43,"n/a")</f>
        <v/>
      </c>
    </row>
    <row r="80">
      <c r="A80" s="29" t="inlineStr">
        <is>
          <t>HTK/TS</t>
        </is>
      </c>
      <c r="B80" s="30">
        <f>IFERROR(B$28/B$31,"n/a")</f>
        <v/>
      </c>
      <c r="C80" s="30">
        <f>IFERROR(C$28/C$31,"n/a")</f>
        <v/>
      </c>
      <c r="D80" s="30">
        <f>IFERROR(D$28/D$31,"n/a")</f>
        <v/>
      </c>
      <c r="E80" s="30">
        <f>IFERROR(E$28/E$31,"n/a")</f>
        <v/>
      </c>
      <c r="F80" s="30">
        <f>IFERROR(F$28/F$31,"n/a")</f>
        <v/>
      </c>
      <c r="G80" s="30">
        <f>IFERROR(G$28/G$31,"n/a")</f>
        <v/>
      </c>
      <c r="H80" s="30">
        <f>IFERROR(H$28/H$31,"n/a")</f>
        <v/>
      </c>
      <c r="I80" s="30">
        <f>IFERROR(I$28/I$31,"n/a")</f>
        <v/>
      </c>
    </row>
    <row r="81">
      <c r="A81" s="29" t="inlineStr">
        <is>
          <t>DT/TS</t>
        </is>
      </c>
      <c r="B81" s="30">
        <f>IFERROR(B$43/B$31,"n/a")</f>
        <v/>
      </c>
      <c r="C81" s="30">
        <f>IFERROR(C$43/C$31,"n/a")</f>
        <v/>
      </c>
      <c r="D81" s="30">
        <f>IFERROR(D$43/D$31,"n/a")</f>
        <v/>
      </c>
      <c r="E81" s="30">
        <f>IFERROR(E$43/E$31,"n/a")</f>
        <v/>
      </c>
      <c r="F81" s="30">
        <f>IFERROR(F$43/F$31,"n/a")</f>
        <v/>
      </c>
      <c r="G81" s="30">
        <f>IFERROR(G$43/G$31,"n/a")</f>
        <v/>
      </c>
      <c r="H81" s="30">
        <f>IFERROR(H$43/H$31,"n/a")</f>
        <v/>
      </c>
      <c r="I81" s="30">
        <f>IFERROR(I$43/I$31,"n/a")</f>
        <v/>
      </c>
    </row>
    <row r="82">
      <c r="A82" s="28" t="inlineStr">
        <is>
          <t>Khả năng thanh toán</t>
        </is>
      </c>
      <c r="B82" s="29" t="n"/>
      <c r="C82" s="29" t="n"/>
      <c r="D82" s="29" t="n"/>
      <c r="E82" s="29" t="n"/>
      <c r="F82" s="29" t="n"/>
      <c r="G82" s="29" t="n"/>
      <c r="H82" s="29" t="n"/>
      <c r="I82" s="29" t="n"/>
    </row>
    <row r="83">
      <c r="A83" s="29" t="inlineStr">
        <is>
          <t>(TS ngắn hạn − HTK)/Nợ ngắn hạn</t>
        </is>
      </c>
      <c r="B83" s="32">
        <f>IFERROR((B$29-B$28)/B$35,"n/a")</f>
        <v/>
      </c>
      <c r="C83" s="32">
        <f>IFERROR((C$29-C$28)/C$35,"n/a")</f>
        <v/>
      </c>
      <c r="D83" s="32">
        <f>IFERROR((D$29-D$28)/D$35,"n/a")</f>
        <v/>
      </c>
      <c r="E83" s="32">
        <f>IFERROR((E$29-E$28)/E$35,"n/a")</f>
        <v/>
      </c>
      <c r="F83" s="32">
        <f>IFERROR((F$29-F$28)/F$35,"n/a")</f>
        <v/>
      </c>
      <c r="G83" s="32">
        <f>IFERROR((G$29-G$28)/G$35,"n/a")</f>
        <v/>
      </c>
      <c r="H83" s="32">
        <f>IFERROR((H$29-H$28)/H$35,"n/a")</f>
        <v/>
      </c>
      <c r="I83" s="32">
        <f>IFERROR((I$29-I$28)/I$35,"n/a")</f>
        <v/>
      </c>
    </row>
    <row r="84">
      <c r="A84" s="29" t="inlineStr">
        <is>
          <t>TS ngắn hạn/Nợ ngắn hạn</t>
        </is>
      </c>
      <c r="B84" s="32">
        <f>IFERROR(B$29/B$35,"n/a")</f>
        <v/>
      </c>
      <c r="C84" s="32">
        <f>IFERROR(C$29/C$35,"n/a")</f>
        <v/>
      </c>
      <c r="D84" s="32">
        <f>IFERROR(D$29/D$35,"n/a")</f>
        <v/>
      </c>
      <c r="E84" s="32">
        <f>IFERROR(E$29/E$35,"n/a")</f>
        <v/>
      </c>
      <c r="F84" s="32">
        <f>IFERROR(F$29/F$35,"n/a")</f>
        <v/>
      </c>
      <c r="G84" s="32">
        <f>IFERROR(G$29/G$35,"n/a")</f>
        <v/>
      </c>
      <c r="H84" s="32">
        <f>IFERROR(H$29/H$35,"n/a")</f>
        <v/>
      </c>
      <c r="I84" s="32">
        <f>IFERROR(I$29/I$35,"n/a")</f>
        <v/>
      </c>
    </row>
    <row r="85">
      <c r="A85" s="28" t="inlineStr">
        <is>
          <t>Tài sản &amp; cơ cấu tài sản</t>
        </is>
      </c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29" t="inlineStr">
        <is>
          <t>TSCĐ vô hình</t>
        </is>
      </c>
      <c r="B86" s="31">
        <f>IFERROR(B$30,"n/a")</f>
        <v/>
      </c>
      <c r="C86" s="31">
        <f>IFERROR(C$30,"n/a")</f>
        <v/>
      </c>
      <c r="D86" s="31">
        <f>IFERROR(D$30,"n/a")</f>
        <v/>
      </c>
      <c r="E86" s="31">
        <f>IFERROR(E$30,"n/a")</f>
        <v/>
      </c>
      <c r="F86" s="31">
        <f>IFERROR(F$30,"n/a")</f>
        <v/>
      </c>
      <c r="G86" s="31">
        <f>IFERROR(G$30,"n/a")</f>
        <v/>
      </c>
      <c r="H86" s="31">
        <f>IFERROR(H$30,"n/a")</f>
        <v/>
      </c>
      <c r="I86" s="31">
        <f>IFERROR(I$30,"n/a")</f>
        <v/>
      </c>
    </row>
    <row r="87">
      <c r="A87" s="29" t="inlineStr">
        <is>
          <t>Tài sản vô hình/Giá trị sổ sách</t>
        </is>
      </c>
      <c r="B87" s="30">
        <f>IFERROR(B$30/B$39,"n/a")</f>
        <v/>
      </c>
      <c r="C87" s="30">
        <f>IFERROR(C$30/C$39,"n/a")</f>
        <v/>
      </c>
      <c r="D87" s="30">
        <f>IFERROR(D$30/D$39,"n/a")</f>
        <v/>
      </c>
      <c r="E87" s="30">
        <f>IFERROR(E$30/E$39,"n/a")</f>
        <v/>
      </c>
      <c r="F87" s="30">
        <f>IFERROR(F$30/F$39,"n/a")</f>
        <v/>
      </c>
      <c r="G87" s="30">
        <f>IFERROR(G$30/G$39,"n/a")</f>
        <v/>
      </c>
      <c r="H87" s="30">
        <f>IFERROR(H$30/H$39,"n/a")</f>
        <v/>
      </c>
      <c r="I87" s="30">
        <f>IFERROR(I$30/I$39,"n/a")</f>
        <v/>
      </c>
    </row>
  </sheetData>
  <conditionalFormatting sqref="B2:I2">
    <cfRule type="cellIs" priority="14" operator="greaterThanOrEqual" dxfId="0">
      <formula>0.15</formula>
    </cfRule>
    <cfRule type="cellIs" priority="15" operator="lessThan" dxfId="1">
      <formula>0.15</formula>
    </cfRule>
  </conditionalFormatting>
  <conditionalFormatting sqref="B6:I6">
    <cfRule type="cellIs" priority="8" operator="greaterThanOrEqual" dxfId="0">
      <formula>0.3</formula>
    </cfRule>
    <cfRule type="cellIs" priority="9" operator="lessThanOrEqual" dxfId="1">
      <formula>0.1</formula>
    </cfRule>
    <cfRule type="cellIs" priority="10" operator="between" dxfId="2">
      <formula>0.1</formula>
      <formula>0.3</formula>
    </cfRule>
  </conditionalFormatting>
  <conditionalFormatting sqref="B8:I8 B11:I11">
    <cfRule type="cellIs" priority="6" operator="lessThanOrEqual" dxfId="0">
      <formula>0.5</formula>
    </cfRule>
  </conditionalFormatting>
  <conditionalFormatting sqref="B14:I14">
    <cfRule type="cellIs" priority="4" operator="lessThanOrEqual" dxfId="0">
      <formula>0.3</formula>
    </cfRule>
    <cfRule type="cellIs" priority="5" operator="greaterThanOrEqual" dxfId="1">
      <formula>0.7</formula>
    </cfRule>
  </conditionalFormatting>
  <conditionalFormatting sqref="B19:I19">
    <cfRule type="cellIs" priority="2" operator="notBetween" dxfId="1">
      <formula>0.02</formula>
      <formula>0.3</formula>
    </cfRule>
    <cfRule type="cellIs" priority="3" operator="between" dxfId="0">
      <formula>0.02</formula>
      <formula>0.3</formula>
    </cfRule>
  </conditionalFormatting>
  <conditionalFormatting sqref="B4:J5">
    <cfRule type="cellIs" priority="11" operator="lessThan" dxfId="1">
      <formula>0.1</formula>
    </cfRule>
    <cfRule type="cellIs" priority="12" operator="greaterThanOrEqual" dxfId="0">
      <formula>0.15</formula>
    </cfRule>
    <cfRule type="cellIs" priority="13" operator="between" dxfId="2">
      <formula>0.1</formula>
      <formula>0.15</formula>
    </cfRule>
  </conditionalFormatting>
  <conditionalFormatting sqref="B7:J7">
    <cfRule type="cellIs" priority="7" operator="greaterThanOrEqual" dxfId="0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1.75" customWidth="1" min="1" max="1"/>
    <col width="17.5" customWidth="1" min="2" max="2"/>
    <col width="11.75" customWidth="1" min="7" max="7"/>
  </cols>
  <sheetData>
    <row r="1" ht="13.5" customHeight="1">
      <c r="A1" s="29" t="n"/>
      <c r="B1" s="29" t="inlineStr">
        <is>
          <t>Q4/2025</t>
        </is>
      </c>
      <c r="C1" s="29" t="inlineStr">
        <is>
          <t>Q1/2026</t>
        </is>
      </c>
      <c r="D1" s="29" t="inlineStr">
        <is>
          <t>Q2/2026</t>
        </is>
      </c>
      <c r="E1" s="29" t="inlineStr">
        <is>
          <t>Q3/2026</t>
        </is>
      </c>
      <c r="F1" s="29" t="inlineStr">
        <is>
          <t>Q4/2026</t>
        </is>
      </c>
    </row>
    <row r="2" ht="13.5" customHeight="1">
      <c r="A2" s="29" t="inlineStr">
        <is>
          <t>Số CP</t>
        </is>
      </c>
      <c r="B2" s="34" t="n">
        <v>178815054</v>
      </c>
      <c r="C2" s="34" t="n">
        <v>178815054</v>
      </c>
      <c r="D2" s="34" t="n">
        <v>178815054</v>
      </c>
      <c r="E2" s="34" t="n">
        <v>178815054</v>
      </c>
      <c r="F2" s="34" t="n">
        <v>178815054</v>
      </c>
    </row>
    <row r="3" ht="13.5" customHeight="1">
      <c r="A3" s="29" t="inlineStr">
        <is>
          <t>Thị giá</t>
        </is>
      </c>
      <c r="B3" s="34" t="n">
        <v>147500</v>
      </c>
      <c r="C3" s="34" t="n">
        <v>147500</v>
      </c>
      <c r="D3" s="34" t="n">
        <v>147500</v>
      </c>
      <c r="E3" s="34" t="n">
        <v>147500</v>
      </c>
      <c r="F3" s="34" t="n">
        <v>147500</v>
      </c>
    </row>
    <row r="4" ht="13.5" customHeight="1">
      <c r="A4" s="29" t="inlineStr">
        <is>
          <t>Vốn hoá</t>
        </is>
      </c>
      <c r="B4" s="34">
        <f>B2*B3</f>
        <v/>
      </c>
      <c r="C4" s="34">
        <f>C2*C3</f>
        <v/>
      </c>
      <c r="D4" s="34">
        <f>D2*D3</f>
        <v/>
      </c>
      <c r="E4" s="34">
        <f>E2*E3</f>
        <v/>
      </c>
      <c r="F4" s="34">
        <f>F2*F3</f>
        <v/>
      </c>
    </row>
    <row r="5" ht="13.5" customHeight="1"/>
    <row r="6" ht="13.5" customHeight="1">
      <c r="A6" s="29" t="inlineStr">
        <is>
          <t>VCSH</t>
        </is>
      </c>
      <c r="B6" s="34">
        <f>chi_so_tai_chinh!I39</f>
        <v/>
      </c>
      <c r="C6" s="34" t="n">
        <v>5514000000000</v>
      </c>
      <c r="D6" s="34">
        <f>$C$6*(($F$6/$C$6)^(1/3))</f>
        <v/>
      </c>
      <c r="E6" s="34">
        <f>$C$6*(($F$6/$C$6)^(2/3))</f>
        <v/>
      </c>
      <c r="F6" s="34">
        <f>chi_so_tai_chinh!J39</f>
        <v/>
      </c>
    </row>
    <row r="7" ht="13.5" customHeight="1">
      <c r="A7" s="29" t="inlineStr">
        <is>
          <t>LICĐKKS</t>
        </is>
      </c>
      <c r="B7" s="34">
        <f>chi_so_tai_chinh!I41</f>
        <v/>
      </c>
      <c r="C7" s="34">
        <f>chi_so_tai_chinh!J41</f>
        <v/>
      </c>
      <c r="D7" s="34">
        <f>chi_so_tai_chinh!K41</f>
        <v/>
      </c>
      <c r="E7" s="34">
        <f>chi_so_tai_chinh!L41</f>
        <v/>
      </c>
      <c r="F7" s="34">
        <f>chi_so_tai_chinh!M41</f>
        <v/>
      </c>
    </row>
    <row r="8" ht="13.5" customHeight="1">
      <c r="A8" s="29" t="inlineStr">
        <is>
          <t>BV</t>
        </is>
      </c>
      <c r="B8" s="34">
        <f>B6-B7</f>
        <v/>
      </c>
      <c r="C8" s="34">
        <f>C6-C7</f>
        <v/>
      </c>
      <c r="D8" s="34">
        <f>D6-D7</f>
        <v/>
      </c>
      <c r="E8" s="34">
        <f>E6-E7</f>
        <v/>
      </c>
      <c r="F8" s="34">
        <f>F6-F7</f>
        <v/>
      </c>
    </row>
    <row r="9" ht="13.5" customHeight="1">
      <c r="A9" s="29" t="inlineStr">
        <is>
          <t>BVPS</t>
        </is>
      </c>
      <c r="B9" s="35">
        <f>B8/B2</f>
        <v/>
      </c>
      <c r="C9" s="35">
        <f>C8/C2</f>
        <v/>
      </c>
      <c r="D9" s="35">
        <f>D8/D2</f>
        <v/>
      </c>
      <c r="E9" s="35">
        <f>E8/E2</f>
        <v/>
      </c>
      <c r="F9" s="35">
        <f>F8/F2</f>
        <v/>
      </c>
    </row>
    <row r="10" ht="13.5" customHeight="1">
      <c r="A10" s="29" t="inlineStr">
        <is>
          <t>PB</t>
        </is>
      </c>
      <c r="B10" s="36">
        <f>B3/B9</f>
        <v/>
      </c>
      <c r="C10" s="36">
        <f>C3/C9</f>
        <v/>
      </c>
      <c r="D10" s="36">
        <f>D3/D9</f>
        <v/>
      </c>
      <c r="E10" s="36">
        <f>E3/E9</f>
        <v/>
      </c>
      <c r="F10" s="36">
        <f>F3/F9</f>
        <v/>
      </c>
    </row>
    <row r="11" ht="13.5" customHeight="1">
      <c r="H11" s="37" t="n"/>
      <c r="I11" s="37" t="n"/>
      <c r="J11" s="37" t="n"/>
    </row>
    <row r="12" ht="13.5" customHeight="1">
      <c r="A12" s="29" t="inlineStr">
        <is>
          <t>DT</t>
        </is>
      </c>
      <c r="B12" s="34">
        <f>chi_so_tai_chinh!I43</f>
        <v/>
      </c>
      <c r="C12" s="34">
        <f>$B$12*(($F$12/$B$12)^(1/4))</f>
        <v/>
      </c>
      <c r="D12" s="34">
        <f>$B$12*(($F$12/$B$12)^(2/4))</f>
        <v/>
      </c>
      <c r="E12" s="34">
        <f>$B$12*(($F$12/$B$12)^(3/4))</f>
        <v/>
      </c>
      <c r="F12" s="34">
        <f>chi_so_tai_chinh!J43</f>
        <v/>
      </c>
    </row>
    <row r="13" ht="13.5" customHeight="1">
      <c r="A13" s="29" t="inlineStr">
        <is>
          <t>DT per share</t>
        </is>
      </c>
      <c r="B13" s="35">
        <f>B12/C2</f>
        <v/>
      </c>
      <c r="C13" s="35">
        <f>C12/C2</f>
        <v/>
      </c>
      <c r="D13" s="35">
        <f>D12/D2</f>
        <v/>
      </c>
      <c r="E13" s="35">
        <f>E12/E2</f>
        <v/>
      </c>
      <c r="F13" s="35">
        <f>F12/F2</f>
        <v/>
      </c>
    </row>
    <row r="14" ht="13.5" customHeight="1">
      <c r="A14" s="29" t="inlineStr">
        <is>
          <t>PS</t>
        </is>
      </c>
      <c r="B14" s="36">
        <f>C3/B13</f>
        <v/>
      </c>
      <c r="C14" s="36">
        <f>C4/C12</f>
        <v/>
      </c>
      <c r="D14" s="36">
        <f>D4/D12</f>
        <v/>
      </c>
      <c r="E14" s="36">
        <f>E4/E12</f>
        <v/>
      </c>
      <c r="F14" s="36">
        <f>F4/F12</f>
        <v/>
      </c>
    </row>
    <row r="15" ht="13.5" customHeight="1"/>
    <row r="16" ht="13.5" customHeight="1">
      <c r="A16" s="29" t="inlineStr">
        <is>
          <t>Earning</t>
        </is>
      </c>
      <c r="B16" s="34">
        <f>chi_so_tai_chinh!I52</f>
        <v/>
      </c>
      <c r="C16" s="34">
        <f>$B$16*(($F$16/$B$16)^(1/4))</f>
        <v/>
      </c>
      <c r="D16" s="34">
        <f>$B$16*(($F$16/$B$16)^(2/4))</f>
        <v/>
      </c>
      <c r="E16" s="34">
        <f>$B$16*(($F$16/$B$16)^(3/4))</f>
        <v/>
      </c>
      <c r="F16" s="34">
        <f>chi_so_tai_chinh!J52</f>
        <v/>
      </c>
    </row>
    <row r="17" ht="13.5" customHeight="1">
      <c r="A17" s="29" t="inlineStr">
        <is>
          <t>EPS</t>
        </is>
      </c>
      <c r="B17" s="35">
        <f>B16/$F$2</f>
        <v/>
      </c>
      <c r="C17" s="35">
        <f>C16/$F$2</f>
        <v/>
      </c>
      <c r="D17" s="35">
        <f>D16/$F$2</f>
        <v/>
      </c>
      <c r="E17" s="35">
        <f>E16/$F$2</f>
        <v/>
      </c>
      <c r="F17" s="35">
        <f>F16/$F$2</f>
        <v/>
      </c>
    </row>
    <row r="18" ht="13.5" customHeight="1">
      <c r="A18" s="29" t="inlineStr">
        <is>
          <t>PE</t>
        </is>
      </c>
      <c r="B18" s="36">
        <f>$F$3/B17</f>
        <v/>
      </c>
      <c r="C18" s="36">
        <f>$F$3/C17</f>
        <v/>
      </c>
      <c r="D18" s="36">
        <f>$F$3/D17</f>
        <v/>
      </c>
      <c r="E18" s="36">
        <f>$F$3/E17</f>
        <v/>
      </c>
      <c r="F18" s="36">
        <f>$F$3/F17</f>
        <v/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.5" customWidth="1" min="1" max="1"/>
    <col width="12.625" customWidth="1" min="2" max="2"/>
    <col width="11.375" customWidth="1" min="6" max="6"/>
    <col width="8.875" customWidth="1" min="7" max="7"/>
  </cols>
  <sheetData>
    <row r="1">
      <c r="A1" s="29" t="inlineStr">
        <is>
          <t>Chỉ tiêu</t>
        </is>
      </c>
      <c r="B1" s="29" t="n">
        <v>2022</v>
      </c>
      <c r="C1" s="29" t="n">
        <v>2023</v>
      </c>
      <c r="D1" s="29" t="n">
        <v>2024</v>
      </c>
      <c r="E1" s="29" t="n">
        <v>2025</v>
      </c>
      <c r="F1" s="29" t="n">
        <v>2026</v>
      </c>
    </row>
    <row r="2">
      <c r="A2" s="29" t="inlineStr">
        <is>
          <t>Doanh thu kế hoạch</t>
        </is>
      </c>
      <c r="B2" s="34" t="n">
        <v>27000000</v>
      </c>
      <c r="C2" s="34" t="n">
        <v>34000000</v>
      </c>
      <c r="D2" s="34" t="n">
        <v>37300000</v>
      </c>
      <c r="E2" s="34" t="n">
        <v>48100000</v>
      </c>
      <c r="F2" s="34" t="n">
        <v>59500000</v>
      </c>
    </row>
    <row r="3">
      <c r="A3" s="29" t="inlineStr">
        <is>
          <t>Doanh thu thuần về bán hàng và cung cấp dịch vụ</t>
        </is>
      </c>
      <c r="B3" s="34">
        <f>chi_so_tai_chinh!F43/1000000</f>
        <v/>
      </c>
      <c r="C3" s="34">
        <f>chi_so_tai_chinh!G43/1000000</f>
        <v/>
      </c>
      <c r="D3" s="34">
        <f>chi_so_tai_chinh!H43/1000000</f>
        <v/>
      </c>
      <c r="E3" s="34">
        <f>chi_so_tai_chinh!I43/1000000</f>
        <v/>
      </c>
      <c r="F3" s="29" t="n"/>
    </row>
    <row r="4">
      <c r="A4" s="29" t="inlineStr">
        <is>
          <t>%thực hiện</t>
        </is>
      </c>
      <c r="B4" s="38">
        <f>B3/B2</f>
        <v/>
      </c>
      <c r="C4" s="38">
        <f>C3/C2</f>
        <v/>
      </c>
      <c r="D4" s="38">
        <f>D3/D2</f>
        <v/>
      </c>
      <c r="E4" s="38">
        <f>E3/E2</f>
        <v/>
      </c>
      <c r="F4" s="29" t="n"/>
    </row>
    <row r="5">
      <c r="A5" s="29" t="inlineStr">
        <is>
          <t>Lợi nhuận trước thuế kế hoạch</t>
        </is>
      </c>
      <c r="B5" s="34" t="n">
        <v>720000</v>
      </c>
      <c r="C5" s="34" t="n">
        <v>240000</v>
      </c>
      <c r="D5" s="34" t="n">
        <v>125000</v>
      </c>
      <c r="E5" s="34" t="n">
        <v>900000</v>
      </c>
      <c r="F5" s="34" t="n">
        <v>1550000</v>
      </c>
    </row>
    <row r="6">
      <c r="A6" s="29" t="inlineStr">
        <is>
          <t>Lợi nhuận trước thuế thu nhập doanh nghiệp</t>
        </is>
      </c>
      <c r="B6" s="34">
        <f>chi_so_tai_chinh!F50/1000000</f>
        <v/>
      </c>
      <c r="C6" s="34">
        <f>chi_so_tai_chinh!G50/1000000</f>
        <v/>
      </c>
      <c r="D6" s="34">
        <f>chi_so_tai_chinh!H50/1000000</f>
        <v/>
      </c>
      <c r="E6" s="34">
        <f>chi_so_tai_chinh!I50/1000000</f>
        <v/>
      </c>
      <c r="F6" s="29" t="n"/>
    </row>
    <row r="7">
      <c r="A7" s="29" t="inlineStr">
        <is>
          <t>%thực hiện</t>
        </is>
      </c>
      <c r="B7" s="38">
        <f>B6/B5</f>
        <v/>
      </c>
      <c r="C7" s="38">
        <f>C6/C5</f>
        <v/>
      </c>
      <c r="D7" s="38">
        <f>D6/D5</f>
        <v/>
      </c>
      <c r="E7" s="38">
        <f>E6/E5</f>
        <v/>
      </c>
      <c r="F7" s="29" t="n"/>
    </row>
    <row r="8"/>
    <row r="9">
      <c r="A9" s="29" t="inlineStr">
        <is>
          <t>Trung vị %thực hiện DT</t>
        </is>
      </c>
      <c r="B9" s="38">
        <f>MEDIAN(B4:D4)</f>
        <v/>
      </c>
    </row>
    <row r="10">
      <c r="A10" s="29" t="inlineStr">
        <is>
          <t>Trung vị %thực hiện LNST</t>
        </is>
      </c>
      <c r="B10" s="38">
        <f>MEDIAN(B7:D7)</f>
        <v/>
      </c>
    </row>
    <row r="11"/>
    <row r="12">
      <c r="A12" s="29" t="inlineStr">
        <is>
          <t>Tỷ lệ hoàn thành DT trên 95%</t>
        </is>
      </c>
      <c r="B12" s="38">
        <f>COUNTIF(B4:E4,"&gt;=95%")/COUNT(B4:E4)</f>
        <v/>
      </c>
    </row>
    <row r="13">
      <c r="A13" s="29" t="inlineStr">
        <is>
          <t>Tỷ lệ hoàn thành LNST trên 95%</t>
        </is>
      </c>
      <c r="B13" s="38">
        <f>COUNTIF(B7:F7,"&gt;=95%")/COUNT(B7:F7)</f>
        <v/>
      </c>
    </row>
  </sheetData>
  <conditionalFormatting sqref="B9:B10">
    <cfRule type="cellIs" priority="1" operator="greaterThanOrEqual" dxfId="3">
      <formula>1</formula>
    </cfRule>
  </conditionalFormatting>
  <conditionalFormatting sqref="B4:E4 B7:E7">
    <cfRule type="cellIs" priority="2" operator="greaterThanOrEqual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2026-10-28T04:23:30Z</dcterms:created>
  <dcterms:modified xsi:type="dcterms:W3CDTF">2026-10-28T04:23:30Z</dcterms:modified>
</cp:coreProperties>
</file>
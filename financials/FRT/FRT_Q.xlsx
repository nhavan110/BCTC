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\(#,##0\);\-"/>
    <numFmt numFmtId="166" formatCode="0.00\x"/>
    <numFmt numFmtId="167" formatCode="#,##0;\(#,##0\);&quot;-&quot;"/>
    <numFmt numFmtId="168" formatCode="#,##0;(#,##0);&quot;-&quot;"/>
  </numFmts>
  <fonts count="18">
    <font>
      <name val="Calibri"/>
      <family val="2"/>
      <color theme="1"/>
      <sz val="11"/>
      <scheme val="minor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color theme="1"/>
      <sz val="11"/>
    </font>
    <font>
      <name val="Tahoma"/>
      <family val="2"/>
      <color rgb="FF000000"/>
      <sz val="10"/>
    </font>
    <font>
      <name val="Tahoma"/>
      <family val="2"/>
      <sz val="10"/>
    </font>
    <font>
      <name val="Tahoma"/>
      <family val="2"/>
      <color theme="1"/>
      <sz val="10"/>
    </font>
    <font>
      <name val="Tahoma"/>
      <family val="2"/>
      <color rgb="FF008000"/>
      <sz val="10"/>
    </font>
    <font>
      <name val="Tahoma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Tahoma"/>
      <charset val="1"/>
      <family val="2"/>
      <b val="1"/>
      <sz val="10"/>
    </font>
    <font>
      <name val="Tahoma"/>
      <family val="2"/>
      <b val="1"/>
      <color rgb="FF008000"/>
      <sz val="10"/>
    </font>
    <font>
      <name val="Tahoma"/>
      <family val="2"/>
      <b val="1"/>
      <color theme="1"/>
      <sz val="11"/>
    </font>
    <font>
      <name val="Tahoma"/>
      <family val="2"/>
      <b val="1"/>
      <color rgb="FF7030A0"/>
      <sz val="10"/>
    </font>
    <font>
      <name val="Tahoma"/>
      <b val="1"/>
      <color rgb="FFFFFFFF"/>
      <sz val="11"/>
    </font>
    <font>
      <name val="Tahoma"/>
      <sz val="10"/>
    </font>
    <font>
      <name val="Tahoma"/>
      <family val="2"/>
      <b val="1"/>
      <color rgb="FF7030A0"/>
      <sz val="11"/>
    </font>
    <font>
      <name val="Tahoma"/>
      <b val="1"/>
      <color rgb="00FFFFFF"/>
    </font>
  </fonts>
  <fills count="7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9" fillId="0" borderId="0"/>
    <xf numFmtId="9" fontId="9" fillId="0" borderId="0"/>
  </cellStyleXfs>
  <cellXfs count="51">
    <xf numFmtId="0" fontId="0" fillId="0" borderId="0" pivotButton="0" quotePrefix="0" xfId="0"/>
    <xf numFmtId="0" fontId="2" fillId="3" borderId="2" pivotButton="0" quotePrefix="0" xfId="0"/>
    <xf numFmtId="1" fontId="2" fillId="3" borderId="2" applyAlignment="1" pivotButton="0" quotePrefix="0" xfId="0">
      <alignment horizontal="center"/>
    </xf>
    <xf numFmtId="0" fontId="3" fillId="0" borderId="0" pivotButton="0" quotePrefix="0" xfId="0"/>
    <xf numFmtId="164" fontId="4" fillId="3" borderId="2" pivotButton="0" quotePrefix="0" xfId="0"/>
    <xf numFmtId="9" fontId="4" fillId="3" borderId="2" pivotButton="0" quotePrefix="0" xfId="0"/>
    <xf numFmtId="0" fontId="5" fillId="3" borderId="2" pivotButton="0" quotePrefix="0" xfId="0"/>
    <xf numFmtId="1" fontId="4" fillId="3" borderId="2" pivotButton="0" quotePrefix="0" xfId="0"/>
    <xf numFmtId="0" fontId="2" fillId="2" borderId="2" pivotButton="0" quotePrefix="0" xfId="0"/>
    <xf numFmtId="0" fontId="6" fillId="2" borderId="2" pivotButton="0" quotePrefix="0" xfId="0"/>
    <xf numFmtId="0" fontId="2" fillId="0" borderId="2" pivotButton="0" quotePrefix="0" xfId="0"/>
    <xf numFmtId="1" fontId="2" fillId="0" borderId="2" applyAlignment="1" pivotButton="0" quotePrefix="0" xfId="0">
      <alignment horizontal="center"/>
    </xf>
    <xf numFmtId="0" fontId="5" fillId="0" borderId="2" pivotButton="0" quotePrefix="0" xfId="0"/>
    <xf numFmtId="165" fontId="7" fillId="0" borderId="2" pivotButton="0" quotePrefix="0" xfId="0"/>
    <xf numFmtId="0" fontId="8" fillId="0" borderId="2" pivotButton="0" quotePrefix="0" xfId="0"/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6" fontId="6" fillId="0" borderId="2" pivotButton="0" quotePrefix="0" xfId="0"/>
    <xf numFmtId="1" fontId="6" fillId="0" borderId="2" pivotButton="0" quotePrefix="0" xfId="0"/>
    <xf numFmtId="0" fontId="1" fillId="0" borderId="2" pivotButton="0" quotePrefix="0" xfId="0"/>
    <xf numFmtId="165" fontId="11" fillId="0" borderId="2" pivotButton="0" quotePrefix="0" xfId="0"/>
    <xf numFmtId="0" fontId="12" fillId="0" borderId="0" pivotButton="0" quotePrefix="0" xfId="0"/>
    <xf numFmtId="0" fontId="10" fillId="0" borderId="2" pivotButton="0" quotePrefix="0" xfId="0"/>
    <xf numFmtId="10" fontId="7" fillId="0" borderId="2" pivotButton="0" quotePrefix="0" xfId="1"/>
    <xf numFmtId="0" fontId="2" fillId="0" borderId="1" pivotButton="0" quotePrefix="0" xfId="0"/>
    <xf numFmtId="165" fontId="11" fillId="0" borderId="0" pivotButton="0" quotePrefix="0" xfId="0"/>
    <xf numFmtId="0" fontId="13" fillId="0" borderId="2" pivotButton="0" quotePrefix="0" xfId="0"/>
    <xf numFmtId="165" fontId="13" fillId="0" borderId="2" pivotButton="0" quotePrefix="0" xfId="0"/>
    <xf numFmtId="9" fontId="13" fillId="0" borderId="2" pivotButton="0" quotePrefix="0" xfId="1"/>
    <xf numFmtId="0" fontId="14" fillId="4" borderId="3" applyAlignment="1" pivotButton="0" quotePrefix="0" xfId="0">
      <alignment horizontal="left"/>
    </xf>
    <xf numFmtId="0" fontId="14" fillId="4" borderId="3" applyAlignment="1" pivotButton="0" quotePrefix="0" xfId="0">
      <alignment horizontal="center"/>
    </xf>
    <xf numFmtId="0" fontId="15" fillId="0" borderId="3" pivotButton="0" quotePrefix="0" xfId="0"/>
    <xf numFmtId="167" fontId="15" fillId="0" borderId="3" pivotButton="0" quotePrefix="0" xfId="0"/>
    <xf numFmtId="0" fontId="16" fillId="0" borderId="0" pivotButton="0" quotePrefix="0" xfId="0"/>
    <xf numFmtId="165" fontId="13" fillId="0" borderId="0" pivotButton="0" quotePrefix="0" xfId="0"/>
    <xf numFmtId="0" fontId="13" fillId="0" borderId="0" pivotButton="0" quotePrefix="0" xfId="0"/>
    <xf numFmtId="9" fontId="6" fillId="5" borderId="2" pivotButton="0" quotePrefix="0" xfId="0"/>
    <xf numFmtId="0" fontId="17" fillId="6" borderId="4" applyAlignment="1" pivotButton="0" quotePrefix="0" xfId="0">
      <alignment horizontal="left"/>
    </xf>
    <xf numFmtId="0" fontId="17" fillId="6" borderId="4" applyAlignment="1" pivotButton="0" quotePrefix="0" xfId="0">
      <alignment horizontal="center"/>
    </xf>
    <xf numFmtId="0" fontId="15" fillId="0" borderId="4" pivotButton="0" quotePrefix="0" xfId="0"/>
    <xf numFmtId="168" fontId="15" fillId="0" borderId="4" pivotButton="0" quotePrefix="0" xfId="0"/>
    <xf numFmtId="164" fontId="4" fillId="3" borderId="2" pivotButton="0" quotePrefix="0" xfId="0"/>
    <xf numFmtId="165" fontId="7" fillId="0" borderId="2" pivotButton="0" quotePrefix="0" xfId="0"/>
    <xf numFmtId="165" fontId="11" fillId="0" borderId="2" pivotButton="0" quotePrefix="0" xfId="0"/>
    <xf numFmtId="165" fontId="11" fillId="0" borderId="0" pivotButton="0" quotePrefix="0" xfId="0"/>
    <xf numFmtId="165" fontId="13" fillId="0" borderId="2" pivotButton="0" quotePrefix="0" xfId="0"/>
    <xf numFmtId="165" fontId="13" fillId="0" borderId="0" pivotButton="0" quotePrefix="0" xfId="0"/>
    <xf numFmtId="164" fontId="6" fillId="0" borderId="2" pivotButton="0" quotePrefix="0" xfId="0"/>
    <xf numFmtId="165" fontId="6" fillId="0" borderId="2" pivotButton="0" quotePrefix="0" xfId="0"/>
    <xf numFmtId="166" fontId="6" fillId="0" borderId="2" pivotButton="0" quotePrefix="0" xfId="0"/>
  </cellXfs>
  <cellStyles count="2">
    <cellStyle name="Normal" xfId="0" builtinId="0"/>
    <cellStyle name="Percent" xfId="1" builtinId="5"/>
  </cellStyles>
  <dxfs count="53"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8" t="inlineStr">
        <is>
          <t>item</t>
        </is>
      </c>
      <c r="B1" s="39" t="inlineStr">
        <is>
          <t>2018-Q1</t>
        </is>
      </c>
      <c r="C1" s="39" t="inlineStr">
        <is>
          <t>2018-Q2</t>
        </is>
      </c>
      <c r="D1" s="39" t="inlineStr">
        <is>
          <t>2018-Q3</t>
        </is>
      </c>
      <c r="E1" s="39" t="inlineStr">
        <is>
          <t>2018-Q4</t>
        </is>
      </c>
      <c r="F1" s="39" t="inlineStr">
        <is>
          <t>2024-Q3</t>
        </is>
      </c>
      <c r="G1" s="39" t="inlineStr">
        <is>
          <t>2024-Q4</t>
        </is>
      </c>
      <c r="H1" s="39" t="inlineStr">
        <is>
          <t>2025-Q1</t>
        </is>
      </c>
      <c r="I1" s="39" t="inlineStr">
        <is>
          <t>2025-Q2</t>
        </is>
      </c>
      <c r="J1" s="39" t="inlineStr">
        <is>
          <t>2025-Q3</t>
        </is>
      </c>
      <c r="K1" s="39" t="inlineStr">
        <is>
          <t>2025-Q4</t>
        </is>
      </c>
      <c r="L1" s="39" t="inlineStr">
        <is>
          <t>2026-Q1</t>
        </is>
      </c>
      <c r="M1" s="39" t="inlineStr">
        <is>
          <t>2026-Q2</t>
        </is>
      </c>
    </row>
    <row r="2">
      <c r="A2" s="40" t="inlineStr">
        <is>
          <t>TÀI SẢN NGẮN HẠN</t>
        </is>
      </c>
      <c r="B2" s="41" t="n">
        <v>3760974549862</v>
      </c>
      <c r="C2" s="41" t="n">
        <v>3781033552381</v>
      </c>
      <c r="D2" s="41" t="n">
        <v>3878505997541</v>
      </c>
      <c r="E2" s="41" t="n">
        <v>5002461263976</v>
      </c>
      <c r="F2" s="41" t="n">
        <v>12691502513350</v>
      </c>
      <c r="G2" s="41" t="n">
        <v>14026158730456</v>
      </c>
      <c r="H2" s="41" t="n">
        <v>14823692396739</v>
      </c>
      <c r="I2" s="41" t="n">
        <v>16455137250282</v>
      </c>
      <c r="J2" s="41" t="n">
        <v>17794013186926</v>
      </c>
      <c r="K2" s="41" t="n">
        <v>21787052185671</v>
      </c>
      <c r="L2" s="41" t="n">
        <v>24121385971879</v>
      </c>
      <c r="M2" s="41" t="n">
        <v>25325904814893</v>
      </c>
    </row>
    <row r="3">
      <c r="A3" s="40" t="inlineStr">
        <is>
          <t>Tiền và tương đương tiền</t>
        </is>
      </c>
      <c r="B3" s="41" t="n">
        <v>605771632622</v>
      </c>
      <c r="C3" s="41" t="n">
        <v>403295312908</v>
      </c>
      <c r="D3" s="41" t="n">
        <v>874117915376</v>
      </c>
      <c r="E3" s="41" t="n">
        <v>1068737461019</v>
      </c>
      <c r="F3" s="41" t="n">
        <v>2169613383180</v>
      </c>
      <c r="G3" s="41" t="n">
        <v>2097787236988</v>
      </c>
      <c r="H3" s="41" t="n">
        <v>3391121774419</v>
      </c>
      <c r="I3" s="41" t="n">
        <v>2382207094450</v>
      </c>
      <c r="J3" s="41" t="n">
        <v>1162213737354</v>
      </c>
      <c r="K3" s="41" t="n">
        <v>2869851759629</v>
      </c>
      <c r="L3" s="41" t="n">
        <v>644900672025</v>
      </c>
      <c r="M3" s="41" t="n">
        <v>556554249526</v>
      </c>
    </row>
    <row r="4">
      <c r="A4" s="40" t="inlineStr">
        <is>
          <t>Tiền</t>
        </is>
      </c>
      <c r="B4" s="41" t="n">
        <v>605771632622</v>
      </c>
      <c r="C4" s="41" t="n">
        <v>403295312908</v>
      </c>
      <c r="D4" s="41" t="n">
        <v>751920776490</v>
      </c>
      <c r="E4" s="41" t="n">
        <v>855378394826</v>
      </c>
      <c r="F4" s="41" t="n">
        <v>472561347859</v>
      </c>
      <c r="G4" s="41" t="n">
        <v>475787236988</v>
      </c>
      <c r="H4" s="41" t="n">
        <v>427121774419</v>
      </c>
      <c r="I4" s="41" t="n">
        <v>399207094450</v>
      </c>
      <c r="J4" s="41" t="n">
        <v>442213737354</v>
      </c>
      <c r="K4" s="41" t="n">
        <v>385251759629</v>
      </c>
      <c r="L4" s="41" t="n">
        <v>644900672025</v>
      </c>
      <c r="M4" s="41" t="n">
        <v>556554249526</v>
      </c>
    </row>
    <row r="5">
      <c r="A5" s="40" t="inlineStr">
        <is>
          <t>Các khoản tương đương tiền</t>
        </is>
      </c>
      <c r="B5" s="41" t="n">
        <v>0</v>
      </c>
      <c r="C5" s="41" t="n">
        <v>0</v>
      </c>
      <c r="D5" s="41" t="n">
        <v>122197138886</v>
      </c>
      <c r="E5" s="41" t="n">
        <v>213359066193</v>
      </c>
      <c r="F5" s="41" t="n">
        <v>1697052035321</v>
      </c>
      <c r="G5" s="41" t="n">
        <v>1622000000000</v>
      </c>
      <c r="H5" s="41" t="n">
        <v>2964000000000</v>
      </c>
      <c r="I5" s="41" t="n">
        <v>1983000000000</v>
      </c>
      <c r="J5" s="41" t="n">
        <v>720000000000</v>
      </c>
      <c r="K5" s="41" t="n">
        <v>2484600000000</v>
      </c>
      <c r="L5" s="41" t="n">
        <v>0</v>
      </c>
      <c r="M5" s="41" t="n">
        <v>0</v>
      </c>
    </row>
    <row r="6">
      <c r="A6" s="40" t="inlineStr">
        <is>
          <t>Đầu tư ngắn hạn</t>
        </is>
      </c>
      <c r="B6" s="41" t="n">
        <v>0</v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41" t="n">
        <v>0</v>
      </c>
      <c r="M6" s="41" t="n">
        <v>0</v>
      </c>
    </row>
    <row r="7">
      <c r="A7" s="40" t="inlineStr">
        <is>
          <t>Đầu tư ngắn hạn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</row>
    <row r="8">
      <c r="A8" s="40" t="inlineStr">
        <is>
          <t>Dự phòng giảm giá</t>
        </is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</row>
    <row r="9">
      <c r="A9" s="40" t="inlineStr">
        <is>
          <t>Các khoản phải thu</t>
        </is>
      </c>
      <c r="B9" s="41" t="n">
        <v>1055328392371</v>
      </c>
      <c r="C9" s="41" t="n">
        <v>1221639702140</v>
      </c>
      <c r="D9" s="41" t="n">
        <v>887950999989</v>
      </c>
      <c r="E9" s="41" t="n">
        <v>1273589841159</v>
      </c>
      <c r="F9" s="41" t="n">
        <v>487856350848</v>
      </c>
      <c r="G9" s="41" t="n">
        <v>417127103606</v>
      </c>
      <c r="H9" s="41" t="n">
        <v>525180068060</v>
      </c>
      <c r="I9" s="41" t="n">
        <v>561723290032</v>
      </c>
      <c r="J9" s="41" t="n">
        <v>676278733954</v>
      </c>
      <c r="K9" s="41" t="n">
        <v>728878339921</v>
      </c>
      <c r="L9" s="41" t="n">
        <v>691244877608</v>
      </c>
      <c r="M9" s="41" t="n">
        <v>717178360787</v>
      </c>
    </row>
    <row r="10">
      <c r="A10" s="40" t="inlineStr">
        <is>
          <t>Phải thu khách hàng</t>
        </is>
      </c>
      <c r="B10" s="41" t="n">
        <v>302630279590</v>
      </c>
      <c r="C10" s="41" t="n">
        <v>564230420991</v>
      </c>
      <c r="D10" s="41" t="n">
        <v>413832107942</v>
      </c>
      <c r="E10" s="41" t="n">
        <v>237824070242</v>
      </c>
      <c r="F10" s="41" t="n">
        <v>145796409579</v>
      </c>
      <c r="G10" s="41" t="n">
        <v>176150692098</v>
      </c>
      <c r="H10" s="41" t="n">
        <v>167341173160</v>
      </c>
      <c r="I10" s="41" t="n">
        <v>203930503405</v>
      </c>
      <c r="J10" s="41" t="n">
        <v>208724777579</v>
      </c>
      <c r="K10" s="41" t="n">
        <v>233091257926</v>
      </c>
      <c r="L10" s="41" t="n">
        <v>235830832599</v>
      </c>
      <c r="M10" s="41" t="n">
        <v>317571464056</v>
      </c>
    </row>
    <row r="11">
      <c r="A11" s="40" t="inlineStr">
        <is>
          <t>Trả trước người bán</t>
        </is>
      </c>
      <c r="B11" s="41" t="n">
        <v>73472306828</v>
      </c>
      <c r="C11" s="41" t="n">
        <v>109221625282</v>
      </c>
      <c r="D11" s="41" t="n">
        <v>97915180560</v>
      </c>
      <c r="E11" s="41" t="n">
        <v>331205245221</v>
      </c>
      <c r="F11" s="41" t="n">
        <v>71296188891</v>
      </c>
      <c r="G11" s="41" t="n">
        <v>43997579646</v>
      </c>
      <c r="H11" s="41" t="n">
        <v>51149098157</v>
      </c>
      <c r="I11" s="41" t="n">
        <v>71636733373</v>
      </c>
      <c r="J11" s="41" t="n">
        <v>51449727063</v>
      </c>
      <c r="K11" s="41" t="n">
        <v>94792455388</v>
      </c>
      <c r="L11" s="41" t="n">
        <v>127465220271</v>
      </c>
      <c r="M11" s="41" t="n">
        <v>133795485612</v>
      </c>
    </row>
    <row r="12">
      <c r="A12" s="40" t="inlineStr">
        <is>
          <t>Phải thu nội bộ</t>
        </is>
      </c>
      <c r="B12" s="41" t="n">
        <v>0</v>
      </c>
      <c r="C12" s="41" t="n">
        <v>0</v>
      </c>
      <c r="D12" s="41" t="n">
        <v>0</v>
      </c>
      <c r="E12" s="41" t="n">
        <v>0</v>
      </c>
      <c r="F12" s="41" t="n">
        <v>0</v>
      </c>
      <c r="G12" s="41" t="n">
        <v>0</v>
      </c>
      <c r="H12" s="41" t="n">
        <v>0</v>
      </c>
      <c r="I12" s="41" t="n">
        <v>0</v>
      </c>
      <c r="J12" s="41" t="n">
        <v>0</v>
      </c>
      <c r="K12" s="41" t="n">
        <v>0</v>
      </c>
      <c r="L12" s="41" t="n">
        <v>0</v>
      </c>
      <c r="M12" s="41" t="n">
        <v>0</v>
      </c>
    </row>
    <row r="13">
      <c r="A13" s="40" t="inlineStr">
        <is>
          <t>Phải thu hợp đồng xây dựng đang thực hiện</t>
        </is>
      </c>
      <c r="B13" s="41" t="n">
        <v>0</v>
      </c>
      <c r="C13" s="41" t="n">
        <v>0</v>
      </c>
      <c r="D13" s="41" t="n">
        <v>0</v>
      </c>
      <c r="E13" s="41" t="n">
        <v>0</v>
      </c>
      <c r="F13" s="41" t="n">
        <v>0</v>
      </c>
      <c r="G13" s="41" t="n">
        <v>0</v>
      </c>
      <c r="H13" s="41" t="n">
        <v>0</v>
      </c>
      <c r="I13" s="41" t="n">
        <v>0</v>
      </c>
      <c r="J13" s="41" t="n">
        <v>0</v>
      </c>
      <c r="K13" s="41" t="n">
        <v>0</v>
      </c>
      <c r="L13" s="41" t="n">
        <v>0</v>
      </c>
      <c r="M13" s="41" t="n">
        <v>0</v>
      </c>
    </row>
    <row r="14">
      <c r="A14" s="40" t="inlineStr">
        <is>
          <t>Phải thu khác</t>
        </is>
      </c>
      <c r="B14" s="41" t="n">
        <v>690626315442</v>
      </c>
      <c r="C14" s="41" t="n">
        <v>462804345083</v>
      </c>
      <c r="D14" s="41" t="n">
        <v>393678122010</v>
      </c>
      <c r="E14" s="41" t="n">
        <v>722345486208</v>
      </c>
      <c r="F14" s="41" t="n">
        <v>279715483817</v>
      </c>
      <c r="G14" s="41" t="n">
        <v>206546170984</v>
      </c>
      <c r="H14" s="41" t="n">
        <v>316257135865</v>
      </c>
      <c r="I14" s="41" t="n">
        <v>295723392376</v>
      </c>
      <c r="J14" s="41" t="n">
        <v>425840392434</v>
      </c>
      <c r="K14" s="41" t="n">
        <v>410499058289</v>
      </c>
      <c r="L14" s="41" t="n">
        <v>337226607928</v>
      </c>
      <c r="M14" s="41" t="n">
        <v>275089194309</v>
      </c>
    </row>
    <row r="15">
      <c r="A15" s="40" t="inlineStr">
        <is>
          <t>Dự phòng nợ khó đòi</t>
        </is>
      </c>
      <c r="B15" s="41" t="n">
        <v>-11400509489</v>
      </c>
      <c r="C15" s="41" t="n">
        <v>-16975755409</v>
      </c>
      <c r="D15" s="41" t="n">
        <v>-17474410523</v>
      </c>
      <c r="E15" s="41" t="n">
        <v>-17784960512</v>
      </c>
      <c r="F15" s="41" t="n">
        <v>-8951731439</v>
      </c>
      <c r="G15" s="41" t="n">
        <v>-9567339122</v>
      </c>
      <c r="H15" s="41" t="n">
        <v>-9567339122</v>
      </c>
      <c r="I15" s="41" t="n">
        <v>-9567339122</v>
      </c>
      <c r="J15" s="41" t="n">
        <v>-9736163122</v>
      </c>
      <c r="K15" s="41" t="n">
        <v>-9504431682</v>
      </c>
      <c r="L15" s="41" t="n">
        <v>-9277783190</v>
      </c>
      <c r="M15" s="41" t="n">
        <v>-9277783190</v>
      </c>
    </row>
    <row r="16">
      <c r="A16" s="40" t="inlineStr">
        <is>
          <t>Hàng tồn kho, ròng</t>
        </is>
      </c>
      <c r="B16" s="41" t="n">
        <v>1894544286735</v>
      </c>
      <c r="C16" s="41" t="n">
        <v>1901018579171</v>
      </c>
      <c r="D16" s="41" t="n">
        <v>1771161973524</v>
      </c>
      <c r="E16" s="41" t="n">
        <v>2506218917201</v>
      </c>
      <c r="F16" s="41" t="n">
        <v>9116601624836</v>
      </c>
      <c r="G16" s="41" t="n">
        <v>10234733890772</v>
      </c>
      <c r="H16" s="41" t="n">
        <v>9765872393412</v>
      </c>
      <c r="I16" s="41" t="n">
        <v>9676259700236</v>
      </c>
      <c r="J16" s="41" t="n">
        <v>10509189568527</v>
      </c>
      <c r="K16" s="41" t="n">
        <v>11926663463990</v>
      </c>
      <c r="L16" s="41" t="n">
        <v>14447618583071</v>
      </c>
      <c r="M16" s="41" t="n">
        <v>14907921837522</v>
      </c>
    </row>
    <row r="17">
      <c r="A17" s="40" t="inlineStr">
        <is>
          <t>Hàng tồn kho</t>
        </is>
      </c>
      <c r="B17" s="41" t="n">
        <v>1899983900170</v>
      </c>
      <c r="C17" s="41" t="n">
        <v>1910281998827</v>
      </c>
      <c r="D17" s="41" t="n">
        <v>1782068498319</v>
      </c>
      <c r="E17" s="41" t="n">
        <v>2519583804091</v>
      </c>
      <c r="F17" s="41" t="n">
        <v>9167585565874</v>
      </c>
      <c r="G17" s="41" t="n">
        <v>10291473307238</v>
      </c>
      <c r="H17" s="41" t="n">
        <v>9825671623657</v>
      </c>
      <c r="I17" s="41" t="n">
        <v>9739581234005</v>
      </c>
      <c r="J17" s="41" t="n">
        <v>10588466253747</v>
      </c>
      <c r="K17" s="41" t="n">
        <v>12012604661865</v>
      </c>
      <c r="L17" s="41" t="n">
        <v>14549606154132</v>
      </c>
      <c r="M17" s="41" t="n">
        <v>15006904664997</v>
      </c>
    </row>
    <row r="18">
      <c r="A18" s="40" t="inlineStr">
        <is>
          <t>Dự phòng giảm giá hàng tồn kho</t>
        </is>
      </c>
      <c r="B18" s="41" t="n">
        <v>-5439613435</v>
      </c>
      <c r="C18" s="41" t="n">
        <v>-9263419656</v>
      </c>
      <c r="D18" s="41" t="n">
        <v>-10906524795</v>
      </c>
      <c r="E18" s="41" t="n">
        <v>-13364886890</v>
      </c>
      <c r="F18" s="41" t="n">
        <v>-50983941038</v>
      </c>
      <c r="G18" s="41" t="n">
        <v>-56739416466</v>
      </c>
      <c r="H18" s="41" t="n">
        <v>-59799230245</v>
      </c>
      <c r="I18" s="41" t="n">
        <v>-63321533769</v>
      </c>
      <c r="J18" s="41" t="n">
        <v>-79276685220</v>
      </c>
      <c r="K18" s="41" t="n">
        <v>-85941197875</v>
      </c>
      <c r="L18" s="41" t="n">
        <v>-101987571061</v>
      </c>
      <c r="M18" s="41" t="n">
        <v>-98982827475</v>
      </c>
    </row>
    <row r="19">
      <c r="A19" s="40" t="inlineStr">
        <is>
          <t>Tài sản lưu động khác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</v>
      </c>
      <c r="G19" s="41" t="n">
        <v>0</v>
      </c>
      <c r="H19" s="4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</row>
    <row r="20">
      <c r="A20" s="40" t="inlineStr">
        <is>
          <t>Chi phí trả trước ngắn hạn</t>
        </is>
      </c>
      <c r="B20" s="41" t="n">
        <v>58268459357</v>
      </c>
      <c r="C20" s="41" t="n">
        <v>61983035142</v>
      </c>
      <c r="D20" s="41" t="n">
        <v>71954355680</v>
      </c>
      <c r="E20" s="41" t="n">
        <v>94320134590</v>
      </c>
      <c r="F20" s="41" t="n">
        <v>226138936544</v>
      </c>
      <c r="G20" s="41" t="n">
        <v>252093295842</v>
      </c>
      <c r="H20" s="41" t="n">
        <v>229034677736</v>
      </c>
      <c r="I20" s="41" t="n">
        <v>242567382516</v>
      </c>
      <c r="J20" s="41" t="n">
        <v>227891600311</v>
      </c>
      <c r="K20" s="41" t="n">
        <v>262782269911</v>
      </c>
      <c r="L20" s="41" t="n">
        <v>229447534690</v>
      </c>
      <c r="M20" s="41" t="n">
        <v>243019498177</v>
      </c>
    </row>
    <row r="21">
      <c r="A21" s="40" t="inlineStr">
        <is>
          <t>Thuế GTGT được khấu trừ</t>
        </is>
      </c>
      <c r="B21" s="41" t="n">
        <v>62928226776</v>
      </c>
      <c r="C21" s="41" t="n">
        <v>42025770297</v>
      </c>
      <c r="D21" s="41" t="n">
        <v>13108802048</v>
      </c>
      <c r="E21" s="41" t="n">
        <v>55454839536</v>
      </c>
      <c r="F21" s="41" t="n">
        <v>43618044277</v>
      </c>
      <c r="G21" s="41" t="n">
        <v>16870747637</v>
      </c>
      <c r="H21" s="41" t="n">
        <v>10050716999</v>
      </c>
      <c r="I21" s="41" t="n">
        <v>1317653977</v>
      </c>
      <c r="J21" s="41" t="n">
        <v>9389639988</v>
      </c>
      <c r="K21" s="41" t="n">
        <v>47661947145</v>
      </c>
      <c r="L21" s="41" t="n">
        <v>81691837898</v>
      </c>
      <c r="M21" s="41" t="n">
        <v>46717250178</v>
      </c>
    </row>
    <row r="22">
      <c r="A22" s="40" t="inlineStr">
        <is>
          <t>Phải thu thuế khác</t>
        </is>
      </c>
      <c r="B22" s="41" t="n">
        <v>274485808</v>
      </c>
      <c r="C22" s="41" t="n">
        <v>21152723</v>
      </c>
      <c r="D22" s="41" t="n">
        <v>3378007</v>
      </c>
      <c r="E22" s="41" t="n">
        <v>27500</v>
      </c>
      <c r="F22" s="41" t="n">
        <v>21674173665</v>
      </c>
      <c r="G22" s="41" t="n">
        <v>21546455611</v>
      </c>
      <c r="H22" s="41" t="n">
        <v>21432766113</v>
      </c>
      <c r="I22" s="41" t="n">
        <v>21062129071</v>
      </c>
      <c r="J22" s="41" t="n">
        <v>21049906792</v>
      </c>
      <c r="K22" s="41" t="n">
        <v>22214405075</v>
      </c>
      <c r="L22" s="41" t="n">
        <v>22221200844</v>
      </c>
      <c r="M22" s="41" t="n">
        <v>43082702446</v>
      </c>
    </row>
    <row r="23">
      <c r="A23" s="40" t="inlineStr">
        <is>
          <t>Tài sản lưu động khác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</row>
    <row r="24">
      <c r="A24" s="40" t="inlineStr">
        <is>
          <t>TÀI SẢN DÀI HẠN</t>
        </is>
      </c>
      <c r="B24" s="41" t="n">
        <v>358175288862</v>
      </c>
      <c r="C24" s="41" t="n">
        <v>357118400549</v>
      </c>
      <c r="D24" s="41" t="n">
        <v>352900481070</v>
      </c>
      <c r="E24" s="41" t="n">
        <v>352400130929</v>
      </c>
      <c r="F24" s="41" t="n">
        <v>1783249046875</v>
      </c>
      <c r="G24" s="41" t="n">
        <v>1806391668645</v>
      </c>
      <c r="H24" s="41" t="n">
        <v>1812442337715</v>
      </c>
      <c r="I24" s="41" t="n">
        <v>1871627405714</v>
      </c>
      <c r="J24" s="41" t="n">
        <v>1907849640649</v>
      </c>
      <c r="K24" s="41" t="n">
        <v>1927183984705</v>
      </c>
      <c r="L24" s="41" t="n">
        <v>1905779719009</v>
      </c>
      <c r="M24" s="41" t="n">
        <v>1935554758268</v>
      </c>
    </row>
    <row r="25">
      <c r="A25" s="40" t="inlineStr">
        <is>
          <t>Phải thu dài hạn</t>
        </is>
      </c>
      <c r="B25" s="41" t="n">
        <v>77850762583</v>
      </c>
      <c r="C25" s="41" t="n">
        <v>80782789383</v>
      </c>
      <c r="D25" s="41" t="n">
        <v>83146857183</v>
      </c>
      <c r="E25" s="41" t="n">
        <v>84027534483</v>
      </c>
      <c r="F25" s="41" t="n">
        <v>183269982816</v>
      </c>
      <c r="G25" s="41" t="n">
        <v>182805424079</v>
      </c>
      <c r="H25" s="41" t="n">
        <v>184955831268</v>
      </c>
      <c r="I25" s="41" t="n">
        <v>189763356715</v>
      </c>
      <c r="J25" s="41" t="n">
        <v>193687926476</v>
      </c>
      <c r="K25" s="41" t="n">
        <v>194450060810</v>
      </c>
      <c r="L25" s="41" t="n">
        <v>198794388004</v>
      </c>
      <c r="M25" s="41" t="n">
        <v>202589738726</v>
      </c>
    </row>
    <row r="26">
      <c r="A26" s="40" t="inlineStr">
        <is>
          <t>Phải thu khách hàng dài hạn</t>
        </is>
      </c>
      <c r="B26" s="41" t="n">
        <v>0</v>
      </c>
      <c r="C26" s="41" t="n">
        <v>0</v>
      </c>
      <c r="D26" s="41" t="n">
        <v>0</v>
      </c>
      <c r="E26" s="41" t="n">
        <v>0</v>
      </c>
      <c r="F26" s="41" t="n">
        <v>0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0</v>
      </c>
      <c r="L26" s="41" t="n">
        <v>0</v>
      </c>
      <c r="M26" s="41" t="n">
        <v>0</v>
      </c>
    </row>
    <row r="27">
      <c r="A27" s="40" t="inlineStr">
        <is>
          <t>Phải thu nội bộ dài hạn</t>
        </is>
      </c>
      <c r="B27" s="41" t="n">
        <v>0</v>
      </c>
      <c r="C27" s="41" t="n">
        <v>0</v>
      </c>
      <c r="D27" s="41" t="n">
        <v>0</v>
      </c>
      <c r="E27" s="41" t="n">
        <v>0</v>
      </c>
      <c r="F27" s="41" t="n">
        <v>0</v>
      </c>
      <c r="G27" s="41" t="n">
        <v>0</v>
      </c>
      <c r="H27" s="41" t="n">
        <v>0</v>
      </c>
      <c r="I27" s="41" t="n">
        <v>0</v>
      </c>
      <c r="J27" s="41" t="n">
        <v>0</v>
      </c>
      <c r="K27" s="41" t="n">
        <v>0</v>
      </c>
      <c r="L27" s="41" t="n">
        <v>0</v>
      </c>
      <c r="M27" s="41" t="n">
        <v>0</v>
      </c>
    </row>
    <row r="28">
      <c r="A28" s="40" t="inlineStr">
        <is>
          <t>Phải thu dài hạn khác</t>
        </is>
      </c>
      <c r="B28" s="41" t="n">
        <v>77850762583</v>
      </c>
      <c r="C28" s="41" t="n">
        <v>80782789383</v>
      </c>
      <c r="D28" s="41" t="n">
        <v>83146857183</v>
      </c>
      <c r="E28" s="41" t="n">
        <v>84027534483</v>
      </c>
      <c r="F28" s="41" t="n">
        <v>183269982816</v>
      </c>
      <c r="G28" s="41" t="n">
        <v>182805424079</v>
      </c>
      <c r="H28" s="41" t="n">
        <v>184955831268</v>
      </c>
      <c r="I28" s="41" t="n">
        <v>189763356715</v>
      </c>
      <c r="J28" s="41" t="n">
        <v>193687926476</v>
      </c>
      <c r="K28" s="41" t="n">
        <v>194450060810</v>
      </c>
      <c r="L28" s="41" t="n">
        <v>198794388004</v>
      </c>
      <c r="M28" s="41" t="n">
        <v>202589738726</v>
      </c>
    </row>
    <row r="29">
      <c r="A29" s="40" t="inlineStr">
        <is>
          <t>Dự phòng phải thu dài hạn</t>
        </is>
      </c>
      <c r="B29" s="41" t="n">
        <v>0</v>
      </c>
      <c r="C29" s="41" t="n">
        <v>0</v>
      </c>
      <c r="D29" s="41" t="n">
        <v>0</v>
      </c>
      <c r="E29" s="41" t="n">
        <v>0</v>
      </c>
      <c r="F29" s="41" t="n">
        <v>0</v>
      </c>
      <c r="G29" s="41" t="n">
        <v>0</v>
      </c>
      <c r="H29" s="41" t="n">
        <v>0</v>
      </c>
      <c r="I29" s="41" t="n">
        <v>0</v>
      </c>
      <c r="J29" s="41" t="n">
        <v>0</v>
      </c>
      <c r="K29" s="41" t="n">
        <v>0</v>
      </c>
      <c r="L29" s="41" t="n">
        <v>0</v>
      </c>
      <c r="M29" s="41" t="n">
        <v>0</v>
      </c>
    </row>
    <row r="30">
      <c r="A30" s="40" t="inlineStr">
        <is>
          <t>Tài sản cố định</t>
        </is>
      </c>
      <c r="B30" s="41" t="n">
        <v>46069885728</v>
      </c>
      <c r="C30" s="41" t="n">
        <v>45885956000</v>
      </c>
      <c r="D30" s="41" t="n">
        <v>45649449925</v>
      </c>
      <c r="E30" s="41" t="n">
        <v>45591818347</v>
      </c>
      <c r="F30" s="41" t="n">
        <v>1430264326819</v>
      </c>
      <c r="G30" s="41" t="n">
        <v>1445982801672</v>
      </c>
      <c r="H30" s="41" t="n">
        <v>1453940151434</v>
      </c>
      <c r="I30" s="41" t="n">
        <v>1518922147316</v>
      </c>
      <c r="J30" s="41" t="n">
        <v>1555705560132</v>
      </c>
      <c r="K30" s="41" t="n">
        <v>1574317843107</v>
      </c>
      <c r="L30" s="41" t="n">
        <v>1553698186764</v>
      </c>
      <c r="M30" s="41" t="n">
        <v>1553697744687</v>
      </c>
    </row>
    <row r="31">
      <c r="A31" s="40" t="inlineStr">
        <is>
          <t>GTCL TSCĐ hữu hình</t>
        </is>
      </c>
      <c r="B31" s="41" t="n">
        <v>5365323341</v>
      </c>
      <c r="C31" s="41" t="n">
        <v>5316301831</v>
      </c>
      <c r="D31" s="41" t="n">
        <v>5205253977</v>
      </c>
      <c r="E31" s="41" t="n">
        <v>5154076518</v>
      </c>
      <c r="F31" s="41" t="n">
        <v>1156858905758</v>
      </c>
      <c r="G31" s="41" t="n">
        <v>1156676461871</v>
      </c>
      <c r="H31" s="41" t="n">
        <v>1147596644333</v>
      </c>
      <c r="I31" s="41" t="n">
        <v>1193453691436</v>
      </c>
      <c r="J31" s="41" t="n">
        <v>1205865070001</v>
      </c>
      <c r="K31" s="41" t="n">
        <v>1196539820561</v>
      </c>
      <c r="L31" s="41" t="n">
        <v>1169878567133</v>
      </c>
      <c r="M31" s="41" t="n">
        <v>1158979005336</v>
      </c>
    </row>
    <row r="32">
      <c r="A32" s="40" t="inlineStr">
        <is>
          <t>Nguyên giá TSCĐ hữu hình</t>
        </is>
      </c>
      <c r="B32" s="41" t="n">
        <v>9322912479</v>
      </c>
      <c r="C32" s="41" t="n">
        <v>9376854520</v>
      </c>
      <c r="D32" s="41" t="n">
        <v>9376854520</v>
      </c>
      <c r="E32" s="41" t="n">
        <v>9344459141</v>
      </c>
      <c r="F32" s="41" t="n">
        <v>1841365013392</v>
      </c>
      <c r="G32" s="41" t="n">
        <v>1915183739839</v>
      </c>
      <c r="H32" s="41" t="n">
        <v>1981117382122</v>
      </c>
      <c r="I32" s="41" t="n">
        <v>2110085346548</v>
      </c>
      <c r="J32" s="41" t="n">
        <v>2207522339406</v>
      </c>
      <c r="K32" s="41" t="n">
        <v>2285328752900</v>
      </c>
      <c r="L32" s="41" t="n">
        <v>2347948846104</v>
      </c>
      <c r="M32" s="41" t="n">
        <v>2430219177001</v>
      </c>
    </row>
    <row r="33">
      <c r="A33" s="40" t="inlineStr">
        <is>
          <t>Khấu hao lũy kế TSCĐ hữu hình</t>
        </is>
      </c>
      <c r="B33" s="41" t="n">
        <v>-3957589138</v>
      </c>
      <c r="C33" s="41" t="n">
        <v>-4060552689</v>
      </c>
      <c r="D33" s="41" t="n">
        <v>-4171600543</v>
      </c>
      <c r="E33" s="41" t="n">
        <v>-4190382623</v>
      </c>
      <c r="F33" s="41" t="n">
        <v>-684506107634</v>
      </c>
      <c r="G33" s="41" t="n">
        <v>-758507277968</v>
      </c>
      <c r="H33" s="41" t="n">
        <v>-833520737789</v>
      </c>
      <c r="I33" s="41" t="n">
        <v>-916631655112</v>
      </c>
      <c r="J33" s="41" t="n">
        <v>-1001657269405</v>
      </c>
      <c r="K33" s="41" t="n">
        <v>-1088788932339</v>
      </c>
      <c r="L33" s="41" t="n">
        <v>-1178070278971</v>
      </c>
      <c r="M33" s="41" t="n">
        <v>-1271240171665</v>
      </c>
    </row>
    <row r="34">
      <c r="A34" s="40" t="inlineStr">
        <is>
          <t>GTCL tài sản thuê tài chính</t>
        </is>
      </c>
      <c r="B34" s="41" t="n">
        <v>0</v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</row>
    <row r="35">
      <c r="A35" s="40" t="inlineStr">
        <is>
          <t>Nguyên giá tài sản thuê tài chính</t>
        </is>
      </c>
      <c r="B35" s="41" t="n">
        <v>0</v>
      </c>
      <c r="C35" s="41" t="n">
        <v>0</v>
      </c>
      <c r="D35" s="41" t="n">
        <v>0</v>
      </c>
      <c r="E35" s="41" t="n">
        <v>0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0</v>
      </c>
      <c r="L35" s="41" t="n">
        <v>0</v>
      </c>
      <c r="M35" s="41" t="n">
        <v>0</v>
      </c>
    </row>
    <row r="36">
      <c r="A36" s="40" t="inlineStr">
        <is>
          <t>Khấu hao lũy kế tài sản thuê tài chính</t>
        </is>
      </c>
      <c r="B36" s="41" t="n">
        <v>0</v>
      </c>
      <c r="C36" s="41" t="n">
        <v>0</v>
      </c>
      <c r="D36" s="41" t="n">
        <v>0</v>
      </c>
      <c r="E36" s="41" t="n">
        <v>0</v>
      </c>
      <c r="F36" s="41" t="n">
        <v>0</v>
      </c>
      <c r="G36" s="41" t="n">
        <v>0</v>
      </c>
      <c r="H36" s="41" t="n">
        <v>0</v>
      </c>
      <c r="I36" s="41" t="n">
        <v>0</v>
      </c>
      <c r="J36" s="41" t="n">
        <v>0</v>
      </c>
      <c r="K36" s="41" t="n">
        <v>0</v>
      </c>
      <c r="L36" s="41" t="n">
        <v>0</v>
      </c>
      <c r="M36" s="41" t="n">
        <v>0</v>
      </c>
    </row>
    <row r="37">
      <c r="A37" s="40" t="inlineStr">
        <is>
          <t>GTCL tài sản cố định vô hình</t>
        </is>
      </c>
      <c r="B37" s="41" t="n">
        <v>40704562387</v>
      </c>
      <c r="C37" s="41" t="n">
        <v>40569654169</v>
      </c>
      <c r="D37" s="41" t="n">
        <v>40444195948</v>
      </c>
      <c r="E37" s="41" t="n">
        <v>40437741829</v>
      </c>
      <c r="F37" s="41" t="n">
        <v>273405421061</v>
      </c>
      <c r="G37" s="41" t="n">
        <v>289306339801</v>
      </c>
      <c r="H37" s="41" t="n">
        <v>306343507101</v>
      </c>
      <c r="I37" s="41" t="n">
        <v>325468455880</v>
      </c>
      <c r="J37" s="41" t="n">
        <v>349840490131</v>
      </c>
      <c r="K37" s="41" t="n">
        <v>377778022546</v>
      </c>
      <c r="L37" s="41" t="n">
        <v>383819619631</v>
      </c>
      <c r="M37" s="41" t="n">
        <v>394718739351</v>
      </c>
    </row>
    <row r="38">
      <c r="A38" s="40" t="inlineStr">
        <is>
          <t>Nguyên giá TSCĐ vô hình</t>
        </is>
      </c>
      <c r="B38" s="41" t="n">
        <v>44481737990</v>
      </c>
      <c r="C38" s="41" t="n">
        <v>44481737990</v>
      </c>
      <c r="D38" s="41" t="n">
        <v>44481737990</v>
      </c>
      <c r="E38" s="41" t="n">
        <v>44481737990</v>
      </c>
      <c r="F38" s="41" t="n">
        <v>322841896370</v>
      </c>
      <c r="G38" s="41" t="n">
        <v>348666597970</v>
      </c>
      <c r="H38" s="41" t="n">
        <v>377111128497</v>
      </c>
      <c r="I38" s="41" t="n">
        <v>409985230747</v>
      </c>
      <c r="J38" s="41" t="n">
        <v>450202179267</v>
      </c>
      <c r="K38" s="41" t="n">
        <v>495746297007</v>
      </c>
      <c r="L38" s="41" t="n">
        <v>521210263687</v>
      </c>
      <c r="M38" s="41" t="n">
        <v>552963026887</v>
      </c>
    </row>
    <row r="39">
      <c r="A39" s="40" t="inlineStr">
        <is>
          <t>Khấu hao lũy kế TSCĐ vô hình</t>
        </is>
      </c>
      <c r="B39" s="41" t="n">
        <v>-3777175603</v>
      </c>
      <c r="C39" s="41" t="n">
        <v>-3912083821</v>
      </c>
      <c r="D39" s="41" t="n">
        <v>-4037542042</v>
      </c>
      <c r="E39" s="41" t="n">
        <v>-4043996161</v>
      </c>
      <c r="F39" s="41" t="n">
        <v>-49436475309</v>
      </c>
      <c r="G39" s="41" t="n">
        <v>-59360258169</v>
      </c>
      <c r="H39" s="41" t="n">
        <v>-70767621396</v>
      </c>
      <c r="I39" s="41" t="n">
        <v>-84516774867</v>
      </c>
      <c r="J39" s="41" t="n">
        <v>-100361689136</v>
      </c>
      <c r="K39" s="41" t="n">
        <v>-117968274461</v>
      </c>
      <c r="L39" s="41" t="n">
        <v>-137390644056</v>
      </c>
      <c r="M39" s="41" t="n">
        <v>-158244287536</v>
      </c>
    </row>
    <row r="40">
      <c r="A40" s="40" t="inlineStr">
        <is>
          <t>Xây dựng cơ bản đang dang dở (trước 2015)</t>
        </is>
      </c>
      <c r="B40" s="41" t="n">
        <v>0</v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</row>
    <row r="41">
      <c r="A41" s="40" t="inlineStr">
        <is>
          <t>Giá trị ròng tài sản đầu tư</t>
        </is>
      </c>
      <c r="B41" s="41" t="n">
        <v>0</v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  <c r="M41" s="41" t="n">
        <v>0</v>
      </c>
    </row>
    <row r="42">
      <c r="A42" s="40" t="inlineStr">
        <is>
          <t>Nguyên giá tài sản đầu tư</t>
        </is>
      </c>
      <c r="B42" s="41" t="n">
        <v>0</v>
      </c>
      <c r="C42" s="41" t="n">
        <v>0</v>
      </c>
      <c r="D42" s="41" t="n">
        <v>0</v>
      </c>
      <c r="E42" s="41" t="n">
        <v>0</v>
      </c>
      <c r="F42" s="41" t="n">
        <v>0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0</v>
      </c>
      <c r="L42" s="41" t="n">
        <v>0</v>
      </c>
      <c r="M42" s="41" t="n">
        <v>0</v>
      </c>
    </row>
    <row r="43">
      <c r="A43" s="40" t="inlineStr">
        <is>
          <t>Khấu hao lũy kế tài sản đầu tư</t>
        </is>
      </c>
      <c r="B43" s="41" t="n">
        <v>0</v>
      </c>
      <c r="C43" s="41" t="n">
        <v>0</v>
      </c>
      <c r="D43" s="41" t="n">
        <v>0</v>
      </c>
      <c r="E43" s="41" t="n">
        <v>0</v>
      </c>
      <c r="F43" s="41" t="n">
        <v>0</v>
      </c>
      <c r="G43" s="41" t="n">
        <v>0</v>
      </c>
      <c r="H43" s="41" t="n">
        <v>0</v>
      </c>
      <c r="I43" s="41" t="n">
        <v>0</v>
      </c>
      <c r="J43" s="41" t="n">
        <v>0</v>
      </c>
      <c r="K43" s="41" t="n">
        <v>0</v>
      </c>
      <c r="L43" s="41" t="n">
        <v>0</v>
      </c>
      <c r="M43" s="41" t="n">
        <v>0</v>
      </c>
    </row>
    <row r="44">
      <c r="A44" s="40" t="inlineStr">
        <is>
          <t>Đầu tư dài hạn</t>
        </is>
      </c>
      <c r="B44" s="41" t="n">
        <v>0</v>
      </c>
      <c r="C44" s="41" t="n">
        <v>0</v>
      </c>
      <c r="D44" s="41" t="n">
        <v>0</v>
      </c>
      <c r="E44" s="41" t="n">
        <v>0</v>
      </c>
      <c r="F44" s="41" t="n">
        <v>0</v>
      </c>
      <c r="G44" s="41" t="n">
        <v>0</v>
      </c>
      <c r="H44" s="41" t="n">
        <v>0</v>
      </c>
      <c r="I44" s="41" t="n">
        <v>0</v>
      </c>
      <c r="J44" s="41" t="n">
        <v>0</v>
      </c>
      <c r="K44" s="41" t="n">
        <v>0</v>
      </c>
      <c r="L44" s="41" t="n">
        <v>0</v>
      </c>
      <c r="M44" s="41" t="n">
        <v>0</v>
      </c>
    </row>
    <row r="45">
      <c r="A45" s="40" t="inlineStr">
        <is>
          <t>Đầu tư vào các công ty con</t>
        </is>
      </c>
      <c r="B45" s="41" t="n">
        <v>0</v>
      </c>
      <c r="C45" s="41" t="n">
        <v>0</v>
      </c>
      <c r="D45" s="41" t="n">
        <v>0</v>
      </c>
      <c r="E45" s="41" t="n">
        <v>0</v>
      </c>
      <c r="F45" s="41" t="n">
        <v>0</v>
      </c>
      <c r="G45" s="41" t="n">
        <v>0</v>
      </c>
      <c r="H45" s="41" t="n">
        <v>0</v>
      </c>
      <c r="I45" s="41" t="n">
        <v>0</v>
      </c>
      <c r="J45" s="41" t="n">
        <v>0</v>
      </c>
      <c r="K45" s="41" t="n">
        <v>0</v>
      </c>
      <c r="L45" s="41" t="n">
        <v>0</v>
      </c>
      <c r="M45" s="41" t="n">
        <v>0</v>
      </c>
    </row>
    <row r="46">
      <c r="A46" s="40" t="inlineStr">
        <is>
          <t>Đầu tư vào các công ty liên kết</t>
        </is>
      </c>
      <c r="B46" s="41" t="n">
        <v>0</v>
      </c>
      <c r="C46" s="41" t="n">
        <v>0</v>
      </c>
      <c r="D46" s="41" t="n">
        <v>0</v>
      </c>
      <c r="E46" s="41" t="n">
        <v>0</v>
      </c>
      <c r="F46" s="41" t="n">
        <v>0</v>
      </c>
      <c r="G46" s="41" t="n">
        <v>0</v>
      </c>
      <c r="H46" s="41" t="n">
        <v>0</v>
      </c>
      <c r="I46" s="41" t="n">
        <v>0</v>
      </c>
      <c r="J46" s="41" t="n">
        <v>0</v>
      </c>
      <c r="K46" s="41" t="n">
        <v>0</v>
      </c>
      <c r="L46" s="41" t="n">
        <v>0</v>
      </c>
      <c r="M46" s="41" t="n">
        <v>0</v>
      </c>
    </row>
    <row r="47">
      <c r="A47" s="40" t="inlineStr">
        <is>
          <t>Đầu tư dài hạn khác</t>
        </is>
      </c>
      <c r="B47" s="41" t="n">
        <v>0</v>
      </c>
      <c r="C47" s="41" t="n">
        <v>0</v>
      </c>
      <c r="D47" s="41" t="n">
        <v>0</v>
      </c>
      <c r="E47" s="41" t="n">
        <v>0</v>
      </c>
      <c r="F47" s="41" t="n">
        <v>0</v>
      </c>
      <c r="G47" s="41" t="n">
        <v>0</v>
      </c>
      <c r="H47" s="41" t="n">
        <v>0</v>
      </c>
      <c r="I47" s="41" t="n">
        <v>0</v>
      </c>
      <c r="J47" s="41" t="n">
        <v>0</v>
      </c>
      <c r="K47" s="41" t="n">
        <v>0</v>
      </c>
      <c r="L47" s="41" t="n">
        <v>0</v>
      </c>
      <c r="M47" s="41" t="n">
        <v>0</v>
      </c>
    </row>
    <row r="48">
      <c r="A48" s="40" t="inlineStr">
        <is>
          <t>Dự phòng giảm giá đầu tư dài hạn</t>
        </is>
      </c>
      <c r="B48" s="41" t="n">
        <v>0</v>
      </c>
      <c r="C48" s="41" t="n">
        <v>0</v>
      </c>
      <c r="D48" s="41" t="n">
        <v>0</v>
      </c>
      <c r="E48" s="41" t="n">
        <v>0</v>
      </c>
      <c r="F48" s="41" t="n">
        <v>0</v>
      </c>
      <c r="G48" s="41" t="n">
        <v>0</v>
      </c>
      <c r="H48" s="41" t="n">
        <v>0</v>
      </c>
      <c r="I48" s="41" t="n">
        <v>0</v>
      </c>
      <c r="J48" s="41" t="n">
        <v>0</v>
      </c>
      <c r="K48" s="41" t="n">
        <v>0</v>
      </c>
      <c r="L48" s="41" t="n">
        <v>0</v>
      </c>
      <c r="M48" s="41" t="n">
        <v>0</v>
      </c>
    </row>
    <row r="49">
      <c r="A49" s="40" t="inlineStr">
        <is>
          <t>Lợi thế thương mại (trước 2015)</t>
        </is>
      </c>
      <c r="B49" s="41" t="n">
        <v>0</v>
      </c>
      <c r="C49" s="41" t="n">
        <v>0</v>
      </c>
      <c r="D49" s="41" t="n">
        <v>0</v>
      </c>
      <c r="E49" s="41" t="n">
        <v>0</v>
      </c>
      <c r="F49" s="41" t="n">
        <v>0</v>
      </c>
      <c r="G49" s="41" t="n">
        <v>0</v>
      </c>
      <c r="H49" s="41" t="n">
        <v>0</v>
      </c>
      <c r="I49" s="41" t="n">
        <v>0</v>
      </c>
      <c r="J49" s="41" t="n">
        <v>0</v>
      </c>
      <c r="K49" s="41" t="n">
        <v>0</v>
      </c>
      <c r="L49" s="41" t="n">
        <v>0</v>
      </c>
      <c r="M49" s="41" t="n">
        <v>0</v>
      </c>
    </row>
    <row r="50">
      <c r="A50" s="40" t="inlineStr">
        <is>
          <t>Tài sản dài hạn khác</t>
        </is>
      </c>
      <c r="B50" s="41" t="n">
        <v>234254640551</v>
      </c>
      <c r="C50" s="41" t="n">
        <v>230449655166</v>
      </c>
      <c r="D50" s="41" t="n">
        <v>224104173962</v>
      </c>
      <c r="E50" s="41" t="n">
        <v>222780778099</v>
      </c>
      <c r="F50" s="41" t="n">
        <v>169714737240</v>
      </c>
      <c r="G50" s="41" t="n">
        <v>169373442894</v>
      </c>
      <c r="H50" s="41" t="n">
        <v>173546355013</v>
      </c>
      <c r="I50" s="41" t="n">
        <v>162941901683</v>
      </c>
      <c r="J50" s="41" t="n">
        <v>158456154041</v>
      </c>
      <c r="K50" s="41" t="n">
        <v>157004126788</v>
      </c>
      <c r="L50" s="41" t="n">
        <v>151875190241</v>
      </c>
      <c r="M50" s="41" t="n">
        <v>149052000772</v>
      </c>
    </row>
    <row r="51">
      <c r="A51" s="40" t="inlineStr">
        <is>
          <t>Trả trước dài hạn</t>
        </is>
      </c>
      <c r="B51" s="41" t="n">
        <v>234254640551</v>
      </c>
      <c r="C51" s="41" t="n">
        <v>230449655166</v>
      </c>
      <c r="D51" s="41" t="n">
        <v>224104173962</v>
      </c>
      <c r="E51" s="41" t="n">
        <v>222780778099</v>
      </c>
      <c r="F51" s="41" t="n">
        <v>169714737240</v>
      </c>
      <c r="G51" s="41" t="n">
        <v>169373442894</v>
      </c>
      <c r="H51" s="41" t="n">
        <v>173546355013</v>
      </c>
      <c r="I51" s="41" t="n">
        <v>162941901683</v>
      </c>
      <c r="J51" s="41" t="n">
        <v>158456154041</v>
      </c>
      <c r="K51" s="41" t="n">
        <v>157004126788</v>
      </c>
      <c r="L51" s="41" t="n">
        <v>151875190241</v>
      </c>
      <c r="M51" s="41" t="n">
        <v>149052000772</v>
      </c>
    </row>
    <row r="52">
      <c r="A52" s="40" t="inlineStr">
        <is>
          <t>Thuế thu nhập hoãn lại</t>
        </is>
      </c>
      <c r="B52" s="41" t="n">
        <v>0</v>
      </c>
      <c r="C52" s="41" t="n">
        <v>0</v>
      </c>
      <c r="D52" s="41" t="n">
        <v>0</v>
      </c>
      <c r="E52" s="41" t="n">
        <v>0</v>
      </c>
      <c r="F52" s="41" t="n">
        <v>14902586</v>
      </c>
      <c r="G52" s="41" t="n">
        <v>31681844</v>
      </c>
      <c r="H52" s="41" t="n">
        <v>31681844</v>
      </c>
      <c r="I52" s="41" t="n">
        <v>31681844</v>
      </c>
      <c r="J52" s="41" t="n">
        <v>31681844</v>
      </c>
      <c r="K52" s="41" t="n">
        <v>31681844</v>
      </c>
      <c r="L52" s="41" t="n">
        <v>31681844</v>
      </c>
      <c r="M52" s="41" t="n">
        <v>31681844</v>
      </c>
    </row>
    <row r="53">
      <c r="A53" s="40" t="inlineStr">
        <is>
          <t>Các tài sản dài hạn khác</t>
        </is>
      </c>
      <c r="B53" s="41" t="n">
        <v>0</v>
      </c>
      <c r="C53" s="41" t="n">
        <v>0</v>
      </c>
      <c r="D53" s="41" t="n">
        <v>0</v>
      </c>
      <c r="E53" s="41" t="n">
        <v>0</v>
      </c>
      <c r="F53" s="41" t="n">
        <v>0</v>
      </c>
      <c r="G53" s="41" t="n">
        <v>0</v>
      </c>
      <c r="H53" s="41" t="n">
        <v>0</v>
      </c>
      <c r="I53" s="41" t="n">
        <v>0</v>
      </c>
      <c r="J53" s="41" t="n">
        <v>0</v>
      </c>
      <c r="K53" s="41" t="n">
        <v>0</v>
      </c>
      <c r="L53" s="41" t="n">
        <v>0</v>
      </c>
      <c r="M53" s="41" t="n">
        <v>0</v>
      </c>
    </row>
    <row r="54">
      <c r="A54" s="40" t="inlineStr">
        <is>
          <t>TỔNG CỘNG TÀI SẢN</t>
        </is>
      </c>
      <c r="B54" s="41" t="n">
        <v>4119149838724</v>
      </c>
      <c r="C54" s="41" t="n">
        <v>4138151952930</v>
      </c>
      <c r="D54" s="41" t="n">
        <v>4231406478611</v>
      </c>
      <c r="E54" s="41" t="n">
        <v>5354861394905</v>
      </c>
      <c r="F54" s="41" t="n">
        <v>14474751560225</v>
      </c>
      <c r="G54" s="41" t="n">
        <v>15832550399101</v>
      </c>
      <c r="H54" s="41" t="n">
        <v>16636134734454</v>
      </c>
      <c r="I54" s="41" t="n">
        <v>18326764655996</v>
      </c>
      <c r="J54" s="41" t="n">
        <v>19701862827575</v>
      </c>
      <c r="K54" s="41" t="n">
        <v>23714236170376</v>
      </c>
      <c r="L54" s="41" t="n">
        <v>26027165690888</v>
      </c>
      <c r="M54" s="41" t="n">
        <v>27261459573161</v>
      </c>
    </row>
    <row r="55">
      <c r="A55" s="40" t="inlineStr">
        <is>
          <t>NỢ PHẢI TRẢ</t>
        </is>
      </c>
      <c r="B55" s="41" t="n">
        <v>3258812894641</v>
      </c>
      <c r="C55" s="41" t="n">
        <v>3195167384470</v>
      </c>
      <c r="D55" s="41" t="n">
        <v>3207538911642</v>
      </c>
      <c r="E55" s="41" t="n">
        <v>4196094262282</v>
      </c>
      <c r="F55" s="41" t="n">
        <v>12483743130353</v>
      </c>
      <c r="G55" s="41" t="n">
        <v>13712736684773</v>
      </c>
      <c r="H55" s="41" t="n">
        <v>14303537414579</v>
      </c>
      <c r="I55" s="41" t="n">
        <v>14949668273516</v>
      </c>
      <c r="J55" s="41" t="n">
        <v>16058886022348</v>
      </c>
      <c r="K55" s="41" t="n">
        <v>18575165477143</v>
      </c>
      <c r="L55" s="41" t="n">
        <v>20513292504198</v>
      </c>
      <c r="M55" s="41" t="n">
        <v>21297046022925</v>
      </c>
    </row>
    <row r="56">
      <c r="A56" s="40" t="inlineStr">
        <is>
          <t>Nợ ngắn hạn</t>
        </is>
      </c>
      <c r="B56" s="41" t="n">
        <v>3258812894641</v>
      </c>
      <c r="C56" s="41" t="n">
        <v>3195167384470</v>
      </c>
      <c r="D56" s="41" t="n">
        <v>3207538911642</v>
      </c>
      <c r="E56" s="41" t="n">
        <v>4196094262282</v>
      </c>
      <c r="F56" s="41" t="n">
        <v>12483193527767</v>
      </c>
      <c r="G56" s="41" t="n">
        <v>13712183502929</v>
      </c>
      <c r="H56" s="41" t="n">
        <v>14302984232735</v>
      </c>
      <c r="I56" s="41" t="n">
        <v>14949115091672</v>
      </c>
      <c r="J56" s="41" t="n">
        <v>16058347840504</v>
      </c>
      <c r="K56" s="41" t="n">
        <v>18574474295299</v>
      </c>
      <c r="L56" s="41" t="n">
        <v>20512601322354</v>
      </c>
      <c r="M56" s="41" t="n">
        <v>21296336991081</v>
      </c>
    </row>
    <row r="57">
      <c r="A57" s="40" t="inlineStr">
        <is>
          <t>Vay ngắn hạn</t>
        </is>
      </c>
      <c r="B57" s="41" t="n">
        <v>2453962092540</v>
      </c>
      <c r="C57" s="41" t="n">
        <v>2121457066815</v>
      </c>
      <c r="D57" s="41" t="n">
        <v>1948061990109</v>
      </c>
      <c r="E57" s="41" t="n">
        <v>2947271984607</v>
      </c>
      <c r="F57" s="41" t="n">
        <v>7316275954448</v>
      </c>
      <c r="G57" s="41" t="n">
        <v>8800349446066</v>
      </c>
      <c r="H57" s="41" t="n">
        <v>8899113460459</v>
      </c>
      <c r="I57" s="41" t="n">
        <v>9312806352321</v>
      </c>
      <c r="J57" s="41" t="n">
        <v>8919347153118</v>
      </c>
      <c r="K57" s="41" t="n">
        <v>10051507915817</v>
      </c>
      <c r="L57" s="41" t="n">
        <v>12381417771551</v>
      </c>
      <c r="M57" s="41" t="n">
        <v>13075069438709</v>
      </c>
    </row>
    <row r="58">
      <c r="A58" s="40" t="inlineStr">
        <is>
          <t>Phải trả người bán</t>
        </is>
      </c>
      <c r="B58" s="41" t="n">
        <v>438484076567</v>
      </c>
      <c r="C58" s="41" t="n">
        <v>752037945689</v>
      </c>
      <c r="D58" s="41" t="n">
        <v>763166422495</v>
      </c>
      <c r="E58" s="41" t="n">
        <v>705892254385</v>
      </c>
      <c r="F58" s="41" t="n">
        <v>3502803868705</v>
      </c>
      <c r="G58" s="41" t="n">
        <v>3202439604461</v>
      </c>
      <c r="H58" s="41" t="n">
        <v>3890533008090</v>
      </c>
      <c r="I58" s="41" t="n">
        <v>3814778579770</v>
      </c>
      <c r="J58" s="41" t="n">
        <v>4944397228276</v>
      </c>
      <c r="K58" s="41" t="n">
        <v>5995965425047</v>
      </c>
      <c r="L58" s="41" t="n">
        <v>5950438859700</v>
      </c>
      <c r="M58" s="41" t="n">
        <v>5492235667456</v>
      </c>
    </row>
    <row r="59">
      <c r="A59" s="40" t="inlineStr">
        <is>
          <t>Người mua trả tiền trước</t>
        </is>
      </c>
      <c r="B59" s="41" t="n">
        <v>19623235122</v>
      </c>
      <c r="C59" s="41" t="n">
        <v>14932248180</v>
      </c>
      <c r="D59" s="41" t="n">
        <v>20154028159</v>
      </c>
      <c r="E59" s="41" t="n">
        <v>13917697969</v>
      </c>
      <c r="F59" s="41" t="n">
        <v>48631011991</v>
      </c>
      <c r="G59" s="41" t="n">
        <v>37870117550</v>
      </c>
      <c r="H59" s="41" t="n">
        <v>35860962906</v>
      </c>
      <c r="I59" s="41" t="n">
        <v>39978704812</v>
      </c>
      <c r="J59" s="41" t="n">
        <v>63942695688</v>
      </c>
      <c r="K59" s="41" t="n">
        <v>61615375012</v>
      </c>
      <c r="L59" s="41" t="n">
        <v>55739123040</v>
      </c>
      <c r="M59" s="41" t="n">
        <v>99699683053</v>
      </c>
    </row>
    <row r="60">
      <c r="A60" s="40" t="inlineStr">
        <is>
          <t>Thuế và các khoản phải trả Nhà nước</t>
        </is>
      </c>
      <c r="B60" s="41" t="n">
        <v>32051626909</v>
      </c>
      <c r="C60" s="41" t="n">
        <v>30404752291</v>
      </c>
      <c r="D60" s="41" t="n">
        <v>27402360202</v>
      </c>
      <c r="E60" s="41" t="n">
        <v>24449995872</v>
      </c>
      <c r="F60" s="41" t="n">
        <v>113065117381</v>
      </c>
      <c r="G60" s="41" t="n">
        <v>124543935725</v>
      </c>
      <c r="H60" s="41" t="n">
        <v>118552194337</v>
      </c>
      <c r="I60" s="41" t="n">
        <v>137433265914</v>
      </c>
      <c r="J60" s="41" t="n">
        <v>183175940569</v>
      </c>
      <c r="K60" s="41" t="n">
        <v>244716064984</v>
      </c>
      <c r="L60" s="41" t="n">
        <v>101791294866</v>
      </c>
      <c r="M60" s="41" t="n">
        <v>276439146727</v>
      </c>
    </row>
    <row r="61">
      <c r="A61" s="40" t="inlineStr">
        <is>
          <t>Phải trả người lao động</t>
        </is>
      </c>
      <c r="B61" s="41" t="n">
        <v>2470960840</v>
      </c>
      <c r="C61" s="41" t="n">
        <v>2958884071</v>
      </c>
      <c r="D61" s="41" t="n">
        <v>1515845538</v>
      </c>
      <c r="E61" s="41" t="n">
        <v>1115924887</v>
      </c>
      <c r="F61" s="41" t="n">
        <v>924071397812</v>
      </c>
      <c r="G61" s="41" t="n">
        <v>1034444152158</v>
      </c>
      <c r="H61" s="41" t="n">
        <v>723153368225</v>
      </c>
      <c r="I61" s="41" t="n">
        <v>924601385570</v>
      </c>
      <c r="J61" s="41" t="n">
        <v>1075821017268</v>
      </c>
      <c r="K61" s="41" t="n">
        <v>1331638783393</v>
      </c>
      <c r="L61" s="41" t="n">
        <v>964201158078</v>
      </c>
      <c r="M61" s="41" t="n">
        <v>1238907799599</v>
      </c>
    </row>
    <row r="62">
      <c r="A62" s="40" t="inlineStr">
        <is>
          <t>Chi phí phải trả</t>
        </is>
      </c>
      <c r="B62" s="41" t="n">
        <v>206547651626</v>
      </c>
      <c r="C62" s="41" t="n">
        <v>168365906799</v>
      </c>
      <c r="D62" s="41" t="n">
        <v>202740179306</v>
      </c>
      <c r="E62" s="41" t="n">
        <v>177348831105</v>
      </c>
      <c r="F62" s="41" t="n">
        <v>245786378379</v>
      </c>
      <c r="G62" s="41" t="n">
        <v>194907134412</v>
      </c>
      <c r="H62" s="41" t="n">
        <v>255874235066</v>
      </c>
      <c r="I62" s="41" t="n">
        <v>293636500952</v>
      </c>
      <c r="J62" s="41" t="n">
        <v>352661454957</v>
      </c>
      <c r="K62" s="41" t="n">
        <v>281753290017</v>
      </c>
      <c r="L62" s="41" t="n">
        <v>398978870697</v>
      </c>
      <c r="M62" s="41" t="n">
        <v>389035384115</v>
      </c>
    </row>
    <row r="63">
      <c r="A63" s="40" t="inlineStr">
        <is>
          <t>Phải trả nội bộ</t>
        </is>
      </c>
      <c r="B63" s="41" t="n">
        <v>0</v>
      </c>
      <c r="C63" s="41" t="n">
        <v>0</v>
      </c>
      <c r="D63" s="41" t="n">
        <v>0</v>
      </c>
      <c r="E63" s="41" t="n">
        <v>0</v>
      </c>
      <c r="F63" s="41" t="n">
        <v>0</v>
      </c>
      <c r="G63" s="41" t="n">
        <v>0</v>
      </c>
      <c r="H63" s="41" t="n">
        <v>0</v>
      </c>
      <c r="I63" s="41" t="n">
        <v>0</v>
      </c>
      <c r="J63" s="41" t="n">
        <v>0</v>
      </c>
      <c r="K63" s="41" t="n">
        <v>0</v>
      </c>
      <c r="L63" s="41" t="n">
        <v>0</v>
      </c>
      <c r="M63" s="41" t="n">
        <v>0</v>
      </c>
    </row>
    <row r="64">
      <c r="A64" s="40" t="inlineStr">
        <is>
          <t>Phải trả về xây dựng cơ bản</t>
        </is>
      </c>
      <c r="B64" s="41" t="n">
        <v>0</v>
      </c>
      <c r="C64" s="41" t="n">
        <v>0</v>
      </c>
      <c r="D64" s="41" t="n">
        <v>0</v>
      </c>
      <c r="E64" s="41" t="n">
        <v>0</v>
      </c>
      <c r="F64" s="41" t="n">
        <v>0</v>
      </c>
      <c r="G64" s="41" t="n">
        <v>0</v>
      </c>
      <c r="H64" s="41" t="n">
        <v>0</v>
      </c>
      <c r="I64" s="41" t="n">
        <v>0</v>
      </c>
      <c r="J64" s="41" t="n">
        <v>0</v>
      </c>
      <c r="K64" s="41" t="n">
        <v>0</v>
      </c>
      <c r="L64" s="41" t="n">
        <v>0</v>
      </c>
      <c r="M64" s="41" t="n">
        <v>0</v>
      </c>
    </row>
    <row r="65">
      <c r="A65" s="40" t="inlineStr">
        <is>
          <t>Phải trả khác</t>
        </is>
      </c>
      <c r="B65" s="41" t="n">
        <v>94129730776</v>
      </c>
      <c r="C65" s="41" t="n">
        <v>103048994863</v>
      </c>
      <c r="D65" s="41" t="n">
        <v>242536500072</v>
      </c>
      <c r="E65" s="41" t="n">
        <v>313701625616</v>
      </c>
      <c r="F65" s="41" t="n">
        <v>109973552788</v>
      </c>
      <c r="G65" s="41" t="n">
        <v>89015814529</v>
      </c>
      <c r="H65" s="41" t="n">
        <v>104862055135</v>
      </c>
      <c r="I65" s="41" t="n">
        <v>109115708153</v>
      </c>
      <c r="J65" s="41" t="n">
        <v>99294113156</v>
      </c>
      <c r="K65" s="41" t="n">
        <v>94765132430</v>
      </c>
      <c r="L65" s="41" t="n">
        <v>93587802787</v>
      </c>
      <c r="M65" s="41" t="n">
        <v>86608157853</v>
      </c>
    </row>
    <row r="66">
      <c r="A66" s="40" t="inlineStr">
        <is>
          <t>Dự phòng các khoản phải trả ngắn hạn</t>
        </is>
      </c>
      <c r="B66" s="41" t="n">
        <v>0</v>
      </c>
      <c r="C66" s="41" t="n">
        <v>0</v>
      </c>
      <c r="D66" s="41" t="n">
        <v>0</v>
      </c>
      <c r="E66" s="41" t="n">
        <v>0</v>
      </c>
      <c r="F66" s="41" t="n">
        <v>18009331827</v>
      </c>
      <c r="G66" s="41" t="n">
        <v>2956037244</v>
      </c>
      <c r="H66" s="41" t="n">
        <v>3325443618</v>
      </c>
      <c r="I66" s="41" t="n">
        <v>3534107005</v>
      </c>
      <c r="J66" s="41" t="n">
        <v>5095928617</v>
      </c>
      <c r="K66" s="41" t="n">
        <v>5828163047</v>
      </c>
      <c r="L66" s="41" t="n">
        <v>5908658518</v>
      </c>
      <c r="M66" s="41" t="n">
        <v>6244744105</v>
      </c>
    </row>
    <row r="67">
      <c r="A67" s="40" t="inlineStr">
        <is>
          <t>Quỹ khen thưởng, phúc lợi</t>
        </is>
      </c>
      <c r="B67" s="41" t="n">
        <v>11543520261</v>
      </c>
      <c r="C67" s="41" t="n">
        <v>0</v>
      </c>
      <c r="D67" s="41" t="n">
        <v>1961585761</v>
      </c>
      <c r="E67" s="41" t="n">
        <v>12395947841</v>
      </c>
      <c r="F67" s="41" t="n">
        <v>677497597</v>
      </c>
      <c r="G67" s="41" t="n">
        <v>5733824194</v>
      </c>
      <c r="H67" s="41" t="n">
        <v>5733824194</v>
      </c>
      <c r="I67" s="41" t="n">
        <v>5733824194</v>
      </c>
      <c r="J67" s="41" t="n">
        <v>5733824194</v>
      </c>
      <c r="K67" s="41" t="n">
        <v>8178120854</v>
      </c>
      <c r="L67" s="41" t="n">
        <v>8178120854</v>
      </c>
      <c r="M67" s="41" t="n">
        <v>7357899854</v>
      </c>
    </row>
    <row r="68">
      <c r="A68" s="40" t="inlineStr">
        <is>
          <t>Nợ dài hạn</t>
        </is>
      </c>
      <c r="B68" s="41" t="n">
        <v>0</v>
      </c>
      <c r="C68" s="41" t="n">
        <v>0</v>
      </c>
      <c r="D68" s="41" t="n">
        <v>0</v>
      </c>
      <c r="E68" s="41" t="n">
        <v>0</v>
      </c>
      <c r="F68" s="41" t="n">
        <v>549602586</v>
      </c>
      <c r="G68" s="41" t="n">
        <v>553181844</v>
      </c>
      <c r="H68" s="41" t="n">
        <v>553181844</v>
      </c>
      <c r="I68" s="41" t="n">
        <v>553181844</v>
      </c>
      <c r="J68" s="41" t="n">
        <v>538181844</v>
      </c>
      <c r="K68" s="41" t="n">
        <v>691181844</v>
      </c>
      <c r="L68" s="41" t="n">
        <v>691181844</v>
      </c>
      <c r="M68" s="41" t="n">
        <v>709031844</v>
      </c>
    </row>
    <row r="69">
      <c r="A69" s="40" t="inlineStr">
        <is>
          <t>Phải trả nhà cung cấp dài hạn</t>
        </is>
      </c>
      <c r="B69" s="41" t="n">
        <v>0</v>
      </c>
      <c r="C69" s="41" t="n">
        <v>0</v>
      </c>
      <c r="D69" s="41" t="n">
        <v>0</v>
      </c>
      <c r="E69" s="41" t="n">
        <v>0</v>
      </c>
      <c r="F69" s="41" t="n">
        <v>0</v>
      </c>
      <c r="G69" s="41" t="n">
        <v>0</v>
      </c>
      <c r="H69" s="41" t="n">
        <v>0</v>
      </c>
      <c r="I69" s="41" t="n">
        <v>0</v>
      </c>
      <c r="J69" s="41" t="n">
        <v>0</v>
      </c>
      <c r="K69" s="41" t="n">
        <v>0</v>
      </c>
      <c r="L69" s="41" t="n">
        <v>0</v>
      </c>
      <c r="M69" s="41" t="n">
        <v>0</v>
      </c>
    </row>
    <row r="70">
      <c r="A70" s="40" t="inlineStr">
        <is>
          <t>Phải trả nội bộ dài hạn</t>
        </is>
      </c>
      <c r="B70" s="41" t="n">
        <v>0</v>
      </c>
      <c r="C70" s="41" t="n">
        <v>0</v>
      </c>
      <c r="D70" s="41" t="n">
        <v>0</v>
      </c>
      <c r="E70" s="41" t="n">
        <v>0</v>
      </c>
      <c r="F70" s="41" t="n">
        <v>0</v>
      </c>
      <c r="G70" s="41" t="n">
        <v>0</v>
      </c>
      <c r="H70" s="41" t="n">
        <v>0</v>
      </c>
      <c r="I70" s="41" t="n">
        <v>0</v>
      </c>
      <c r="J70" s="41" t="n">
        <v>0</v>
      </c>
      <c r="K70" s="41" t="n">
        <v>0</v>
      </c>
      <c r="L70" s="41" t="n">
        <v>0</v>
      </c>
      <c r="M70" s="41" t="n">
        <v>0</v>
      </c>
    </row>
    <row r="71">
      <c r="A71" s="40" t="inlineStr">
        <is>
          <t>Phải trả dài hạn khác</t>
        </is>
      </c>
      <c r="B71" s="41" t="n">
        <v>0</v>
      </c>
      <c r="C71" s="41" t="n">
        <v>0</v>
      </c>
      <c r="D71" s="41" t="n">
        <v>0</v>
      </c>
      <c r="E71" s="41" t="n">
        <v>0</v>
      </c>
      <c r="F71" s="41" t="n">
        <v>534700000</v>
      </c>
      <c r="G71" s="41" t="n">
        <v>521500000</v>
      </c>
      <c r="H71" s="41" t="n">
        <v>521500000</v>
      </c>
      <c r="I71" s="41" t="n">
        <v>521500000</v>
      </c>
      <c r="J71" s="41" t="n">
        <v>506500000</v>
      </c>
      <c r="K71" s="41" t="n">
        <v>659500000</v>
      </c>
      <c r="L71" s="41" t="n">
        <v>659500000</v>
      </c>
      <c r="M71" s="41" t="n">
        <v>677350000</v>
      </c>
    </row>
    <row r="72">
      <c r="A72" s="40" t="inlineStr">
        <is>
          <t>Vay dài hạn</t>
        </is>
      </c>
      <c r="B72" s="41" t="n">
        <v>0</v>
      </c>
      <c r="C72" s="41" t="n">
        <v>0</v>
      </c>
      <c r="D72" s="41" t="n">
        <v>0</v>
      </c>
      <c r="E72" s="41" t="n">
        <v>0</v>
      </c>
      <c r="F72" s="41" t="n">
        <v>0</v>
      </c>
      <c r="G72" s="41" t="n">
        <v>0</v>
      </c>
      <c r="H72" s="41" t="n">
        <v>0</v>
      </c>
      <c r="I72" s="41" t="n">
        <v>0</v>
      </c>
      <c r="J72" s="41" t="n">
        <v>0</v>
      </c>
      <c r="K72" s="41" t="n">
        <v>0</v>
      </c>
      <c r="L72" s="41" t="n">
        <v>0</v>
      </c>
      <c r="M72" s="41" t="n">
        <v>0</v>
      </c>
    </row>
    <row r="73">
      <c r="A73" s="40" t="inlineStr">
        <is>
          <t>Thuế thu nhập hoãn lại</t>
        </is>
      </c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</row>
    <row r="74">
      <c r="A74" s="40" t="inlineStr">
        <is>
          <t>Dự phòng trợ cấp thôi việc</t>
        </is>
      </c>
      <c r="B74" s="41" t="n">
        <v>0</v>
      </c>
      <c r="C74" s="41" t="n">
        <v>0</v>
      </c>
      <c r="D74" s="41" t="n">
        <v>0</v>
      </c>
      <c r="E74" s="41" t="n">
        <v>0</v>
      </c>
      <c r="F74" s="41" t="n">
        <v>0</v>
      </c>
      <c r="G74" s="41" t="n">
        <v>0</v>
      </c>
      <c r="H74" s="41" t="n">
        <v>0</v>
      </c>
      <c r="I74" s="41" t="n">
        <v>0</v>
      </c>
      <c r="J74" s="41" t="n">
        <v>0</v>
      </c>
      <c r="K74" s="41" t="n">
        <v>0</v>
      </c>
      <c r="L74" s="41" t="n">
        <v>0</v>
      </c>
      <c r="M74" s="41" t="n">
        <v>0</v>
      </c>
    </row>
    <row r="75">
      <c r="A75" s="40" t="inlineStr">
        <is>
          <t>Dự phòng các khoản nợ dài hạn</t>
        </is>
      </c>
      <c r="B75" s="41" t="n">
        <v>0</v>
      </c>
      <c r="C75" s="41" t="n">
        <v>0</v>
      </c>
      <c r="D75" s="41" t="n">
        <v>0</v>
      </c>
      <c r="E75" s="41" t="n">
        <v>0</v>
      </c>
      <c r="F75" s="41" t="n">
        <v>0</v>
      </c>
      <c r="G75" s="41" t="n">
        <v>0</v>
      </c>
      <c r="H75" s="41" t="n">
        <v>0</v>
      </c>
      <c r="I75" s="41" t="n">
        <v>0</v>
      </c>
      <c r="J75" s="41" t="n">
        <v>0</v>
      </c>
      <c r="K75" s="41" t="n">
        <v>0</v>
      </c>
      <c r="L75" s="41" t="n">
        <v>0</v>
      </c>
      <c r="M75" s="41" t="n">
        <v>0</v>
      </c>
    </row>
    <row r="76">
      <c r="A76" s="40" t="inlineStr">
        <is>
          <t>Doanh thu chưa thực hiện</t>
        </is>
      </c>
      <c r="B76" s="41" t="n">
        <v>0</v>
      </c>
      <c r="C76" s="41" t="n">
        <v>0</v>
      </c>
      <c r="D76" s="41" t="n">
        <v>0</v>
      </c>
      <c r="E76" s="41" t="n">
        <v>0</v>
      </c>
      <c r="F76" s="41" t="n">
        <v>0</v>
      </c>
      <c r="G76" s="41" t="n">
        <v>0</v>
      </c>
      <c r="H76" s="41" t="n">
        <v>0</v>
      </c>
      <c r="I76" s="41" t="n">
        <v>0</v>
      </c>
      <c r="J76" s="41" t="n">
        <v>0</v>
      </c>
      <c r="K76" s="41" t="n">
        <v>0</v>
      </c>
      <c r="L76" s="41" t="n">
        <v>0</v>
      </c>
      <c r="M76" s="41" t="n">
        <v>0</v>
      </c>
    </row>
    <row r="77">
      <c r="A77" s="40" t="inlineStr">
        <is>
          <t>Quỹ phát triển khoa học công nghệ</t>
        </is>
      </c>
      <c r="B77" s="41" t="n">
        <v>0</v>
      </c>
      <c r="C77" s="41" t="n">
        <v>0</v>
      </c>
      <c r="D77" s="41" t="n">
        <v>0</v>
      </c>
      <c r="E77" s="41" t="n">
        <v>0</v>
      </c>
      <c r="F77" s="41" t="n">
        <v>0</v>
      </c>
      <c r="G77" s="41" t="n">
        <v>0</v>
      </c>
      <c r="H77" s="41" t="n">
        <v>0</v>
      </c>
      <c r="I77" s="41" t="n">
        <v>0</v>
      </c>
      <c r="J77" s="41" t="n">
        <v>0</v>
      </c>
      <c r="K77" s="41" t="n">
        <v>0</v>
      </c>
      <c r="L77" s="41" t="n">
        <v>0</v>
      </c>
      <c r="M77" s="41" t="n">
        <v>0</v>
      </c>
    </row>
    <row r="78">
      <c r="A78" s="40" t="inlineStr">
        <is>
          <t>Vốn chủ sở hữu</t>
        </is>
      </c>
      <c r="B78" s="41" t="n">
        <v>860336944083</v>
      </c>
      <c r="C78" s="41" t="n">
        <v>942984568460</v>
      </c>
      <c r="D78" s="41" t="n">
        <v>1023867566969</v>
      </c>
      <c r="E78" s="41" t="n">
        <v>1158767132623</v>
      </c>
      <c r="F78" s="41" t="n">
        <v>1991008429872</v>
      </c>
      <c r="G78" s="41" t="n">
        <v>2119813714328</v>
      </c>
      <c r="H78" s="41" t="n">
        <v>2332597319875</v>
      </c>
      <c r="I78" s="41" t="n">
        <v>3377096382480</v>
      </c>
      <c r="J78" s="41" t="n">
        <v>3642976805227</v>
      </c>
      <c r="K78" s="41" t="n">
        <v>5139070693233</v>
      </c>
      <c r="L78" s="41" t="n">
        <v>5513873186690</v>
      </c>
      <c r="M78" s="41" t="n">
        <v>5964413550236</v>
      </c>
    </row>
    <row r="79">
      <c r="A79" s="40" t="inlineStr">
        <is>
          <t>Vốn và các quỹ</t>
        </is>
      </c>
      <c r="B79" s="41" t="n">
        <v>860336944083</v>
      </c>
      <c r="C79" s="41" t="n">
        <v>942984568460</v>
      </c>
      <c r="D79" s="41" t="n">
        <v>1023867566969</v>
      </c>
      <c r="E79" s="41" t="n">
        <v>1158767132623</v>
      </c>
      <c r="F79" s="41" t="n">
        <v>1991008429872</v>
      </c>
      <c r="G79" s="41" t="n">
        <v>2119813714328</v>
      </c>
      <c r="H79" s="41" t="n">
        <v>2332597319875</v>
      </c>
      <c r="I79" s="41" t="n">
        <v>3377096382480</v>
      </c>
      <c r="J79" s="41" t="n">
        <v>3642976805227</v>
      </c>
      <c r="K79" s="41" t="n">
        <v>5139070693233</v>
      </c>
      <c r="L79" s="41" t="n">
        <v>5513873186690</v>
      </c>
      <c r="M79" s="41" t="n">
        <v>5964413550236</v>
      </c>
    </row>
    <row r="80">
      <c r="A80" s="40" t="inlineStr">
        <is>
          <t>Vốn góp</t>
        </is>
      </c>
      <c r="B80" s="41" t="n">
        <v>400000000000</v>
      </c>
      <c r="C80" s="41" t="n">
        <v>680000000000</v>
      </c>
      <c r="D80" s="41" t="n">
        <v>680000000000</v>
      </c>
      <c r="E80" s="41" t="n">
        <v>680000000000</v>
      </c>
      <c r="F80" s="41" t="n">
        <v>1362423890000</v>
      </c>
      <c r="G80" s="41" t="n">
        <v>1362423890000</v>
      </c>
      <c r="H80" s="41" t="n">
        <v>1362423890000</v>
      </c>
      <c r="I80" s="41" t="n">
        <v>1362423890000</v>
      </c>
      <c r="J80" s="41" t="n">
        <v>1703017850000</v>
      </c>
      <c r="K80" s="41" t="n">
        <v>1703017850000</v>
      </c>
      <c r="L80" s="41" t="n">
        <v>1703017850000</v>
      </c>
      <c r="M80" s="41" t="n">
        <v>1703017850000</v>
      </c>
    </row>
    <row r="81">
      <c r="A81" s="40" t="inlineStr">
        <is>
          <t>Thặng dư vốn cổ phần</t>
        </is>
      </c>
      <c r="B81" s="41" t="n">
        <v>0</v>
      </c>
      <c r="C81" s="41" t="n">
        <v>0</v>
      </c>
      <c r="D81" s="41" t="n">
        <v>0</v>
      </c>
      <c r="E81" s="41" t="n">
        <v>0</v>
      </c>
      <c r="F81" s="41" t="n">
        <v>0</v>
      </c>
      <c r="G81" s="41" t="n">
        <v>0</v>
      </c>
      <c r="H81" s="41" t="n">
        <v>0</v>
      </c>
      <c r="I81" s="41" t="n">
        <v>0</v>
      </c>
      <c r="J81" s="41" t="n">
        <v>0</v>
      </c>
      <c r="K81" s="41" t="n">
        <v>0</v>
      </c>
      <c r="L81" s="41" t="n">
        <v>0</v>
      </c>
      <c r="M81" s="41" t="n">
        <v>0</v>
      </c>
    </row>
    <row r="82">
      <c r="A82" s="40" t="inlineStr">
        <is>
          <t>Vốn khác</t>
        </is>
      </c>
      <c r="B82" s="41" t="n">
        <v>0</v>
      </c>
      <c r="C82" s="41" t="n">
        <v>0</v>
      </c>
      <c r="D82" s="41" t="n">
        <v>0</v>
      </c>
      <c r="E82" s="41" t="n">
        <v>0</v>
      </c>
      <c r="F82" s="41" t="n">
        <v>0</v>
      </c>
      <c r="G82" s="41" t="n">
        <v>0</v>
      </c>
      <c r="H82" s="41" t="n">
        <v>0</v>
      </c>
      <c r="I82" s="41" t="n">
        <v>0</v>
      </c>
      <c r="J82" s="41" t="n">
        <v>0</v>
      </c>
      <c r="K82" s="41" t="n">
        <v>0</v>
      </c>
      <c r="L82" s="41" t="n">
        <v>0</v>
      </c>
      <c r="M82" s="41" t="n">
        <v>85132690000</v>
      </c>
    </row>
    <row r="83">
      <c r="A83" s="40" t="inlineStr">
        <is>
          <t>Cổ phiếu quỹ</t>
        </is>
      </c>
      <c r="B83" s="41" t="n">
        <v>0</v>
      </c>
      <c r="C83" s="41" t="n">
        <v>0</v>
      </c>
      <c r="D83" s="41" t="n">
        <v>0</v>
      </c>
      <c r="E83" s="41" t="n">
        <v>0</v>
      </c>
      <c r="F83" s="41" t="n">
        <v>0</v>
      </c>
      <c r="G83" s="41" t="n">
        <v>0</v>
      </c>
      <c r="H83" s="41" t="n">
        <v>0</v>
      </c>
      <c r="I83" s="41" t="n">
        <v>0</v>
      </c>
      <c r="J83" s="41" t="n">
        <v>0</v>
      </c>
      <c r="K83" s="41" t="n">
        <v>0</v>
      </c>
      <c r="L83" s="41" t="n">
        <v>0</v>
      </c>
      <c r="M83" s="41" t="n">
        <v>0</v>
      </c>
    </row>
    <row r="84">
      <c r="A84" s="40" t="inlineStr">
        <is>
          <t>Chênh lệch đánh giá lại tài sản</t>
        </is>
      </c>
      <c r="B84" s="41" t="n">
        <v>0</v>
      </c>
      <c r="C84" s="41" t="n">
        <v>0</v>
      </c>
      <c r="D84" s="41" t="n">
        <v>0</v>
      </c>
      <c r="E84" s="41" t="n">
        <v>0</v>
      </c>
      <c r="F84" s="41" t="n">
        <v>0</v>
      </c>
      <c r="G84" s="41" t="n">
        <v>0</v>
      </c>
      <c r="H84" s="41" t="n">
        <v>0</v>
      </c>
      <c r="I84" s="41" t="n">
        <v>0</v>
      </c>
      <c r="J84" s="41" t="n">
        <v>0</v>
      </c>
      <c r="K84" s="41" t="n">
        <v>0</v>
      </c>
      <c r="L84" s="41" t="n">
        <v>0</v>
      </c>
      <c r="M84" s="41" t="n">
        <v>0</v>
      </c>
    </row>
    <row r="85">
      <c r="A85" s="40" t="inlineStr">
        <is>
          <t>Chênh lệch tỷ giá</t>
        </is>
      </c>
      <c r="B85" s="41" t="n">
        <v>0</v>
      </c>
      <c r="C85" s="41" t="n">
        <v>0</v>
      </c>
      <c r="D85" s="41" t="n">
        <v>0</v>
      </c>
      <c r="E85" s="41" t="n">
        <v>0</v>
      </c>
      <c r="F85" s="41" t="n">
        <v>0</v>
      </c>
      <c r="G85" s="41" t="n">
        <v>0</v>
      </c>
      <c r="H85" s="41" t="n">
        <v>0</v>
      </c>
      <c r="I85" s="41" t="n">
        <v>0</v>
      </c>
      <c r="J85" s="41" t="n">
        <v>0</v>
      </c>
      <c r="K85" s="41" t="n">
        <v>0</v>
      </c>
      <c r="L85" s="41" t="n">
        <v>0</v>
      </c>
      <c r="M85" s="41" t="n">
        <v>0</v>
      </c>
    </row>
    <row r="86">
      <c r="A86" s="40" t="inlineStr">
        <is>
          <t>Quỹ đầu tư và phát triển</t>
        </is>
      </c>
      <c r="B86" s="41" t="n">
        <v>0</v>
      </c>
      <c r="C86" s="41" t="n">
        <v>0</v>
      </c>
      <c r="D86" s="41" t="n">
        <v>0</v>
      </c>
      <c r="E86" s="41" t="n">
        <v>0</v>
      </c>
      <c r="F86" s="41" t="n">
        <v>0</v>
      </c>
      <c r="G86" s="41" t="n">
        <v>0</v>
      </c>
      <c r="H86" s="41" t="n">
        <v>0</v>
      </c>
      <c r="I86" s="41" t="n">
        <v>0</v>
      </c>
      <c r="J86" s="41" t="n">
        <v>0</v>
      </c>
      <c r="K86" s="41" t="n">
        <v>0</v>
      </c>
      <c r="L86" s="41" t="n">
        <v>0</v>
      </c>
      <c r="M86" s="41" t="n">
        <v>0</v>
      </c>
    </row>
    <row r="87">
      <c r="A87" s="40" t="inlineStr">
        <is>
          <t>Quỹ dự phòng tài chính</t>
        </is>
      </c>
      <c r="B87" s="41" t="n">
        <v>0</v>
      </c>
      <c r="C87" s="41" t="n">
        <v>0</v>
      </c>
      <c r="D87" s="41" t="n">
        <v>0</v>
      </c>
      <c r="E87" s="41" t="n">
        <v>0</v>
      </c>
      <c r="F87" s="41" t="n">
        <v>0</v>
      </c>
      <c r="G87" s="41" t="n">
        <v>0</v>
      </c>
      <c r="H87" s="41" t="n">
        <v>0</v>
      </c>
      <c r="I87" s="41" t="n">
        <v>0</v>
      </c>
      <c r="J87" s="41" t="n">
        <v>0</v>
      </c>
      <c r="K87" s="41" t="n">
        <v>0</v>
      </c>
      <c r="L87" s="41" t="n">
        <v>0</v>
      </c>
      <c r="M87" s="41" t="n">
        <v>0</v>
      </c>
    </row>
    <row r="88">
      <c r="A88" s="40" t="inlineStr">
        <is>
          <t>Quỹ khác</t>
        </is>
      </c>
      <c r="B88" s="41" t="n">
        <v>0</v>
      </c>
      <c r="C88" s="41" t="n">
        <v>0</v>
      </c>
      <c r="D88" s="41" t="n">
        <v>0</v>
      </c>
      <c r="E88" s="41" t="n">
        <v>0</v>
      </c>
      <c r="F88" s="41" t="n">
        <v>0</v>
      </c>
      <c r="G88" s="41" t="n">
        <v>0</v>
      </c>
      <c r="H88" s="41" t="n">
        <v>0</v>
      </c>
      <c r="I88" s="41" t="n">
        <v>0</v>
      </c>
      <c r="J88" s="41" t="n">
        <v>0</v>
      </c>
      <c r="K88" s="41" t="n">
        <v>0</v>
      </c>
      <c r="L88" s="41" t="n">
        <v>0</v>
      </c>
      <c r="M88" s="41" t="n">
        <v>0</v>
      </c>
    </row>
    <row r="89">
      <c r="A89" s="40" t="inlineStr">
        <is>
          <t>Lãi chưa phân phối</t>
        </is>
      </c>
      <c r="B89" s="41" t="n">
        <v>460336944083</v>
      </c>
      <c r="C89" s="41" t="n">
        <v>262984568460</v>
      </c>
      <c r="D89" s="41" t="n">
        <v>343867566969</v>
      </c>
      <c r="E89" s="41" t="n">
        <v>453783369453</v>
      </c>
      <c r="F89" s="41" t="n">
        <v>443344414377</v>
      </c>
      <c r="G89" s="41" t="n">
        <v>549386390157</v>
      </c>
      <c r="H89" s="41" t="n">
        <v>717349159437</v>
      </c>
      <c r="I89" s="41" t="n">
        <v>1504051375148</v>
      </c>
      <c r="J89" s="41" t="n">
        <v>1382190852017</v>
      </c>
      <c r="K89" s="41" t="n">
        <v>2468442850502</v>
      </c>
      <c r="L89" s="41" t="n">
        <v>2755970958238</v>
      </c>
      <c r="M89" s="41" t="n">
        <v>3012327369712</v>
      </c>
    </row>
    <row r="90">
      <c r="A90" s="40" t="inlineStr">
        <is>
          <t>Quỹ hỗ trợ sắp xếp doanh nghiệp</t>
        </is>
      </c>
      <c r="B90" s="41" t="n">
        <v>0</v>
      </c>
      <c r="C90" s="41" t="n">
        <v>0</v>
      </c>
      <c r="D90" s="41" t="n">
        <v>0</v>
      </c>
      <c r="E90" s="41" t="n">
        <v>0</v>
      </c>
      <c r="F90" s="41" t="n">
        <v>0</v>
      </c>
      <c r="G90" s="41" t="n">
        <v>0</v>
      </c>
      <c r="H90" s="41" t="n">
        <v>0</v>
      </c>
      <c r="I90" s="41" t="n">
        <v>0</v>
      </c>
      <c r="J90" s="41" t="n">
        <v>0</v>
      </c>
      <c r="K90" s="41" t="n">
        <v>0</v>
      </c>
      <c r="L90" s="41" t="n">
        <v>0</v>
      </c>
      <c r="M90" s="41" t="n">
        <v>0</v>
      </c>
    </row>
    <row r="91">
      <c r="A91" s="40" t="inlineStr">
        <is>
          <t>Vốn Ngân sách nhà nước và quỹ khác</t>
        </is>
      </c>
      <c r="B91" s="41" t="n">
        <v>0</v>
      </c>
      <c r="C91" s="41" t="n">
        <v>0</v>
      </c>
      <c r="D91" s="41" t="n">
        <v>0</v>
      </c>
      <c r="E91" s="41" t="n">
        <v>0</v>
      </c>
      <c r="F91" s="41" t="n">
        <v>0</v>
      </c>
      <c r="G91" s="41" t="n">
        <v>0</v>
      </c>
      <c r="H91" s="41" t="n">
        <v>0</v>
      </c>
      <c r="I91" s="41" t="n">
        <v>0</v>
      </c>
      <c r="J91" s="41" t="n">
        <v>0</v>
      </c>
      <c r="K91" s="41" t="n">
        <v>0</v>
      </c>
      <c r="L91" s="41" t="n">
        <v>0</v>
      </c>
      <c r="M91" s="41" t="n">
        <v>0</v>
      </c>
    </row>
    <row r="92">
      <c r="A92" s="40" t="inlineStr">
        <is>
          <t>Quỹ khen thưởng, phúc lợi (trước 2010)</t>
        </is>
      </c>
      <c r="B92" s="41" t="n">
        <v>0</v>
      </c>
      <c r="C92" s="41" t="n">
        <v>0</v>
      </c>
      <c r="D92" s="41" t="n">
        <v>0</v>
      </c>
      <c r="E92" s="41" t="n">
        <v>0</v>
      </c>
      <c r="F92" s="41" t="n">
        <v>0</v>
      </c>
      <c r="G92" s="41" t="n">
        <v>0</v>
      </c>
      <c r="H92" s="41" t="n">
        <v>0</v>
      </c>
      <c r="I92" s="41" t="n">
        <v>0</v>
      </c>
      <c r="J92" s="41" t="n">
        <v>0</v>
      </c>
      <c r="K92" s="41" t="n">
        <v>0</v>
      </c>
      <c r="L92" s="41" t="n">
        <v>0</v>
      </c>
      <c r="M92" s="41" t="n">
        <v>0</v>
      </c>
    </row>
    <row r="93">
      <c r="A93" s="40" t="inlineStr">
        <is>
          <t>Vốn ngân sách nhà nước và quỹ khác</t>
        </is>
      </c>
      <c r="B93" s="41" t="n">
        <v>0</v>
      </c>
      <c r="C93" s="41" t="n">
        <v>0</v>
      </c>
      <c r="D93" s="41" t="n">
        <v>0</v>
      </c>
      <c r="E93" s="41" t="n">
        <v>0</v>
      </c>
      <c r="F93" s="41" t="n">
        <v>0</v>
      </c>
      <c r="G93" s="41" t="n">
        <v>0</v>
      </c>
      <c r="H93" s="41" t="n">
        <v>0</v>
      </c>
      <c r="I93" s="41" t="n">
        <v>0</v>
      </c>
      <c r="J93" s="41" t="n">
        <v>0</v>
      </c>
      <c r="K93" s="41" t="n">
        <v>0</v>
      </c>
      <c r="L93" s="41" t="n">
        <v>0</v>
      </c>
      <c r="M93" s="41" t="n">
        <v>0</v>
      </c>
    </row>
    <row r="94">
      <c r="A94" s="40" t="inlineStr">
        <is>
          <t>Lợi ích của cổ đông thiểu số</t>
        </is>
      </c>
      <c r="B94" s="41" t="n">
        <v>0</v>
      </c>
      <c r="C94" s="41" t="n">
        <v>0</v>
      </c>
      <c r="D94" s="41" t="n">
        <v>0</v>
      </c>
      <c r="E94" s="41" t="n">
        <v>0</v>
      </c>
      <c r="F94" s="41" t="n">
        <v>0</v>
      </c>
      <c r="G94" s="41" t="n">
        <v>0</v>
      </c>
      <c r="H94" s="41" t="n">
        <v>0</v>
      </c>
      <c r="I94" s="41" t="n">
        <v>0</v>
      </c>
      <c r="J94" s="41" t="n">
        <v>0</v>
      </c>
      <c r="K94" s="41" t="n">
        <v>0</v>
      </c>
      <c r="L94" s="41" t="n">
        <v>0</v>
      </c>
      <c r="M94" s="41" t="n">
        <v>0</v>
      </c>
    </row>
    <row r="95">
      <c r="A95" s="40" t="inlineStr">
        <is>
          <t>Tổng cộng nguồn vốn</t>
        </is>
      </c>
      <c r="B95" s="41" t="n">
        <v>4119149838724</v>
      </c>
      <c r="C95" s="41" t="n">
        <v>4138151952930</v>
      </c>
      <c r="D95" s="41" t="n">
        <v>4231406478611</v>
      </c>
      <c r="E95" s="41" t="n">
        <v>5354861394905</v>
      </c>
      <c r="F95" s="41" t="n">
        <v>14474751560225</v>
      </c>
      <c r="G95" s="41" t="n">
        <v>15832550399101</v>
      </c>
      <c r="H95" s="41" t="n">
        <v>16636134734454</v>
      </c>
      <c r="I95" s="41" t="n">
        <v>18326764655996</v>
      </c>
      <c r="J95" s="41" t="n">
        <v>19701862827575</v>
      </c>
      <c r="K95" s="41" t="n">
        <v>23714236170376</v>
      </c>
      <c r="L95" s="41" t="n">
        <v>26027165690888</v>
      </c>
      <c r="M95" s="41" t="n">
        <v>27261459573161</v>
      </c>
    </row>
    <row r="96">
      <c r="A96" s="40" t="inlineStr">
        <is>
          <t>Cổ phiếu ưu đãi</t>
        </is>
      </c>
      <c r="B96" s="41" t="n">
        <v>0</v>
      </c>
      <c r="C96" s="41" t="n">
        <v>0</v>
      </c>
      <c r="D96" s="41" t="n">
        <v>0</v>
      </c>
      <c r="E96" s="41" t="n">
        <v>0</v>
      </c>
      <c r="F96" s="41" t="n">
        <v>0</v>
      </c>
      <c r="G96" s="41" t="n">
        <v>0</v>
      </c>
      <c r="H96" s="41" t="n">
        <v>0</v>
      </c>
      <c r="I96" s="41" t="n">
        <v>0</v>
      </c>
      <c r="J96" s="41" t="n">
        <v>0</v>
      </c>
      <c r="K96" s="41" t="n">
        <v>0</v>
      </c>
      <c r="L96" s="41" t="n">
        <v>0</v>
      </c>
      <c r="M96" s="41" t="n">
        <v>0</v>
      </c>
    </row>
    <row r="97">
      <c r="A97" s="40" t="inlineStr">
        <is>
          <t>Đầu tư nắm giữ đến ngày đáo hạn</t>
        </is>
      </c>
      <c r="B97" s="41" t="n">
        <v>0</v>
      </c>
      <c r="C97" s="41" t="n">
        <v>0</v>
      </c>
      <c r="D97" s="41" t="n">
        <v>0</v>
      </c>
      <c r="E97" s="41" t="n">
        <v>0</v>
      </c>
      <c r="F97" s="41" t="n">
        <v>0</v>
      </c>
      <c r="G97" s="41" t="n">
        <v>0</v>
      </c>
      <c r="H97" s="41" t="n">
        <v>0</v>
      </c>
      <c r="I97" s="41" t="n">
        <v>0</v>
      </c>
      <c r="J97" s="41" t="n">
        <v>0</v>
      </c>
      <c r="K97" s="41" t="n">
        <v>0</v>
      </c>
      <c r="L97" s="41" t="n">
        <v>0</v>
      </c>
      <c r="M97" s="41" t="n">
        <v>0</v>
      </c>
    </row>
    <row r="98">
      <c r="A98" s="40" t="inlineStr">
        <is>
          <t>Vốn kinh doanh ở các đơn vị trực thuộc</t>
        </is>
      </c>
      <c r="B98" s="41" t="n">
        <v>0</v>
      </c>
      <c r="C98" s="41" t="n">
        <v>0</v>
      </c>
      <c r="D98" s="41" t="n">
        <v>0</v>
      </c>
      <c r="E98" s="41" t="n">
        <v>0</v>
      </c>
      <c r="F98" s="41" t="n">
        <v>0</v>
      </c>
      <c r="G98" s="41" t="n">
        <v>0</v>
      </c>
      <c r="H98" s="41" t="n">
        <v>0</v>
      </c>
      <c r="I98" s="41" t="n">
        <v>0</v>
      </c>
      <c r="J98" s="41" t="n">
        <v>0</v>
      </c>
      <c r="K98" s="41" t="n">
        <v>0</v>
      </c>
      <c r="L98" s="41" t="n">
        <v>0</v>
      </c>
      <c r="M98" s="41" t="n">
        <v>0</v>
      </c>
    </row>
    <row r="99">
      <c r="A99" s="40" t="inlineStr">
        <is>
          <t>Tài sản thiếu cần xử lý</t>
        </is>
      </c>
      <c r="B99" s="41" t="n">
        <v>0</v>
      </c>
      <c r="C99" s="41" t="n">
        <v>0</v>
      </c>
      <c r="D99" s="41" t="n">
        <v>0</v>
      </c>
      <c r="E99" s="41" t="n">
        <v>0</v>
      </c>
      <c r="F99" s="41" t="n">
        <v>0</v>
      </c>
      <c r="G99" s="41" t="n">
        <v>0</v>
      </c>
      <c r="H99" s="41" t="n">
        <v>0</v>
      </c>
      <c r="I99" s="41" t="n">
        <v>0</v>
      </c>
      <c r="J99" s="41" t="n">
        <v>0</v>
      </c>
      <c r="K99" s="41" t="n">
        <v>0</v>
      </c>
      <c r="L99" s="41" t="n">
        <v>0</v>
      </c>
      <c r="M99" s="41" t="n">
        <v>0</v>
      </c>
    </row>
    <row r="100">
      <c r="A100" s="40" t="inlineStr">
        <is>
          <t>Phải thu cho vay ngắn hạn</t>
        </is>
      </c>
      <c r="B100" s="41" t="n">
        <v>0</v>
      </c>
      <c r="C100" s="41" t="n">
        <v>102359066193</v>
      </c>
      <c r="D100" s="41" t="n">
        <v>0</v>
      </c>
      <c r="E100" s="41" t="n">
        <v>0</v>
      </c>
      <c r="F100" s="41" t="n">
        <v>0</v>
      </c>
      <c r="G100" s="41" t="n">
        <v>0</v>
      </c>
      <c r="H100" s="41" t="n">
        <v>0</v>
      </c>
      <c r="I100" s="41" t="n">
        <v>0</v>
      </c>
      <c r="J100" s="41" t="n">
        <v>0</v>
      </c>
      <c r="K100" s="41" t="n">
        <v>0</v>
      </c>
      <c r="L100" s="41" t="n">
        <v>0</v>
      </c>
      <c r="M100" s="41" t="n">
        <v>0</v>
      </c>
    </row>
    <row r="101">
      <c r="A101" s="40" t="inlineStr">
        <is>
          <t>Giao dịch mua bán lại trái phiếu Chính phủ</t>
        </is>
      </c>
      <c r="B101" s="41" t="n">
        <v>0</v>
      </c>
      <c r="C101" s="41" t="n">
        <v>0</v>
      </c>
      <c r="D101" s="41" t="n">
        <v>0</v>
      </c>
      <c r="E101" s="41" t="n">
        <v>0</v>
      </c>
      <c r="F101" s="41" t="n">
        <v>0</v>
      </c>
      <c r="G101" s="41" t="n">
        <v>0</v>
      </c>
      <c r="H101" s="41" t="n">
        <v>0</v>
      </c>
      <c r="I101" s="41" t="n">
        <v>0</v>
      </c>
      <c r="J101" s="41" t="n">
        <v>0</v>
      </c>
      <c r="K101" s="41" t="n">
        <v>0</v>
      </c>
      <c r="L101" s="41" t="n">
        <v>0</v>
      </c>
      <c r="M101" s="41" t="n">
        <v>0</v>
      </c>
    </row>
    <row r="102">
      <c r="A102" s="40" t="inlineStr">
        <is>
          <t>Trả trước người bán dài hạn</t>
        </is>
      </c>
      <c r="B102" s="41" t="n">
        <v>0</v>
      </c>
      <c r="C102" s="41" t="n">
        <v>0</v>
      </c>
      <c r="D102" s="41" t="n">
        <v>0</v>
      </c>
      <c r="E102" s="41" t="n">
        <v>0</v>
      </c>
      <c r="F102" s="41" t="n">
        <v>0</v>
      </c>
      <c r="G102" s="41" t="n">
        <v>0</v>
      </c>
      <c r="H102" s="41" t="n">
        <v>0</v>
      </c>
      <c r="I102" s="41" t="n">
        <v>0</v>
      </c>
      <c r="J102" s="41" t="n">
        <v>0</v>
      </c>
      <c r="K102" s="41" t="n">
        <v>0</v>
      </c>
      <c r="L102" s="41" t="n">
        <v>0</v>
      </c>
      <c r="M102" s="41" t="n">
        <v>0</v>
      </c>
    </row>
    <row r="103">
      <c r="A103" s="40" t="inlineStr">
        <is>
          <t>Phải thu cho vay dài hạn</t>
        </is>
      </c>
      <c r="B103" s="41" t="n">
        <v>0</v>
      </c>
      <c r="C103" s="41" t="n">
        <v>0</v>
      </c>
      <c r="D103" s="41" t="n">
        <v>0</v>
      </c>
      <c r="E103" s="41" t="n">
        <v>0</v>
      </c>
      <c r="F103" s="41" t="n">
        <v>0</v>
      </c>
      <c r="G103" s="41" t="n">
        <v>0</v>
      </c>
      <c r="H103" s="41" t="n">
        <v>0</v>
      </c>
      <c r="I103" s="41" t="n">
        <v>0</v>
      </c>
      <c r="J103" s="41" t="n">
        <v>0</v>
      </c>
      <c r="K103" s="41" t="n">
        <v>0</v>
      </c>
      <c r="L103" s="41" t="n">
        <v>0</v>
      </c>
      <c r="M103" s="41" t="n">
        <v>0</v>
      </c>
    </row>
    <row r="104">
      <c r="A104" s="40" t="inlineStr">
        <is>
          <t>Tài sản dở dang dài hạn</t>
        </is>
      </c>
      <c r="B104" s="41" t="n">
        <v>0</v>
      </c>
      <c r="C104" s="41" t="n">
        <v>0</v>
      </c>
      <c r="D104" s="41" t="n">
        <v>0</v>
      </c>
      <c r="E104" s="41" t="n">
        <v>0</v>
      </c>
      <c r="F104" s="41" t="n">
        <v>0</v>
      </c>
      <c r="G104" s="41" t="n">
        <v>8230000000</v>
      </c>
      <c r="H104" s="41" t="n">
        <v>0</v>
      </c>
      <c r="I104" s="41" t="n">
        <v>0</v>
      </c>
      <c r="J104" s="41" t="n">
        <v>0</v>
      </c>
      <c r="K104" s="41" t="n">
        <v>1411954000</v>
      </c>
      <c r="L104" s="41" t="n">
        <v>1411954000</v>
      </c>
      <c r="M104" s="41" t="n">
        <v>30215274083</v>
      </c>
    </row>
    <row r="105">
      <c r="A105" s="40" t="inlineStr">
        <is>
          <t>Chi phí sản xuất, kinh doanh dở dang dài hạn</t>
        </is>
      </c>
      <c r="B105" s="41" t="n">
        <v>0</v>
      </c>
      <c r="C105" s="41" t="n">
        <v>0</v>
      </c>
      <c r="D105" s="41" t="n">
        <v>0</v>
      </c>
      <c r="E105" s="41" t="n">
        <v>0</v>
      </c>
      <c r="F105" s="41" t="n">
        <v>0</v>
      </c>
      <c r="G105" s="41" t="n">
        <v>0</v>
      </c>
      <c r="H105" s="41" t="n">
        <v>0</v>
      </c>
      <c r="I105" s="41" t="n">
        <v>0</v>
      </c>
      <c r="J105" s="41" t="n">
        <v>0</v>
      </c>
      <c r="K105" s="41" t="n">
        <v>0</v>
      </c>
      <c r="L105" s="41" t="n">
        <v>0</v>
      </c>
      <c r="M105" s="41" t="n">
        <v>0</v>
      </c>
    </row>
    <row r="106">
      <c r="A106" s="40" t="inlineStr">
        <is>
          <t>Đầu tư nắm giữ đến ngày đáo hạn</t>
        </is>
      </c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</row>
    <row r="107">
      <c r="A107" s="40" t="inlineStr">
        <is>
          <t>Thiết bị, vật tư, phụ tùng thay thế dài hạn</t>
        </is>
      </c>
      <c r="B107" s="41" t="n">
        <v>0</v>
      </c>
      <c r="C107" s="41" t="n">
        <v>0</v>
      </c>
      <c r="D107" s="41" t="n">
        <v>0</v>
      </c>
      <c r="E107" s="41" t="n">
        <v>0</v>
      </c>
      <c r="F107" s="41" t="n">
        <v>0</v>
      </c>
      <c r="G107" s="41" t="n">
        <v>0</v>
      </c>
      <c r="H107" s="41" t="n">
        <v>0</v>
      </c>
      <c r="I107" s="41" t="n">
        <v>0</v>
      </c>
      <c r="J107" s="41" t="n">
        <v>0</v>
      </c>
      <c r="K107" s="41" t="n">
        <v>0</v>
      </c>
      <c r="L107" s="41" t="n">
        <v>0</v>
      </c>
      <c r="M107" s="41" t="n">
        <v>0</v>
      </c>
    </row>
    <row r="108">
      <c r="A108" s="40" t="inlineStr">
        <is>
          <t>Doanh thu chưa thực hiện ngắn hạn</t>
        </is>
      </c>
      <c r="B108" s="41" t="n">
        <v>0</v>
      </c>
      <c r="C108" s="41" t="n">
        <v>0</v>
      </c>
      <c r="D108" s="41" t="n">
        <v>0</v>
      </c>
      <c r="E108" s="41" t="n">
        <v>0</v>
      </c>
      <c r="F108" s="41" t="n">
        <v>203899416839</v>
      </c>
      <c r="G108" s="41" t="n">
        <v>219923436590</v>
      </c>
      <c r="H108" s="41" t="n">
        <v>265975680705</v>
      </c>
      <c r="I108" s="41" t="n">
        <v>307496662981</v>
      </c>
      <c r="J108" s="41" t="n">
        <v>408878484661</v>
      </c>
      <c r="K108" s="41" t="n">
        <v>498506024698</v>
      </c>
      <c r="L108" s="41" t="n">
        <v>552359662263</v>
      </c>
      <c r="M108" s="41" t="n">
        <v>624739069610</v>
      </c>
    </row>
    <row r="109">
      <c r="A109" s="40" t="inlineStr">
        <is>
          <t>Quỹ bình ổn giá</t>
        </is>
      </c>
      <c r="B109" s="41" t="n">
        <v>0</v>
      </c>
      <c r="C109" s="41" t="n">
        <v>1961585762</v>
      </c>
      <c r="D109" s="41" t="n">
        <v>0</v>
      </c>
      <c r="E109" s="41" t="n">
        <v>0</v>
      </c>
      <c r="F109" s="41" t="n">
        <v>0</v>
      </c>
      <c r="G109" s="41" t="n">
        <v>0</v>
      </c>
      <c r="H109" s="41" t="n">
        <v>0</v>
      </c>
      <c r="I109" s="41" t="n">
        <v>0</v>
      </c>
      <c r="J109" s="41" t="n">
        <v>0</v>
      </c>
      <c r="K109" s="41" t="n">
        <v>0</v>
      </c>
      <c r="L109" s="41" t="n">
        <v>0</v>
      </c>
      <c r="M109" s="41" t="n">
        <v>0</v>
      </c>
    </row>
    <row r="110">
      <c r="A110" s="40" t="inlineStr">
        <is>
          <t>Giao dịch mua bán lại trái phiếu chính phủ</t>
        </is>
      </c>
      <c r="B110" s="41" t="n">
        <v>0</v>
      </c>
      <c r="C110" s="41" t="n">
        <v>0</v>
      </c>
      <c r="D110" s="41" t="n">
        <v>0</v>
      </c>
      <c r="E110" s="41" t="n">
        <v>0</v>
      </c>
      <c r="F110" s="41" t="n">
        <v>0</v>
      </c>
      <c r="G110" s="41" t="n">
        <v>0</v>
      </c>
      <c r="H110" s="41" t="n">
        <v>0</v>
      </c>
      <c r="I110" s="41" t="n">
        <v>0</v>
      </c>
      <c r="J110" s="41" t="n">
        <v>0</v>
      </c>
      <c r="K110" s="41" t="n">
        <v>0</v>
      </c>
      <c r="L110" s="41" t="n">
        <v>0</v>
      </c>
      <c r="M110" s="41" t="n">
        <v>0</v>
      </c>
    </row>
    <row r="111">
      <c r="A111" s="40" t="inlineStr">
        <is>
          <t>Người mua trả tiền trước dài hạn</t>
        </is>
      </c>
      <c r="B111" s="41" t="n">
        <v>0</v>
      </c>
      <c r="C111" s="41" t="n">
        <v>0</v>
      </c>
      <c r="D111" s="41" t="n">
        <v>0</v>
      </c>
      <c r="E111" s="41" t="n">
        <v>0</v>
      </c>
      <c r="F111" s="41" t="n">
        <v>0</v>
      </c>
      <c r="G111" s="41" t="n">
        <v>0</v>
      </c>
      <c r="H111" s="41" t="n">
        <v>0</v>
      </c>
      <c r="I111" s="41" t="n">
        <v>0</v>
      </c>
      <c r="J111" s="41" t="n">
        <v>0</v>
      </c>
      <c r="K111" s="41" t="n">
        <v>0</v>
      </c>
      <c r="L111" s="41" t="n">
        <v>0</v>
      </c>
      <c r="M111" s="41" t="n">
        <v>0</v>
      </c>
    </row>
    <row r="112">
      <c r="A112" s="40" t="inlineStr">
        <is>
          <t>Chi phí phải trả dài hạn</t>
        </is>
      </c>
      <c r="B112" s="41" t="n">
        <v>0</v>
      </c>
      <c r="C112" s="41" t="n">
        <v>0</v>
      </c>
      <c r="D112" s="41" t="n">
        <v>0</v>
      </c>
      <c r="E112" s="41" t="n">
        <v>0</v>
      </c>
      <c r="F112" s="41" t="n">
        <v>0</v>
      </c>
      <c r="G112" s="41" t="n">
        <v>0</v>
      </c>
      <c r="H112" s="41" t="n">
        <v>0</v>
      </c>
      <c r="I112" s="41" t="n">
        <v>0</v>
      </c>
      <c r="J112" s="41" t="n">
        <v>0</v>
      </c>
      <c r="K112" s="41" t="n">
        <v>0</v>
      </c>
      <c r="L112" s="41" t="n">
        <v>0</v>
      </c>
      <c r="M112" s="41" t="n">
        <v>0</v>
      </c>
    </row>
    <row r="113">
      <c r="A113" s="40" t="inlineStr">
        <is>
          <t>Phải trả nội bộ về vốn kinh doanh</t>
        </is>
      </c>
      <c r="B113" s="41" t="n">
        <v>0</v>
      </c>
      <c r="C113" s="41" t="n">
        <v>0</v>
      </c>
      <c r="D113" s="41" t="n">
        <v>0</v>
      </c>
      <c r="E113" s="41" t="n">
        <v>0</v>
      </c>
      <c r="F113" s="41" t="n">
        <v>0</v>
      </c>
      <c r="G113" s="41" t="n">
        <v>0</v>
      </c>
      <c r="H113" s="41" t="n">
        <v>0</v>
      </c>
      <c r="I113" s="41" t="n">
        <v>0</v>
      </c>
      <c r="J113" s="41" t="n">
        <v>0</v>
      </c>
      <c r="K113" s="41" t="n">
        <v>0</v>
      </c>
      <c r="L113" s="41" t="n">
        <v>0</v>
      </c>
      <c r="M113" s="41" t="n">
        <v>0</v>
      </c>
    </row>
    <row r="114">
      <c r="A114" s="40" t="inlineStr">
        <is>
          <t>Trái phiếu chuyển đổi</t>
        </is>
      </c>
      <c r="B114" s="41" t="n">
        <v>0</v>
      </c>
      <c r="C114" s="41" t="n">
        <v>0</v>
      </c>
      <c r="D114" s="41" t="n">
        <v>0</v>
      </c>
      <c r="E114" s="41" t="n">
        <v>0</v>
      </c>
      <c r="F114" s="41" t="n">
        <v>0</v>
      </c>
      <c r="G114" s="41" t="n">
        <v>0</v>
      </c>
      <c r="H114" s="41" t="n">
        <v>0</v>
      </c>
      <c r="I114" s="41" t="n">
        <v>0</v>
      </c>
      <c r="J114" s="41" t="n">
        <v>0</v>
      </c>
      <c r="K114" s="41" t="n">
        <v>0</v>
      </c>
      <c r="L114" s="41" t="n">
        <v>0</v>
      </c>
      <c r="M114" s="41" t="n">
        <v>0</v>
      </c>
    </row>
    <row r="115">
      <c r="A115" s="40" t="inlineStr">
        <is>
          <t>Cổ phiếu ưu đãi</t>
        </is>
      </c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</row>
    <row r="116">
      <c r="A116" s="40" t="inlineStr">
        <is>
          <t>Cổ phiếu phổ thông</t>
        </is>
      </c>
      <c r="B116" s="41" t="n">
        <v>400000000000</v>
      </c>
      <c r="C116" s="41" t="n">
        <v>680000000000</v>
      </c>
      <c r="D116" s="41" t="n">
        <v>680000000000</v>
      </c>
      <c r="E116" s="41" t="n">
        <v>680000000000</v>
      </c>
      <c r="F116" s="41" t="n">
        <v>1362423890000</v>
      </c>
      <c r="G116" s="41" t="n">
        <v>1362423890000</v>
      </c>
      <c r="H116" s="41" t="n">
        <v>1362423890000</v>
      </c>
      <c r="I116" s="41" t="n">
        <v>1362423890000</v>
      </c>
      <c r="J116" s="41" t="n">
        <v>1703017850000</v>
      </c>
      <c r="K116" s="41" t="n">
        <v>1703017850000</v>
      </c>
      <c r="L116" s="41" t="n">
        <v>1703017850000</v>
      </c>
      <c r="M116" s="41" t="n">
        <v>1703017850000</v>
      </c>
    </row>
    <row r="117">
      <c r="A117" s="40" t="inlineStr">
        <is>
          <t>Quyền chọn chuyển đổi trái phiếu</t>
        </is>
      </c>
      <c r="B117" s="41" t="n">
        <v>0</v>
      </c>
      <c r="C117" s="41" t="n">
        <v>0</v>
      </c>
      <c r="D117" s="41" t="n">
        <v>0</v>
      </c>
      <c r="E117" s="41" t="n">
        <v>0</v>
      </c>
      <c r="F117" s="41" t="n">
        <v>0</v>
      </c>
      <c r="G117" s="41" t="n">
        <v>0</v>
      </c>
      <c r="H117" s="41" t="n">
        <v>0</v>
      </c>
      <c r="I117" s="41" t="n">
        <v>0</v>
      </c>
      <c r="J117" s="41" t="n">
        <v>0</v>
      </c>
      <c r="K117" s="41" t="n">
        <v>0</v>
      </c>
      <c r="L117" s="41" t="n">
        <v>0</v>
      </c>
      <c r="M117" s="41" t="n">
        <v>0</v>
      </c>
    </row>
    <row r="118">
      <c r="A118" s="40" t="inlineStr">
        <is>
          <t>LNST chưa phân phối lũy kế đến cuối kỳ trước</t>
        </is>
      </c>
      <c r="B118" s="41" t="n">
        <v>396454372696</v>
      </c>
      <c r="C118" s="41" t="n">
        <v>116454372696</v>
      </c>
      <c r="D118" s="41" t="n">
        <v>116454372696</v>
      </c>
      <c r="E118" s="41" t="n">
        <v>116454372696</v>
      </c>
      <c r="F118" s="41" t="n">
        <v>236975520956</v>
      </c>
      <c r="G118" s="41" t="n">
        <v>236975520956</v>
      </c>
      <c r="H118" s="41" t="n">
        <v>549386390157</v>
      </c>
      <c r="I118" s="41" t="n">
        <v>549386390157</v>
      </c>
      <c r="J118" s="41" t="n">
        <v>203539452686</v>
      </c>
      <c r="K118" s="41" t="n">
        <v>197121393961</v>
      </c>
      <c r="L118" s="41" t="n">
        <v>2468463255515</v>
      </c>
      <c r="M118" s="41" t="n">
        <v>2383330565515</v>
      </c>
    </row>
    <row r="119">
      <c r="A119" s="40" t="inlineStr">
        <is>
          <t>LNST chưa phân phối kỳ này</t>
        </is>
      </c>
      <c r="B119" s="41" t="n">
        <v>63882571387</v>
      </c>
      <c r="C119" s="41" t="n">
        <v>146530195764</v>
      </c>
      <c r="D119" s="41" t="n">
        <v>227413194273</v>
      </c>
      <c r="E119" s="41" t="n">
        <v>337328996757</v>
      </c>
      <c r="F119" s="41" t="n">
        <v>206368893421</v>
      </c>
      <c r="G119" s="41" t="n">
        <v>312410869201</v>
      </c>
      <c r="H119" s="41" t="n">
        <v>167962769280</v>
      </c>
      <c r="I119" s="41" t="n">
        <v>954664984991</v>
      </c>
      <c r="J119" s="41" t="n">
        <v>1178651399331</v>
      </c>
      <c r="K119" s="41" t="n">
        <v>2271321456541</v>
      </c>
      <c r="L119" s="41" t="n">
        <v>287507702723</v>
      </c>
      <c r="M119" s="41" t="n">
        <v>628996804197</v>
      </c>
    </row>
    <row r="120">
      <c r="A120" s="40" t="inlineStr">
        <is>
          <t>Xây dựng cơ bản đang dở dang</t>
        </is>
      </c>
      <c r="B120" s="41" t="n">
        <v>0</v>
      </c>
      <c r="C120" s="41" t="n">
        <v>0</v>
      </c>
      <c r="D120" s="41" t="n">
        <v>0</v>
      </c>
      <c r="E120" s="41" t="n">
        <v>0</v>
      </c>
      <c r="F120" s="41" t="n">
        <v>0</v>
      </c>
      <c r="G120" s="41" t="n">
        <v>8230000000</v>
      </c>
      <c r="H120" s="41" t="n">
        <v>0</v>
      </c>
      <c r="I120" s="41" t="n">
        <v>0</v>
      </c>
      <c r="J120" s="41" t="n">
        <v>0</v>
      </c>
      <c r="K120" s="41" t="n">
        <v>1411954000</v>
      </c>
      <c r="L120" s="41" t="n">
        <v>1411954000</v>
      </c>
      <c r="M120" s="41" t="n">
        <v>30215274083</v>
      </c>
    </row>
    <row r="121">
      <c r="A121" s="40" t="inlineStr">
        <is>
          <t>Lợi thế thương mại</t>
        </is>
      </c>
      <c r="B121" s="41" t="n">
        <v>0</v>
      </c>
      <c r="C121" s="41" t="n">
        <v>0</v>
      </c>
      <c r="D121" s="41" t="n">
        <v>0</v>
      </c>
      <c r="E121" s="41" t="n">
        <v>0</v>
      </c>
      <c r="F121" s="41" t="n">
        <v>0</v>
      </c>
      <c r="G121" s="41" t="n">
        <v>0</v>
      </c>
      <c r="H121" s="41" t="n">
        <v>0</v>
      </c>
      <c r="I121" s="41" t="n">
        <v>0</v>
      </c>
      <c r="J121" s="41" t="n">
        <v>0</v>
      </c>
      <c r="K121" s="41" t="n">
        <v>0</v>
      </c>
      <c r="L121" s="41" t="n">
        <v>0</v>
      </c>
      <c r="M121" s="41" t="n">
        <v>0</v>
      </c>
    </row>
    <row r="122">
      <c r="A122" s="40" t="inlineStr">
        <is>
          <t>Lợi ích cổ đông không kiểm soát</t>
        </is>
      </c>
      <c r="B122" s="41" t="n">
        <v>0</v>
      </c>
      <c r="C122" s="41" t="n">
        <v>0</v>
      </c>
      <c r="D122" s="41" t="n">
        <v>0</v>
      </c>
      <c r="E122" s="41" t="n">
        <v>24983763170</v>
      </c>
      <c r="F122" s="41" t="n">
        <v>185240125495</v>
      </c>
      <c r="G122" s="41" t="n">
        <v>208003434171</v>
      </c>
      <c r="H122" s="41" t="n">
        <v>252824270438</v>
      </c>
      <c r="I122" s="41" t="n">
        <v>510621117332</v>
      </c>
      <c r="J122" s="41" t="n">
        <v>557768103210</v>
      </c>
      <c r="K122" s="41" t="n">
        <v>967609992731</v>
      </c>
      <c r="L122" s="41" t="n">
        <v>1054884378452</v>
      </c>
      <c r="M122" s="41" t="n">
        <v>1163935640524</v>
      </c>
    </row>
    <row r="123">
      <c r="A123" s="40" t="inlineStr">
        <is>
          <t>Nguồn kinh phí đã hình thành TSCĐ</t>
        </is>
      </c>
      <c r="B123" s="41" t="n">
        <v>0</v>
      </c>
      <c r="C123" s="41" t="n">
        <v>0</v>
      </c>
      <c r="D123" s="41" t="n">
        <v>0</v>
      </c>
      <c r="E123" s="41" t="n">
        <v>0</v>
      </c>
      <c r="F123" s="41" t="n">
        <v>0</v>
      </c>
      <c r="G123" s="41" t="n">
        <v>0</v>
      </c>
      <c r="H123" s="41" t="n">
        <v>0</v>
      </c>
      <c r="I123" s="41" t="n">
        <v>0</v>
      </c>
      <c r="J123" s="41" t="n">
        <v>0</v>
      </c>
      <c r="K123" s="41" t="n">
        <v>0</v>
      </c>
      <c r="L123" s="41" t="n">
        <v>0</v>
      </c>
      <c r="M123" s="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38" t="inlineStr">
        <is>
          <t>item</t>
        </is>
      </c>
      <c r="B1" s="39" t="inlineStr">
        <is>
          <t>2018-Q1</t>
        </is>
      </c>
      <c r="C1" s="39" t="inlineStr">
        <is>
          <t>2018-Q2</t>
        </is>
      </c>
      <c r="D1" s="39" t="inlineStr">
        <is>
          <t>2018-Q3</t>
        </is>
      </c>
      <c r="E1" s="39" t="inlineStr">
        <is>
          <t>2018-Q4</t>
        </is>
      </c>
      <c r="F1" s="39" t="inlineStr">
        <is>
          <t>2024-Q3</t>
        </is>
      </c>
      <c r="G1" s="39" t="inlineStr">
        <is>
          <t>2024-Q4</t>
        </is>
      </c>
      <c r="H1" s="39" t="inlineStr">
        <is>
          <t>2025-Q1</t>
        </is>
      </c>
      <c r="I1" s="39" t="inlineStr">
        <is>
          <t>2025-Q2</t>
        </is>
      </c>
      <c r="J1" s="39" t="inlineStr">
        <is>
          <t>2025-Q3</t>
        </is>
      </c>
      <c r="K1" s="39" t="inlineStr">
        <is>
          <t>2025-Q4</t>
        </is>
      </c>
      <c r="L1" s="39" t="inlineStr">
        <is>
          <t>2026-Q1</t>
        </is>
      </c>
      <c r="M1" s="39" t="inlineStr">
        <is>
          <t>2026-Q2</t>
        </is>
      </c>
    </row>
    <row r="2">
      <c r="A2" s="40" t="inlineStr">
        <is>
          <t>Doanh thu bán hàng và cung cấp dịch vụ</t>
        </is>
      </c>
      <c r="B2" s="41" t="n">
        <v>4033672501176</v>
      </c>
      <c r="C2" s="41" t="n">
        <v>3786391142602</v>
      </c>
      <c r="D2" s="41" t="n">
        <v>3725610394363</v>
      </c>
      <c r="E2" s="41" t="n">
        <v>4421774930725</v>
      </c>
      <c r="F2" s="41" t="n">
        <v>10409521466747</v>
      </c>
      <c r="G2" s="41" t="n">
        <v>11492340452585</v>
      </c>
      <c r="H2" s="41" t="n">
        <v>11699603508367</v>
      </c>
      <c r="I2" s="41" t="n">
        <v>11425724005809</v>
      </c>
      <c r="J2" s="41" t="n">
        <v>13147235158901</v>
      </c>
      <c r="K2" s="41" t="n">
        <v>14959486967490</v>
      </c>
      <c r="L2" s="41" t="n">
        <v>15161533505512</v>
      </c>
      <c r="M2" s="41" t="n">
        <v>15672972277033</v>
      </c>
    </row>
    <row r="3">
      <c r="A3" s="40" t="inlineStr">
        <is>
          <t>Các khoản giảm trừ doanh thu</t>
        </is>
      </c>
      <c r="B3" s="41" t="n">
        <v>-149365873284</v>
      </c>
      <c r="C3" s="41" t="n">
        <v>-222545410011</v>
      </c>
      <c r="D3" s="41" t="n">
        <v>-172943513295</v>
      </c>
      <c r="E3" s="41" t="n">
        <v>-155970750495</v>
      </c>
      <c r="F3" s="41" t="n">
        <v>-33842435041</v>
      </c>
      <c r="G3" s="41" t="n">
        <v>-44692302663</v>
      </c>
      <c r="H3" s="41" t="n">
        <v>-29758054020</v>
      </c>
      <c r="I3" s="41" t="n">
        <v>-35379342822</v>
      </c>
      <c r="J3" s="41" t="n">
        <v>-37318397949</v>
      </c>
      <c r="K3" s="41" t="n">
        <v>-46725401008</v>
      </c>
      <c r="L3" s="41" t="n">
        <v>-44624414782</v>
      </c>
      <c r="M3" s="41" t="n">
        <v>-46972007451</v>
      </c>
    </row>
    <row r="4">
      <c r="A4" s="40" t="inlineStr">
        <is>
          <t>Doanh thu thuần</t>
        </is>
      </c>
      <c r="B4" s="41" t="n">
        <v>3884306627892</v>
      </c>
      <c r="C4" s="41" t="n">
        <v>3563845732591</v>
      </c>
      <c r="D4" s="41" t="n">
        <v>3552666881068</v>
      </c>
      <c r="E4" s="41" t="n">
        <v>4265804180230</v>
      </c>
      <c r="F4" s="41" t="n">
        <v>10375679031706</v>
      </c>
      <c r="G4" s="41" t="n">
        <v>11447648149922</v>
      </c>
      <c r="H4" s="41" t="n">
        <v>11669845454347</v>
      </c>
      <c r="I4" s="41" t="n">
        <v>11390344662987</v>
      </c>
      <c r="J4" s="41" t="n">
        <v>13109916760952</v>
      </c>
      <c r="K4" s="41" t="n">
        <v>14912761566482</v>
      </c>
      <c r="L4" s="41" t="n">
        <v>15116909090730</v>
      </c>
      <c r="M4" s="41" t="n">
        <v>15626000269582</v>
      </c>
    </row>
    <row r="5">
      <c r="A5" s="40" t="inlineStr">
        <is>
          <t>Giá vốn hàng bán</t>
        </is>
      </c>
      <c r="B5" s="41" t="n">
        <v>-3395908659764</v>
      </c>
      <c r="C5" s="41" t="n">
        <v>-3066210124842</v>
      </c>
      <c r="D5" s="41" t="n">
        <v>-3057907171462</v>
      </c>
      <c r="E5" s="41" t="n">
        <v>-3703002842354</v>
      </c>
      <c r="F5" s="41" t="n">
        <v>-8485409054180</v>
      </c>
      <c r="G5" s="41" t="n">
        <v>-9373187059702</v>
      </c>
      <c r="H5" s="41" t="n">
        <v>-9345344170911</v>
      </c>
      <c r="I5" s="41" t="n">
        <v>-9119245339487</v>
      </c>
      <c r="J5" s="41" t="n">
        <v>-10570480925388</v>
      </c>
      <c r="K5" s="41" t="n">
        <v>-12038093550897</v>
      </c>
      <c r="L5" s="41" t="n">
        <v>-12121981259843</v>
      </c>
      <c r="M5" s="41" t="n">
        <v>-12465247611789</v>
      </c>
    </row>
    <row r="6">
      <c r="A6" s="40" t="inlineStr">
        <is>
          <t>Lợi nhuận gộp</t>
        </is>
      </c>
      <c r="B6" s="41" t="n">
        <v>488397968128</v>
      </c>
      <c r="C6" s="41" t="n">
        <v>497635607749</v>
      </c>
      <c r="D6" s="41" t="n">
        <v>494759709606</v>
      </c>
      <c r="E6" s="41" t="n">
        <v>562801337876</v>
      </c>
      <c r="F6" s="41" t="n">
        <v>1890269977526</v>
      </c>
      <c r="G6" s="41" t="n">
        <v>2074461090220</v>
      </c>
      <c r="H6" s="41" t="n">
        <v>2324501283436</v>
      </c>
      <c r="I6" s="41" t="n">
        <v>2271099323500</v>
      </c>
      <c r="J6" s="41" t="n">
        <v>2539435835564</v>
      </c>
      <c r="K6" s="41" t="n">
        <v>2874668015585</v>
      </c>
      <c r="L6" s="41" t="n">
        <v>2994927830887</v>
      </c>
      <c r="M6" s="41" t="n">
        <v>3160752657793</v>
      </c>
    </row>
    <row r="7">
      <c r="A7" s="40" t="inlineStr">
        <is>
          <t>Doanh thu hoạt động tài chính</t>
        </is>
      </c>
      <c r="B7" s="41" t="n">
        <v>10039381400</v>
      </c>
      <c r="C7" s="41" t="n">
        <v>7812781199</v>
      </c>
      <c r="D7" s="41" t="n">
        <v>8445430279</v>
      </c>
      <c r="E7" s="41" t="n">
        <v>16568624371</v>
      </c>
      <c r="F7" s="41" t="n">
        <v>26144077215</v>
      </c>
      <c r="G7" s="41" t="n">
        <v>36297974502</v>
      </c>
      <c r="H7" s="41" t="n">
        <v>37867028926</v>
      </c>
      <c r="I7" s="41" t="n">
        <v>62203017431</v>
      </c>
      <c r="J7" s="41" t="n">
        <v>83164889763</v>
      </c>
      <c r="K7" s="41" t="n">
        <v>104529805659</v>
      </c>
      <c r="L7" s="41" t="n">
        <v>141720888275</v>
      </c>
      <c r="M7" s="41" t="n">
        <v>170881500481</v>
      </c>
    </row>
    <row r="8">
      <c r="A8" s="40" t="inlineStr">
        <is>
          <t>Chi phí tài chính</t>
        </is>
      </c>
      <c r="B8" s="41" t="n">
        <v>-25800946505</v>
      </c>
      <c r="C8" s="41" t="n">
        <v>-26427344905</v>
      </c>
      <c r="D8" s="41" t="n">
        <v>-18958651617</v>
      </c>
      <c r="E8" s="41" t="n">
        <v>-29385874925</v>
      </c>
      <c r="F8" s="41" t="n">
        <v>-59533018577</v>
      </c>
      <c r="G8" s="41" t="n">
        <v>-78945085083</v>
      </c>
      <c r="H8" s="41" t="n">
        <v>-88652946810</v>
      </c>
      <c r="I8" s="41" t="n">
        <v>-93661543757</v>
      </c>
      <c r="J8" s="41" t="n">
        <v>-99878828439</v>
      </c>
      <c r="K8" s="41" t="n">
        <v>-106489868745</v>
      </c>
      <c r="L8" s="41" t="n">
        <v>-149784564806</v>
      </c>
      <c r="M8" s="41" t="n">
        <v>-210504623826</v>
      </c>
    </row>
    <row r="9">
      <c r="A9" s="40" t="inlineStr">
        <is>
          <t>Chi phí lãi vay</t>
        </is>
      </c>
      <c r="B9" s="41" t="n">
        <v>-22338766505</v>
      </c>
      <c r="C9" s="41" t="n">
        <v>-21746894905</v>
      </c>
      <c r="D9" s="41" t="n">
        <v>-23381571528</v>
      </c>
      <c r="E9" s="41" t="n">
        <v>-28203274925</v>
      </c>
      <c r="F9" s="41" t="n">
        <v>-59532523977</v>
      </c>
      <c r="G9" s="41" t="n">
        <v>-78887852765</v>
      </c>
      <c r="H9" s="41" t="n">
        <v>-88583551190</v>
      </c>
      <c r="I9" s="41" t="n">
        <v>-93659853494</v>
      </c>
      <c r="J9" s="41" t="n">
        <v>-99878724220</v>
      </c>
      <c r="K9" s="41" t="n">
        <v>-106473793465</v>
      </c>
      <c r="L9" s="41" t="n">
        <v>-149775192055</v>
      </c>
      <c r="M9" s="41" t="n">
        <v>-210142043503</v>
      </c>
    </row>
    <row r="10">
      <c r="A10" s="40" t="inlineStr">
        <is>
          <t>Chi phí bán hàng</t>
        </is>
      </c>
      <c r="B10" s="41" t="n">
        <v>-306802964530</v>
      </c>
      <c r="C10" s="41" t="n">
        <v>-337231513639</v>
      </c>
      <c r="D10" s="41" t="n">
        <v>-309632482502</v>
      </c>
      <c r="E10" s="41" t="n">
        <v>-298631643303</v>
      </c>
      <c r="F10" s="41" t="n">
        <v>-1319828226072</v>
      </c>
      <c r="G10" s="41" t="n">
        <v>-1465138634655</v>
      </c>
      <c r="H10" s="41" t="n">
        <v>-1588176219469</v>
      </c>
      <c r="I10" s="41" t="n">
        <v>-1660264728160</v>
      </c>
      <c r="J10" s="41" t="n">
        <v>-1789875275186</v>
      </c>
      <c r="K10" s="41" t="n">
        <v>-1979890023211</v>
      </c>
      <c r="L10" s="41" t="n">
        <v>-1998431032175</v>
      </c>
      <c r="M10" s="41" t="n">
        <v>-2115263328605</v>
      </c>
    </row>
    <row r="11">
      <c r="A11" s="40" t="inlineStr">
        <is>
          <t>Chi phí quản lý doanh nghiệp</t>
        </is>
      </c>
      <c r="B11" s="41" t="n">
        <v>-92807251491</v>
      </c>
      <c r="C11" s="41" t="n">
        <v>-46541511055</v>
      </c>
      <c r="D11" s="41" t="n">
        <v>-82470124090</v>
      </c>
      <c r="E11" s="41" t="n">
        <v>-108982072905</v>
      </c>
      <c r="F11" s="41" t="n">
        <v>-337801765639</v>
      </c>
      <c r="G11" s="41" t="n">
        <v>-405398867143</v>
      </c>
      <c r="H11" s="41" t="n">
        <v>-418474686684</v>
      </c>
      <c r="I11" s="41" t="n">
        <v>-373675482496</v>
      </c>
      <c r="J11" s="41" t="n">
        <v>-410557487570</v>
      </c>
      <c r="K11" s="41" t="n">
        <v>-475036963022</v>
      </c>
      <c r="L11" s="41" t="n">
        <v>-522133726412</v>
      </c>
      <c r="M11" s="41" t="n">
        <v>-447031646793</v>
      </c>
    </row>
    <row r="12">
      <c r="A12" s="40" t="inlineStr">
        <is>
          <t>Lãi/(lỗ) từ hoạt động kinh doanh</t>
        </is>
      </c>
      <c r="B12" s="41" t="n">
        <v>73026187002</v>
      </c>
      <c r="C12" s="41" t="n">
        <v>95248019349</v>
      </c>
      <c r="D12" s="41" t="n">
        <v>92143881676</v>
      </c>
      <c r="E12" s="41" t="n">
        <v>142370371114</v>
      </c>
      <c r="F12" s="41" t="n">
        <v>199251044453</v>
      </c>
      <c r="G12" s="41" t="n">
        <v>161276477841</v>
      </c>
      <c r="H12" s="41" t="n">
        <v>267064459399</v>
      </c>
      <c r="I12" s="41" t="n">
        <v>205700586518</v>
      </c>
      <c r="J12" s="41" t="n">
        <v>322289134132</v>
      </c>
      <c r="K12" s="41" t="n">
        <v>417780966266</v>
      </c>
      <c r="L12" s="41" t="n">
        <v>466299395769</v>
      </c>
      <c r="M12" s="41" t="n">
        <v>558834559050</v>
      </c>
    </row>
    <row r="13">
      <c r="A13" s="40" t="inlineStr">
        <is>
          <t>Thu nhập khác</t>
        </is>
      </c>
      <c r="B13" s="41" t="n">
        <v>6871734747</v>
      </c>
      <c r="C13" s="41" t="n">
        <v>8204471748</v>
      </c>
      <c r="D13" s="41" t="n">
        <v>8985949557</v>
      </c>
      <c r="E13" s="41" t="n">
        <v>10088388196</v>
      </c>
      <c r="F13" s="41" t="n">
        <v>5361124034</v>
      </c>
      <c r="G13" s="41" t="n">
        <v>10764824070</v>
      </c>
      <c r="H13" s="41" t="n">
        <v>7461749902</v>
      </c>
      <c r="I13" s="41" t="n">
        <v>8659769799</v>
      </c>
      <c r="J13" s="41" t="n">
        <v>7226887930</v>
      </c>
      <c r="K13" s="41" t="n">
        <v>6564285067</v>
      </c>
      <c r="L13" s="41" t="n">
        <v>8730304378</v>
      </c>
      <c r="M13" s="41" t="n">
        <v>14764077715</v>
      </c>
    </row>
    <row r="14">
      <c r="A14" s="40" t="inlineStr">
        <is>
          <t>Chi phí khác</t>
        </is>
      </c>
      <c r="B14" s="41" t="n">
        <v>-44707515</v>
      </c>
      <c r="C14" s="41" t="n">
        <v>-142960626</v>
      </c>
      <c r="D14" s="41" t="n">
        <v>-26083098</v>
      </c>
      <c r="E14" s="41" t="n">
        <v>-1950053785</v>
      </c>
      <c r="F14" s="41" t="n">
        <v>-7528688976</v>
      </c>
      <c r="G14" s="41" t="n">
        <v>-2693453413</v>
      </c>
      <c r="H14" s="41" t="n">
        <v>-2014778745</v>
      </c>
      <c r="I14" s="41" t="n">
        <v>-7695042495</v>
      </c>
      <c r="J14" s="41" t="n">
        <v>-4590414082</v>
      </c>
      <c r="K14" s="41" t="n">
        <v>-9330101018</v>
      </c>
      <c r="L14" s="41" t="n">
        <v>-3400739729</v>
      </c>
      <c r="M14" s="41" t="n">
        <v>-7120949764</v>
      </c>
    </row>
    <row r="15">
      <c r="A15" s="40" t="inlineStr">
        <is>
          <t>Thu nhập khác, ròng</t>
        </is>
      </c>
      <c r="B15" s="41" t="n">
        <v>6827027232</v>
      </c>
      <c r="C15" s="41" t="n">
        <v>8061511122</v>
      </c>
      <c r="D15" s="41" t="n">
        <v>8959866459</v>
      </c>
      <c r="E15" s="41" t="n">
        <v>8138334411</v>
      </c>
      <c r="F15" s="41" t="n">
        <v>-2167564942</v>
      </c>
      <c r="G15" s="41" t="n">
        <v>8071370657</v>
      </c>
      <c r="H15" s="41" t="n">
        <v>5446971157</v>
      </c>
      <c r="I15" s="41" t="n">
        <v>964727304</v>
      </c>
      <c r="J15" s="41" t="n">
        <v>2636473848</v>
      </c>
      <c r="K15" s="41" t="n">
        <v>-2765815951</v>
      </c>
      <c r="L15" s="41" t="n">
        <v>5329564649</v>
      </c>
      <c r="M15" s="41" t="n">
        <v>7643127951</v>
      </c>
    </row>
    <row r="16">
      <c r="A16" s="40" t="inlineStr">
        <is>
          <t>Lãi/(lỗ) từ công ty liên doanh</t>
        </is>
      </c>
      <c r="B16" s="41" t="n">
        <v>0</v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0</v>
      </c>
      <c r="L16" s="41" t="n">
        <v>0</v>
      </c>
      <c r="M16" s="41" t="n">
        <v>0</v>
      </c>
    </row>
    <row r="17">
      <c r="A17" s="40" t="inlineStr">
        <is>
          <t>Lãi/(lỗ) trước thuế</t>
        </is>
      </c>
      <c r="B17" s="41" t="n">
        <v>79853214234</v>
      </c>
      <c r="C17" s="41" t="n">
        <v>103309530471</v>
      </c>
      <c r="D17" s="41" t="n">
        <v>101103748135</v>
      </c>
      <c r="E17" s="41" t="n">
        <v>150508705525</v>
      </c>
      <c r="F17" s="41" t="n">
        <v>197083479511</v>
      </c>
      <c r="G17" s="41" t="n">
        <v>169347848498</v>
      </c>
      <c r="H17" s="41" t="n">
        <v>272511430556</v>
      </c>
      <c r="I17" s="41" t="n">
        <v>206665313822</v>
      </c>
      <c r="J17" s="41" t="n">
        <v>324925607980</v>
      </c>
      <c r="K17" s="41" t="n">
        <v>415015150315</v>
      </c>
      <c r="L17" s="41" t="n">
        <v>471628960418</v>
      </c>
      <c r="M17" s="41" t="n">
        <v>566477687001</v>
      </c>
    </row>
    <row r="18">
      <c r="A18" s="40" t="inlineStr">
        <is>
          <t>Thuế thu nhập doanh nghiệp - hiện thời</t>
        </is>
      </c>
      <c r="B18" s="41" t="n">
        <v>-15970642847</v>
      </c>
      <c r="C18" s="41" t="n">
        <v>-20661906094</v>
      </c>
      <c r="D18" s="41" t="n">
        <v>-20220749627</v>
      </c>
      <c r="E18" s="41" t="n">
        <v>-30174777790</v>
      </c>
      <c r="F18" s="41" t="n">
        <v>-31670383931</v>
      </c>
      <c r="G18" s="41" t="n">
        <v>-35469458186</v>
      </c>
      <c r="H18" s="41" t="n">
        <v>-59727825009</v>
      </c>
      <c r="I18" s="41" t="n">
        <v>-49425883846</v>
      </c>
      <c r="J18" s="41" t="n">
        <v>-59045185233</v>
      </c>
      <c r="K18" s="41" t="n">
        <v>-66678881511</v>
      </c>
      <c r="L18" s="41" t="n">
        <v>-97029639776</v>
      </c>
      <c r="M18" s="41" t="n">
        <v>-115937323454</v>
      </c>
    </row>
    <row r="19">
      <c r="A19" s="40" t="inlineStr">
        <is>
          <t>Thuế thu nhập doanh nghiệp - hoãn lại</t>
        </is>
      </c>
      <c r="B19" s="41" t="n">
        <v>0</v>
      </c>
      <c r="C19" s="41" t="n">
        <v>0</v>
      </c>
      <c r="D19" s="41" t="n">
        <v>0</v>
      </c>
      <c r="E19" s="41" t="n">
        <v>0</v>
      </c>
      <c r="F19" s="41" t="n">
        <v>0</v>
      </c>
      <c r="G19" s="41" t="n">
        <v>-16779258</v>
      </c>
      <c r="H19" s="4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</row>
    <row r="20">
      <c r="A20" s="40" t="inlineStr">
        <is>
          <t>Chi phí thuế thu nhập doanh nghiệp</t>
        </is>
      </c>
      <c r="B20" s="41" t="n">
        <v>-15970642847</v>
      </c>
      <c r="C20" s="41" t="n">
        <v>-20661906094</v>
      </c>
      <c r="D20" s="41" t="n">
        <v>-20220749627</v>
      </c>
      <c r="E20" s="41" t="n">
        <v>-30174777790</v>
      </c>
      <c r="F20" s="41" t="n">
        <v>-31670383931</v>
      </c>
      <c r="G20" s="41" t="n">
        <v>-35486237444</v>
      </c>
      <c r="H20" s="41" t="n">
        <v>-59727825009</v>
      </c>
      <c r="I20" s="41" t="n">
        <v>-49425883846</v>
      </c>
      <c r="J20" s="41" t="n">
        <v>-59045185233</v>
      </c>
      <c r="K20" s="41" t="n">
        <v>-66678881511</v>
      </c>
      <c r="L20" s="41" t="n">
        <v>-97029639776</v>
      </c>
      <c r="M20" s="41" t="n">
        <v>-115937323454</v>
      </c>
    </row>
    <row r="21">
      <c r="A21" s="40" t="inlineStr">
        <is>
          <t>Lãi/(lỗ) thuần sau thuế</t>
        </is>
      </c>
      <c r="B21" s="41" t="n">
        <v>63882571387</v>
      </c>
      <c r="C21" s="41" t="n">
        <v>82647624377</v>
      </c>
      <c r="D21" s="41" t="n">
        <v>80882998508</v>
      </c>
      <c r="E21" s="41" t="n">
        <v>120333927735</v>
      </c>
      <c r="F21" s="41" t="n">
        <v>165413095580</v>
      </c>
      <c r="G21" s="41" t="n">
        <v>133861611054</v>
      </c>
      <c r="H21" s="41" t="n">
        <v>212783605547</v>
      </c>
      <c r="I21" s="41" t="n">
        <v>157239429976</v>
      </c>
      <c r="J21" s="41" t="n">
        <v>265880422747</v>
      </c>
      <c r="K21" s="41" t="n">
        <v>348336268804</v>
      </c>
      <c r="L21" s="41" t="n">
        <v>374599320642</v>
      </c>
      <c r="M21" s="41" t="n">
        <v>450540363547</v>
      </c>
    </row>
    <row r="22">
      <c r="A22" s="40" t="inlineStr">
        <is>
          <t>Lợi ích của cổ đông thiểu số</t>
        </is>
      </c>
      <c r="B22" s="41" t="n">
        <v>0</v>
      </c>
      <c r="C22" s="41" t="n">
        <v>0</v>
      </c>
      <c r="D22" s="41" t="n">
        <v>0</v>
      </c>
      <c r="E22" s="41" t="n">
        <v>-16236829</v>
      </c>
      <c r="F22" s="41" t="n">
        <v>24502155052</v>
      </c>
      <c r="G22" s="41" t="n">
        <v>22763308676</v>
      </c>
      <c r="H22" s="41" t="n">
        <v>44820836265</v>
      </c>
      <c r="I22" s="41" t="n">
        <v>38581783525</v>
      </c>
      <c r="J22" s="41" t="n">
        <v>47146985879</v>
      </c>
      <c r="K22" s="41" t="n">
        <v>58825177854</v>
      </c>
      <c r="L22" s="41" t="n">
        <v>87247428297</v>
      </c>
      <c r="M22" s="41" t="n">
        <v>109051262073</v>
      </c>
    </row>
    <row r="23">
      <c r="A23" s="40" t="inlineStr">
        <is>
          <t>Lợi nhuận của Cổ đông của Công ty mẹ</t>
        </is>
      </c>
      <c r="B23" s="41" t="n">
        <v>63882571387</v>
      </c>
      <c r="C23" s="41" t="n">
        <v>82647624377</v>
      </c>
      <c r="D23" s="41" t="n">
        <v>80882998508</v>
      </c>
      <c r="E23" s="41" t="n">
        <v>120350164564</v>
      </c>
      <c r="F23" s="41" t="n">
        <v>140910940528</v>
      </c>
      <c r="G23" s="41" t="n">
        <v>111098302378</v>
      </c>
      <c r="H23" s="41" t="n">
        <v>167962769282</v>
      </c>
      <c r="I23" s="41" t="n">
        <v>118657646451</v>
      </c>
      <c r="J23" s="41" t="n">
        <v>218733436868</v>
      </c>
      <c r="K23" s="41" t="n">
        <v>289511090950</v>
      </c>
      <c r="L23" s="41" t="n">
        <v>287351892345</v>
      </c>
      <c r="M23" s="41" t="n">
        <v>341489101474</v>
      </c>
    </row>
    <row r="24">
      <c r="A24" s="40" t="inlineStr">
        <is>
          <t>Lãi cơ bản trên cổ phiếu (VND)</t>
        </is>
      </c>
      <c r="B24" s="41" t="n">
        <v>1597</v>
      </c>
      <c r="C24" s="41" t="n">
        <v>493</v>
      </c>
      <c r="D24" s="41" t="n">
        <v>1189</v>
      </c>
      <c r="E24" s="41" t="n">
        <v>1770</v>
      </c>
      <c r="F24" s="41" t="n">
        <v>1034</v>
      </c>
      <c r="G24" s="41" t="n">
        <v>778</v>
      </c>
      <c r="H24" s="41" t="n">
        <v>1233</v>
      </c>
      <c r="I24" s="41" t="n">
        <v>450</v>
      </c>
      <c r="J24" s="41" t="n">
        <v>1284</v>
      </c>
      <c r="K24" s="41" t="n">
        <v>1686</v>
      </c>
      <c r="L24" s="41" t="n">
        <v>1687</v>
      </c>
      <c r="M24" s="41" t="n">
        <v>1830</v>
      </c>
    </row>
    <row r="25">
      <c r="A25" s="40" t="inlineStr">
        <is>
          <t>Lãi trên cổ phiếu pha loãng (VND)</t>
        </is>
      </c>
      <c r="B25" s="41" t="n">
        <v>0</v>
      </c>
      <c r="C25" s="41" t="n">
        <v>0</v>
      </c>
      <c r="D25" s="41" t="n">
        <v>0</v>
      </c>
      <c r="E25" s="41" t="n">
        <v>0</v>
      </c>
      <c r="F25" s="41" t="n">
        <v>0</v>
      </c>
      <c r="G25" s="41" t="n">
        <v>778</v>
      </c>
      <c r="H25" s="41" t="n">
        <v>0</v>
      </c>
      <c r="I25" s="41" t="n">
        <v>0</v>
      </c>
      <c r="J25" s="41" t="n">
        <v>0</v>
      </c>
      <c r="K25" s="41" t="n">
        <v>0</v>
      </c>
      <c r="L25" s="41" t="n">
        <v>0</v>
      </c>
      <c r="M25" s="41" t="n">
        <v>0</v>
      </c>
    </row>
    <row r="26">
      <c r="A26" s="40" t="inlineStr">
        <is>
          <t>Lãi/(lỗ) từ công ty liên doanh (từ năm 2015)</t>
        </is>
      </c>
      <c r="B26" s="41" t="n">
        <v>0</v>
      </c>
      <c r="C26" s="41" t="n">
        <v>0</v>
      </c>
      <c r="D26" s="41" t="n">
        <v>0</v>
      </c>
      <c r="E26" s="41" t="n">
        <v>0</v>
      </c>
      <c r="F26" s="41" t="n">
        <v>0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0</v>
      </c>
      <c r="L26" s="41" t="n">
        <v>0</v>
      </c>
      <c r="M26" s="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8" t="inlineStr">
        <is>
          <t>item</t>
        </is>
      </c>
      <c r="B1" s="39" t="inlineStr">
        <is>
          <t>2018-Q1</t>
        </is>
      </c>
      <c r="C1" s="39" t="inlineStr">
        <is>
          <t>2018-Q2</t>
        </is>
      </c>
      <c r="D1" s="39" t="inlineStr">
        <is>
          <t>2018-Q3</t>
        </is>
      </c>
      <c r="E1" s="39" t="inlineStr">
        <is>
          <t>2018-Q4</t>
        </is>
      </c>
      <c r="F1" s="39" t="inlineStr">
        <is>
          <t>2024-Q3</t>
        </is>
      </c>
      <c r="G1" s="39" t="inlineStr">
        <is>
          <t>2024-Q4</t>
        </is>
      </c>
      <c r="H1" s="39" t="inlineStr">
        <is>
          <t>2025-Q1</t>
        </is>
      </c>
      <c r="I1" s="39" t="inlineStr">
        <is>
          <t>2025-Q2</t>
        </is>
      </c>
      <c r="J1" s="39" t="inlineStr">
        <is>
          <t>2025-Q3</t>
        </is>
      </c>
      <c r="K1" s="39" t="inlineStr">
        <is>
          <t>2025-Q4</t>
        </is>
      </c>
      <c r="L1" s="39" t="inlineStr">
        <is>
          <t>2026-Q1</t>
        </is>
      </c>
      <c r="M1" s="39" t="inlineStr">
        <is>
          <t>2026-Q2</t>
        </is>
      </c>
    </row>
    <row r="2">
      <c r="A2" s="40" t="inlineStr">
        <is>
          <t>Lợi nhuận/(lỗ) trước thuế</t>
        </is>
      </c>
      <c r="B2" s="41" t="n">
        <v>79853214234</v>
      </c>
      <c r="C2" s="41" t="n">
        <v>103309530471</v>
      </c>
      <c r="D2" s="41" t="n">
        <v>101103748136</v>
      </c>
      <c r="E2" s="41" t="n">
        <v>150508705526</v>
      </c>
      <c r="F2" s="41" t="n">
        <v>197083479511</v>
      </c>
      <c r="G2" s="41" t="n">
        <v>169347848498</v>
      </c>
      <c r="H2" s="41" t="n">
        <v>272511430556</v>
      </c>
      <c r="I2" s="41" t="n">
        <v>206665313822</v>
      </c>
      <c r="J2" s="41" t="n">
        <v>324925607980</v>
      </c>
      <c r="K2" s="41" t="n">
        <v>415015150315</v>
      </c>
      <c r="L2" s="41" t="n">
        <v>471628960418</v>
      </c>
      <c r="M2" s="41" t="n">
        <v>566477687001</v>
      </c>
    </row>
    <row r="3">
      <c r="A3" s="40" t="inlineStr">
        <is>
          <t>Khấu hao TSCĐ và BĐSĐT</t>
        </is>
      </c>
      <c r="B3" s="41" t="n">
        <v>260957547</v>
      </c>
      <c r="C3" s="41" t="n">
        <v>258302455</v>
      </c>
      <c r="D3" s="41" t="n">
        <v>216075389</v>
      </c>
      <c r="E3" s="41" t="n">
        <v>25236199</v>
      </c>
      <c r="F3" s="41" t="n">
        <v>81316402815</v>
      </c>
      <c r="G3" s="41" t="n">
        <v>86713061195</v>
      </c>
      <c r="H3" s="41" t="n">
        <v>90395945451</v>
      </c>
      <c r="I3" s="41" t="n">
        <v>98223024460</v>
      </c>
      <c r="J3" s="41" t="n">
        <v>104436119656</v>
      </c>
      <c r="K3" s="41" t="n">
        <v>109501928657</v>
      </c>
      <c r="L3" s="41" t="n">
        <v>114347544883</v>
      </c>
      <c r="M3" s="41" t="n">
        <v>118258919203</v>
      </c>
    </row>
    <row r="4">
      <c r="A4" s="40" t="inlineStr">
        <is>
          <t>Chi phí dự phòng</t>
        </is>
      </c>
      <c r="B4" s="41" t="n">
        <v>167904987</v>
      </c>
      <c r="C4" s="41" t="n">
        <v>9399052141</v>
      </c>
      <c r="D4" s="41" t="n">
        <v>2141760253</v>
      </c>
      <c r="E4" s="41" t="n">
        <v>2768912084</v>
      </c>
      <c r="F4" s="41" t="n">
        <v>10409722490</v>
      </c>
      <c r="G4" s="41" t="n">
        <v>-8682211472</v>
      </c>
      <c r="H4" s="41" t="n">
        <v>3429220153</v>
      </c>
      <c r="I4" s="41" t="n">
        <v>3730966911</v>
      </c>
      <c r="J4" s="41" t="n">
        <v>17685797063</v>
      </c>
      <c r="K4" s="41" t="n">
        <v>7165015645</v>
      </c>
      <c r="L4" s="41" t="n">
        <v>15900220165</v>
      </c>
      <c r="M4" s="41" t="n">
        <v>-2668657999</v>
      </c>
    </row>
    <row r="5">
      <c r="A5" s="40" t="inlineStr">
        <is>
          <t>Lãi/lỗ chênh lệch tỷ giá hối đoái do đánh giá lại các khoản mục tiền tệ có gốc ngoại tệ</t>
        </is>
      </c>
      <c r="B5" s="41" t="n">
        <v>0</v>
      </c>
      <c r="C5" s="41" t="n">
        <v>5078450000</v>
      </c>
      <c r="D5" s="41" t="n">
        <v>-5078450000</v>
      </c>
      <c r="E5" s="41" t="n">
        <v>0</v>
      </c>
      <c r="F5" s="41" t="n">
        <v>5491236</v>
      </c>
      <c r="G5" s="41" t="n">
        <v>-40536768</v>
      </c>
      <c r="H5" s="41" t="n">
        <v>-129066942</v>
      </c>
      <c r="I5" s="41" t="n">
        <v>-46750455</v>
      </c>
      <c r="J5" s="41" t="n">
        <v>56077594</v>
      </c>
      <c r="K5" s="41" t="n">
        <v>99378908</v>
      </c>
      <c r="L5" s="41" t="n">
        <v>-146870457</v>
      </c>
      <c r="M5" s="41" t="n">
        <v>11661356</v>
      </c>
    </row>
    <row r="6">
      <c r="A6" s="40" t="inlineStr">
        <is>
          <t>Lãi/(lỗ) từ thanh lý tài sản cố định</t>
        </is>
      </c>
      <c r="B6" s="41" t="n">
        <v>0</v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41" t="n">
        <v>0</v>
      </c>
      <c r="M6" s="41" t="n">
        <v>0</v>
      </c>
    </row>
    <row r="7">
      <c r="A7" s="40" t="inlineStr">
        <is>
          <t>(Lãi)/lỗ từ hoạt động đầu tư</t>
        </is>
      </c>
      <c r="B7" s="41" t="n">
        <v>-4884584001</v>
      </c>
      <c r="C7" s="41" t="n">
        <v>4884584001</v>
      </c>
      <c r="D7" s="41" t="n">
        <v>0</v>
      </c>
      <c r="E7" s="41" t="n">
        <v>0</v>
      </c>
      <c r="F7" s="41" t="n">
        <v>-20380346397</v>
      </c>
      <c r="G7" s="41" t="n">
        <v>-33770916325</v>
      </c>
      <c r="H7" s="41" t="n">
        <v>-34901630459</v>
      </c>
      <c r="I7" s="41" t="n">
        <v>-57924339258</v>
      </c>
      <c r="J7" s="41" t="n">
        <v>-76567563598</v>
      </c>
      <c r="K7" s="41" t="n">
        <v>-98276061158</v>
      </c>
      <c r="L7" s="41" t="n">
        <v>-137835087099</v>
      </c>
      <c r="M7" s="41" t="n">
        <v>-163467155327</v>
      </c>
    </row>
    <row r="8">
      <c r="A8" s="40" t="inlineStr">
        <is>
          <t>Chi phí lãi vay</t>
        </is>
      </c>
      <c r="B8" s="41" t="n">
        <v>22338766505</v>
      </c>
      <c r="C8" s="41" t="n">
        <v>-31098856610</v>
      </c>
      <c r="D8" s="41" t="n">
        <v>76227323043</v>
      </c>
      <c r="E8" s="41" t="n">
        <v>28203274925</v>
      </c>
      <c r="F8" s="41" t="n">
        <v>59532523977</v>
      </c>
      <c r="G8" s="41" t="n">
        <v>78887852765</v>
      </c>
      <c r="H8" s="41" t="n">
        <v>88583551190</v>
      </c>
      <c r="I8" s="41" t="n">
        <v>93659853494</v>
      </c>
      <c r="J8" s="41" t="n">
        <v>99878724220</v>
      </c>
      <c r="K8" s="41" t="n">
        <v>106473793465</v>
      </c>
      <c r="L8" s="41" t="n">
        <v>149775192055</v>
      </c>
      <c r="M8" s="41" t="n">
        <v>210142043503</v>
      </c>
    </row>
    <row r="9">
      <c r="A9" s="40" t="inlineStr">
        <is>
          <t>Thu lãi và cổ tức</t>
        </is>
      </c>
      <c r="B9" s="41" t="n">
        <v>0</v>
      </c>
      <c r="C9" s="41" t="n">
        <v>44085661410</v>
      </c>
      <c r="D9" s="41" t="n">
        <v>-44085661410</v>
      </c>
      <c r="E9" s="41" t="n">
        <v>0</v>
      </c>
      <c r="F9" s="41" t="n">
        <v>0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</row>
    <row r="10">
      <c r="A10" s="40" t="inlineStr">
        <is>
          <t>Lợi nhuận/(lỗ) từ hoạt động kinh doanh trước những thay đổi vốn lưu động</t>
        </is>
      </c>
      <c r="B10" s="41" t="n">
        <v>97736259272</v>
      </c>
      <c r="C10" s="41" t="n">
        <v>135916723868</v>
      </c>
      <c r="D10" s="41" t="n">
        <v>130524795411</v>
      </c>
      <c r="E10" s="41" t="n">
        <v>181506128734</v>
      </c>
      <c r="F10" s="41" t="n">
        <v>327967273632</v>
      </c>
      <c r="G10" s="41" t="n">
        <v>292455097893</v>
      </c>
      <c r="H10" s="41" t="n">
        <v>419889449949</v>
      </c>
      <c r="I10" s="41" t="n">
        <v>344308068974</v>
      </c>
      <c r="J10" s="41" t="n">
        <v>470414762915</v>
      </c>
      <c r="K10" s="41" t="n">
        <v>539979205832</v>
      </c>
      <c r="L10" s="41" t="n">
        <v>613669959965</v>
      </c>
      <c r="M10" s="41" t="n">
        <v>728754497737</v>
      </c>
    </row>
    <row r="11">
      <c r="A11" s="40" t="inlineStr">
        <is>
          <t>(Tăng)/giảm các khoản phải thu</t>
        </is>
      </c>
      <c r="B11" s="41" t="n">
        <v>-117374979282</v>
      </c>
      <c r="C11" s="41" t="n">
        <v>31665131930</v>
      </c>
      <c r="D11" s="41" t="n">
        <v>-13883928445</v>
      </c>
      <c r="E11" s="41" t="n">
        <v>-233585639526</v>
      </c>
      <c r="F11" s="41" t="n">
        <v>92508600348</v>
      </c>
      <c r="G11" s="41" t="n">
        <v>102958116319</v>
      </c>
      <c r="H11" s="41" t="n">
        <v>-105348728280</v>
      </c>
      <c r="I11" s="41" t="n">
        <v>-19298813216</v>
      </c>
      <c r="J11" s="41" t="n">
        <v>-78321226919</v>
      </c>
      <c r="K11" s="41" t="n">
        <v>-86481629005</v>
      </c>
      <c r="L11" s="41" t="n">
        <v>-87211840219</v>
      </c>
      <c r="M11" s="41" t="n">
        <v>-15615747783</v>
      </c>
    </row>
    <row r="12">
      <c r="A12" s="40" t="inlineStr">
        <is>
          <t>(Tăng)/giảm hàng tồn kho</t>
        </is>
      </c>
      <c r="B12" s="41" t="n">
        <v>-170634526944</v>
      </c>
      <c r="C12" s="41" t="n">
        <v>-10298098657</v>
      </c>
      <c r="D12" s="41" t="n">
        <v>128213500508</v>
      </c>
      <c r="E12" s="41" t="n">
        <v>-737515305772</v>
      </c>
      <c r="F12" s="41" t="n">
        <v>-1331696590827</v>
      </c>
      <c r="G12" s="41" t="n">
        <v>-1123887741364</v>
      </c>
      <c r="H12" s="41" t="n">
        <v>465801683581</v>
      </c>
      <c r="I12" s="41" t="n">
        <v>86090389652</v>
      </c>
      <c r="J12" s="41" t="n">
        <v>-848910288430</v>
      </c>
      <c r="K12" s="41" t="n">
        <v>-1424113139430</v>
      </c>
      <c r="L12" s="41" t="n">
        <v>-2537001492267</v>
      </c>
      <c r="M12" s="41" t="n">
        <v>-457298510865</v>
      </c>
    </row>
    <row r="13">
      <c r="A13" s="40" t="inlineStr">
        <is>
          <t>Tăng/(giảm) các khoản phải trả</t>
        </is>
      </c>
      <c r="B13" s="41" t="n">
        <v>-1087011024290</v>
      </c>
      <c r="C13" s="41" t="n">
        <v>272336937154</v>
      </c>
      <c r="D13" s="41" t="n">
        <v>190006294566</v>
      </c>
      <c r="E13" s="41" t="n">
        <v>45913488930</v>
      </c>
      <c r="F13" s="41" t="n">
        <v>772687797892</v>
      </c>
      <c r="G13" s="41" t="n">
        <v>-294241941063</v>
      </c>
      <c r="H13" s="41" t="n">
        <v>547266499639</v>
      </c>
      <c r="I13" s="41" t="n">
        <v>195571512143</v>
      </c>
      <c r="J13" s="41" t="n">
        <v>1429960633124</v>
      </c>
      <c r="K13" s="41" t="n">
        <v>1316188759209</v>
      </c>
      <c r="L13" s="41" t="n">
        <v>-285422569358</v>
      </c>
      <c r="M13" s="41" t="n">
        <v>-30800014792</v>
      </c>
    </row>
    <row r="14">
      <c r="A14" s="40" t="inlineStr">
        <is>
          <t>(Tăng)/giảm chi phí trả trước</t>
        </is>
      </c>
      <c r="B14" s="41" t="n">
        <v>7354619419</v>
      </c>
      <c r="C14" s="41" t="n">
        <v>44844044585</v>
      </c>
      <c r="D14" s="41" t="n">
        <v>-48379474318</v>
      </c>
      <c r="E14" s="41" t="n">
        <v>-27517492048</v>
      </c>
      <c r="F14" s="41" t="n">
        <v>-11720657737</v>
      </c>
      <c r="G14" s="41" t="n">
        <v>-25613064952</v>
      </c>
      <c r="H14" s="41" t="n">
        <v>18885705987</v>
      </c>
      <c r="I14" s="41" t="n">
        <v>-2928251450</v>
      </c>
      <c r="J14" s="41" t="n">
        <v>19161529847</v>
      </c>
      <c r="K14" s="41" t="n">
        <v>-33438642347</v>
      </c>
      <c r="L14" s="41" t="n">
        <v>38463671769</v>
      </c>
      <c r="M14" s="41" t="n">
        <v>-10748774019</v>
      </c>
    </row>
    <row r="15">
      <c r="A15" s="40" t="inlineStr">
        <is>
          <t>Tiền lãi vay đã trả</t>
        </is>
      </c>
      <c r="B15" s="41" t="n">
        <v>-22338766505</v>
      </c>
      <c r="C15" s="41" t="n">
        <v>-20333645253</v>
      </c>
      <c r="D15" s="41" t="n">
        <v>-24794821180</v>
      </c>
      <c r="E15" s="41" t="n">
        <v>-28203274925</v>
      </c>
      <c r="F15" s="41" t="n">
        <v>-54319146180</v>
      </c>
      <c r="G15" s="41" t="n">
        <v>-61768558598</v>
      </c>
      <c r="H15" s="41" t="n">
        <v>-89769345643</v>
      </c>
      <c r="I15" s="41" t="n">
        <v>-106430051275</v>
      </c>
      <c r="J15" s="41" t="n">
        <v>-87425715010</v>
      </c>
      <c r="K15" s="41" t="n">
        <v>-109584595657</v>
      </c>
      <c r="L15" s="41" t="n">
        <v>-117125481157</v>
      </c>
      <c r="M15" s="41" t="n">
        <v>-204693365183</v>
      </c>
    </row>
    <row r="16">
      <c r="A16" s="40" t="inlineStr">
        <is>
          <t>Thuế thu nhập doanh nghiệp đã nộp</t>
        </is>
      </c>
      <c r="B16" s="41" t="n">
        <v>-25880128524</v>
      </c>
      <c r="C16" s="41" t="n">
        <v>-15970642847</v>
      </c>
      <c r="D16" s="41" t="n">
        <v>-20661906094</v>
      </c>
      <c r="E16" s="41" t="n">
        <v>-30220749627</v>
      </c>
      <c r="F16" s="41" t="n">
        <v>-1176600</v>
      </c>
      <c r="G16" s="41" t="n">
        <v>0</v>
      </c>
      <c r="H16" s="41" t="n">
        <v>-114141221156</v>
      </c>
      <c r="I16" s="41" t="n">
        <v>0</v>
      </c>
      <c r="J16" s="41" t="n">
        <v>0</v>
      </c>
      <c r="K16" s="41" t="n">
        <v>0</v>
      </c>
      <c r="L16" s="41" t="n">
        <v>-235918541924</v>
      </c>
      <c r="M16" s="41" t="n">
        <v>0</v>
      </c>
    </row>
    <row r="17">
      <c r="A17" s="40" t="inlineStr">
        <is>
          <t>Tiền thu khác từ hoạt động kinh doanh</t>
        </is>
      </c>
      <c r="B17" s="41" t="n">
        <v>0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0</v>
      </c>
      <c r="L17" s="41" t="n">
        <v>0</v>
      </c>
      <c r="M17" s="41" t="n">
        <v>0</v>
      </c>
    </row>
    <row r="18">
      <c r="A18" s="40" t="inlineStr">
        <is>
          <t>Tiền chi khác cho hoạt động kinh doanh</t>
        </is>
      </c>
      <c r="B18" s="41" t="n">
        <v>0</v>
      </c>
      <c r="C18" s="41" t="n">
        <v>-9581934499</v>
      </c>
      <c r="D18" s="41" t="n">
        <v>9581934499</v>
      </c>
      <c r="E18" s="41" t="n">
        <v>0</v>
      </c>
      <c r="F18" s="41" t="n">
        <v>0</v>
      </c>
      <c r="G18" s="41" t="n">
        <v>0</v>
      </c>
      <c r="H18" s="41" t="n">
        <v>0</v>
      </c>
      <c r="I18" s="41" t="n">
        <v>0</v>
      </c>
      <c r="J18" s="41" t="n">
        <v>0</v>
      </c>
      <c r="K18" s="41" t="n">
        <v>0</v>
      </c>
      <c r="L18" s="41" t="n">
        <v>0</v>
      </c>
      <c r="M18" s="41" t="n">
        <v>-820221000</v>
      </c>
    </row>
    <row r="19">
      <c r="A19" s="40" t="inlineStr">
        <is>
          <t>Lưu chuyển tiền tệ ròng từ các hoạt động sản xuất kinh doanh</t>
        </is>
      </c>
      <c r="B19" s="41" t="n">
        <v>-1318148546854</v>
      </c>
      <c r="C19" s="41" t="n">
        <v>428578516281</v>
      </c>
      <c r="D19" s="41" t="n">
        <v>350606394947</v>
      </c>
      <c r="E19" s="41" t="n">
        <v>-829622844234</v>
      </c>
      <c r="F19" s="41" t="n">
        <v>-204573899472</v>
      </c>
      <c r="G19" s="41" t="n">
        <v>-1110098091765</v>
      </c>
      <c r="H19" s="41" t="n">
        <v>1142584044077</v>
      </c>
      <c r="I19" s="41" t="n">
        <v>497312854828</v>
      </c>
      <c r="J19" s="41" t="n">
        <v>904879695527</v>
      </c>
      <c r="K19" s="41" t="n">
        <v>202549958602</v>
      </c>
      <c r="L19" s="41" t="n">
        <v>-2610546293191</v>
      </c>
      <c r="M19" s="41" t="n">
        <v>8777864095</v>
      </c>
    </row>
    <row r="20">
      <c r="A20" s="40" t="inlineStr">
        <is>
          <t>Tiền chi để mua sắm, xây dựng TSCĐ và các tài sản dài hạn khác</t>
        </is>
      </c>
      <c r="B20" s="41" t="n">
        <v>0</v>
      </c>
      <c r="C20" s="41" t="n">
        <v>-44828007712</v>
      </c>
      <c r="D20" s="41" t="n">
        <v>44774065671</v>
      </c>
      <c r="E20" s="41" t="n">
        <v>32395379</v>
      </c>
      <c r="F20" s="41" t="n">
        <v>-137912769334</v>
      </c>
      <c r="G20" s="41" t="n">
        <v>-111235166768</v>
      </c>
      <c r="H20" s="41" t="n">
        <v>-90549909398</v>
      </c>
      <c r="I20" s="41" t="n">
        <v>-165208359562</v>
      </c>
      <c r="J20" s="41" t="n">
        <v>-144944366784</v>
      </c>
      <c r="K20" s="41" t="n">
        <v>-133658496179</v>
      </c>
      <c r="L20" s="41" t="n">
        <v>-96335918133</v>
      </c>
      <c r="M20" s="41" t="n">
        <v>-151222902027</v>
      </c>
    </row>
    <row r="21">
      <c r="A21" s="40" t="inlineStr">
        <is>
          <t>Tiền thu từ thanh lý, nhượng bán TSCĐ và các tài sản dài hạn khác</t>
        </is>
      </c>
      <c r="B21" s="41" t="n">
        <v>0</v>
      </c>
      <c r="C21" s="41" t="n">
        <v>0</v>
      </c>
      <c r="D21" s="41" t="n">
        <v>0</v>
      </c>
      <c r="E21" s="41" t="n">
        <v>0</v>
      </c>
      <c r="F21" s="41" t="n">
        <v>17620000</v>
      </c>
      <c r="G21" s="41" t="n">
        <v>600000</v>
      </c>
      <c r="H21" s="41" t="n">
        <v>1900000</v>
      </c>
      <c r="I21" s="41" t="n">
        <v>0</v>
      </c>
      <c r="J21" s="41" t="n">
        <v>8250000</v>
      </c>
      <c r="K21" s="41" t="n">
        <v>0</v>
      </c>
      <c r="L21" s="41" t="n">
        <v>87962963</v>
      </c>
      <c r="M21" s="41" t="n">
        <v>350000000</v>
      </c>
    </row>
    <row r="22">
      <c r="A22" s="40" t="inlineStr">
        <is>
          <t>Tiền chi cho vay, mua các công cụ nợ của đơn vị khác</t>
        </is>
      </c>
      <c r="B22" s="41" t="n">
        <v>0</v>
      </c>
      <c r="C22" s="41" t="n">
        <v>-253409066193</v>
      </c>
      <c r="D22" s="41" t="n">
        <v>253409066193</v>
      </c>
      <c r="E22" s="41" t="n">
        <v>0</v>
      </c>
      <c r="F22" s="41" t="n">
        <v>-540000000000</v>
      </c>
      <c r="G22" s="41" t="n">
        <v>-496000000000</v>
      </c>
      <c r="H22" s="41" t="n">
        <v>-405000000000</v>
      </c>
      <c r="I22" s="41" t="n">
        <v>-3165000000000</v>
      </c>
      <c r="J22" s="41" t="n">
        <v>-2083000000000</v>
      </c>
      <c r="K22" s="41" t="n">
        <v>-3948000000000</v>
      </c>
      <c r="L22" s="41" t="n">
        <v>-3769000000000</v>
      </c>
      <c r="M22" s="41" t="n">
        <v>-4879000000000</v>
      </c>
    </row>
    <row r="23">
      <c r="A23" s="40" t="inlineStr">
        <is>
          <t>Tiền thu hồi cho vay, bán lại các công cụ nợ của đơn vị khác</t>
        </is>
      </c>
      <c r="B23" s="41" t="n">
        <v>0</v>
      </c>
      <c r="C23" s="41" t="n">
        <v>0</v>
      </c>
      <c r="D23" s="41" t="n">
        <v>0</v>
      </c>
      <c r="E23" s="41" t="n">
        <v>0</v>
      </c>
      <c r="F23" s="41" t="n">
        <v>1164000000000</v>
      </c>
      <c r="G23" s="41" t="n">
        <v>136000000000</v>
      </c>
      <c r="H23" s="41" t="n">
        <v>510000000000</v>
      </c>
      <c r="I23" s="41" t="n">
        <v>476000000000</v>
      </c>
      <c r="J23" s="41" t="n">
        <v>465000000000</v>
      </c>
      <c r="K23" s="41" t="n">
        <v>3207000000000</v>
      </c>
      <c r="L23" s="41" t="n">
        <v>1851000000000</v>
      </c>
      <c r="M23" s="41" t="n">
        <v>4078000000000</v>
      </c>
    </row>
    <row r="24">
      <c r="A24" s="40" t="inlineStr">
        <is>
          <t>Tiền chi đầu tư góp vốn vào đơn vị khác</t>
        </is>
      </c>
      <c r="B24" s="41" t="n">
        <v>0</v>
      </c>
      <c r="C24" s="41" t="n">
        <v>0</v>
      </c>
      <c r="D24" s="41" t="n">
        <v>0</v>
      </c>
      <c r="E24" s="41" t="n">
        <v>0</v>
      </c>
      <c r="F24" s="41" t="n">
        <v>0</v>
      </c>
      <c r="G24" s="41" t="n">
        <v>0</v>
      </c>
      <c r="H24" s="41" t="n">
        <v>0</v>
      </c>
      <c r="I24" s="41" t="n">
        <v>0</v>
      </c>
      <c r="J24" s="41" t="n">
        <v>0</v>
      </c>
      <c r="K24" s="41" t="n">
        <v>0</v>
      </c>
      <c r="L24" s="41" t="n">
        <v>0</v>
      </c>
      <c r="M24" s="41" t="n">
        <v>0</v>
      </c>
    </row>
    <row r="25">
      <c r="A25" s="40" t="inlineStr">
        <is>
          <t>Tiền thu hồi đầu tư góp vốn vào đơn vị khác</t>
        </is>
      </c>
      <c r="B25" s="41" t="n">
        <v>0</v>
      </c>
      <c r="C25" s="41" t="n">
        <v>0</v>
      </c>
      <c r="D25" s="41" t="n">
        <v>0</v>
      </c>
      <c r="E25" s="41" t="n">
        <v>0</v>
      </c>
      <c r="F25" s="41" t="n">
        <v>0</v>
      </c>
      <c r="G25" s="41" t="n">
        <v>0</v>
      </c>
      <c r="H25" s="41" t="n">
        <v>0</v>
      </c>
      <c r="I25" s="41" t="n">
        <v>0</v>
      </c>
      <c r="J25" s="41" t="n">
        <v>0</v>
      </c>
      <c r="K25" s="41" t="n">
        <v>0</v>
      </c>
      <c r="L25" s="41" t="n">
        <v>0</v>
      </c>
      <c r="M25" s="41" t="n">
        <v>0</v>
      </c>
    </row>
    <row r="26">
      <c r="A26" s="40" t="inlineStr">
        <is>
          <t>Tiền thu lãi cho vay, cổ tức và lợi nhuận được chia</t>
        </is>
      </c>
      <c r="B26" s="41" t="n">
        <v>4884584001</v>
      </c>
      <c r="C26" s="41" t="n">
        <v>4765713636</v>
      </c>
      <c r="D26" s="41" t="n">
        <v>-9650297637</v>
      </c>
      <c r="E26" s="41" t="n">
        <v>0</v>
      </c>
      <c r="F26" s="41" t="n">
        <v>33267473976</v>
      </c>
      <c r="G26" s="41" t="n">
        <v>25392483955</v>
      </c>
      <c r="H26" s="41" t="n">
        <v>37405421417</v>
      </c>
      <c r="I26" s="41" t="n">
        <v>46981549819</v>
      </c>
      <c r="J26" s="41" t="n">
        <v>31578340958</v>
      </c>
      <c r="K26" s="41" t="n">
        <v>97483260199</v>
      </c>
      <c r="L26" s="41" t="n">
        <v>69786434566</v>
      </c>
      <c r="M26" s="41" t="n">
        <v>161108609631</v>
      </c>
    </row>
    <row r="27">
      <c r="A27" s="40" t="inlineStr">
        <is>
          <t>Lưu chuyển tiền thuần từ hoạt động đầu tư</t>
        </is>
      </c>
      <c r="B27" s="41" t="n">
        <v>4884584001</v>
      </c>
      <c r="C27" s="41" t="n">
        <v>-293471360269</v>
      </c>
      <c r="D27" s="41" t="n">
        <v>288532834227</v>
      </c>
      <c r="E27" s="41" t="n">
        <v>32395379</v>
      </c>
      <c r="F27" s="41" t="n">
        <v>519372324642</v>
      </c>
      <c r="G27" s="41" t="n">
        <v>-445842082813</v>
      </c>
      <c r="H27" s="41" t="n">
        <v>51857412019</v>
      </c>
      <c r="I27" s="41" t="n">
        <v>-2807226809743</v>
      </c>
      <c r="J27" s="41" t="n">
        <v>-1731357775826</v>
      </c>
      <c r="K27" s="41" t="n">
        <v>-777175235980</v>
      </c>
      <c r="L27" s="41" t="n">
        <v>-1944461520604</v>
      </c>
      <c r="M27" s="41" t="n">
        <v>-790764292396</v>
      </c>
    </row>
    <row r="28">
      <c r="A28" s="40" t="inlineStr">
        <is>
          <t>Tiền thu từ phát hành cổ phiếu, nhận vốn góp của chủ sở hữu</t>
        </is>
      </c>
      <c r="B28" s="41" t="n">
        <v>0</v>
      </c>
      <c r="C28" s="41" t="n">
        <v>0</v>
      </c>
      <c r="D28" s="41" t="n">
        <v>0</v>
      </c>
      <c r="E28" s="41" t="n">
        <v>305000000000</v>
      </c>
      <c r="F28" s="41" t="n">
        <v>51569080000</v>
      </c>
      <c r="G28" s="41" t="n">
        <v>0</v>
      </c>
      <c r="H28" s="41" t="n">
        <v>0</v>
      </c>
      <c r="I28" s="41" t="n">
        <v>0</v>
      </c>
      <c r="J28" s="41" t="n">
        <v>887259632629</v>
      </c>
      <c r="K28" s="41" t="n">
        <v>1150201915862</v>
      </c>
      <c r="L28" s="41" t="n">
        <v>0</v>
      </c>
      <c r="M28" s="41" t="n">
        <v>0</v>
      </c>
    </row>
    <row r="29">
      <c r="A29" s="40" t="inlineStr">
        <is>
          <t>Tiền chi trả vốn góp cho các chủ sở hữu, mua lại cổ phiếu của doanh nghiệp đã phát hành</t>
        </is>
      </c>
      <c r="B29" s="41" t="n">
        <v>0</v>
      </c>
      <c r="C29" s="41" t="n">
        <v>0</v>
      </c>
      <c r="D29" s="41" t="n">
        <v>0</v>
      </c>
      <c r="E29" s="41" t="n">
        <v>0</v>
      </c>
      <c r="F29" s="41" t="n">
        <v>0</v>
      </c>
      <c r="G29" s="41" t="n">
        <v>0</v>
      </c>
      <c r="H29" s="41" t="n">
        <v>0</v>
      </c>
      <c r="I29" s="41" t="n">
        <v>887259632629</v>
      </c>
      <c r="J29" s="41" t="n">
        <v>-887259632629</v>
      </c>
      <c r="K29" s="41" t="n">
        <v>0</v>
      </c>
      <c r="L29" s="41" t="n">
        <v>0</v>
      </c>
      <c r="M29" s="41" t="n">
        <v>0</v>
      </c>
    </row>
    <row r="30">
      <c r="A30" s="40" t="inlineStr">
        <is>
          <t>Tiền thu được các khoản đi vay</t>
        </is>
      </c>
      <c r="B30" s="41" t="n">
        <v>2749127092540</v>
      </c>
      <c r="C30" s="41" t="n">
        <v>2113484436815</v>
      </c>
      <c r="D30" s="41" t="n">
        <v>1304176423294</v>
      </c>
      <c r="E30" s="41" t="n">
        <v>2978025779993</v>
      </c>
      <c r="F30" s="41" t="n">
        <v>4621739599392</v>
      </c>
      <c r="G30" s="41" t="n">
        <v>5790578350745</v>
      </c>
      <c r="H30" s="41" t="n">
        <v>5325472345247</v>
      </c>
      <c r="I30" s="41" t="n">
        <v>5913651358721</v>
      </c>
      <c r="J30" s="41" t="n">
        <v>6028634782407</v>
      </c>
      <c r="K30" s="41" t="n">
        <v>7448647824900</v>
      </c>
      <c r="L30" s="41" t="n">
        <v>8150029182843</v>
      </c>
      <c r="M30" s="41" t="n">
        <v>7725382179788</v>
      </c>
    </row>
    <row r="31">
      <c r="A31" s="40" t="inlineStr">
        <is>
          <t>Tiền trả nợ gốc vay</t>
        </is>
      </c>
      <c r="B31" s="41" t="n">
        <v>-1468167592760</v>
      </c>
      <c r="C31" s="41" t="n">
        <v>-2451067912540</v>
      </c>
      <c r="D31" s="41" t="n">
        <v>-1472493050000</v>
      </c>
      <c r="E31" s="41" t="n">
        <v>-1978815785495</v>
      </c>
      <c r="F31" s="41" t="n">
        <v>-3455075958465</v>
      </c>
      <c r="G31" s="41" t="n">
        <v>-4306504859127</v>
      </c>
      <c r="H31" s="41" t="n">
        <v>-5226708330854</v>
      </c>
      <c r="I31" s="41" t="n">
        <v>-5499958466859</v>
      </c>
      <c r="J31" s="41" t="n">
        <v>-6422093981610</v>
      </c>
      <c r="K31" s="41" t="n">
        <v>-6316487062201</v>
      </c>
      <c r="L31" s="41" t="n">
        <v>-5820119327109</v>
      </c>
      <c r="M31" s="41" t="n">
        <v>-7031730512630</v>
      </c>
    </row>
    <row r="32">
      <c r="A32" s="40" t="inlineStr">
        <is>
          <t>Tiền trả nợ gốc thuê tài chính</t>
        </is>
      </c>
      <c r="B32" s="41" t="n">
        <v>0</v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0</v>
      </c>
      <c r="I32" s="41" t="n">
        <v>0</v>
      </c>
      <c r="J32" s="41" t="n">
        <v>0</v>
      </c>
      <c r="K32" s="41" t="n">
        <v>0</v>
      </c>
      <c r="L32" s="41" t="n">
        <v>0</v>
      </c>
      <c r="M32" s="41" t="n">
        <v>0</v>
      </c>
    </row>
    <row r="33">
      <c r="A33" s="40" t="inlineStr">
        <is>
          <t>Cổ tức, lợi nhuận đã trả cho chủ sở hữu</t>
        </is>
      </c>
      <c r="B33" s="41" t="n">
        <v>0</v>
      </c>
      <c r="C33" s="41" t="n">
        <v>0</v>
      </c>
      <c r="D33" s="41" t="n">
        <v>0</v>
      </c>
      <c r="E33" s="41" t="n">
        <v>-280000000000</v>
      </c>
      <c r="F33" s="41" t="n">
        <v>-54283249510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0</v>
      </c>
      <c r="L33" s="41" t="n">
        <v>0</v>
      </c>
      <c r="M33" s="41" t="n">
        <v>0</v>
      </c>
    </row>
    <row r="34">
      <c r="A34" s="40" t="inlineStr">
        <is>
          <t>Tiền lãi đã nhận</t>
        </is>
      </c>
      <c r="B34" s="41" t="n">
        <v>0</v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</row>
    <row r="35">
      <c r="A35" s="40" t="inlineStr">
        <is>
          <t>Lưu chuyển tiền thuần từ hoạt động tài chính</t>
        </is>
      </c>
      <c r="B35" s="41" t="n">
        <v>1280959499780</v>
      </c>
      <c r="C35" s="41" t="n">
        <v>-337583475725</v>
      </c>
      <c r="D35" s="41" t="n">
        <v>-168316626706</v>
      </c>
      <c r="E35" s="41" t="n">
        <v>1024209994498</v>
      </c>
      <c r="F35" s="41" t="n">
        <v>1163949471417</v>
      </c>
      <c r="G35" s="41" t="n">
        <v>1484073491618</v>
      </c>
      <c r="H35" s="41" t="n">
        <v>98764014393</v>
      </c>
      <c r="I35" s="41" t="n">
        <v>1300952524491</v>
      </c>
      <c r="J35" s="41" t="n">
        <v>-393459199203</v>
      </c>
      <c r="K35" s="41" t="n">
        <v>2282362678561</v>
      </c>
      <c r="L35" s="41" t="n">
        <v>2329909855734</v>
      </c>
      <c r="M35" s="41" t="n">
        <v>693651667158</v>
      </c>
    </row>
    <row r="36">
      <c r="A36" s="40" t="inlineStr">
        <is>
          <t>Lưu chuyển tiền thuần trong kỳ</t>
        </is>
      </c>
      <c r="B36" s="41" t="n">
        <v>-32304463073</v>
      </c>
      <c r="C36" s="41" t="n">
        <v>-202476319713</v>
      </c>
      <c r="D36" s="41" t="n">
        <v>470822602468</v>
      </c>
      <c r="E36" s="41" t="n">
        <v>194619545643</v>
      </c>
      <c r="F36" s="41" t="n">
        <v>1478747896587</v>
      </c>
      <c r="G36" s="41" t="n">
        <v>-71866682960</v>
      </c>
      <c r="H36" s="41" t="n">
        <v>1293205470489</v>
      </c>
      <c r="I36" s="41" t="n">
        <v>-1008961430424</v>
      </c>
      <c r="J36" s="41" t="n">
        <v>-1219937279502</v>
      </c>
      <c r="K36" s="41" t="n">
        <v>1707737401183</v>
      </c>
      <c r="L36" s="41" t="n">
        <v>-2225097958061</v>
      </c>
      <c r="M36" s="41" t="n">
        <v>-88334761143</v>
      </c>
    </row>
    <row r="37">
      <c r="A37" s="40" t="inlineStr">
        <is>
          <t>Tiền và tương đương tiền đầu kỳ</t>
        </is>
      </c>
      <c r="B37" s="41" t="n">
        <v>638076095694</v>
      </c>
      <c r="C37" s="41" t="n">
        <v>605771632622</v>
      </c>
      <c r="D37" s="41" t="n">
        <v>403295312908</v>
      </c>
      <c r="E37" s="41" t="n">
        <v>874117915376</v>
      </c>
      <c r="F37" s="41" t="n">
        <v>690870977829</v>
      </c>
      <c r="G37" s="41" t="n">
        <v>2169613383180</v>
      </c>
      <c r="H37" s="41" t="n">
        <v>2097787236988</v>
      </c>
      <c r="I37" s="41" t="n">
        <v>3391121774419</v>
      </c>
      <c r="J37" s="41" t="n">
        <v>2382207094450</v>
      </c>
      <c r="K37" s="41" t="n">
        <v>1162213737354</v>
      </c>
      <c r="L37" s="41" t="n">
        <v>2869851759629</v>
      </c>
      <c r="M37" s="41" t="n">
        <v>644900672025</v>
      </c>
    </row>
    <row r="38">
      <c r="A38" s="40" t="inlineStr">
        <is>
          <t>Ảnh hưởng của thay đổi tỷ giá hối đoái quy đổi ngoại tệ</t>
        </is>
      </c>
      <c r="B38" s="41" t="n">
        <v>1</v>
      </c>
      <c r="C38" s="41" t="n">
        <v>-1</v>
      </c>
      <c r="D38" s="41" t="n">
        <v>0</v>
      </c>
      <c r="E38" s="41" t="n">
        <v>0</v>
      </c>
      <c r="F38" s="41" t="n">
        <v>-5491236</v>
      </c>
      <c r="G38" s="41" t="n">
        <v>40536768</v>
      </c>
      <c r="H38" s="41" t="n">
        <v>129066942</v>
      </c>
      <c r="I38" s="41" t="n">
        <v>46750455</v>
      </c>
      <c r="J38" s="41" t="n">
        <v>-56077594</v>
      </c>
      <c r="K38" s="41" t="n">
        <v>-99378908</v>
      </c>
      <c r="L38" s="41" t="n">
        <v>146870457</v>
      </c>
      <c r="M38" s="41" t="n">
        <v>-11661356</v>
      </c>
    </row>
    <row r="39">
      <c r="A39" s="40" t="inlineStr">
        <is>
          <t>Tiền và tương đương tiền cuối kỳ</t>
        </is>
      </c>
      <c r="B39" s="41" t="n">
        <v>605771632622</v>
      </c>
      <c r="C39" s="41" t="n">
        <v>403295312908</v>
      </c>
      <c r="D39" s="41" t="n">
        <v>874117915376</v>
      </c>
      <c r="E39" s="41" t="n">
        <v>1068737461019</v>
      </c>
      <c r="F39" s="41" t="n">
        <v>2169613383180</v>
      </c>
      <c r="G39" s="41" t="n">
        <v>2097787236988</v>
      </c>
      <c r="H39" s="41" t="n">
        <v>3391121774419</v>
      </c>
      <c r="I39" s="41" t="n">
        <v>2382207094450</v>
      </c>
      <c r="J39" s="41" t="n">
        <v>1162213737354</v>
      </c>
      <c r="K39" s="41" t="n">
        <v>2869851759629</v>
      </c>
      <c r="L39" s="41" t="n">
        <v>644900672025</v>
      </c>
      <c r="M39" s="41" t="n">
        <v>556554249526</v>
      </c>
    </row>
    <row r="40">
      <c r="A40" s="40" t="inlineStr">
        <is>
          <t>Phân bổ lợi thế thương mại</t>
        </is>
      </c>
      <c r="B40" s="41" t="n">
        <v>0</v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</row>
    <row r="41">
      <c r="A41" s="40" t="inlineStr">
        <is>
          <t>Các khoản điều chỉnh khác</t>
        </is>
      </c>
      <c r="B41" s="41" t="n">
        <v>0</v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  <c r="M41" s="41" t="n">
        <v>0</v>
      </c>
    </row>
    <row r="42">
      <c r="A42" s="40" t="inlineStr">
        <is>
          <t>(Tăng)/giảm chứng khoán kinh doanh</t>
        </is>
      </c>
      <c r="B42" s="41" t="n">
        <v>0</v>
      </c>
      <c r="C42" s="41" t="n">
        <v>0</v>
      </c>
      <c r="D42" s="41" t="n">
        <v>0</v>
      </c>
      <c r="E42" s="41" t="n">
        <v>0</v>
      </c>
      <c r="F42" s="41" t="n">
        <v>0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0</v>
      </c>
      <c r="L42" s="41" t="n">
        <v>0</v>
      </c>
      <c r="M42" s="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tabSelected="1" zoomScaleNormal="100" workbookViewId="0">
      <selection activeCell="F6" sqref="F6"/>
    </sheetView>
  </sheetViews>
  <sheetFormatPr baseColWidth="8" defaultColWidth="8.88671875" defaultRowHeight="13.8"/>
  <cols>
    <col width="58" bestFit="1" customWidth="1" style="3" min="1" max="1"/>
    <col width="20.5546875" bestFit="1" customWidth="1" style="3" min="2" max="9"/>
    <col width="8.88671875" customWidth="1" style="3" min="10" max="10"/>
    <col width="20.5546875" bestFit="1" customWidth="1" style="3" min="11" max="11"/>
    <col width="8.88671875" customWidth="1" style="3" min="12" max="16384"/>
  </cols>
  <sheetData>
    <row r="1">
      <c r="A1" s="1" t="inlineStr">
        <is>
          <t>Chỉ tiêu</t>
        </is>
      </c>
      <c r="B1" s="2">
        <f>balance_sheet!B1</f>
        <v/>
      </c>
      <c r="C1" s="2">
        <f>balance_sheet!C1</f>
        <v/>
      </c>
      <c r="D1" s="2">
        <f>balance_sheet!D1</f>
        <v/>
      </c>
      <c r="E1" s="2">
        <f>balance_sheet!E1</f>
        <v/>
      </c>
      <c r="F1" s="2">
        <f>balance_sheet!F1</f>
        <v/>
      </c>
      <c r="G1" s="2">
        <f>balance_sheet!G1</f>
        <v/>
      </c>
      <c r="H1" s="2">
        <f>balance_sheet!H1</f>
        <v/>
      </c>
      <c r="I1" s="2">
        <f>balance_sheet!I1</f>
        <v/>
      </c>
    </row>
    <row r="2">
      <c r="A2" s="1" t="inlineStr">
        <is>
          <t>ROE (LNST CĐ Cty mẹ / VCSH bình quân)</t>
        </is>
      </c>
      <c r="B2" s="42">
        <f>IFERROR(B$56/((B$41+#REF!)/2),"n/a")</f>
        <v/>
      </c>
      <c r="C2" s="42">
        <f>IFERROR(C$56/((C$41+B$41)/2),"n/a")</f>
        <v/>
      </c>
      <c r="D2" s="42">
        <f>IFERROR(D$56/((D$41+C$41)/2),"n/a")</f>
        <v/>
      </c>
      <c r="E2" s="42">
        <f>IFERROR(E$56/((E$41+D$41)/2),"n/a")</f>
        <v/>
      </c>
      <c r="F2" s="42">
        <f>IFERROR(F$56/((F$41+E$41)/2),"n/a")</f>
        <v/>
      </c>
      <c r="G2" s="42">
        <f>IFERROR(G$56/((G$41+F$41)/2),"n/a")</f>
        <v/>
      </c>
      <c r="H2" s="42">
        <f>IFERROR(H$56/((H$41+G$41)/2),"n/a")</f>
        <v/>
      </c>
      <c r="I2" s="42">
        <f>IFERROR(I$56/((I$41+H$41)/2),"n/a")</f>
        <v/>
      </c>
    </row>
    <row r="3">
      <c r="A3" s="1" t="inlineStr">
        <is>
          <t>ROA (LNST / Tổng tài sản bình quân)</t>
        </is>
      </c>
      <c r="B3" s="42">
        <f>IFERROR(B$55/((B$33+#REF!)/2),"n/a")</f>
        <v/>
      </c>
      <c r="C3" s="42">
        <f>IFERROR(C$55/((C$33+B$33)/2),"n/a")</f>
        <v/>
      </c>
      <c r="D3" s="42">
        <f>IFERROR(D$55/((D$33+C$33)/2),"n/a")</f>
        <v/>
      </c>
      <c r="E3" s="42">
        <f>IFERROR(E$55/((E$33+D$33)/2),"n/a")</f>
        <v/>
      </c>
      <c r="F3" s="42">
        <f>IFERROR(F$55/((F$33+E$33)/2),"n/a")</f>
        <v/>
      </c>
      <c r="G3" s="42">
        <f>IFERROR(G$55/((G$33+F$33)/2),"n/a")</f>
        <v/>
      </c>
      <c r="H3" s="42">
        <f>IFERROR(H$55/((H$33+G$33)/2),"n/a")</f>
        <v/>
      </c>
      <c r="I3" s="42">
        <f>IFERROR(I$55/((I$33+H$33)/2),"n/a")</f>
        <v/>
      </c>
    </row>
    <row r="4">
      <c r="A4" s="1" t="inlineStr">
        <is>
          <t>Tăng trưởng LN Cổ đông Cty mẹ QQ</t>
        </is>
      </c>
      <c r="B4" s="42">
        <f>IFERROR((B$56-#REF!)/ABS(#REF!),"n/a")</f>
        <v/>
      </c>
      <c r="C4" s="37">
        <f>IFERROR((C$56-B$56)/ABS(B$56),"n/a")</f>
        <v/>
      </c>
      <c r="D4" s="37">
        <f>IFERROR((D$56-C$56)/ABS(C$56),"n/a")</f>
        <v/>
      </c>
      <c r="E4" s="37">
        <f>IFERROR((E$56-D$56)/ABS(D$56),"n/a")</f>
        <v/>
      </c>
      <c r="F4" s="37">
        <f>IFERROR((F$56-E$56)/ABS(E$56),"n/a")</f>
        <v/>
      </c>
      <c r="G4" s="37">
        <f>IFERROR((G$56-F$56)/ABS(F$56),"n/a")</f>
        <v/>
      </c>
      <c r="H4" s="37">
        <f>IFERROR((H$56-G$56)/ABS(G$56),"n/a")</f>
        <v/>
      </c>
      <c r="I4" s="37">
        <f>IFERROR((I$56-H$56)/ABS(H$56),"n/a")</f>
        <v/>
      </c>
    </row>
    <row r="5">
      <c r="A5" s="1" t="inlineStr">
        <is>
          <t>Tăng trưởng LN Cổ đông Cty mẹ YY</t>
        </is>
      </c>
      <c r="B5" s="42" t="n"/>
      <c r="C5" s="42" t="n"/>
      <c r="D5" s="42" t="n"/>
      <c r="E5" s="42" t="n"/>
      <c r="F5" s="42">
        <f>IFERROR((F$56-B$56)/ABS(B$56),"n/a")</f>
        <v/>
      </c>
      <c r="G5" s="42">
        <f>IFERROR((G$56-C$56)/ABS(C$56),"n/a")</f>
        <v/>
      </c>
      <c r="H5" s="42">
        <f>IFERROR((H$56-D$56)/ABS(D$56),"n/a")</f>
        <v/>
      </c>
      <c r="I5" s="42">
        <f>IFERROR((I$56-E$56)/ABS(E$56),"n/a")</f>
        <v/>
      </c>
    </row>
    <row r="6">
      <c r="A6" s="1" t="inlineStr">
        <is>
          <t>Tăng trưởng Doanh thu thuần QQ</t>
        </is>
      </c>
      <c r="B6" s="42">
        <f>IFERROR((B$45-#REF!)/ABS(#REF!),"n/a")</f>
        <v/>
      </c>
      <c r="C6" s="37">
        <f>IFERROR((C$45-B$45)/ABS(B$45),"n/a")</f>
        <v/>
      </c>
      <c r="D6" s="37">
        <f>IFERROR((D$45-C$45)/ABS(C$45),"n/a")</f>
        <v/>
      </c>
      <c r="E6" s="37">
        <f>IFERROR((E$45-D$45)/ABS(D$45),"n/a")</f>
        <v/>
      </c>
      <c r="F6" s="37">
        <f>IFERROR((F$45-E$45)/ABS(E$45),"n/a")</f>
        <v/>
      </c>
      <c r="G6" s="37">
        <f>IFERROR((G$45-F$45)/ABS(F$45),"n/a")</f>
        <v/>
      </c>
      <c r="H6" s="37">
        <f>IFERROR((H$45-G$45)/ABS(G$45),"n/a")</f>
        <v/>
      </c>
      <c r="I6" s="37">
        <f>IFERROR((I$45-H$45)/ABS(H$45),"n/a")</f>
        <v/>
      </c>
    </row>
    <row r="7">
      <c r="A7" s="1" t="inlineStr">
        <is>
          <t>Tăng trưởng Doanh thu thuần YY</t>
        </is>
      </c>
      <c r="B7" s="42" t="n"/>
      <c r="C7" s="42" t="n"/>
      <c r="D7" s="42" t="n"/>
      <c r="E7" s="42" t="n"/>
      <c r="F7" s="42">
        <f>IFERROR((F$45-B$45)/ABS(B$45),"n/a")</f>
        <v/>
      </c>
      <c r="G7" s="42">
        <f>IFERROR((G$45-C$45)/ABS(C$45),"n/a")</f>
        <v/>
      </c>
      <c r="H7" s="42">
        <f>IFERROR((H$45-D$45)/ABS(D$45),"n/a")</f>
        <v/>
      </c>
      <c r="I7" s="42">
        <f>IFERROR((I$45-E$45)/ABS(E$45),"n/a")</f>
        <v/>
      </c>
    </row>
    <row r="8">
      <c r="A8" s="1" t="inlineStr">
        <is>
          <t>Biên lợi nhuận gộp</t>
        </is>
      </c>
      <c r="B8" s="42">
        <f>IFERROR(B$48/B$45,"n/a")</f>
        <v/>
      </c>
      <c r="C8" s="42">
        <f>IFERROR(C$48/C$45,"n/a")</f>
        <v/>
      </c>
      <c r="D8" s="42">
        <f>IFERROR(D$48/D$45,"n/a")</f>
        <v/>
      </c>
      <c r="E8" s="42">
        <f>IFERROR(E$48/E$45,"n/a")</f>
        <v/>
      </c>
      <c r="F8" s="42">
        <f>IFERROR(F$48/F$45,"n/a")</f>
        <v/>
      </c>
      <c r="G8" s="42">
        <f>IFERROR(G$48/G$45,"n/a")</f>
        <v/>
      </c>
      <c r="H8" s="42">
        <f>IFERROR(H$48/H$45,"n/a")</f>
        <v/>
      </c>
      <c r="I8" s="42">
        <f>IFERROR(I$48/I$45,"n/a")</f>
        <v/>
      </c>
    </row>
    <row r="9">
      <c r="A9" s="1" t="inlineStr">
        <is>
          <t>Biên lợi nhuận ròng</t>
        </is>
      </c>
      <c r="B9" s="42">
        <f>IFERROR(B$56/B$45,"n/a")</f>
        <v/>
      </c>
      <c r="C9" s="42">
        <f>IFERROR(C$56/C$45,"n/a")</f>
        <v/>
      </c>
      <c r="D9" s="42">
        <f>IFERROR(D$56/D$45,"n/a")</f>
        <v/>
      </c>
      <c r="E9" s="42">
        <f>IFERROR(E$56/E$45,"n/a")</f>
        <v/>
      </c>
      <c r="F9" s="42">
        <f>IFERROR(F$56/F$45,"n/a")</f>
        <v/>
      </c>
      <c r="G9" s="42">
        <f>IFERROR(G$56/G$45,"n/a")</f>
        <v/>
      </c>
      <c r="H9" s="42">
        <f>IFERROR(H$56/H$45,"n/a")</f>
        <v/>
      </c>
      <c r="I9" s="42">
        <f>IFERROR(I$56/I$45,"n/a")</f>
        <v/>
      </c>
    </row>
    <row r="10">
      <c r="A10" s="1" t="inlineStr">
        <is>
          <t>D/E (Nợ vay / Vốn chủ sở hữu)</t>
        </is>
      </c>
      <c r="B10" s="5">
        <f>IFERROR((B$36+B$38)/B$41,"n/a")</f>
        <v/>
      </c>
      <c r="C10" s="5">
        <f>IFERROR((C$36+C$38)/C$41,"n/a")</f>
        <v/>
      </c>
      <c r="D10" s="5">
        <f>IFERROR((D$36+D$38)/D$41,"n/a")</f>
        <v/>
      </c>
      <c r="E10" s="5">
        <f>IFERROR((E$36+E$38)/E$41,"n/a")</f>
        <v/>
      </c>
      <c r="F10" s="5">
        <f>IFERROR((F$36+F$38)/F$41,"n/a")</f>
        <v/>
      </c>
      <c r="G10" s="5">
        <f>IFERROR((G$36+G$38)/G$41,"n/a")</f>
        <v/>
      </c>
      <c r="H10" s="5">
        <f>IFERROR((H$36+H$38)/H$41,"n/a")</f>
        <v/>
      </c>
      <c r="I10" s="5">
        <f>IFERROR((I$36+I$38)/I$41,"n/a")</f>
        <v/>
      </c>
    </row>
    <row r="11">
      <c r="A11" s="6" t="inlineStr">
        <is>
          <t xml:space="preserve">     - Nợ vay dài hạn/Vốn chủ sở hữu</t>
        </is>
      </c>
      <c r="B11" s="5">
        <f>IFERROR(B$38/B$41,"n/a")</f>
        <v/>
      </c>
      <c r="C11" s="5">
        <f>IFERROR(C$38/C$41,"n/a")</f>
        <v/>
      </c>
      <c r="D11" s="5">
        <f>IFERROR(D$38/D$41,"n/a")</f>
        <v/>
      </c>
      <c r="E11" s="5">
        <f>IFERROR(E$38/E$41,"n/a")</f>
        <v/>
      </c>
      <c r="F11" s="5">
        <f>IFERROR(F$38/F$41,"n/a")</f>
        <v/>
      </c>
      <c r="G11" s="5">
        <f>IFERROR(G$38/G$41,"n/a")</f>
        <v/>
      </c>
      <c r="H11" s="5">
        <f>IFERROR(H$38/H$41,"n/a")</f>
        <v/>
      </c>
      <c r="I11" s="5">
        <f>IFERROR(I$38/I$41,"n/a")</f>
        <v/>
      </c>
    </row>
    <row r="12">
      <c r="A12" s="6" t="inlineStr">
        <is>
          <t xml:space="preserve">     - Nợ vay ngắn hạn/Vốn chủ sở hữu</t>
        </is>
      </c>
      <c r="B12" s="5">
        <f>IFERROR(B$36/B$41,"n/a")</f>
        <v/>
      </c>
      <c r="C12" s="5">
        <f>IFERROR(C$36/C$41,"n/a")</f>
        <v/>
      </c>
      <c r="D12" s="5">
        <f>IFERROR(D$36/D$41,"n/a")</f>
        <v/>
      </c>
      <c r="E12" s="5">
        <f>IFERROR(E$36/E$41,"n/a")</f>
        <v/>
      </c>
      <c r="F12" s="5">
        <f>IFERROR(F$36/F$41,"n/a")</f>
        <v/>
      </c>
      <c r="G12" s="5">
        <f>IFERROR(G$36/G$41,"n/a")</f>
        <v/>
      </c>
      <c r="H12" s="5">
        <f>IFERROR(H$36/H$41,"n/a")</f>
        <v/>
      </c>
      <c r="I12" s="5">
        <f>IFERROR(I$36/I$41,"n/a")</f>
        <v/>
      </c>
    </row>
    <row r="13">
      <c r="A13" s="1" t="inlineStr">
        <is>
          <t>Nợ phải trả/Vốn chủ sở hữu</t>
        </is>
      </c>
      <c r="B13" s="5">
        <f>IFERROR(B$40/B$41,"n/a")</f>
        <v/>
      </c>
      <c r="C13" s="5">
        <f>IFERROR(C$40/C$41,"n/a")</f>
        <v/>
      </c>
      <c r="D13" s="5">
        <f>IFERROR(D$40/D$41,"n/a")</f>
        <v/>
      </c>
      <c r="E13" s="5">
        <f>IFERROR(E$40/E$41,"n/a")</f>
        <v/>
      </c>
      <c r="F13" s="5">
        <f>IFERROR(F$40/F$41,"n/a")</f>
        <v/>
      </c>
      <c r="G13" s="5">
        <f>IFERROR(G$40/G$41,"n/a")</f>
        <v/>
      </c>
      <c r="H13" s="5">
        <f>IFERROR(H$40/H$41,"n/a")</f>
        <v/>
      </c>
      <c r="I13" s="5">
        <f>IFERROR(I$40/I$41,"n/a")</f>
        <v/>
      </c>
    </row>
    <row r="14">
      <c r="A14" s="6" t="inlineStr">
        <is>
          <t xml:space="preserve">     - Nợ dài hạn/Vốn chủ sở hữu</t>
        </is>
      </c>
      <c r="B14" s="5">
        <f>IFERROR(B$39/B$41,"n/a")</f>
        <v/>
      </c>
      <c r="C14" s="5">
        <f>IFERROR(C$39/C$41,"n/a")</f>
        <v/>
      </c>
      <c r="D14" s="5">
        <f>IFERROR(D$39/D$41,"n/a")</f>
        <v/>
      </c>
      <c r="E14" s="5">
        <f>IFERROR(E$39/E$41,"n/a")</f>
        <v/>
      </c>
      <c r="F14" s="5">
        <f>IFERROR(F$39/F$41,"n/a")</f>
        <v/>
      </c>
      <c r="G14" s="5">
        <f>IFERROR(G$39/G$41,"n/a")</f>
        <v/>
      </c>
      <c r="H14" s="5">
        <f>IFERROR(H$39/H$41,"n/a")</f>
        <v/>
      </c>
      <c r="I14" s="5">
        <f>IFERROR(I$39/I$41,"n/a")</f>
        <v/>
      </c>
    </row>
    <row r="15">
      <c r="A15" s="6" t="inlineStr">
        <is>
          <t xml:space="preserve">     - Nợ ngắn hạn/Vốn chủ sở hữu</t>
        </is>
      </c>
      <c r="B15" s="5">
        <f>IFERROR(B$37/B$41,"n/a")</f>
        <v/>
      </c>
      <c r="C15" s="5">
        <f>IFERROR(C$37/C$41,"n/a")</f>
        <v/>
      </c>
      <c r="D15" s="5">
        <f>IFERROR(D$37/D$41,"n/a")</f>
        <v/>
      </c>
      <c r="E15" s="5">
        <f>IFERROR(E$37/E$41,"n/a")</f>
        <v/>
      </c>
      <c r="F15" s="5">
        <f>IFERROR(F$37/F$41,"n/a")</f>
        <v/>
      </c>
      <c r="G15" s="5">
        <f>IFERROR(G$37/G$41,"n/a")</f>
        <v/>
      </c>
      <c r="H15" s="5">
        <f>IFERROR(H$37/H$41,"n/a")</f>
        <v/>
      </c>
      <c r="I15" s="5">
        <f>IFERROR(I$37/I$41,"n/a")</f>
        <v/>
      </c>
    </row>
    <row r="16">
      <c r="A16" s="1" t="inlineStr">
        <is>
          <t>Chi phí bán hàng, quản lý/LN gộp</t>
        </is>
      </c>
      <c r="B16" s="42">
        <f>IFERROR((ABS(B$49)+ABS(B$50))/B$48,"n/a")</f>
        <v/>
      </c>
      <c r="C16" s="42">
        <f>IFERROR((ABS(C$49)+ABS(C$50))/C$48,"n/a")</f>
        <v/>
      </c>
      <c r="D16" s="42">
        <f>IFERROR((ABS(D$49)+ABS(D$50))/D$48,"n/a")</f>
        <v/>
      </c>
      <c r="E16" s="42">
        <f>IFERROR((ABS(E$49)+ABS(E$50))/E$48,"n/a")</f>
        <v/>
      </c>
      <c r="F16" s="42">
        <f>IFERROR((ABS(F$49)+ABS(F$50))/F$48,"n/a")</f>
        <v/>
      </c>
      <c r="G16" s="42">
        <f>IFERROR((ABS(G$49)+ABS(G$50))/G$48,"n/a")</f>
        <v/>
      </c>
      <c r="H16" s="42">
        <f>IFERROR((ABS(H$49)+ABS(H$50))/H$48,"n/a")</f>
        <v/>
      </c>
      <c r="I16" s="42">
        <f>IFERROR((ABS(I$49)+ABS(I$50))/I$48,"n/a")</f>
        <v/>
      </c>
    </row>
    <row r="17">
      <c r="A17" s="1" t="inlineStr">
        <is>
          <t>Chi phí lãi vay/LN từ hoạt động kinh doanh</t>
        </is>
      </c>
      <c r="B17" s="42">
        <f>IFERROR(ABS(B$52)/B$51,"n/a")</f>
        <v/>
      </c>
      <c r="C17" s="42">
        <f>IFERROR(ABS(C$52)/C$51,"n/a")</f>
        <v/>
      </c>
      <c r="D17" s="42">
        <f>IFERROR(ABS(D$52)/D$51,"n/a")</f>
        <v/>
      </c>
      <c r="E17" s="42">
        <f>IFERROR(ABS(E$52)/E$51,"n/a")</f>
        <v/>
      </c>
      <c r="F17" s="42">
        <f>IFERROR(ABS(F$52)/F$51,"n/a")</f>
        <v/>
      </c>
      <c r="G17" s="42">
        <f>IFERROR(ABS(G$52)/G$51,"n/a")</f>
        <v/>
      </c>
      <c r="H17" s="42">
        <f>IFERROR(ABS(H$52)/H$51,"n/a")</f>
        <v/>
      </c>
      <c r="I17" s="42">
        <f>IFERROR(ABS(I$52)/I$51,"n/a")</f>
        <v/>
      </c>
    </row>
    <row r="18">
      <c r="A18" s="1" t="inlineStr">
        <is>
          <t>Số ngày phải trả (DPO)</t>
        </is>
      </c>
      <c r="B18" s="7">
        <f>IFERROR(((B$35+#REF!)/2)/ABS(B$47)*365,"n/a")</f>
        <v/>
      </c>
      <c r="C18" s="7">
        <f>IFERROR(((C$35+B$35)/2)/ABS(C$47)*365,"n/a")</f>
        <v/>
      </c>
      <c r="D18" s="7">
        <f>IFERROR(((D$35+C$35)/2)/ABS(D$47)*365,"n/a")</f>
        <v/>
      </c>
      <c r="E18" s="7">
        <f>IFERROR(((E$35+D$35)/2)/ABS(E$47)*365,"n/a")</f>
        <v/>
      </c>
      <c r="F18" s="7">
        <f>IFERROR(((F$35+E$35)/2)/ABS(F$47)*365,"n/a")</f>
        <v/>
      </c>
      <c r="G18" s="7">
        <f>IFERROR(((G$35+F$35)/2)/ABS(G$47)*365,"n/a")</f>
        <v/>
      </c>
      <c r="H18" s="7">
        <f>IFERROR(((H$35+G$35)/2)/ABS(H$47)*365,"n/a")</f>
        <v/>
      </c>
      <c r="I18" s="7">
        <f>IFERROR(((I$35+H$35)/2)/ABS(I$47)*365,"n/a")</f>
        <v/>
      </c>
    </row>
    <row r="19">
      <c r="A19" s="1" t="inlineStr">
        <is>
          <t>Số ngày phải thu (DSO)</t>
        </is>
      </c>
      <c r="B19" s="7">
        <f>IFERROR(((B$29+#REF!)/2)/B$45*365,"n/a")</f>
        <v/>
      </c>
      <c r="C19" s="7">
        <f>IFERROR(((C$29+B$29)/2)/C$45*365,"n/a")</f>
        <v/>
      </c>
      <c r="D19" s="7">
        <f>IFERROR(((D$29+C$29)/2)/D$45*365,"n/a")</f>
        <v/>
      </c>
      <c r="E19" s="7">
        <f>IFERROR(((E$29+D$29)/2)/E$45*365,"n/a")</f>
        <v/>
      </c>
      <c r="F19" s="7">
        <f>IFERROR(((F$29+E$29)/2)/F$45*365,"n/a")</f>
        <v/>
      </c>
      <c r="G19" s="7">
        <f>IFERROR(((G$29+F$29)/2)/G$45*365,"n/a")</f>
        <v/>
      </c>
      <c r="H19" s="7">
        <f>IFERROR(((H$29+G$29)/2)/H$45*365,"n/a")</f>
        <v/>
      </c>
      <c r="I19" s="7">
        <f>IFERROR(((I$29+H$29)/2)/I$45*365,"n/a")</f>
        <v/>
      </c>
    </row>
    <row r="20">
      <c r="A20" s="1" t="inlineStr">
        <is>
          <t>Số ngày tồn kho (DIO)</t>
        </is>
      </c>
      <c r="B20" s="7">
        <f>IFERROR(((B$30+#REF!)/2)/ABS(B$47)*365,"n/a")</f>
        <v/>
      </c>
      <c r="C20" s="7">
        <f>IFERROR(((C$30+B$30)/2)/ABS(C$47)*365,"n/a")</f>
        <v/>
      </c>
      <c r="D20" s="7">
        <f>IFERROR(((D$30+C$30)/2)/ABS(D$47)*365,"n/a")</f>
        <v/>
      </c>
      <c r="E20" s="7">
        <f>IFERROR(((E$30+D$30)/2)/ABS(E$47)*365,"n/a")</f>
        <v/>
      </c>
      <c r="F20" s="7">
        <f>IFERROR(((F$30+E$30)/2)/ABS(F$47)*365,"n/a")</f>
        <v/>
      </c>
      <c r="G20" s="7">
        <f>IFERROR(((G$30+F$30)/2)/ABS(G$47)*365,"n/a")</f>
        <v/>
      </c>
      <c r="H20" s="7">
        <f>IFERROR(((H$30+G$30)/2)/ABS(H$47)*365,"n/a")</f>
        <v/>
      </c>
      <c r="I20" s="7">
        <f>IFERROR(((I$30+H$30)/2)/ABS(I$47)*365,"n/a")</f>
        <v/>
      </c>
    </row>
    <row r="21">
      <c r="A21" s="1" t="inlineStr">
        <is>
          <t>Tiền và tương đương tiền/Tài sản</t>
        </is>
      </c>
      <c r="B21" s="42">
        <f>IFERROR(B$28/B$33,"n/a")</f>
        <v/>
      </c>
      <c r="C21" s="42">
        <f>IFERROR(C$28/C$33,"n/a")</f>
        <v/>
      </c>
      <c r="D21" s="42">
        <f>IFERROR(D$28/D$33,"n/a")</f>
        <v/>
      </c>
      <c r="E21" s="42">
        <f>IFERROR(E$28/E$33,"n/a")</f>
        <v/>
      </c>
      <c r="F21" s="42">
        <f>IFERROR(F$28/F$33,"n/a")</f>
        <v/>
      </c>
      <c r="G21" s="42">
        <f>IFERROR(G$28/G$33,"n/a")</f>
        <v/>
      </c>
      <c r="H21" s="42">
        <f>IFERROR(H$28/H$33,"n/a")</f>
        <v/>
      </c>
      <c r="I21" s="42">
        <f>IFERROR(I$28/I$33,"n/a")</f>
        <v/>
      </c>
    </row>
    <row r="22">
      <c r="A22" s="1" t="inlineStr">
        <is>
          <t>Hàng tồn kho/Tài sản</t>
        </is>
      </c>
      <c r="B22" s="42">
        <f>IFERROR(B$30/B$33,"n/a")</f>
        <v/>
      </c>
      <c r="C22" s="42">
        <f>IFERROR(C$30/C$33,"n/a")</f>
        <v/>
      </c>
      <c r="D22" s="42">
        <f>IFERROR(D$30/D$33,"n/a")</f>
        <v/>
      </c>
      <c r="E22" s="42">
        <f>IFERROR(E$30/E$33,"n/a")</f>
        <v/>
      </c>
      <c r="F22" s="42">
        <f>IFERROR(F$30/F$33,"n/a")</f>
        <v/>
      </c>
      <c r="G22" s="42">
        <f>IFERROR(G$30/G$33,"n/a")</f>
        <v/>
      </c>
      <c r="H22" s="42">
        <f>IFERROR(H$30/H$33,"n/a")</f>
        <v/>
      </c>
      <c r="I22" s="42">
        <f>IFERROR(I$30/I$33,"n/a")</f>
        <v/>
      </c>
    </row>
    <row r="24">
      <c r="A24" s="8" t="inlineStr">
        <is>
          <t>II. DỮ LIỆU TRÍCH XUẤT (tự động dò theo tên khoản mục)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10" t="inlineStr">
        <is>
          <t>Khoản mục</t>
        </is>
      </c>
      <c r="B25" s="11">
        <f>balance_sheet!B1</f>
        <v/>
      </c>
      <c r="C25" s="11">
        <f>balance_sheet!C1</f>
        <v/>
      </c>
      <c r="D25" s="11">
        <f>balance_sheet!D1</f>
        <v/>
      </c>
      <c r="E25" s="11">
        <f>balance_sheet!E1</f>
        <v/>
      </c>
      <c r="F25" s="11">
        <f>balance_sheet!F1</f>
        <v/>
      </c>
      <c r="G25" s="11">
        <f>balance_sheet!G1</f>
        <v/>
      </c>
      <c r="H25" s="11">
        <f>balance_sheet!H1</f>
        <v/>
      </c>
      <c r="I25" s="11">
        <f>balance_sheet!I1</f>
        <v/>
      </c>
    </row>
    <row r="26">
      <c r="A26" s="23" t="inlineStr">
        <is>
          <t>CĐKT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23" t="inlineStr">
        <is>
          <t>Tài sản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>
      <c r="A28" s="12" t="inlineStr">
        <is>
          <t>Tiền và tương đương tiền</t>
        </is>
      </c>
      <c r="B28" s="43">
        <f>IFERROR(INDEX(balance_sheet!$B:$XFD,MATCH("Tiền và tương đương tiền",balance_sheet!$A:$A,0),MATCH(B$25,balance_sheet!$B$1:$XFD$1,0)),"")</f>
        <v/>
      </c>
      <c r="C28" s="43">
        <f>IFERROR(INDEX(balance_sheet!$B:$XFD,MATCH("Tiền và tương đương tiền",balance_sheet!$A:$A,0),MATCH(C$25,balance_sheet!$B$1:$XFD$1,0)),"")</f>
        <v/>
      </c>
      <c r="D28" s="43">
        <f>IFERROR(INDEX(balance_sheet!$B:$XFD,MATCH("Tiền và tương đương tiền",balance_sheet!$A:$A,0),MATCH(D$25,balance_sheet!$B$1:$XFD$1,0)),"")</f>
        <v/>
      </c>
      <c r="E28" s="43">
        <f>IFERROR(INDEX(balance_sheet!$B:$XFD,MATCH("Tiền và tương đương tiền",balance_sheet!$A:$A,0),MATCH(E$25,balance_sheet!$B$1:$XFD$1,0)),"")</f>
        <v/>
      </c>
      <c r="F28" s="43">
        <f>IFERROR(INDEX(balance_sheet!$B:$XFD,MATCH("Tiền và tương đương tiền",balance_sheet!$A:$A,0),MATCH(F$25,balance_sheet!$B$1:$XFD$1,0)),"")</f>
        <v/>
      </c>
      <c r="G28" s="43">
        <f>IFERROR(INDEX(balance_sheet!$B:$XFD,MATCH("Tiền và tương đương tiền",balance_sheet!$A:$A,0),MATCH(G$25,balance_sheet!$B$1:$XFD$1,0)),"")</f>
        <v/>
      </c>
      <c r="H28" s="43">
        <f>IFERROR(INDEX(balance_sheet!$B:$XFD,MATCH("Tiền và tương đương tiền",balance_sheet!$A:$A,0),MATCH(H$25,balance_sheet!$B$1:$XFD$1,0)),"")</f>
        <v/>
      </c>
      <c r="I28" s="43">
        <f>IFERROR(INDEX(balance_sheet!$B:$XFD,MATCH("Tiền và tương đương tiền",balance_sheet!$A:$A,0),MATCH(I$25,balance_sheet!$B$1:$XFD$1,0)),"")</f>
        <v/>
      </c>
    </row>
    <row r="29">
      <c r="A29" s="12" t="inlineStr">
        <is>
          <t>Phải thu khách hàng</t>
        </is>
      </c>
      <c r="B29" s="43">
        <f>IFERROR(INDEX(balance_sheet!$B:$XFD,MATCH("Phải thu khách hàng",balance_sheet!$A:$A,0),MATCH(B$25,balance_sheet!$B$1:$XFD$1,0)),"")</f>
        <v/>
      </c>
      <c r="C29" s="43">
        <f>IFERROR(INDEX(balance_sheet!$B:$XFD,MATCH("Phải thu khách hàng",balance_sheet!$A:$A,0),MATCH(C$25,balance_sheet!$B$1:$XFD$1,0)),"")</f>
        <v/>
      </c>
      <c r="D29" s="43">
        <f>IFERROR(INDEX(balance_sheet!$B:$XFD,MATCH("Phải thu khách hàng",balance_sheet!$A:$A,0),MATCH(D$25,balance_sheet!$B$1:$XFD$1,0)),"")</f>
        <v/>
      </c>
      <c r="E29" s="43">
        <f>IFERROR(INDEX(balance_sheet!$B:$XFD,MATCH("Phải thu khách hàng",balance_sheet!$A:$A,0),MATCH(E$25,balance_sheet!$B$1:$XFD$1,0)),"")</f>
        <v/>
      </c>
      <c r="F29" s="43">
        <f>IFERROR(INDEX(balance_sheet!$B:$XFD,MATCH("Phải thu khách hàng",balance_sheet!$A:$A,0),MATCH(F$25,balance_sheet!$B$1:$XFD$1,0)),"")</f>
        <v/>
      </c>
      <c r="G29" s="43">
        <f>IFERROR(INDEX(balance_sheet!$B:$XFD,MATCH("Phải thu khách hàng",balance_sheet!$A:$A,0),MATCH(G$25,balance_sheet!$B$1:$XFD$1,0)),"")</f>
        <v/>
      </c>
      <c r="H29" s="43">
        <f>IFERROR(INDEX(balance_sheet!$B:$XFD,MATCH("Phải thu khách hàng",balance_sheet!$A:$A,0),MATCH(H$25,balance_sheet!$B$1:$XFD$1,0)),"")</f>
        <v/>
      </c>
      <c r="I29" s="43">
        <f>IFERROR(INDEX(balance_sheet!$B:$XFD,MATCH("Phải thu khách hàng",balance_sheet!$A:$A,0),MATCH(I$25,balance_sheet!$B$1:$XFD$1,0)),"")</f>
        <v/>
      </c>
    </row>
    <row r="30">
      <c r="A30" s="12" t="inlineStr">
        <is>
          <t>Hàng tồn kho, ròng</t>
        </is>
      </c>
      <c r="B30" s="43">
        <f>IFERROR(INDEX(balance_sheet!$B:$XFD,MATCH("Hàng tồn kho, ròng",balance_sheet!$A:$A,0),MATCH(B$25,balance_sheet!$B$1:$XFD$1,0)),"")</f>
        <v/>
      </c>
      <c r="C30" s="43">
        <f>IFERROR(INDEX(balance_sheet!$B:$XFD,MATCH("Hàng tồn kho, ròng",balance_sheet!$A:$A,0),MATCH(C$25,balance_sheet!$B$1:$XFD$1,0)),"")</f>
        <v/>
      </c>
      <c r="D30" s="43">
        <f>IFERROR(INDEX(balance_sheet!$B:$XFD,MATCH("Hàng tồn kho, ròng",balance_sheet!$A:$A,0),MATCH(D$25,balance_sheet!$B$1:$XFD$1,0)),"")</f>
        <v/>
      </c>
      <c r="E30" s="43">
        <f>IFERROR(INDEX(balance_sheet!$B:$XFD,MATCH("Hàng tồn kho, ròng",balance_sheet!$A:$A,0),MATCH(E$25,balance_sheet!$B$1:$XFD$1,0)),"")</f>
        <v/>
      </c>
      <c r="F30" s="43">
        <f>IFERROR(INDEX(balance_sheet!$B:$XFD,MATCH("Hàng tồn kho, ròng",balance_sheet!$A:$A,0),MATCH(F$25,balance_sheet!$B$1:$XFD$1,0)),"")</f>
        <v/>
      </c>
      <c r="G30" s="43">
        <f>IFERROR(INDEX(balance_sheet!$B:$XFD,MATCH("Hàng tồn kho, ròng",balance_sheet!$A:$A,0),MATCH(G$25,balance_sheet!$B$1:$XFD$1,0)),"")</f>
        <v/>
      </c>
      <c r="H30" s="43">
        <f>IFERROR(INDEX(balance_sheet!$B:$XFD,MATCH("Hàng tồn kho, ròng",balance_sheet!$A:$A,0),MATCH(H$25,balance_sheet!$B$1:$XFD$1,0)),"")</f>
        <v/>
      </c>
      <c r="I30" s="43">
        <f>IFERROR(INDEX(balance_sheet!$B:$XFD,MATCH("Hàng tồn kho, ròng",balance_sheet!$A:$A,0),MATCH(I$25,balance_sheet!$B$1:$XFD$1,0)),"")</f>
        <v/>
      </c>
    </row>
    <row r="31">
      <c r="A31" s="12" t="inlineStr">
        <is>
          <t>TÀI SẢN NGẮN HẠN</t>
        </is>
      </c>
      <c r="B31" s="43">
        <f>IFERROR(INDEX(balance_sheet!$B:$XFD,MATCH("TÀI SẢN NGẮN HẠN",balance_sheet!$A:$A,0),MATCH(B$25,balance_sheet!$B$1:$XFD$1,0)),"")</f>
        <v/>
      </c>
      <c r="C31" s="43">
        <f>IFERROR(INDEX(balance_sheet!$B:$XFD,MATCH("TÀI SẢN NGẮN HẠN",balance_sheet!$A:$A,0),MATCH(C$25,balance_sheet!$B$1:$XFD$1,0)),"")</f>
        <v/>
      </c>
      <c r="D31" s="43">
        <f>IFERROR(INDEX(balance_sheet!$B:$XFD,MATCH("TÀI SẢN NGẮN HẠN",balance_sheet!$A:$A,0),MATCH(D$25,balance_sheet!$B$1:$XFD$1,0)),"")</f>
        <v/>
      </c>
      <c r="E31" s="43">
        <f>IFERROR(INDEX(balance_sheet!$B:$XFD,MATCH("TÀI SẢN NGẮN HẠN",balance_sheet!$A:$A,0),MATCH(E$25,balance_sheet!$B$1:$XFD$1,0)),"")</f>
        <v/>
      </c>
      <c r="F31" s="43">
        <f>IFERROR(INDEX(balance_sheet!$B:$XFD,MATCH("TÀI SẢN NGẮN HẠN",balance_sheet!$A:$A,0),MATCH(F$25,balance_sheet!$B$1:$XFD$1,0)),"")</f>
        <v/>
      </c>
      <c r="G31" s="43">
        <f>IFERROR(INDEX(balance_sheet!$B:$XFD,MATCH("TÀI SẢN NGẮN HẠN",balance_sheet!$A:$A,0),MATCH(G$25,balance_sheet!$B$1:$XFD$1,0)),"")</f>
        <v/>
      </c>
      <c r="H31" s="43">
        <f>IFERROR(INDEX(balance_sheet!$B:$XFD,MATCH("TÀI SẢN NGẮN HẠN",balance_sheet!$A:$A,0),MATCH(H$25,balance_sheet!$B$1:$XFD$1,0)),"")</f>
        <v/>
      </c>
      <c r="I31" s="43">
        <f>IFERROR(INDEX(balance_sheet!$B:$XFD,MATCH("TÀI SẢN NGẮN HẠN",balance_sheet!$A:$A,0),MATCH(I$25,balance_sheet!$B$1:$XFD$1,0)),"")</f>
        <v/>
      </c>
    </row>
    <row r="32">
      <c r="A32" s="12" t="inlineStr">
        <is>
          <t>GTCL tài sản cố định vô hình</t>
        </is>
      </c>
      <c r="B32" s="43">
        <f>IFERROR(INDEX(balance_sheet!$B:$XFD,MATCH("GTCL tài sản cố định vô hình",balance_sheet!$A:$A,0),MATCH(B$25,balance_sheet!$B$1:$XFD$1,0)),"")</f>
        <v/>
      </c>
      <c r="C32" s="43">
        <f>IFERROR(INDEX(balance_sheet!$B:$XFD,MATCH("GTCL tài sản cố định vô hình",balance_sheet!$A:$A,0),MATCH(C$25,balance_sheet!$B$1:$XFD$1,0)),"")</f>
        <v/>
      </c>
      <c r="D32" s="43">
        <f>IFERROR(INDEX(balance_sheet!$B:$XFD,MATCH("GTCL tài sản cố định vô hình",balance_sheet!$A:$A,0),MATCH(D$25,balance_sheet!$B$1:$XFD$1,0)),"")</f>
        <v/>
      </c>
      <c r="E32" s="43">
        <f>IFERROR(INDEX(balance_sheet!$B:$XFD,MATCH("GTCL tài sản cố định vô hình",balance_sheet!$A:$A,0),MATCH(E$25,balance_sheet!$B$1:$XFD$1,0)),"")</f>
        <v/>
      </c>
      <c r="F32" s="43">
        <f>IFERROR(INDEX(balance_sheet!$B:$XFD,MATCH("GTCL tài sản cố định vô hình",balance_sheet!$A:$A,0),MATCH(F$25,balance_sheet!$B$1:$XFD$1,0)),"")</f>
        <v/>
      </c>
      <c r="G32" s="43">
        <f>IFERROR(INDEX(balance_sheet!$B:$XFD,MATCH("GTCL tài sản cố định vô hình",balance_sheet!$A:$A,0),MATCH(G$25,balance_sheet!$B$1:$XFD$1,0)),"")</f>
        <v/>
      </c>
      <c r="H32" s="43">
        <f>IFERROR(INDEX(balance_sheet!$B:$XFD,MATCH("GTCL tài sản cố định vô hình",balance_sheet!$A:$A,0),MATCH(H$25,balance_sheet!$B$1:$XFD$1,0)),"")</f>
        <v/>
      </c>
      <c r="I32" s="43">
        <f>IFERROR(INDEX(balance_sheet!$B:$XFD,MATCH("GTCL tài sản cố định vô hình",balance_sheet!$A:$A,0),MATCH(I$25,balance_sheet!$B$1:$XFD$1,0)),"")</f>
        <v/>
      </c>
    </row>
    <row r="33">
      <c r="A33" s="12" t="inlineStr">
        <is>
          <t>TỔNG CỘNG TÀI SẢN</t>
        </is>
      </c>
      <c r="B33" s="43">
        <f>IFERROR(INDEX(balance_sheet!$B:$XFD,MATCH("TỔNG CỘNG TÀI SẢN",balance_sheet!$A:$A,0),MATCH(B$25,balance_sheet!$B$1:$XFD$1,0)),"")</f>
        <v/>
      </c>
      <c r="C33" s="43">
        <f>IFERROR(INDEX(balance_sheet!$B:$XFD,MATCH("TỔNG CỘNG TÀI SẢN",balance_sheet!$A:$A,0),MATCH(C$25,balance_sheet!$B$1:$XFD$1,0)),"")</f>
        <v/>
      </c>
      <c r="D33" s="43">
        <f>IFERROR(INDEX(balance_sheet!$B:$XFD,MATCH("TỔNG CỘNG TÀI SẢN",balance_sheet!$A:$A,0),MATCH(D$25,balance_sheet!$B$1:$XFD$1,0)),"")</f>
        <v/>
      </c>
      <c r="E33" s="43">
        <f>IFERROR(INDEX(balance_sheet!$B:$XFD,MATCH("TỔNG CỘNG TÀI SẢN",balance_sheet!$A:$A,0),MATCH(E$25,balance_sheet!$B$1:$XFD$1,0)),"")</f>
        <v/>
      </c>
      <c r="F33" s="43">
        <f>IFERROR(INDEX(balance_sheet!$B:$XFD,MATCH("TỔNG CỘNG TÀI SẢN",balance_sheet!$A:$A,0),MATCH(F$25,balance_sheet!$B$1:$XFD$1,0)),"")</f>
        <v/>
      </c>
      <c r="G33" s="43">
        <f>IFERROR(INDEX(balance_sheet!$B:$XFD,MATCH("TỔNG CỘNG TÀI SẢN",balance_sheet!$A:$A,0),MATCH(G$25,balance_sheet!$B$1:$XFD$1,0)),"")</f>
        <v/>
      </c>
      <c r="H33" s="43">
        <f>IFERROR(INDEX(balance_sheet!$B:$XFD,MATCH("TỔNG CỘNG TÀI SẢN",balance_sheet!$A:$A,0),MATCH(H$25,balance_sheet!$B$1:$XFD$1,0)),"")</f>
        <v/>
      </c>
      <c r="I33" s="43">
        <f>IFERROR(INDEX(balance_sheet!$B:$XFD,MATCH("TỔNG CỘNG TÀI SẢN",balance_sheet!$A:$A,0),MATCH(I$25,balance_sheet!$B$1:$XFD$1,0)),"")</f>
        <v/>
      </c>
    </row>
    <row r="34">
      <c r="A34" s="10" t="inlineStr">
        <is>
          <t>Nguồn vốn</t>
        </is>
      </c>
      <c r="B34" s="43" t="n"/>
      <c r="C34" s="43" t="n"/>
      <c r="D34" s="43" t="n"/>
      <c r="E34" s="43" t="n"/>
      <c r="F34" s="43" t="n"/>
      <c r="G34" s="43" t="n"/>
      <c r="H34" s="43" t="n"/>
      <c r="I34" s="43" t="n"/>
    </row>
    <row r="35">
      <c r="A35" s="12" t="inlineStr">
        <is>
          <t>Phải trả người bán</t>
        </is>
      </c>
      <c r="B35" s="43">
        <f>IFERROR(INDEX(balance_sheet!$B:$XFD,MATCH("Phải trả người bán",balance_sheet!$A:$A,0),MATCH(B$25,balance_sheet!$B$1:$XFD$1,0)),"")</f>
        <v/>
      </c>
      <c r="C35" s="43">
        <f>IFERROR(INDEX(balance_sheet!$B:$XFD,MATCH("Phải trả người bán",balance_sheet!$A:$A,0),MATCH(C$25,balance_sheet!$B$1:$XFD$1,0)),"")</f>
        <v/>
      </c>
      <c r="D35" s="43">
        <f>IFERROR(INDEX(balance_sheet!$B:$XFD,MATCH("Phải trả người bán",balance_sheet!$A:$A,0),MATCH(D$25,balance_sheet!$B$1:$XFD$1,0)),"")</f>
        <v/>
      </c>
      <c r="E35" s="43">
        <f>IFERROR(INDEX(balance_sheet!$B:$XFD,MATCH("Phải trả người bán",balance_sheet!$A:$A,0),MATCH(E$25,balance_sheet!$B$1:$XFD$1,0)),"")</f>
        <v/>
      </c>
      <c r="F35" s="43">
        <f>IFERROR(INDEX(balance_sheet!$B:$XFD,MATCH("Phải trả người bán",balance_sheet!$A:$A,0),MATCH(F$25,balance_sheet!$B$1:$XFD$1,0)),"")</f>
        <v/>
      </c>
      <c r="G35" s="43">
        <f>IFERROR(INDEX(balance_sheet!$B:$XFD,MATCH("Phải trả người bán",balance_sheet!$A:$A,0),MATCH(G$25,balance_sheet!$B$1:$XFD$1,0)),"")</f>
        <v/>
      </c>
      <c r="H35" s="43">
        <f>IFERROR(INDEX(balance_sheet!$B:$XFD,MATCH("Phải trả người bán",balance_sheet!$A:$A,0),MATCH(H$25,balance_sheet!$B$1:$XFD$1,0)),"")</f>
        <v/>
      </c>
      <c r="I35" s="43">
        <f>IFERROR(INDEX(balance_sheet!$B:$XFD,MATCH("Phải trả người bán",balance_sheet!$A:$A,0),MATCH(I$25,balance_sheet!$B$1:$XFD$1,0)),"")</f>
        <v/>
      </c>
    </row>
    <row r="36">
      <c r="A36" s="12" t="inlineStr">
        <is>
          <t>Vay ngắn hạn</t>
        </is>
      </c>
      <c r="B36" s="43">
        <f>IFERROR(INDEX(balance_sheet!$B:$XFD,MATCH("Vay ngắn hạn",balance_sheet!$A:$A,0),MATCH(B$25,balance_sheet!$B$1:$XFD$1,0)),"")</f>
        <v/>
      </c>
      <c r="C36" s="43">
        <f>IFERROR(INDEX(balance_sheet!$B:$XFD,MATCH("Vay ngắn hạn",balance_sheet!$A:$A,0),MATCH(C$25,balance_sheet!$B$1:$XFD$1,0)),"")</f>
        <v/>
      </c>
      <c r="D36" s="43">
        <f>IFERROR(INDEX(balance_sheet!$B:$XFD,MATCH("Vay ngắn hạn",balance_sheet!$A:$A,0),MATCH(D$25,balance_sheet!$B$1:$XFD$1,0)),"")</f>
        <v/>
      </c>
      <c r="E36" s="43">
        <f>IFERROR(INDEX(balance_sheet!$B:$XFD,MATCH("Vay ngắn hạn",balance_sheet!$A:$A,0),MATCH(E$25,balance_sheet!$B$1:$XFD$1,0)),"")</f>
        <v/>
      </c>
      <c r="F36" s="43">
        <f>IFERROR(INDEX(balance_sheet!$B:$XFD,MATCH("Vay ngắn hạn",balance_sheet!$A:$A,0),MATCH(F$25,balance_sheet!$B$1:$XFD$1,0)),"")</f>
        <v/>
      </c>
      <c r="G36" s="43">
        <f>IFERROR(INDEX(balance_sheet!$B:$XFD,MATCH("Vay ngắn hạn",balance_sheet!$A:$A,0),MATCH(G$25,balance_sheet!$B$1:$XFD$1,0)),"")</f>
        <v/>
      </c>
      <c r="H36" s="43">
        <f>IFERROR(INDEX(balance_sheet!$B:$XFD,MATCH("Vay ngắn hạn",balance_sheet!$A:$A,0),MATCH(H$25,balance_sheet!$B$1:$XFD$1,0)),"")</f>
        <v/>
      </c>
      <c r="I36" s="43">
        <f>IFERROR(INDEX(balance_sheet!$B:$XFD,MATCH("Vay ngắn hạn",balance_sheet!$A:$A,0),MATCH(I$25,balance_sheet!$B$1:$XFD$1,0)),"")</f>
        <v/>
      </c>
    </row>
    <row r="37">
      <c r="A37" s="12" t="inlineStr">
        <is>
          <t>Nợ ngắn hạn</t>
        </is>
      </c>
      <c r="B37" s="43">
        <f>IFERROR(INDEX(balance_sheet!$B:$XFD,MATCH("Nợ ngắn hạn",balance_sheet!$A:$A,0),MATCH(B$25,balance_sheet!$B$1:$XFD$1,0)),"")</f>
        <v/>
      </c>
      <c r="C37" s="43">
        <f>IFERROR(INDEX(balance_sheet!$B:$XFD,MATCH("Nợ ngắn hạn",balance_sheet!$A:$A,0),MATCH(C$25,balance_sheet!$B$1:$XFD$1,0)),"")</f>
        <v/>
      </c>
      <c r="D37" s="43">
        <f>IFERROR(INDEX(balance_sheet!$B:$XFD,MATCH("Nợ ngắn hạn",balance_sheet!$A:$A,0),MATCH(D$25,balance_sheet!$B$1:$XFD$1,0)),"")</f>
        <v/>
      </c>
      <c r="E37" s="43">
        <f>IFERROR(INDEX(balance_sheet!$B:$XFD,MATCH("Nợ ngắn hạn",balance_sheet!$A:$A,0),MATCH(E$25,balance_sheet!$B$1:$XFD$1,0)),"")</f>
        <v/>
      </c>
      <c r="F37" s="43">
        <f>IFERROR(INDEX(balance_sheet!$B:$XFD,MATCH("Nợ ngắn hạn",balance_sheet!$A:$A,0),MATCH(F$25,balance_sheet!$B$1:$XFD$1,0)),"")</f>
        <v/>
      </c>
      <c r="G37" s="43">
        <f>IFERROR(INDEX(balance_sheet!$B:$XFD,MATCH("Nợ ngắn hạn",balance_sheet!$A:$A,0),MATCH(G$25,balance_sheet!$B$1:$XFD$1,0)),"")</f>
        <v/>
      </c>
      <c r="H37" s="43">
        <f>IFERROR(INDEX(balance_sheet!$B:$XFD,MATCH("Nợ ngắn hạn",balance_sheet!$A:$A,0),MATCH(H$25,balance_sheet!$B$1:$XFD$1,0)),"")</f>
        <v/>
      </c>
      <c r="I37" s="43">
        <f>IFERROR(INDEX(balance_sheet!$B:$XFD,MATCH("Nợ ngắn hạn",balance_sheet!$A:$A,0),MATCH(I$25,balance_sheet!$B$1:$XFD$1,0)),"")</f>
        <v/>
      </c>
    </row>
    <row r="38">
      <c r="A38" s="12" t="inlineStr">
        <is>
          <t>Vay dài hạn</t>
        </is>
      </c>
      <c r="B38" s="43">
        <f>IFERROR(INDEX(balance_sheet!$B:$XFD,MATCH("Vay dài hạn",balance_sheet!$A:$A,0),MATCH(B$25,balance_sheet!$B$1:$XFD$1,0)),"")</f>
        <v/>
      </c>
      <c r="C38" s="43">
        <f>IFERROR(INDEX(balance_sheet!$B:$XFD,MATCH("Vay dài hạn",balance_sheet!$A:$A,0),MATCH(C$25,balance_sheet!$B$1:$XFD$1,0)),"")</f>
        <v/>
      </c>
      <c r="D38" s="43">
        <f>IFERROR(INDEX(balance_sheet!$B:$XFD,MATCH("Vay dài hạn",balance_sheet!$A:$A,0),MATCH(D$25,balance_sheet!$B$1:$XFD$1,0)),"")</f>
        <v/>
      </c>
      <c r="E38" s="43">
        <f>IFERROR(INDEX(balance_sheet!$B:$XFD,MATCH("Vay dài hạn",balance_sheet!$A:$A,0),MATCH(E$25,balance_sheet!$B$1:$XFD$1,0)),"")</f>
        <v/>
      </c>
      <c r="F38" s="43">
        <f>IFERROR(INDEX(balance_sheet!$B:$XFD,MATCH("Vay dài hạn",balance_sheet!$A:$A,0),MATCH(F$25,balance_sheet!$B$1:$XFD$1,0)),"")</f>
        <v/>
      </c>
      <c r="G38" s="43">
        <f>IFERROR(INDEX(balance_sheet!$B:$XFD,MATCH("Vay dài hạn",balance_sheet!$A:$A,0),MATCH(G$25,balance_sheet!$B$1:$XFD$1,0)),"")</f>
        <v/>
      </c>
      <c r="H38" s="43">
        <f>IFERROR(INDEX(balance_sheet!$B:$XFD,MATCH("Vay dài hạn",balance_sheet!$A:$A,0),MATCH(H$25,balance_sheet!$B$1:$XFD$1,0)),"")</f>
        <v/>
      </c>
      <c r="I38" s="43">
        <f>IFERROR(INDEX(balance_sheet!$B:$XFD,MATCH("Vay dài hạn",balance_sheet!$A:$A,0),MATCH(I$25,balance_sheet!$B$1:$XFD$1,0)),"")</f>
        <v/>
      </c>
    </row>
    <row r="39">
      <c r="A39" s="12" t="inlineStr">
        <is>
          <t>Nợ dài hạn</t>
        </is>
      </c>
      <c r="B39" s="43">
        <f>IFERROR(INDEX(balance_sheet!$B:$XFD,MATCH("Nợ dài hạn",balance_sheet!$A:$A,0),MATCH(B$25,balance_sheet!$B$1:$XFD$1,0)),"")</f>
        <v/>
      </c>
      <c r="C39" s="43">
        <f>IFERROR(INDEX(balance_sheet!$B:$XFD,MATCH("Nợ dài hạn",balance_sheet!$A:$A,0),MATCH(C$25,balance_sheet!$B$1:$XFD$1,0)),"")</f>
        <v/>
      </c>
      <c r="D39" s="43">
        <f>IFERROR(INDEX(balance_sheet!$B:$XFD,MATCH("Nợ dài hạn",balance_sheet!$A:$A,0),MATCH(D$25,balance_sheet!$B$1:$XFD$1,0)),"")</f>
        <v/>
      </c>
      <c r="E39" s="43">
        <f>IFERROR(INDEX(balance_sheet!$B:$XFD,MATCH("Nợ dài hạn",balance_sheet!$A:$A,0),MATCH(E$25,balance_sheet!$B$1:$XFD$1,0)),"")</f>
        <v/>
      </c>
      <c r="F39" s="43">
        <f>IFERROR(INDEX(balance_sheet!$B:$XFD,MATCH("Nợ dài hạn",balance_sheet!$A:$A,0),MATCH(F$25,balance_sheet!$B$1:$XFD$1,0)),"")</f>
        <v/>
      </c>
      <c r="G39" s="43">
        <f>IFERROR(INDEX(balance_sheet!$B:$XFD,MATCH("Nợ dài hạn",balance_sheet!$A:$A,0),MATCH(G$25,balance_sheet!$B$1:$XFD$1,0)),"")</f>
        <v/>
      </c>
      <c r="H39" s="43">
        <f>IFERROR(INDEX(balance_sheet!$B:$XFD,MATCH("Nợ dài hạn",balance_sheet!$A:$A,0),MATCH(H$25,balance_sheet!$B$1:$XFD$1,0)),"")</f>
        <v/>
      </c>
      <c r="I39" s="43">
        <f>IFERROR(INDEX(balance_sheet!$B:$XFD,MATCH("Nợ dài hạn",balance_sheet!$A:$A,0),MATCH(I$25,balance_sheet!$B$1:$XFD$1,0)),"")</f>
        <v/>
      </c>
    </row>
    <row r="40">
      <c r="A40" s="12" t="inlineStr">
        <is>
          <t>NỢ PHẢI TRẢ</t>
        </is>
      </c>
      <c r="B40" s="43">
        <f>IFERROR(INDEX(balance_sheet!$B:$XFD,MATCH("NỢ PHẢI TRẢ",balance_sheet!$A:$A,0),MATCH(B$25,balance_sheet!$B$1:$XFD$1,0)),"")</f>
        <v/>
      </c>
      <c r="C40" s="43">
        <f>IFERROR(INDEX(balance_sheet!$B:$XFD,MATCH("NỢ PHẢI TRẢ",balance_sheet!$A:$A,0),MATCH(C$25,balance_sheet!$B$1:$XFD$1,0)),"")</f>
        <v/>
      </c>
      <c r="D40" s="43">
        <f>IFERROR(INDEX(balance_sheet!$B:$XFD,MATCH("NỢ PHẢI TRẢ",balance_sheet!$A:$A,0),MATCH(D$25,balance_sheet!$B$1:$XFD$1,0)),"")</f>
        <v/>
      </c>
      <c r="E40" s="43">
        <f>IFERROR(INDEX(balance_sheet!$B:$XFD,MATCH("NỢ PHẢI TRẢ",balance_sheet!$A:$A,0),MATCH(E$25,balance_sheet!$B$1:$XFD$1,0)),"")</f>
        <v/>
      </c>
      <c r="F40" s="43">
        <f>IFERROR(INDEX(balance_sheet!$B:$XFD,MATCH("NỢ PHẢI TRẢ",balance_sheet!$A:$A,0),MATCH(F$25,balance_sheet!$B$1:$XFD$1,0)),"")</f>
        <v/>
      </c>
      <c r="G40" s="43">
        <f>IFERROR(INDEX(balance_sheet!$B:$XFD,MATCH("NỢ PHẢI TRẢ",balance_sheet!$A:$A,0),MATCH(G$25,balance_sheet!$B$1:$XFD$1,0)),"")</f>
        <v/>
      </c>
      <c r="H40" s="43">
        <f>IFERROR(INDEX(balance_sheet!$B:$XFD,MATCH("NỢ PHẢI TRẢ",balance_sheet!$A:$A,0),MATCH(H$25,balance_sheet!$B$1:$XFD$1,0)),"")</f>
        <v/>
      </c>
      <c r="I40" s="43">
        <f>IFERROR(INDEX(balance_sheet!$B:$XFD,MATCH("NỢ PHẢI TRẢ",balance_sheet!$A:$A,0),MATCH(I$25,balance_sheet!$B$1:$XFD$1,0)),"")</f>
        <v/>
      </c>
    </row>
    <row r="41" customFormat="1" s="22">
      <c r="A41" s="10" t="inlineStr">
        <is>
          <t>Vốn chủ sở hữu</t>
        </is>
      </c>
      <c r="B41" s="44">
        <f>IFERROR(INDEX(balance_sheet!$B:$XFD,MATCH("Vốn chủ sở hữu",balance_sheet!$A:$A,0),MATCH(B$25,balance_sheet!$B$1:$XFD$1,0)),"")</f>
        <v/>
      </c>
      <c r="C41" s="44">
        <f>IFERROR(INDEX(balance_sheet!$B:$XFD,MATCH("Vốn chủ sở hữu",balance_sheet!$A:$A,0),MATCH(C$25,balance_sheet!$B$1:$XFD$1,0)),"")</f>
        <v/>
      </c>
      <c r="D41" s="44">
        <f>IFERROR(INDEX(balance_sheet!$B:$XFD,MATCH("Vốn chủ sở hữu",balance_sheet!$A:$A,0),MATCH(D$25,balance_sheet!$B$1:$XFD$1,0)),"")</f>
        <v/>
      </c>
      <c r="E41" s="44">
        <f>IFERROR(INDEX(balance_sheet!$B:$XFD,MATCH("Vốn chủ sở hữu",balance_sheet!$A:$A,0),MATCH(E$25,balance_sheet!$B$1:$XFD$1,0)),"")</f>
        <v/>
      </c>
      <c r="F41" s="44">
        <f>IFERROR(INDEX(balance_sheet!$B:$XFD,MATCH("Vốn chủ sở hữu",balance_sheet!$A:$A,0),MATCH(F$25,balance_sheet!$B$1:$XFD$1,0)),"")</f>
        <v/>
      </c>
      <c r="G41" s="44">
        <f>IFERROR(INDEX(balance_sheet!$B:$XFD,MATCH("Vốn chủ sở hữu",balance_sheet!$A:$A,0),MATCH(G$25,balance_sheet!$B$1:$XFD$1,0)),"")</f>
        <v/>
      </c>
      <c r="H41" s="44">
        <f>IFERROR(INDEX(balance_sheet!$B:$XFD,MATCH("Vốn chủ sở hữu",balance_sheet!$A:$A,0),MATCH(H$25,balance_sheet!$B$1:$XFD$1,0)),"")</f>
        <v/>
      </c>
      <c r="I41" s="44">
        <f>IFERROR(INDEX(balance_sheet!$B:$XFD,MATCH("Vốn chủ sở hữu",balance_sheet!$A:$A,0),MATCH(I$25,balance_sheet!$B$1:$XFD$1,0)),"")</f>
        <v/>
      </c>
      <c r="K41" s="44" t="n">
        <v>6096125000000</v>
      </c>
    </row>
    <row r="42" customFormat="1" s="22">
      <c r="A42" s="27" t="inlineStr">
        <is>
          <t>Tăng VCSH/LN cổ đông cty mẹ</t>
        </is>
      </c>
      <c r="B42" s="29" t="n"/>
      <c r="C42" s="29">
        <f>(C41-B41)/C56</f>
        <v/>
      </c>
      <c r="D42" s="29">
        <f>(D41-C41)/D56</f>
        <v/>
      </c>
      <c r="E42" s="29">
        <f>(E41-D41)/E56</f>
        <v/>
      </c>
      <c r="F42" s="29">
        <f>(F41-E41)/F56</f>
        <v/>
      </c>
      <c r="G42" s="29">
        <f>(G41-F41)/G56</f>
        <v/>
      </c>
      <c r="H42" s="29">
        <f>(H41-G41)/H56</f>
        <v/>
      </c>
      <c r="I42" s="29">
        <f>(I41-H41)/I56</f>
        <v/>
      </c>
      <c r="K42" s="45" t="n"/>
    </row>
    <row r="43" customFormat="1" s="22">
      <c r="A43" s="10" t="inlineStr">
        <is>
          <t>Lợi ích của cổ đông thiểu số</t>
        </is>
      </c>
      <c r="B43" s="44">
        <f>IFERROR(INDEX(balance_sheet!$B:$XFD,MATCH("Lợi ích của cổ đông thiểu số",balance_sheet!$A:$A,0),MATCH(B$25,balance_sheet!$B$1:$XFD$1,0)),"")</f>
        <v/>
      </c>
      <c r="C43" s="44">
        <f>IFERROR(INDEX(balance_sheet!$B:$XFD,MATCH("Lợi ích của cổ đông thiểu số",balance_sheet!$A:$A,0),MATCH(C$25,balance_sheet!$B$1:$XFD$1,0)),"")</f>
        <v/>
      </c>
      <c r="D43" s="44">
        <f>IFERROR(INDEX(balance_sheet!$B:$XFD,MATCH("Lợi ích của cổ đông thiểu số",balance_sheet!$A:$A,0),MATCH(D$25,balance_sheet!$B$1:$XFD$1,0)),"")</f>
        <v/>
      </c>
      <c r="E43" s="44">
        <f>IFERROR(INDEX(balance_sheet!$B:$XFD,MATCH("Lợi ích của cổ đông thiểu số",balance_sheet!$A:$A,0),MATCH(E$25,balance_sheet!$B$1:$XFD$1,0)),"")</f>
        <v/>
      </c>
      <c r="F43" s="44">
        <f>IFERROR(INDEX(balance_sheet!$B:$XFD,MATCH("Lợi ích của cổ đông thiểu số",balance_sheet!$A:$A,0),MATCH(F$25,balance_sheet!$B$1:$XFD$1,0)),"")</f>
        <v/>
      </c>
      <c r="G43" s="44">
        <f>IFERROR(INDEX(balance_sheet!$B:$XFD,MATCH("Lợi ích của cổ đông thiểu số",balance_sheet!$A:$A,0),MATCH(G$25,balance_sheet!$B$1:$XFD$1,0)),"")</f>
        <v/>
      </c>
      <c r="H43" s="44">
        <f>IFERROR(INDEX(balance_sheet!$B:$XFD,MATCH("Lợi ích của cổ đông thiểu số",balance_sheet!$A:$A,0),MATCH(H$25,balance_sheet!$B$1:$XFD$1,0)),"")</f>
        <v/>
      </c>
      <c r="I43" s="44">
        <f>IFERROR(INDEX(balance_sheet!$B:$XFD,MATCH("Lợi ích của cổ đông thiểu số",balance_sheet!$A:$A,0),MATCH(I$25,balance_sheet!$B$1:$XFD$1,0)),"")</f>
        <v/>
      </c>
      <c r="K43" s="45" t="n"/>
    </row>
    <row r="44">
      <c r="A44" s="10" t="inlineStr">
        <is>
          <t>Kết quả hoạt động kinh doanh</t>
        </is>
      </c>
      <c r="B44" s="43" t="n"/>
      <c r="C44" s="43" t="n"/>
      <c r="D44" s="43" t="n"/>
      <c r="E44" s="43" t="n"/>
      <c r="F44" s="43" t="n"/>
      <c r="G44" s="43" t="n"/>
      <c r="H44" s="43" t="n"/>
      <c r="I44" s="43" t="n"/>
      <c r="K44" s="45" t="n"/>
    </row>
    <row r="45" customFormat="1" s="22">
      <c r="A45" s="10" t="inlineStr">
        <is>
          <t>Doanh thu thuần</t>
        </is>
      </c>
      <c r="B45" s="44">
        <f>IFERROR(INDEX(income_statement!$B:$XFD,MATCH("Doanh thu thuần",income_statement!$A:$A,0),MATCH(B$25,income_statement!$B$1:$XFD$1,0)),"")</f>
        <v/>
      </c>
      <c r="C45" s="44">
        <f>IFERROR(INDEX(income_statement!$B:$XFD,MATCH("Doanh thu thuần",income_statement!$A:$A,0),MATCH(C$25,income_statement!$B$1:$XFD$1,0)),"")</f>
        <v/>
      </c>
      <c r="D45" s="44">
        <f>IFERROR(INDEX(income_statement!$B:$XFD,MATCH("Doanh thu thuần",income_statement!$A:$A,0),MATCH(D$25,income_statement!$B$1:$XFD$1,0)),"")</f>
        <v/>
      </c>
      <c r="E45" s="44">
        <f>IFERROR(INDEX(income_statement!$B:$XFD,MATCH("Doanh thu thuần",income_statement!$A:$A,0),MATCH(E$25,income_statement!$B$1:$XFD$1,0)),"")</f>
        <v/>
      </c>
      <c r="F45" s="44">
        <f>IFERROR(INDEX(income_statement!$B:$XFD,MATCH("Doanh thu thuần",income_statement!$A:$A,0),MATCH(F$25,income_statement!$B$1:$XFD$1,0)),"")</f>
        <v/>
      </c>
      <c r="G45" s="44">
        <f>IFERROR(INDEX(income_statement!$B:$XFD,MATCH("Doanh thu thuần",income_statement!$A:$A,0),MATCH(G$25,income_statement!$B$1:$XFD$1,0)),"")</f>
        <v/>
      </c>
      <c r="H45" s="44">
        <f>IFERROR(INDEX(income_statement!$B:$XFD,MATCH("Doanh thu thuần",income_statement!$A:$A,0),MATCH(H$25,income_statement!$B$1:$XFD$1,0)),"")</f>
        <v/>
      </c>
      <c r="I45" s="44">
        <f>IFERROR(INDEX(income_statement!$B:$XFD,MATCH("Doanh thu thuần",income_statement!$A:$A,0),MATCH(I$25,income_statement!$B$1:$XFD$1,0)),"")</f>
        <v/>
      </c>
      <c r="K45" s="3" t="n"/>
    </row>
    <row r="46" customFormat="1" s="34">
      <c r="A46" s="27" t="inlineStr">
        <is>
          <t>Trailing DT</t>
        </is>
      </c>
      <c r="B46" s="46" t="n"/>
      <c r="C46" s="46" t="n"/>
      <c r="D46" s="46" t="n"/>
      <c r="E46" s="46">
        <f>SUM(B45:E45)</f>
        <v/>
      </c>
      <c r="F46" s="46">
        <f>SUM(C45:F45)</f>
        <v/>
      </c>
      <c r="G46" s="46">
        <f>SUM(D45:G45)</f>
        <v/>
      </c>
      <c r="H46" s="46">
        <f>SUM(E45:H45)</f>
        <v/>
      </c>
      <c r="I46" s="46">
        <f>SUM(F45:I45)</f>
        <v/>
      </c>
      <c r="K46" s="46" t="n">
        <v>59500000000000</v>
      </c>
    </row>
    <row r="47">
      <c r="A47" s="12" t="inlineStr">
        <is>
          <t>Giá vốn hàng bán</t>
        </is>
      </c>
      <c r="B47" s="43">
        <f>IFERROR(INDEX(income_statement!$B:$XFD,MATCH("Giá vốn hàng bán",income_statement!$A:$A,0),MATCH(B$25,income_statement!$B$1:$XFD$1,0)),"")</f>
        <v/>
      </c>
      <c r="C47" s="43">
        <f>IFERROR(INDEX(income_statement!$B:$XFD,MATCH("Giá vốn hàng bán",income_statement!$A:$A,0),MATCH(C$25,income_statement!$B$1:$XFD$1,0)),"")</f>
        <v/>
      </c>
      <c r="D47" s="43">
        <f>IFERROR(INDEX(income_statement!$B:$XFD,MATCH("Giá vốn hàng bán",income_statement!$A:$A,0),MATCH(D$25,income_statement!$B$1:$XFD$1,0)),"")</f>
        <v/>
      </c>
      <c r="E47" s="43">
        <f>IFERROR(INDEX(income_statement!$B:$XFD,MATCH("Giá vốn hàng bán",income_statement!$A:$A,0),MATCH(E$25,income_statement!$B$1:$XFD$1,0)),"")</f>
        <v/>
      </c>
      <c r="F47" s="43">
        <f>IFERROR(INDEX(income_statement!$B:$XFD,MATCH("Giá vốn hàng bán",income_statement!$A:$A,0),MATCH(F$25,income_statement!$B$1:$XFD$1,0)),"")</f>
        <v/>
      </c>
      <c r="G47" s="43">
        <f>IFERROR(INDEX(income_statement!$B:$XFD,MATCH("Giá vốn hàng bán",income_statement!$A:$A,0),MATCH(G$25,income_statement!$B$1:$XFD$1,0)),"")</f>
        <v/>
      </c>
      <c r="H47" s="43">
        <f>IFERROR(INDEX(income_statement!$B:$XFD,MATCH("Giá vốn hàng bán",income_statement!$A:$A,0),MATCH(H$25,income_statement!$B$1:$XFD$1,0)),"")</f>
        <v/>
      </c>
      <c r="I47" s="43">
        <f>IFERROR(INDEX(income_statement!$B:$XFD,MATCH("Giá vốn hàng bán",income_statement!$A:$A,0),MATCH(I$25,income_statement!$B$1:$XFD$1,0)),"")</f>
        <v/>
      </c>
      <c r="K47" s="47" t="n"/>
    </row>
    <row r="48" customFormat="1" s="22">
      <c r="A48" s="10" t="inlineStr">
        <is>
          <t>Lợi nhuận gộp</t>
        </is>
      </c>
      <c r="B48" s="44">
        <f>IFERROR(INDEX(income_statement!$B:$XFD,MATCH("Lợi nhuận gộp",income_statement!$A:$A,0),MATCH(B$25,income_statement!$B$1:$XFD$1,0)),"")</f>
        <v/>
      </c>
      <c r="C48" s="44">
        <f>IFERROR(INDEX(income_statement!$B:$XFD,MATCH("Lợi nhuận gộp",income_statement!$A:$A,0),MATCH(C$25,income_statement!$B$1:$XFD$1,0)),"")</f>
        <v/>
      </c>
      <c r="D48" s="44">
        <f>IFERROR(INDEX(income_statement!$B:$XFD,MATCH("Lợi nhuận gộp",income_statement!$A:$A,0),MATCH(D$25,income_statement!$B$1:$XFD$1,0)),"")</f>
        <v/>
      </c>
      <c r="E48" s="44">
        <f>IFERROR(INDEX(income_statement!$B:$XFD,MATCH("Lợi nhuận gộp",income_statement!$A:$A,0),MATCH(E$25,income_statement!$B$1:$XFD$1,0)),"")</f>
        <v/>
      </c>
      <c r="F48" s="44">
        <f>IFERROR(INDEX(income_statement!$B:$XFD,MATCH("Lợi nhuận gộp",income_statement!$A:$A,0),MATCH(F$25,income_statement!$B$1:$XFD$1,0)),"")</f>
        <v/>
      </c>
      <c r="G48" s="44">
        <f>IFERROR(INDEX(income_statement!$B:$XFD,MATCH("Lợi nhuận gộp",income_statement!$A:$A,0),MATCH(G$25,income_statement!$B$1:$XFD$1,0)),"")</f>
        <v/>
      </c>
      <c r="H48" s="44">
        <f>IFERROR(INDEX(income_statement!$B:$XFD,MATCH("Lợi nhuận gộp",income_statement!$A:$A,0),MATCH(H$25,income_statement!$B$1:$XFD$1,0)),"")</f>
        <v/>
      </c>
      <c r="I48" s="44">
        <f>IFERROR(INDEX(income_statement!$B:$XFD,MATCH("Lợi nhuận gộp",income_statement!$A:$A,0),MATCH(I$25,income_statement!$B$1:$XFD$1,0)),"")</f>
        <v/>
      </c>
      <c r="K48" s="3" t="n"/>
    </row>
    <row r="49">
      <c r="A49" s="12" t="inlineStr">
        <is>
          <t>Chi phí bán hàng</t>
        </is>
      </c>
      <c r="B49" s="43">
        <f>IFERROR(INDEX(income_statement!$B:$XFD,MATCH("Chi phí bán hàng",income_statement!$A:$A,0),MATCH(B$25,income_statement!$B$1:$XFD$1,0)),"")</f>
        <v/>
      </c>
      <c r="C49" s="43">
        <f>IFERROR(INDEX(income_statement!$B:$XFD,MATCH("Chi phí bán hàng",income_statement!$A:$A,0),MATCH(C$25,income_statement!$B$1:$XFD$1,0)),"")</f>
        <v/>
      </c>
      <c r="D49" s="43">
        <f>IFERROR(INDEX(income_statement!$B:$XFD,MATCH("Chi phí bán hàng",income_statement!$A:$A,0),MATCH(D$25,income_statement!$B$1:$XFD$1,0)),"")</f>
        <v/>
      </c>
      <c r="E49" s="43">
        <f>IFERROR(INDEX(income_statement!$B:$XFD,MATCH("Chi phí bán hàng",income_statement!$A:$A,0),MATCH(E$25,income_statement!$B$1:$XFD$1,0)),"")</f>
        <v/>
      </c>
      <c r="F49" s="43">
        <f>IFERROR(INDEX(income_statement!$B:$XFD,MATCH("Chi phí bán hàng",income_statement!$A:$A,0),MATCH(F$25,income_statement!$B$1:$XFD$1,0)),"")</f>
        <v/>
      </c>
      <c r="G49" s="43">
        <f>IFERROR(INDEX(income_statement!$B:$XFD,MATCH("Chi phí bán hàng",income_statement!$A:$A,0),MATCH(G$25,income_statement!$B$1:$XFD$1,0)),"")</f>
        <v/>
      </c>
      <c r="H49" s="43">
        <f>IFERROR(INDEX(income_statement!$B:$XFD,MATCH("Chi phí bán hàng",income_statement!$A:$A,0),MATCH(H$25,income_statement!$B$1:$XFD$1,0)),"")</f>
        <v/>
      </c>
      <c r="I49" s="43">
        <f>IFERROR(INDEX(income_statement!$B:$XFD,MATCH("Chi phí bán hàng",income_statement!$A:$A,0),MATCH(I$25,income_statement!$B$1:$XFD$1,0)),"")</f>
        <v/>
      </c>
      <c r="K49" s="22" t="n"/>
    </row>
    <row r="50">
      <c r="A50" s="12" t="inlineStr">
        <is>
          <t>Chi phí quản lý doanh nghiệp</t>
        </is>
      </c>
      <c r="B50" s="43">
        <f>IFERROR(INDEX(income_statement!$B:$XFD,MATCH("Chi phí quản lý doanh nghiệp",income_statement!$A:$A,0),MATCH(B$25,income_statement!$B$1:$XFD$1,0)),"")</f>
        <v/>
      </c>
      <c r="C50" s="43">
        <f>IFERROR(INDEX(income_statement!$B:$XFD,MATCH("Chi phí quản lý doanh nghiệp",income_statement!$A:$A,0),MATCH(C$25,income_statement!$B$1:$XFD$1,0)),"")</f>
        <v/>
      </c>
      <c r="D50" s="43">
        <f>IFERROR(INDEX(income_statement!$B:$XFD,MATCH("Chi phí quản lý doanh nghiệp",income_statement!$A:$A,0),MATCH(D$25,income_statement!$B$1:$XFD$1,0)),"")</f>
        <v/>
      </c>
      <c r="E50" s="43">
        <f>IFERROR(INDEX(income_statement!$B:$XFD,MATCH("Chi phí quản lý doanh nghiệp",income_statement!$A:$A,0),MATCH(E$25,income_statement!$B$1:$XFD$1,0)),"")</f>
        <v/>
      </c>
      <c r="F50" s="43">
        <f>IFERROR(INDEX(income_statement!$B:$XFD,MATCH("Chi phí quản lý doanh nghiệp",income_statement!$A:$A,0),MATCH(F$25,income_statement!$B$1:$XFD$1,0)),"")</f>
        <v/>
      </c>
      <c r="G50" s="43">
        <f>IFERROR(INDEX(income_statement!$B:$XFD,MATCH("Chi phí quản lý doanh nghiệp",income_statement!$A:$A,0),MATCH(G$25,income_statement!$B$1:$XFD$1,0)),"")</f>
        <v/>
      </c>
      <c r="H50" s="43">
        <f>IFERROR(INDEX(income_statement!$B:$XFD,MATCH("Chi phí quản lý doanh nghiệp",income_statement!$A:$A,0),MATCH(H$25,income_statement!$B$1:$XFD$1,0)),"")</f>
        <v/>
      </c>
      <c r="I50" s="43">
        <f>IFERROR(INDEX(income_statement!$B:$XFD,MATCH("Chi phí quản lý doanh nghiệp",income_statement!$A:$A,0),MATCH(I$25,income_statement!$B$1:$XFD$1,0)),"")</f>
        <v/>
      </c>
    </row>
    <row r="51">
      <c r="A51" s="12" t="inlineStr">
        <is>
          <t>Lãi/(lỗ) từ hoạt động kinh doanh</t>
        </is>
      </c>
      <c r="B51" s="43">
        <f>IFERROR(INDEX(income_statement!$B:$XFD,MATCH("Lãi/(lỗ) từ hoạt động kinh doanh",income_statement!$A:$A,0),MATCH(B$25,income_statement!$B$1:$XFD$1,0)),"")</f>
        <v/>
      </c>
      <c r="C51" s="43">
        <f>IFERROR(INDEX(income_statement!$B:$XFD,MATCH("Lãi/(lỗ) từ hoạt động kinh doanh",income_statement!$A:$A,0),MATCH(C$25,income_statement!$B$1:$XFD$1,0)),"")</f>
        <v/>
      </c>
      <c r="D51" s="43">
        <f>IFERROR(INDEX(income_statement!$B:$XFD,MATCH("Lãi/(lỗ) từ hoạt động kinh doanh",income_statement!$A:$A,0),MATCH(D$25,income_statement!$B$1:$XFD$1,0)),"")</f>
        <v/>
      </c>
      <c r="E51" s="43">
        <f>IFERROR(INDEX(income_statement!$B:$XFD,MATCH("Lãi/(lỗ) từ hoạt động kinh doanh",income_statement!$A:$A,0),MATCH(E$25,income_statement!$B$1:$XFD$1,0)),"")</f>
        <v/>
      </c>
      <c r="F51" s="43">
        <f>IFERROR(INDEX(income_statement!$B:$XFD,MATCH("Lãi/(lỗ) từ hoạt động kinh doanh",income_statement!$A:$A,0),MATCH(F$25,income_statement!$B$1:$XFD$1,0)),"")</f>
        <v/>
      </c>
      <c r="G51" s="43">
        <f>IFERROR(INDEX(income_statement!$B:$XFD,MATCH("Lãi/(lỗ) từ hoạt động kinh doanh",income_statement!$A:$A,0),MATCH(G$25,income_statement!$B$1:$XFD$1,0)),"")</f>
        <v/>
      </c>
      <c r="H51" s="43">
        <f>IFERROR(INDEX(income_statement!$B:$XFD,MATCH("Lãi/(lỗ) từ hoạt động kinh doanh",income_statement!$A:$A,0),MATCH(H$25,income_statement!$B$1:$XFD$1,0)),"")</f>
        <v/>
      </c>
      <c r="I51" s="43">
        <f>IFERROR(INDEX(income_statement!$B:$XFD,MATCH("Lãi/(lỗ) từ hoạt động kinh doanh",income_statement!$A:$A,0),MATCH(I$25,income_statement!$B$1:$XFD$1,0)),"")</f>
        <v/>
      </c>
    </row>
    <row r="52">
      <c r="A52" s="12" t="inlineStr">
        <is>
          <t>Chi phí lãi vay</t>
        </is>
      </c>
      <c r="B52" s="43">
        <f>IFERROR(INDEX(income_statement!$B:$XFD,MATCH("Chi phí lãi vay",income_statement!$A:$A,0),MATCH(B$25,income_statement!$B$1:$XFD$1,0)),"")</f>
        <v/>
      </c>
      <c r="C52" s="43">
        <f>IFERROR(INDEX(income_statement!$B:$XFD,MATCH("Chi phí lãi vay",income_statement!$A:$A,0),MATCH(C$25,income_statement!$B$1:$XFD$1,0)),"")</f>
        <v/>
      </c>
      <c r="D52" s="43">
        <f>IFERROR(INDEX(income_statement!$B:$XFD,MATCH("Chi phí lãi vay",income_statement!$A:$A,0),MATCH(D$25,income_statement!$B$1:$XFD$1,0)),"")</f>
        <v/>
      </c>
      <c r="E52" s="43">
        <f>IFERROR(INDEX(income_statement!$B:$XFD,MATCH("Chi phí lãi vay",income_statement!$A:$A,0),MATCH(E$25,income_statement!$B$1:$XFD$1,0)),"")</f>
        <v/>
      </c>
      <c r="F52" s="43">
        <f>IFERROR(INDEX(income_statement!$B:$XFD,MATCH("Chi phí lãi vay",income_statement!$A:$A,0),MATCH(F$25,income_statement!$B$1:$XFD$1,0)),"")</f>
        <v/>
      </c>
      <c r="G52" s="43">
        <f>IFERROR(INDEX(income_statement!$B:$XFD,MATCH("Chi phí lãi vay",income_statement!$A:$A,0),MATCH(G$25,income_statement!$B$1:$XFD$1,0)),"")</f>
        <v/>
      </c>
      <c r="H52" s="43">
        <f>IFERROR(INDEX(income_statement!$B:$XFD,MATCH("Chi phí lãi vay",income_statement!$A:$A,0),MATCH(H$25,income_statement!$B$1:$XFD$1,0)),"")</f>
        <v/>
      </c>
      <c r="I52" s="43">
        <f>IFERROR(INDEX(income_statement!$B:$XFD,MATCH("Chi phí lãi vay",income_statement!$A:$A,0),MATCH(I$25,income_statement!$B$1:$XFD$1,0)),"")</f>
        <v/>
      </c>
    </row>
    <row r="53" customFormat="1" s="22">
      <c r="A53" s="25" t="inlineStr">
        <is>
          <t>Lãi/(lỗ) trước thuế</t>
        </is>
      </c>
      <c r="B53" s="44">
        <f>IFERROR(INDEX(income_statement!$B:$XFD,MATCH("Lãi/(lỗ) trước thuế",income_statement!$A:$A,0),MATCH(B$25,income_statement!$B$1:$XFD$1,0)),"")</f>
        <v/>
      </c>
      <c r="C53" s="44">
        <f>IFERROR(INDEX(income_statement!$B:$XFD,MATCH("Lãi/(lỗ) trước thuế",income_statement!$A:$A,0),MATCH(C$25,income_statement!$B$1:$XFD$1,0)),"")</f>
        <v/>
      </c>
      <c r="D53" s="44">
        <f>IFERROR(INDEX(income_statement!$B:$XFD,MATCH("Lãi/(lỗ) trước thuế",income_statement!$A:$A,0),MATCH(D$25,income_statement!$B$1:$XFD$1,0)),"")</f>
        <v/>
      </c>
      <c r="E53" s="44">
        <f>IFERROR(INDEX(income_statement!$B:$XFD,MATCH("Lãi/(lỗ) trước thuế",income_statement!$A:$A,0),MATCH(E$25,income_statement!$B$1:$XFD$1,0)),"")</f>
        <v/>
      </c>
      <c r="F53" s="44">
        <f>IFERROR(INDEX(income_statement!$B:$XFD,MATCH("Lãi/(lỗ) trước thuế",income_statement!$A:$A,0),MATCH(F$25,income_statement!$B$1:$XFD$1,0)),"")</f>
        <v/>
      </c>
      <c r="G53" s="44">
        <f>IFERROR(INDEX(income_statement!$B:$XFD,MATCH("Lãi/(lỗ) trước thuế",income_statement!$A:$A,0),MATCH(G$25,income_statement!$B$1:$XFD$1,0)),"")</f>
        <v/>
      </c>
      <c r="H53" s="44">
        <f>IFERROR(INDEX(income_statement!$B:$XFD,MATCH("Lãi/(lỗ) trước thuế",income_statement!$A:$A,0),MATCH(H$25,income_statement!$B$1:$XFD$1,0)),"")</f>
        <v/>
      </c>
      <c r="I53" s="44">
        <f>IFERROR(INDEX(income_statement!$B:$XFD,MATCH("Lãi/(lỗ) trước thuế",income_statement!$A:$A,0),MATCH(I$25,income_statement!$B$1:$XFD$1,0)),"")</f>
        <v/>
      </c>
      <c r="K53" s="3" t="n"/>
    </row>
    <row r="54" customFormat="1" s="34">
      <c r="A54" s="36" t="inlineStr">
        <is>
          <t>Trailing LN trước thuế</t>
        </is>
      </c>
      <c r="B54" s="46" t="n"/>
      <c r="C54" s="46" t="n"/>
      <c r="D54" s="46" t="n"/>
      <c r="E54" s="46">
        <f>SUM(B53:E53)</f>
        <v/>
      </c>
      <c r="F54" s="46">
        <f>SUM(C53:F53)</f>
        <v/>
      </c>
      <c r="G54" s="46">
        <f>SUM(D53:G53)</f>
        <v/>
      </c>
      <c r="H54" s="46">
        <f>SUM(E53:H53)</f>
        <v/>
      </c>
      <c r="I54" s="46">
        <f>SUM(F53:I53)</f>
        <v/>
      </c>
      <c r="K54" s="46" t="n">
        <v>1550000000000</v>
      </c>
    </row>
    <row r="55">
      <c r="A55" s="12" t="inlineStr">
        <is>
          <t>Lãi/(lỗ) thuần sau thuế</t>
        </is>
      </c>
      <c r="B55" s="43">
        <f>IFERROR(INDEX(income_statement!$B:$XFD,MATCH("Lãi/(lỗ) thuần sau thuế",income_statement!$A:$A,0),MATCH(B$25,income_statement!$B$1:$XFD$1,0)),"")</f>
        <v/>
      </c>
      <c r="C55" s="43">
        <f>IFERROR(INDEX(income_statement!$B:$XFD,MATCH("Lãi/(lỗ) thuần sau thuế",income_statement!$A:$A,0),MATCH(C$25,income_statement!$B$1:$XFD$1,0)),"")</f>
        <v/>
      </c>
      <c r="D55" s="43">
        <f>IFERROR(INDEX(income_statement!$B:$XFD,MATCH("Lãi/(lỗ) thuần sau thuế",income_statement!$A:$A,0),MATCH(D$25,income_statement!$B$1:$XFD$1,0)),"")</f>
        <v/>
      </c>
      <c r="E55" s="43">
        <f>IFERROR(INDEX(income_statement!$B:$XFD,MATCH("Lãi/(lỗ) thuần sau thuế",income_statement!$A:$A,0),MATCH(E$25,income_statement!$B$1:$XFD$1,0)),"")</f>
        <v/>
      </c>
      <c r="F55" s="43">
        <f>IFERROR(INDEX(income_statement!$B:$XFD,MATCH("Lãi/(lỗ) thuần sau thuế",income_statement!$A:$A,0),MATCH(F$25,income_statement!$B$1:$XFD$1,0)),"")</f>
        <v/>
      </c>
      <c r="G55" s="43">
        <f>IFERROR(INDEX(income_statement!$B:$XFD,MATCH("Lãi/(lỗ) thuần sau thuế",income_statement!$A:$A,0),MATCH(G$25,income_statement!$B$1:$XFD$1,0)),"")</f>
        <v/>
      </c>
      <c r="H55" s="43">
        <f>IFERROR(INDEX(income_statement!$B:$XFD,MATCH("Lãi/(lỗ) thuần sau thuế",income_statement!$A:$A,0),MATCH(H$25,income_statement!$B$1:$XFD$1,0)),"")</f>
        <v/>
      </c>
      <c r="I55" s="43">
        <f>IFERROR(INDEX(income_statement!$B:$XFD,MATCH("Lãi/(lỗ) thuần sau thuế",income_statement!$A:$A,0),MATCH(I$25,income_statement!$B$1:$XFD$1,0)),"")</f>
        <v/>
      </c>
      <c r="K55" s="47" t="n"/>
    </row>
    <row r="56" customFormat="1" s="22">
      <c r="A56" s="10" t="inlineStr">
        <is>
          <t>Lợi nhuận của Cổ đông của Công ty mẹ</t>
        </is>
      </c>
      <c r="B56" s="44">
        <f>IFERROR(INDEX(income_statement!$B:$XFD,MATCH("Lợi nhuận của Cổ đông của Công ty mẹ",income_statement!$A:$A,0),MATCH(B$25,income_statement!$B$1:$XFD$1,0)),"")</f>
        <v/>
      </c>
      <c r="C56" s="44">
        <f>IFERROR(INDEX(income_statement!$B:$XFD,MATCH("Lợi nhuận của Cổ đông của Công ty mẹ",income_statement!$A:$A,0),MATCH(C$25,income_statement!$B$1:$XFD$1,0)),"")</f>
        <v/>
      </c>
      <c r="D56" s="44">
        <f>IFERROR(INDEX(income_statement!$B:$XFD,MATCH("Lợi nhuận của Cổ đông của Công ty mẹ",income_statement!$A:$A,0),MATCH(D$25,income_statement!$B$1:$XFD$1,0)),"")</f>
        <v/>
      </c>
      <c r="E56" s="44">
        <f>IFERROR(INDEX(income_statement!$B:$XFD,MATCH("Lợi nhuận của Cổ đông của Công ty mẹ",income_statement!$A:$A,0),MATCH(E$25,income_statement!$B$1:$XFD$1,0)),"")</f>
        <v/>
      </c>
      <c r="F56" s="44">
        <f>IFERROR(INDEX(income_statement!$B:$XFD,MATCH("Lợi nhuận của Cổ đông của Công ty mẹ",income_statement!$A:$A,0),MATCH(F$25,income_statement!$B$1:$XFD$1,0)),"")</f>
        <v/>
      </c>
      <c r="G56" s="44">
        <f>IFERROR(INDEX(income_statement!$B:$XFD,MATCH("Lợi nhuận của Cổ đông của Công ty mẹ",income_statement!$A:$A,0),MATCH(G$25,income_statement!$B$1:$XFD$1,0)),"")</f>
        <v/>
      </c>
      <c r="H56" s="44">
        <f>IFERROR(INDEX(income_statement!$B:$XFD,MATCH("Lợi nhuận của Cổ đông của Công ty mẹ",income_statement!$A:$A,0),MATCH(H$25,income_statement!$B$1:$XFD$1,0)),"")</f>
        <v/>
      </c>
      <c r="I56" s="44">
        <f>IFERROR(INDEX(income_statement!$B:$XFD,MATCH("Lợi nhuận của Cổ đông của Công ty mẹ",income_statement!$A:$A,0),MATCH(I$25,income_statement!$B$1:$XFD$1,0)),"")</f>
        <v/>
      </c>
      <c r="K56" s="3" t="n"/>
    </row>
    <row r="57" customFormat="1" s="34">
      <c r="A57" s="27" t="inlineStr">
        <is>
          <t>Trailing LN</t>
        </is>
      </c>
      <c r="B57" s="46" t="n"/>
      <c r="C57" s="46" t="n"/>
      <c r="D57" s="46" t="n"/>
      <c r="E57" s="46">
        <f>SUM(B56:E56)</f>
        <v/>
      </c>
      <c r="F57" s="46">
        <f>SUM(C56:F56)</f>
        <v/>
      </c>
      <c r="G57" s="46">
        <f>SUM(D56:G56)</f>
        <v/>
      </c>
      <c r="H57" s="46">
        <f>SUM(E56:H56)</f>
        <v/>
      </c>
      <c r="I57" s="46">
        <f>SUM(F56:I56)</f>
        <v/>
      </c>
      <c r="K57" s="46">
        <f>K54*0.65</f>
        <v/>
      </c>
    </row>
    <row r="58">
      <c r="A58" s="20" t="inlineStr">
        <is>
          <t>LN cổ đông cty mẹ/ LN trước thuế</t>
        </is>
      </c>
      <c r="B58" s="24">
        <f>B56/B53</f>
        <v/>
      </c>
      <c r="C58" s="24">
        <f>C56/C53</f>
        <v/>
      </c>
      <c r="D58" s="24">
        <f>D56/D53</f>
        <v/>
      </c>
      <c r="E58" s="24">
        <f>E56/E53</f>
        <v/>
      </c>
      <c r="F58" s="24">
        <f>F56/F53</f>
        <v/>
      </c>
      <c r="G58" s="24">
        <f>G56/G53</f>
        <v/>
      </c>
      <c r="H58" s="24">
        <f>H56/H53</f>
        <v/>
      </c>
      <c r="I58" s="24">
        <f>I56/I53</f>
        <v/>
      </c>
      <c r="K58" s="47" t="n"/>
    </row>
    <row r="59">
      <c r="A59" s="10" t="inlineStr">
        <is>
          <t>Lưu chuyển tiền tệ</t>
        </is>
      </c>
      <c r="B59" s="43" t="n"/>
      <c r="C59" s="43" t="n"/>
      <c r="D59" s="43" t="n"/>
      <c r="E59" s="43" t="n"/>
      <c r="F59" s="43" t="n"/>
      <c r="G59" s="43" t="n"/>
      <c r="H59" s="43" t="n"/>
      <c r="I59" s="43" t="n"/>
    </row>
    <row r="60">
      <c r="A60" s="12" t="inlineStr">
        <is>
          <t>Khấu hao TSCĐ và BĐSĐT</t>
        </is>
      </c>
      <c r="B60" s="43">
        <f>IFERROR(INDEX(cash_flow!$B:$XFD,MATCH("Khấu hao TSCĐ và BĐSĐT",cash_flow!$A:$A,0),MATCH(B$25,cash_flow!$B$1:$XFD$1,0)),"")</f>
        <v/>
      </c>
      <c r="C60" s="43">
        <f>IFERROR(INDEX(cash_flow!$B:$XFD,MATCH("Khấu hao TSCĐ và BĐSĐT",cash_flow!$A:$A,0),MATCH(C$25,cash_flow!$B$1:$XFD$1,0)),"")</f>
        <v/>
      </c>
      <c r="D60" s="43">
        <f>IFERROR(INDEX(cash_flow!$B:$XFD,MATCH("Khấu hao TSCĐ và BĐSĐT",cash_flow!$A:$A,0),MATCH(D$25,cash_flow!$B$1:$XFD$1,0)),"")</f>
        <v/>
      </c>
      <c r="E60" s="43">
        <f>IFERROR(INDEX(cash_flow!$B:$XFD,MATCH("Khấu hao TSCĐ và BĐSĐT",cash_flow!$A:$A,0),MATCH(E$25,cash_flow!$B$1:$XFD$1,0)),"")</f>
        <v/>
      </c>
      <c r="F60" s="43">
        <f>IFERROR(INDEX(cash_flow!$B:$XFD,MATCH("Khấu hao TSCĐ và BĐSĐT",cash_flow!$A:$A,0),MATCH(F$25,cash_flow!$B$1:$XFD$1,0)),"")</f>
        <v/>
      </c>
      <c r="G60" s="43">
        <f>IFERROR(INDEX(cash_flow!$B:$XFD,MATCH("Khấu hao TSCĐ và BĐSĐT",cash_flow!$A:$A,0),MATCH(G$25,cash_flow!$B$1:$XFD$1,0)),"")</f>
        <v/>
      </c>
      <c r="H60" s="43">
        <f>IFERROR(INDEX(cash_flow!$B:$XFD,MATCH("Khấu hao TSCĐ và BĐSĐT",cash_flow!$A:$A,0),MATCH(H$25,cash_flow!$B$1:$XFD$1,0)),"")</f>
        <v/>
      </c>
      <c r="I60" s="43">
        <f>IFERROR(INDEX(cash_flow!$B:$XFD,MATCH("Khấu hao TSCĐ và BĐSĐT",cash_flow!$A:$A,0),MATCH(I$25,cash_flow!$B$1:$XFD$1,0)),"")</f>
        <v/>
      </c>
    </row>
    <row r="61">
      <c r="A61" s="12" t="inlineStr">
        <is>
          <t>Tiền chi để mua sắm, xây dựng TSCĐ và các tài sản dài hạn khác</t>
        </is>
      </c>
      <c r="B61" s="43">
        <f>IFERROR(INDEX(cash_flow!$B:$XFD,MATCH("Tiền chi để mua sắm, xây dựng TSCĐ và các tài sản dài hạn khác",cash_flow!$A:$A,0),MATCH(B$25,cash_flow!$B$1:$XFD$1,0)),"")</f>
        <v/>
      </c>
      <c r="C61" s="43">
        <f>IFERROR(INDEX(cash_flow!$B:$XFD,MATCH("Tiền chi để mua sắm, xây dựng TSCĐ và các tài sản dài hạn khác",cash_flow!$A:$A,0),MATCH(C$25,cash_flow!$B$1:$XFD$1,0)),"")</f>
        <v/>
      </c>
      <c r="D61" s="43">
        <f>IFERROR(INDEX(cash_flow!$B:$XFD,MATCH("Tiền chi để mua sắm, xây dựng TSCĐ và các tài sản dài hạn khác",cash_flow!$A:$A,0),MATCH(D$25,cash_flow!$B$1:$XFD$1,0)),"")</f>
        <v/>
      </c>
      <c r="E61" s="43">
        <f>IFERROR(INDEX(cash_flow!$B:$XFD,MATCH("Tiền chi để mua sắm, xây dựng TSCĐ và các tài sản dài hạn khác",cash_flow!$A:$A,0),MATCH(E$25,cash_flow!$B$1:$XFD$1,0)),"")</f>
        <v/>
      </c>
      <c r="F61" s="43">
        <f>IFERROR(INDEX(cash_flow!$B:$XFD,MATCH("Tiền chi để mua sắm, xây dựng TSCĐ và các tài sản dài hạn khác",cash_flow!$A:$A,0),MATCH(F$25,cash_flow!$B$1:$XFD$1,0)),"")</f>
        <v/>
      </c>
      <c r="G61" s="43">
        <f>IFERROR(INDEX(cash_flow!$B:$XFD,MATCH("Tiền chi để mua sắm, xây dựng TSCĐ và các tài sản dài hạn khác",cash_flow!$A:$A,0),MATCH(G$25,cash_flow!$B$1:$XFD$1,0)),"")</f>
        <v/>
      </c>
      <c r="H61" s="43">
        <f>IFERROR(INDEX(cash_flow!$B:$XFD,MATCH("Tiền chi để mua sắm, xây dựng TSCĐ và các tài sản dài hạn khác",cash_flow!$A:$A,0),MATCH(H$25,cash_flow!$B$1:$XFD$1,0)),"")</f>
        <v/>
      </c>
      <c r="I61" s="43">
        <f>IFERROR(INDEX(cash_flow!$B:$XFD,MATCH("Tiền chi để mua sắm, xây dựng TSCĐ và các tài sản dài hạn khác",cash_flow!$A:$A,0),MATCH(I$25,cash_flow!$B$1:$XFD$1,0)),"")</f>
        <v/>
      </c>
    </row>
    <row r="62">
      <c r="A62" s="12" t="inlineStr">
        <is>
          <t>Lưu chuyển tiền tệ ròng từ các hoạt động sản xuất kinh doanh</t>
        </is>
      </c>
      <c r="B62" s="43">
        <f>IFERROR(INDEX(cash_flow!$B:$XFD,MATCH("Lưu chuyển tiền tệ ròng từ các hoạt động sản xuất kinh doanh",cash_flow!$A:$A,0),MATCH(B$25,cash_flow!$B$1:$XFD$1,0)),"")</f>
        <v/>
      </c>
      <c r="C62" s="43">
        <f>IFERROR(INDEX(cash_flow!$B:$XFD,MATCH("Lưu chuyển tiền tệ ròng từ các hoạt động sản xuất kinh doanh",cash_flow!$A:$A,0),MATCH(C$25,cash_flow!$B$1:$XFD$1,0)),"")</f>
        <v/>
      </c>
      <c r="D62" s="43">
        <f>IFERROR(INDEX(cash_flow!$B:$XFD,MATCH("Lưu chuyển tiền tệ ròng từ các hoạt động sản xuất kinh doanh",cash_flow!$A:$A,0),MATCH(D$25,cash_flow!$B$1:$XFD$1,0)),"")</f>
        <v/>
      </c>
      <c r="E62" s="43">
        <f>IFERROR(INDEX(cash_flow!$B:$XFD,MATCH("Lưu chuyển tiền tệ ròng từ các hoạt động sản xuất kinh doanh",cash_flow!$A:$A,0),MATCH(E$25,cash_flow!$B$1:$XFD$1,0)),"")</f>
        <v/>
      </c>
      <c r="F62" s="43">
        <f>IFERROR(INDEX(cash_flow!$B:$XFD,MATCH("Lưu chuyển tiền tệ ròng từ các hoạt động sản xuất kinh doanh",cash_flow!$A:$A,0),MATCH(F$25,cash_flow!$B$1:$XFD$1,0)),"")</f>
        <v/>
      </c>
      <c r="G62" s="43">
        <f>IFERROR(INDEX(cash_flow!$B:$XFD,MATCH("Lưu chuyển tiền tệ ròng từ các hoạt động sản xuất kinh doanh",cash_flow!$A:$A,0),MATCH(G$25,cash_flow!$B$1:$XFD$1,0)),"")</f>
        <v/>
      </c>
      <c r="H62" s="43">
        <f>IFERROR(INDEX(cash_flow!$B:$XFD,MATCH("Lưu chuyển tiền tệ ròng từ các hoạt động sản xuất kinh doanh",cash_flow!$A:$A,0),MATCH(H$25,cash_flow!$B$1:$XFD$1,0)),"")</f>
        <v/>
      </c>
      <c r="I62" s="43">
        <f>IFERROR(INDEX(cash_flow!$B:$XFD,MATCH("Lưu chuyển tiền tệ ròng từ các hoạt động sản xuất kinh doanh",cash_flow!$A:$A,0),MATCH(I$25,cash_flow!$B$1:$XFD$1,0)),"")</f>
        <v/>
      </c>
    </row>
    <row r="66">
      <c r="A66" s="14" t="inlineStr">
        <is>
          <t>CHỈ SỐ THÊM</t>
        </is>
      </c>
      <c r="B66" s="11">
        <f>balance_sheet!B1</f>
        <v/>
      </c>
      <c r="C66" s="11">
        <f>balance_sheet!C1</f>
        <v/>
      </c>
      <c r="D66" s="11">
        <f>balance_sheet!D1</f>
        <v/>
      </c>
      <c r="E66" s="11">
        <f>balance_sheet!E1</f>
        <v/>
      </c>
      <c r="F66" s="11">
        <f>balance_sheet!F1</f>
        <v/>
      </c>
      <c r="G66" s="11">
        <f>balance_sheet!G1</f>
        <v/>
      </c>
      <c r="H66" s="11">
        <f>balance_sheet!H1</f>
        <v/>
      </c>
      <c r="I66" s="11">
        <f>balance_sheet!I1</f>
        <v/>
      </c>
    </row>
    <row r="67">
      <c r="A67" s="14" t="inlineStr">
        <is>
          <t>Khả năng sinh lời &amp; hiệu quả sử dụng vốn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inlineStr">
        <is>
          <t>ROCE</t>
        </is>
      </c>
      <c r="B68" s="48">
        <f>IFERROR(B$70/(B$33-B$37),"n/a")</f>
        <v/>
      </c>
      <c r="C68" s="48">
        <f>IFERROR(C$70/(C$33-C$37),"n/a")</f>
        <v/>
      </c>
      <c r="D68" s="48">
        <f>IFERROR(D$70/(D$33-D$37),"n/a")</f>
        <v/>
      </c>
      <c r="E68" s="48">
        <f>IFERROR(E$70/(E$33-E$37),"n/a")</f>
        <v/>
      </c>
      <c r="F68" s="48">
        <f>IFERROR(F$70/(F$33-F$37),"n/a")</f>
        <v/>
      </c>
      <c r="G68" s="48">
        <f>IFERROR(G$70/(G$33-G$37),"n/a")</f>
        <v/>
      </c>
      <c r="H68" s="48">
        <f>IFERROR(H$70/(H$33-H$37),"n/a")</f>
        <v/>
      </c>
      <c r="I68" s="48">
        <f>IFERROR(I$70/(I$33-I$37),"n/a")</f>
        <v/>
      </c>
    </row>
    <row r="69">
      <c r="A69" s="15" t="inlineStr">
        <is>
          <t>CROIC</t>
        </is>
      </c>
      <c r="B69" s="48">
        <f>IFERROR(B$74/(B$33-B$37),"n/a")</f>
        <v/>
      </c>
      <c r="C69" s="48">
        <f>IFERROR(C$74/(C$33-C$37),"n/a")</f>
        <v/>
      </c>
      <c r="D69" s="48">
        <f>IFERROR(D$74/(D$33-D$37),"n/a")</f>
        <v/>
      </c>
      <c r="E69" s="48">
        <f>IFERROR(E$74/(E$33-E$37),"n/a")</f>
        <v/>
      </c>
      <c r="F69" s="48">
        <f>IFERROR(F$74/(F$33-F$37),"n/a")</f>
        <v/>
      </c>
      <c r="G69" s="48">
        <f>IFERROR(G$74/(G$33-G$37),"n/a")</f>
        <v/>
      </c>
      <c r="H69" s="48">
        <f>IFERROR(H$74/(H$33-H$37),"n/a")</f>
        <v/>
      </c>
      <c r="I69" s="48">
        <f>IFERROR(I$74/(I$33-I$37),"n/a")</f>
        <v/>
      </c>
    </row>
    <row r="70">
      <c r="A70" s="15" t="inlineStr">
        <is>
          <t>EBIT</t>
        </is>
      </c>
      <c r="B70" s="49">
        <f>IFERROR(B$51+ABS(B$52),"n/a")</f>
        <v/>
      </c>
      <c r="C70" s="49">
        <f>IFERROR(C$51+ABS(C$52),"n/a")</f>
        <v/>
      </c>
      <c r="D70" s="49">
        <f>IFERROR(D$51+ABS(D$52),"n/a")</f>
        <v/>
      </c>
      <c r="E70" s="49">
        <f>IFERROR(E$51+ABS(E$52),"n/a")</f>
        <v/>
      </c>
      <c r="F70" s="49">
        <f>IFERROR(F$51+ABS(F$52),"n/a")</f>
        <v/>
      </c>
      <c r="G70" s="49">
        <f>IFERROR(G$51+ABS(G$52),"n/a")</f>
        <v/>
      </c>
      <c r="H70" s="49">
        <f>IFERROR(H$51+ABS(H$52),"n/a")</f>
        <v/>
      </c>
      <c r="I70" s="49">
        <f>IFERROR(I$51+ABS(I$52),"n/a")</f>
        <v/>
      </c>
    </row>
    <row r="71">
      <c r="A71" s="15" t="inlineStr">
        <is>
          <t>EBIT/DT</t>
        </is>
      </c>
      <c r="B71" s="48">
        <f>IFERROR(B$70/B$45,"n/a")</f>
        <v/>
      </c>
      <c r="C71" s="48">
        <f>IFERROR(C$70/C$45,"n/a")</f>
        <v/>
      </c>
      <c r="D71" s="48">
        <f>IFERROR(D$70/D$45,"n/a")</f>
        <v/>
      </c>
      <c r="E71" s="48">
        <f>IFERROR(E$70/E$45,"n/a")</f>
        <v/>
      </c>
      <c r="F71" s="48">
        <f>IFERROR(F$70/F$45,"n/a")</f>
        <v/>
      </c>
      <c r="G71" s="48">
        <f>IFERROR(G$70/G$45,"n/a")</f>
        <v/>
      </c>
      <c r="H71" s="48">
        <f>IFERROR(H$70/H$45,"n/a")</f>
        <v/>
      </c>
      <c r="I71" s="48">
        <f>IFERROR(I$70/I$45,"n/a")</f>
        <v/>
      </c>
    </row>
    <row r="72">
      <c r="A72" s="15" t="inlineStr">
        <is>
          <t>DT/TS</t>
        </is>
      </c>
      <c r="B72" s="48">
        <f>IFERROR(B$45/B$33,"n/a")</f>
        <v/>
      </c>
      <c r="C72" s="48">
        <f>IFERROR(C$45/C$33,"n/a")</f>
        <v/>
      </c>
      <c r="D72" s="48">
        <f>IFERROR(D$45/D$33,"n/a")</f>
        <v/>
      </c>
      <c r="E72" s="48">
        <f>IFERROR(E$45/E$33,"n/a")</f>
        <v/>
      </c>
      <c r="F72" s="48">
        <f>IFERROR(F$45/F$33,"n/a")</f>
        <v/>
      </c>
      <c r="G72" s="48">
        <f>IFERROR(G$45/G$33,"n/a")</f>
        <v/>
      </c>
      <c r="H72" s="48">
        <f>IFERROR(H$45/H$33,"n/a")</f>
        <v/>
      </c>
      <c r="I72" s="48">
        <f>IFERROR(I$45/I$33,"n/a")</f>
        <v/>
      </c>
    </row>
    <row r="73">
      <c r="A73" s="14" t="inlineStr">
        <is>
          <t>Dòng tiền &amp; tái đầu tư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inlineStr">
        <is>
          <t>FCF</t>
        </is>
      </c>
      <c r="B74" s="49">
        <f>IFERROR(B$62-ABS(B$61),"n/a")</f>
        <v/>
      </c>
      <c r="C74" s="49">
        <f>IFERROR(C$62-ABS(C$61),"n/a")</f>
        <v/>
      </c>
      <c r="D74" s="49">
        <f>IFERROR(D$62-ABS(D$61),"n/a")</f>
        <v/>
      </c>
      <c r="E74" s="49">
        <f>IFERROR(E$62-ABS(E$61),"n/a")</f>
        <v/>
      </c>
      <c r="F74" s="49">
        <f>IFERROR(F$62-ABS(F$61),"n/a")</f>
        <v/>
      </c>
      <c r="G74" s="49">
        <f>IFERROR(G$62-ABS(G$61),"n/a")</f>
        <v/>
      </c>
      <c r="H74" s="49">
        <f>IFERROR(H$62-ABS(H$61),"n/a")</f>
        <v/>
      </c>
      <c r="I74" s="49">
        <f>IFERROR(I$62-ABS(I$61),"n/a")</f>
        <v/>
      </c>
    </row>
    <row r="75">
      <c r="A75" s="15" t="inlineStr">
        <is>
          <t>FCF/DT</t>
        </is>
      </c>
      <c r="B75" s="48">
        <f>IFERROR(B$74/B$45,"n/a")</f>
        <v/>
      </c>
      <c r="C75" s="48">
        <f>IFERROR(C$74/C$45,"n/a")</f>
        <v/>
      </c>
      <c r="D75" s="48">
        <f>IFERROR(D$74/D$45,"n/a")</f>
        <v/>
      </c>
      <c r="E75" s="48">
        <f>IFERROR(E$74/E$45,"n/a")</f>
        <v/>
      </c>
      <c r="F75" s="48">
        <f>IFERROR(F$74/F$45,"n/a")</f>
        <v/>
      </c>
      <c r="G75" s="48">
        <f>IFERROR(G$74/G$45,"n/a")</f>
        <v/>
      </c>
      <c r="H75" s="48">
        <f>IFERROR(H$74/H$45,"n/a")</f>
        <v/>
      </c>
      <c r="I75" s="48">
        <f>IFERROR(I$74/I$45,"n/a")</f>
        <v/>
      </c>
    </row>
    <row r="76">
      <c r="A76" s="15" t="inlineStr">
        <is>
          <t>FCF/Nợ ngắn hạn</t>
        </is>
      </c>
      <c r="B76" s="48">
        <f>IFERROR(B$74/B$37,"n/a")</f>
        <v/>
      </c>
      <c r="C76" s="48">
        <f>IFERROR(C$74/C$37,"n/a")</f>
        <v/>
      </c>
      <c r="D76" s="48">
        <f>IFERROR(D$74/D$37,"n/a")</f>
        <v/>
      </c>
      <c r="E76" s="48">
        <f>IFERROR(E$74/E$37,"n/a")</f>
        <v/>
      </c>
      <c r="F76" s="48">
        <f>IFERROR(F$74/F$37,"n/a")</f>
        <v/>
      </c>
      <c r="G76" s="48">
        <f>IFERROR(G$74/G$37,"n/a")</f>
        <v/>
      </c>
      <c r="H76" s="48">
        <f>IFERROR(H$74/H$37,"n/a")</f>
        <v/>
      </c>
      <c r="I76" s="48">
        <f>IFERROR(I$74/I$37,"n/a")</f>
        <v/>
      </c>
    </row>
    <row r="77">
      <c r="A77" s="15" t="inlineStr">
        <is>
          <t>Capex</t>
        </is>
      </c>
      <c r="B77" s="49">
        <f>IFERROR(ABS(B$61),"n/a")</f>
        <v/>
      </c>
      <c r="C77" s="49">
        <f>IFERROR(ABS(C$61),"n/a")</f>
        <v/>
      </c>
      <c r="D77" s="49">
        <f>IFERROR(ABS(D$61),"n/a")</f>
        <v/>
      </c>
      <c r="E77" s="49">
        <f>IFERROR(ABS(E$61),"n/a")</f>
        <v/>
      </c>
      <c r="F77" s="49">
        <f>IFERROR(ABS(F$61),"n/a")</f>
        <v/>
      </c>
      <c r="G77" s="49">
        <f>IFERROR(ABS(G$61),"n/a")</f>
        <v/>
      </c>
      <c r="H77" s="49">
        <f>IFERROR(ABS(H$61),"n/a")</f>
        <v/>
      </c>
      <c r="I77" s="49">
        <f>IFERROR(ABS(I$61),"n/a")</f>
        <v/>
      </c>
    </row>
    <row r="78">
      <c r="A78" s="15" t="inlineStr">
        <is>
          <t>Capex/TS</t>
        </is>
      </c>
      <c r="B78" s="48">
        <f>IFERROR(B$77/B$33,"n/a")</f>
        <v/>
      </c>
      <c r="C78" s="48">
        <f>IFERROR(C$77/C$33,"n/a")</f>
        <v/>
      </c>
      <c r="D78" s="48">
        <f>IFERROR(D$77/D$33,"n/a")</f>
        <v/>
      </c>
      <c r="E78" s="48">
        <f>IFERROR(E$77/E$33,"n/a")</f>
        <v/>
      </c>
      <c r="F78" s="48">
        <f>IFERROR(F$77/F$33,"n/a")</f>
        <v/>
      </c>
      <c r="G78" s="48">
        <f>IFERROR(G$77/G$33,"n/a")</f>
        <v/>
      </c>
      <c r="H78" s="48">
        <f>IFERROR(H$77/H$33,"n/a")</f>
        <v/>
      </c>
      <c r="I78" s="48">
        <f>IFERROR(I$77/I$33,"n/a")</f>
        <v/>
      </c>
    </row>
    <row r="79">
      <c r="A79" s="15" t="inlineStr">
        <is>
          <t>Capex/LNST</t>
        </is>
      </c>
      <c r="B79" s="48">
        <f>IFERROR(B$77/ABS(B$55),"n/a")</f>
        <v/>
      </c>
      <c r="C79" s="48">
        <f>IFERROR(C$77/ABS(C$55),"n/a")</f>
        <v/>
      </c>
      <c r="D79" s="48">
        <f>IFERROR(D$77/ABS(D$55),"n/a")</f>
        <v/>
      </c>
      <c r="E79" s="48">
        <f>IFERROR(E$77/ABS(E$55),"n/a")</f>
        <v/>
      </c>
      <c r="F79" s="48">
        <f>IFERROR(F$77/ABS(F$55),"n/a")</f>
        <v/>
      </c>
      <c r="G79" s="48">
        <f>IFERROR(G$77/ABS(G$55),"n/a")</f>
        <v/>
      </c>
      <c r="H79" s="48">
        <f>IFERROR(H$77/ABS(H$55),"n/a")</f>
        <v/>
      </c>
      <c r="I79" s="48">
        <f>IFERROR(I$77/ABS(I$55),"n/a")</f>
        <v/>
      </c>
    </row>
    <row r="80">
      <c r="A80" s="15" t="inlineStr">
        <is>
          <t>Chi phí khấu hao/Lợi nhuận gộp</t>
        </is>
      </c>
      <c r="B80" s="48">
        <f>IFERROR(ABS(B$60)/B$48,"n/a")</f>
        <v/>
      </c>
      <c r="C80" s="48">
        <f>IFERROR(ABS(C$60)/C$48,"n/a")</f>
        <v/>
      </c>
      <c r="D80" s="48">
        <f>IFERROR(ABS(D$60)/D$48,"n/a")</f>
        <v/>
      </c>
      <c r="E80" s="48">
        <f>IFERROR(ABS(E$60)/E$48,"n/a")</f>
        <v/>
      </c>
      <c r="F80" s="48">
        <f>IFERROR(ABS(F$60)/F$48,"n/a")</f>
        <v/>
      </c>
      <c r="G80" s="48">
        <f>IFERROR(ABS(G$60)/G$48,"n/a")</f>
        <v/>
      </c>
      <c r="H80" s="48">
        <f>IFERROR(ABS(H$60)/H$48,"n/a")</f>
        <v/>
      </c>
      <c r="I80" s="48">
        <f>IFERROR(ABS(I$60)/I$48,"n/a")</f>
        <v/>
      </c>
    </row>
    <row r="81">
      <c r="A81" s="15" t="inlineStr">
        <is>
          <t>EBIT/Chi phí lãi vay</t>
        </is>
      </c>
      <c r="B81" s="50">
        <f>IFERROR(B$70/ABS(B$52),"n/a")</f>
        <v/>
      </c>
      <c r="C81" s="50">
        <f>IFERROR(C$70/ABS(C$52),"n/a")</f>
        <v/>
      </c>
      <c r="D81" s="50">
        <f>IFERROR(D$70/ABS(D$52),"n/a")</f>
        <v/>
      </c>
      <c r="E81" s="50">
        <f>IFERROR(E$70/ABS(E$52),"n/a")</f>
        <v/>
      </c>
      <c r="F81" s="50">
        <f>IFERROR(F$70/ABS(F$52),"n/a")</f>
        <v/>
      </c>
      <c r="G81" s="50">
        <f>IFERROR(G$70/ABS(G$52),"n/a")</f>
        <v/>
      </c>
      <c r="H81" s="50">
        <f>IFERROR(H$70/ABS(H$52),"n/a")</f>
        <v/>
      </c>
      <c r="I81" s="50">
        <f>IFERROR(I$70/ABS(I$52),"n/a")</f>
        <v/>
      </c>
    </row>
    <row r="82">
      <c r="A82" s="14" t="inlineStr">
        <is>
          <t>Vốn lưu động &amp; hiệu quả hoạt động</t>
        </is>
      </c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inlineStr">
        <is>
          <t>Vòng quay tiền mặt</t>
        </is>
      </c>
      <c r="B83" s="19">
        <f>IFERROR(B$19+B$20-B$18,"n/a")</f>
        <v/>
      </c>
      <c r="C83" s="19">
        <f>IFERROR(C$19+C$20-C$18,"n/a")</f>
        <v/>
      </c>
      <c r="D83" s="19">
        <f>IFERROR(D$19+D$20-D$18,"n/a")</f>
        <v/>
      </c>
      <c r="E83" s="19">
        <f>IFERROR(E$19+E$20-E$18,"n/a")</f>
        <v/>
      </c>
      <c r="F83" s="19">
        <f>IFERROR(F$19+F$20-F$18,"n/a")</f>
        <v/>
      </c>
      <c r="G83" s="19">
        <f>IFERROR(G$19+G$20-G$18,"n/a")</f>
        <v/>
      </c>
      <c r="H83" s="19">
        <f>IFERROR(H$19+H$20-H$18,"n/a")</f>
        <v/>
      </c>
      <c r="I83" s="19">
        <f>IFERROR(I$19+I$20-I$18,"n/a")</f>
        <v/>
      </c>
    </row>
    <row r="84">
      <c r="A84" s="15" t="inlineStr">
        <is>
          <t>HTK/DT</t>
        </is>
      </c>
      <c r="B84" s="48">
        <f>IFERROR(B$30/B$45,"n/a")</f>
        <v/>
      </c>
      <c r="C84" s="48">
        <f>IFERROR(C$30/C$45,"n/a")</f>
        <v/>
      </c>
      <c r="D84" s="48">
        <f>IFERROR(D$30/D$45,"n/a")</f>
        <v/>
      </c>
      <c r="E84" s="48">
        <f>IFERROR(E$30/E$45,"n/a")</f>
        <v/>
      </c>
      <c r="F84" s="48">
        <f>IFERROR(F$30/F$45,"n/a")</f>
        <v/>
      </c>
      <c r="G84" s="48">
        <f>IFERROR(G$30/G$45,"n/a")</f>
        <v/>
      </c>
      <c r="H84" s="48">
        <f>IFERROR(H$30/H$45,"n/a")</f>
        <v/>
      </c>
      <c r="I84" s="48">
        <f>IFERROR(I$30/I$45,"n/a")</f>
        <v/>
      </c>
    </row>
    <row r="85">
      <c r="A85" s="15" t="inlineStr">
        <is>
          <t>HTK/TS</t>
        </is>
      </c>
      <c r="B85" s="48">
        <f>IFERROR(B$30/B$33,"n/a")</f>
        <v/>
      </c>
      <c r="C85" s="48">
        <f>IFERROR(C$30/C$33,"n/a")</f>
        <v/>
      </c>
      <c r="D85" s="48">
        <f>IFERROR(D$30/D$33,"n/a")</f>
        <v/>
      </c>
      <c r="E85" s="48">
        <f>IFERROR(E$30/E$33,"n/a")</f>
        <v/>
      </c>
      <c r="F85" s="48">
        <f>IFERROR(F$30/F$33,"n/a")</f>
        <v/>
      </c>
      <c r="G85" s="48">
        <f>IFERROR(G$30/G$33,"n/a")</f>
        <v/>
      </c>
      <c r="H85" s="48">
        <f>IFERROR(H$30/H$33,"n/a")</f>
        <v/>
      </c>
      <c r="I85" s="48">
        <f>IFERROR(I$30/I$33,"n/a")</f>
        <v/>
      </c>
    </row>
    <row r="86">
      <c r="A86" s="15" t="inlineStr">
        <is>
          <t>DT/TS</t>
        </is>
      </c>
      <c r="B86" s="48">
        <f>IFERROR(B$45/B$33,"n/a")</f>
        <v/>
      </c>
      <c r="C86" s="48">
        <f>IFERROR(C$45/C$33,"n/a")</f>
        <v/>
      </c>
      <c r="D86" s="48">
        <f>IFERROR(D$45/D$33,"n/a")</f>
        <v/>
      </c>
      <c r="E86" s="48">
        <f>IFERROR(E$45/E$33,"n/a")</f>
        <v/>
      </c>
      <c r="F86" s="48">
        <f>IFERROR(F$45/F$33,"n/a")</f>
        <v/>
      </c>
      <c r="G86" s="48">
        <f>IFERROR(G$45/G$33,"n/a")</f>
        <v/>
      </c>
      <c r="H86" s="48">
        <f>IFERROR(H$45/H$33,"n/a")</f>
        <v/>
      </c>
      <c r="I86" s="48">
        <f>IFERROR(I$45/I$33,"n/a")</f>
        <v/>
      </c>
    </row>
    <row r="87">
      <c r="A87" s="14" t="inlineStr">
        <is>
          <t>Khả năng thanh toán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inlineStr">
        <is>
          <t>(TS ngắn hạn − HTK)/Nợ ngắn hạn</t>
        </is>
      </c>
      <c r="B88" s="50">
        <f>IFERROR((B$31-B$30)/B$37,"n/a")</f>
        <v/>
      </c>
      <c r="C88" s="50">
        <f>IFERROR((C$31-C$30)/C$37,"n/a")</f>
        <v/>
      </c>
      <c r="D88" s="50">
        <f>IFERROR((D$31-D$30)/D$37,"n/a")</f>
        <v/>
      </c>
      <c r="E88" s="50">
        <f>IFERROR((E$31-E$30)/E$37,"n/a")</f>
        <v/>
      </c>
      <c r="F88" s="50">
        <f>IFERROR((F$31-F$30)/F$37,"n/a")</f>
        <v/>
      </c>
      <c r="G88" s="50">
        <f>IFERROR((G$31-G$30)/G$37,"n/a")</f>
        <v/>
      </c>
      <c r="H88" s="50">
        <f>IFERROR((H$31-H$30)/H$37,"n/a")</f>
        <v/>
      </c>
      <c r="I88" s="50">
        <f>IFERROR((I$31-I$30)/I$37,"n/a")</f>
        <v/>
      </c>
    </row>
    <row r="89">
      <c r="A89" s="15" t="inlineStr">
        <is>
          <t>TS ngắn hạn/Nợ ngắn hạn</t>
        </is>
      </c>
      <c r="B89" s="50">
        <f>IFERROR(B$31/B$37,"n/a")</f>
        <v/>
      </c>
      <c r="C89" s="50">
        <f>IFERROR(C$31/C$37,"n/a")</f>
        <v/>
      </c>
      <c r="D89" s="50">
        <f>IFERROR(D$31/D$37,"n/a")</f>
        <v/>
      </c>
      <c r="E89" s="50">
        <f>IFERROR(E$31/E$37,"n/a")</f>
        <v/>
      </c>
      <c r="F89" s="50">
        <f>IFERROR(F$31/F$37,"n/a")</f>
        <v/>
      </c>
      <c r="G89" s="50">
        <f>IFERROR(G$31/G$37,"n/a")</f>
        <v/>
      </c>
      <c r="H89" s="50">
        <f>IFERROR(H$31/H$37,"n/a")</f>
        <v/>
      </c>
      <c r="I89" s="50">
        <f>IFERROR(I$31/I$37,"n/a")</f>
        <v/>
      </c>
    </row>
    <row r="90">
      <c r="A90" s="14" t="inlineStr">
        <is>
          <t>Tài sản &amp; cơ cấu tài sản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inlineStr">
        <is>
          <t>TSCĐ vô hình</t>
        </is>
      </c>
      <c r="B91" s="49">
        <f>IFERROR(B$32,"n/a")</f>
        <v/>
      </c>
      <c r="C91" s="49">
        <f>IFERROR(C$32,"n/a")</f>
        <v/>
      </c>
      <c r="D91" s="49">
        <f>IFERROR(D$32,"n/a")</f>
        <v/>
      </c>
      <c r="E91" s="49">
        <f>IFERROR(E$32,"n/a")</f>
        <v/>
      </c>
      <c r="F91" s="49">
        <f>IFERROR(F$32,"n/a")</f>
        <v/>
      </c>
      <c r="G91" s="49">
        <f>IFERROR(G$32,"n/a")</f>
        <v/>
      </c>
      <c r="H91" s="49">
        <f>IFERROR(H$32,"n/a")</f>
        <v/>
      </c>
      <c r="I91" s="49">
        <f>IFERROR(I$32,"n/a")</f>
        <v/>
      </c>
    </row>
    <row r="92">
      <c r="A92" s="15" t="inlineStr">
        <is>
          <t>Tài sản vô hình/Giá trị sổ sách</t>
        </is>
      </c>
      <c r="B92" s="48">
        <f>IFERROR(B$32/B$41,"n/a")</f>
        <v/>
      </c>
      <c r="C92" s="48">
        <f>IFERROR(C$32/C$41,"n/a")</f>
        <v/>
      </c>
      <c r="D92" s="48">
        <f>IFERROR(D$32/D$41,"n/a")</f>
        <v/>
      </c>
      <c r="E92" s="48">
        <f>IFERROR(E$32/E$41,"n/a")</f>
        <v/>
      </c>
      <c r="F92" s="48">
        <f>IFERROR(F$32/F$41,"n/a")</f>
        <v/>
      </c>
      <c r="G92" s="48">
        <f>IFERROR(G$32/G$41,"n/a")</f>
        <v/>
      </c>
      <c r="H92" s="48">
        <f>IFERROR(H$32/H$41,"n/a")</f>
        <v/>
      </c>
      <c r="I92" s="48">
        <f>IFERROR(I$32/I$41,"n/a")</f>
        <v/>
      </c>
    </row>
  </sheetData>
  <conditionalFormatting sqref="B8:I8">
    <cfRule type="cellIs" priority="11" operator="greaterThanOrEqual" dxfId="5">
      <formula>0.3</formula>
    </cfRule>
    <cfRule type="cellIs" priority="12" operator="lessThanOrEqual" dxfId="6">
      <formula>0.1</formula>
    </cfRule>
    <cfRule type="cellIs" priority="13" operator="between" dxfId="4">
      <formula>0.1</formula>
      <formula>0.3</formula>
    </cfRule>
  </conditionalFormatting>
  <conditionalFormatting sqref="B9:I9">
    <cfRule type="cellIs" priority="10" operator="greaterThanOrEqual" dxfId="5">
      <formula>0.1</formula>
    </cfRule>
  </conditionalFormatting>
  <conditionalFormatting sqref="B10:I10 B13:I13">
    <cfRule type="cellIs" priority="9" operator="lessThanOrEqual" dxfId="5">
      <formula>0.5</formula>
    </cfRule>
  </conditionalFormatting>
  <conditionalFormatting sqref="B16:I16">
    <cfRule type="cellIs" priority="7" operator="lessThanOrEqual" dxfId="5">
      <formula>0.3</formula>
    </cfRule>
    <cfRule type="cellIs" priority="8" operator="greaterThanOrEqual" dxfId="6">
      <formula>0.7</formula>
    </cfRule>
  </conditionalFormatting>
  <conditionalFormatting sqref="B21:I21">
    <cfRule type="cellIs" priority="5" operator="notBetween" dxfId="6">
      <formula>0.02</formula>
      <formula>0.3</formula>
    </cfRule>
    <cfRule type="cellIs" priority="6" operator="between" dxfId="5">
      <formula>0.02</formula>
      <formula>0.3</formula>
    </cfRule>
  </conditionalFormatting>
  <conditionalFormatting sqref="C2:I2">
    <cfRule type="cellIs" priority="17" operator="greaterThanOrEqual" dxfId="5">
      <formula>0.15/4</formula>
    </cfRule>
    <cfRule type="cellIs" priority="18" operator="lessThan" dxfId="6">
      <formula>0.15/4</formula>
    </cfRule>
  </conditionalFormatting>
  <conditionalFormatting sqref="F5:I5 F7:I7">
    <cfRule type="cellIs" priority="14" operator="lessThan" dxfId="6">
      <formula>0.1</formula>
    </cfRule>
    <cfRule type="cellIs" priority="15" operator="greaterThanOrEqual" dxfId="5">
      <formula>0.15</formula>
    </cfRule>
    <cfRule type="cellIs" priority="16" operator="between" dxfId="4">
      <formula>0.1</formula>
      <formula>0.15</formula>
    </cfRule>
  </conditionalFormatting>
  <conditionalFormatting sqref="C4:I4">
    <cfRule type="cellIs" priority="3" operator="lessThan" dxfId="1">
      <formula>0.1/4</formula>
    </cfRule>
    <cfRule type="cellIs" priority="4" operator="greaterThan" dxfId="0">
      <formula>0.15/4</formula>
    </cfRule>
  </conditionalFormatting>
  <conditionalFormatting sqref="C6:I6">
    <cfRule type="cellIs" priority="1" operator="lessThan" dxfId="1">
      <formula>0.1/4</formula>
    </cfRule>
    <cfRule type="cellIs" priority="2" operator="greaterThan" dxfId="0">
      <formula>0.15/4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2026-08-21T13:08:29Z</dcterms:created>
  <dcterms:modified xsi:type="dcterms:W3CDTF">2026-10-28T04:39:07Z</dcterms:modified>
  <cp:lastModifiedBy>Administrator</cp:lastModifiedBy>
</cp:coreProperties>
</file>
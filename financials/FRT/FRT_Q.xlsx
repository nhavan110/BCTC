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charset val="1"/>
      <family val="2"/>
      <b val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9" fillId="0" borderId="3" pivotButton="0" quotePrefix="0" xfId="0"/>
    <xf numFmtId="0" fontId="7" fillId="0" borderId="3" pivotButton="0" quotePrefix="0" xfId="0"/>
    <xf numFmtId="166" fontId="10" fillId="0" borderId="3" pivotButton="0" quotePrefix="0" xfId="0"/>
    <xf numFmtId="166" fontId="11" fillId="0" borderId="3" pivotButton="0" quotePrefix="0" xfId="0"/>
    <xf numFmtId="0" fontId="12" fillId="0" borderId="3" pivotButton="0" quotePrefix="0" xfId="0"/>
    <xf numFmtId="166" fontId="12" fillId="0" borderId="3" pivotButton="0" quotePrefix="0" xfId="0"/>
    <xf numFmtId="9" fontId="12" fillId="0" borderId="3" pivotButton="0" quotePrefix="0" xfId="0"/>
    <xf numFmtId="166" fontId="11" fillId="0" borderId="0" pivotButton="0" quotePrefix="0" xfId="0"/>
    <xf numFmtId="0" fontId="4" fillId="0" borderId="4" pivotButton="0" quotePrefix="0" xfId="0"/>
    <xf numFmtId="10" fontId="10" fillId="0" borderId="3" pivotButton="0" quotePrefix="0" xfId="0"/>
    <xf numFmtId="166" fontId="10" fillId="0" borderId="0" pivotButton="0" quotePrefix="0" xfId="0"/>
    <xf numFmtId="0" fontId="13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3" fontId="8" fillId="0" borderId="3" pivotButton="0" quotePrefix="0" xfId="0"/>
    <xf numFmtId="41" fontId="14" fillId="0" borderId="3" pivotButton="0" quotePrefix="0" xfId="0"/>
    <xf numFmtId="2" fontId="14" fillId="0" borderId="3" pivotButton="0" quotePrefix="0" xfId="0"/>
    <xf numFmtId="0" fontId="14" fillId="0" borderId="0" pivotButton="0" quotePrefix="0" xfId="0"/>
    <xf numFmtId="9" fontId="8" fillId="0" borderId="3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  <c r="J2" s="4" t="n">
        <v>12691502513350</v>
      </c>
      <c r="K2" s="4" t="n">
        <v>14026158730456</v>
      </c>
      <c r="L2" s="4" t="n">
        <v>14823692396739</v>
      </c>
      <c r="M2" s="4" t="n">
        <v>16455137250282</v>
      </c>
      <c r="N2" s="4" t="n">
        <v>17794013186926</v>
      </c>
      <c r="O2" s="4" t="n">
        <v>21787052185671</v>
      </c>
      <c r="P2" s="4" t="n">
        <v>24121385971879</v>
      </c>
      <c r="Q2" s="4" t="n">
        <v>25325904814893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  <c r="J3" s="4" t="n">
        <v>2169613383180</v>
      </c>
      <c r="K3" s="4" t="n">
        <v>2097787236988</v>
      </c>
      <c r="L3" s="4" t="n">
        <v>3391121774419</v>
      </c>
      <c r="M3" s="4" t="n">
        <v>2382207094450</v>
      </c>
      <c r="N3" s="4" t="n">
        <v>1162213737354</v>
      </c>
      <c r="O3" s="4" t="n">
        <v>2869851759629</v>
      </c>
      <c r="P3" s="4" t="n">
        <v>644900672025</v>
      </c>
      <c r="Q3" s="4" t="n">
        <v>556554249526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  <c r="J4" s="4" t="n">
        <v>472561347859</v>
      </c>
      <c r="K4" s="4" t="n">
        <v>475787236988</v>
      </c>
      <c r="L4" s="4" t="n">
        <v>427121774419</v>
      </c>
      <c r="M4" s="4" t="n">
        <v>399207094450</v>
      </c>
      <c r="N4" s="4" t="n">
        <v>442213737354</v>
      </c>
      <c r="O4" s="4" t="n">
        <v>385251759629</v>
      </c>
      <c r="P4" s="4" t="n">
        <v>644900672025</v>
      </c>
      <c r="Q4" s="4" t="n">
        <v>556554249526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  <c r="J5" s="4" t="n">
        <v>1697052035321</v>
      </c>
      <c r="K5" s="4" t="n">
        <v>1622000000000</v>
      </c>
      <c r="L5" s="4" t="n">
        <v>2964000000000</v>
      </c>
      <c r="M5" s="4" t="n">
        <v>1983000000000</v>
      </c>
      <c r="N5" s="4" t="n">
        <v>720000000000</v>
      </c>
      <c r="O5" s="4" t="n">
        <v>2484600000000</v>
      </c>
      <c r="P5" s="4" t="n">
        <v>0</v>
      </c>
      <c r="Q5" s="4" t="n">
        <v>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  <c r="J9" s="4" t="n">
        <v>487856350848</v>
      </c>
      <c r="K9" s="4" t="n">
        <v>417127103606</v>
      </c>
      <c r="L9" s="4" t="n">
        <v>525180068060</v>
      </c>
      <c r="M9" s="4" t="n">
        <v>561723290032</v>
      </c>
      <c r="N9" s="4" t="n">
        <v>676278733954</v>
      </c>
      <c r="O9" s="4" t="n">
        <v>728878339921</v>
      </c>
      <c r="P9" s="4" t="n">
        <v>691244877608</v>
      </c>
      <c r="Q9" s="4" t="n">
        <v>717178360787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  <c r="J10" s="4" t="n">
        <v>145796409579</v>
      </c>
      <c r="K10" s="4" t="n">
        <v>176150692098</v>
      </c>
      <c r="L10" s="4" t="n">
        <v>167341173160</v>
      </c>
      <c r="M10" s="4" t="n">
        <v>203930503405</v>
      </c>
      <c r="N10" s="4" t="n">
        <v>208724777579</v>
      </c>
      <c r="O10" s="4" t="n">
        <v>233091257926</v>
      </c>
      <c r="P10" s="4" t="n">
        <v>235830832599</v>
      </c>
      <c r="Q10" s="4" t="n">
        <v>317571464056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  <c r="J11" s="4" t="n">
        <v>71296188891</v>
      </c>
      <c r="K11" s="4" t="n">
        <v>43997579646</v>
      </c>
      <c r="L11" s="4" t="n">
        <v>51149098157</v>
      </c>
      <c r="M11" s="4" t="n">
        <v>71636733373</v>
      </c>
      <c r="N11" s="4" t="n">
        <v>51449727063</v>
      </c>
      <c r="O11" s="4" t="n">
        <v>94792455388</v>
      </c>
      <c r="P11" s="4" t="n">
        <v>127465220271</v>
      </c>
      <c r="Q11" s="4" t="n">
        <v>133795485612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  <c r="J14" s="4" t="n">
        <v>279715483817</v>
      </c>
      <c r="K14" s="4" t="n">
        <v>206546170984</v>
      </c>
      <c r="L14" s="4" t="n">
        <v>316257135865</v>
      </c>
      <c r="M14" s="4" t="n">
        <v>295723392376</v>
      </c>
      <c r="N14" s="4" t="n">
        <v>425840392434</v>
      </c>
      <c r="O14" s="4" t="n">
        <v>410499058289</v>
      </c>
      <c r="P14" s="4" t="n">
        <v>337226607928</v>
      </c>
      <c r="Q14" s="4" t="n">
        <v>275089194309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  <c r="J15" s="4" t="n">
        <v>-8951731439</v>
      </c>
      <c r="K15" s="4" t="n">
        <v>-9567339122</v>
      </c>
      <c r="L15" s="4" t="n">
        <v>-9567339122</v>
      </c>
      <c r="M15" s="4" t="n">
        <v>-9567339122</v>
      </c>
      <c r="N15" s="4" t="n">
        <v>-9736163122</v>
      </c>
      <c r="O15" s="4" t="n">
        <v>-9504431682</v>
      </c>
      <c r="P15" s="4" t="n">
        <v>-9277783190</v>
      </c>
      <c r="Q15" s="4" t="n">
        <v>-9277783190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  <c r="J16" s="4" t="n">
        <v>9116601624836</v>
      </c>
      <c r="K16" s="4" t="n">
        <v>10234733890772</v>
      </c>
      <c r="L16" s="4" t="n">
        <v>9765872393412</v>
      </c>
      <c r="M16" s="4" t="n">
        <v>9676259700236</v>
      </c>
      <c r="N16" s="4" t="n">
        <v>10509189568527</v>
      </c>
      <c r="O16" s="4" t="n">
        <v>11926663463990</v>
      </c>
      <c r="P16" s="4" t="n">
        <v>14447618583071</v>
      </c>
      <c r="Q16" s="4" t="n">
        <v>14907921837522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  <c r="J17" s="4" t="n">
        <v>9167585565874</v>
      </c>
      <c r="K17" s="4" t="n">
        <v>10291473307238</v>
      </c>
      <c r="L17" s="4" t="n">
        <v>9825671623657</v>
      </c>
      <c r="M17" s="4" t="n">
        <v>9739581234005</v>
      </c>
      <c r="N17" s="4" t="n">
        <v>10588466253747</v>
      </c>
      <c r="O17" s="4" t="n">
        <v>12012604661865</v>
      </c>
      <c r="P17" s="4" t="n">
        <v>14549606154132</v>
      </c>
      <c r="Q17" s="4" t="n">
        <v>15006904664997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  <c r="J18" s="4" t="n">
        <v>-50983941038</v>
      </c>
      <c r="K18" s="4" t="n">
        <v>-56739416466</v>
      </c>
      <c r="L18" s="4" t="n">
        <v>-59799230245</v>
      </c>
      <c r="M18" s="4" t="n">
        <v>-63321533769</v>
      </c>
      <c r="N18" s="4" t="n">
        <v>-79276685220</v>
      </c>
      <c r="O18" s="4" t="n">
        <v>-85941197875</v>
      </c>
      <c r="P18" s="4" t="n">
        <v>-101987571061</v>
      </c>
      <c r="Q18" s="4" t="n">
        <v>-98982827475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  <c r="J20" s="4" t="n">
        <v>226138936544</v>
      </c>
      <c r="K20" s="4" t="n">
        <v>252093295842</v>
      </c>
      <c r="L20" s="4" t="n">
        <v>229034677736</v>
      </c>
      <c r="M20" s="4" t="n">
        <v>242567382516</v>
      </c>
      <c r="N20" s="4" t="n">
        <v>227891600311</v>
      </c>
      <c r="O20" s="4" t="n">
        <v>262782269911</v>
      </c>
      <c r="P20" s="4" t="n">
        <v>229447534690</v>
      </c>
      <c r="Q20" s="4" t="n">
        <v>243019498177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  <c r="J21" s="4" t="n">
        <v>43618044277</v>
      </c>
      <c r="K21" s="4" t="n">
        <v>16870747637</v>
      </c>
      <c r="L21" s="4" t="n">
        <v>10050716999</v>
      </c>
      <c r="M21" s="4" t="n">
        <v>1317653977</v>
      </c>
      <c r="N21" s="4" t="n">
        <v>9389639988</v>
      </c>
      <c r="O21" s="4" t="n">
        <v>47661947145</v>
      </c>
      <c r="P21" s="4" t="n">
        <v>81691837898</v>
      </c>
      <c r="Q21" s="4" t="n">
        <v>46717250178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  <c r="J22" s="4" t="n">
        <v>21674173665</v>
      </c>
      <c r="K22" s="4" t="n">
        <v>21546455611</v>
      </c>
      <c r="L22" s="4" t="n">
        <v>21432766113</v>
      </c>
      <c r="M22" s="4" t="n">
        <v>21062129071</v>
      </c>
      <c r="N22" s="4" t="n">
        <v>21049906792</v>
      </c>
      <c r="O22" s="4" t="n">
        <v>22214405075</v>
      </c>
      <c r="P22" s="4" t="n">
        <v>22221200844</v>
      </c>
      <c r="Q22" s="4" t="n">
        <v>43082702446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  <c r="J24" s="4" t="n">
        <v>1783249046875</v>
      </c>
      <c r="K24" s="4" t="n">
        <v>1806391668645</v>
      </c>
      <c r="L24" s="4" t="n">
        <v>1812442337715</v>
      </c>
      <c r="M24" s="4" t="n">
        <v>1871627405714</v>
      </c>
      <c r="N24" s="4" t="n">
        <v>1907849640649</v>
      </c>
      <c r="O24" s="4" t="n">
        <v>1927183984705</v>
      </c>
      <c r="P24" s="4" t="n">
        <v>1905779719009</v>
      </c>
      <c r="Q24" s="4" t="n">
        <v>1935554758268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  <c r="J25" s="4" t="n">
        <v>183269982816</v>
      </c>
      <c r="K25" s="4" t="n">
        <v>182805424079</v>
      </c>
      <c r="L25" s="4" t="n">
        <v>184955831268</v>
      </c>
      <c r="M25" s="4" t="n">
        <v>189763356715</v>
      </c>
      <c r="N25" s="4" t="n">
        <v>193687926476</v>
      </c>
      <c r="O25" s="4" t="n">
        <v>194450060810</v>
      </c>
      <c r="P25" s="4" t="n">
        <v>198794388004</v>
      </c>
      <c r="Q25" s="4" t="n">
        <v>202589738726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  <c r="J28" s="4" t="n">
        <v>183269982816</v>
      </c>
      <c r="K28" s="4" t="n">
        <v>182805424079</v>
      </c>
      <c r="L28" s="4" t="n">
        <v>184955831268</v>
      </c>
      <c r="M28" s="4" t="n">
        <v>189763356715</v>
      </c>
      <c r="N28" s="4" t="n">
        <v>193687926476</v>
      </c>
      <c r="O28" s="4" t="n">
        <v>194450060810</v>
      </c>
      <c r="P28" s="4" t="n">
        <v>198794388004</v>
      </c>
      <c r="Q28" s="4" t="n">
        <v>202589738726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  <c r="J30" s="4" t="n">
        <v>1430264326819</v>
      </c>
      <c r="K30" s="4" t="n">
        <v>1445982801672</v>
      </c>
      <c r="L30" s="4" t="n">
        <v>1453940151434</v>
      </c>
      <c r="M30" s="4" t="n">
        <v>1518922147316</v>
      </c>
      <c r="N30" s="4" t="n">
        <v>1555705560132</v>
      </c>
      <c r="O30" s="4" t="n">
        <v>1574317843107</v>
      </c>
      <c r="P30" s="4" t="n">
        <v>1553698186764</v>
      </c>
      <c r="Q30" s="4" t="n">
        <v>1553697744687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  <c r="J31" s="4" t="n">
        <v>1156858905758</v>
      </c>
      <c r="K31" s="4" t="n">
        <v>1156676461871</v>
      </c>
      <c r="L31" s="4" t="n">
        <v>1147596644333</v>
      </c>
      <c r="M31" s="4" t="n">
        <v>1193453691436</v>
      </c>
      <c r="N31" s="4" t="n">
        <v>1205865070001</v>
      </c>
      <c r="O31" s="4" t="n">
        <v>1196539820561</v>
      </c>
      <c r="P31" s="4" t="n">
        <v>1169878567133</v>
      </c>
      <c r="Q31" s="4" t="n">
        <v>1158979005336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  <c r="J32" s="4" t="n">
        <v>1841365013392</v>
      </c>
      <c r="K32" s="4" t="n">
        <v>1915183739839</v>
      </c>
      <c r="L32" s="4" t="n">
        <v>1981117382122</v>
      </c>
      <c r="M32" s="4" t="n">
        <v>2110085346548</v>
      </c>
      <c r="N32" s="4" t="n">
        <v>2207522339406</v>
      </c>
      <c r="O32" s="4" t="n">
        <v>2285328752900</v>
      </c>
      <c r="P32" s="4" t="n">
        <v>2347948846104</v>
      </c>
      <c r="Q32" s="4" t="n">
        <v>2430219177001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  <c r="J33" s="4" t="n">
        <v>-684506107634</v>
      </c>
      <c r="K33" s="4" t="n">
        <v>-758507277968</v>
      </c>
      <c r="L33" s="4" t="n">
        <v>-833520737789</v>
      </c>
      <c r="M33" s="4" t="n">
        <v>-916631655112</v>
      </c>
      <c r="N33" s="4" t="n">
        <v>-1001657269405</v>
      </c>
      <c r="O33" s="4" t="n">
        <v>-1088788932339</v>
      </c>
      <c r="P33" s="4" t="n">
        <v>-1178070278971</v>
      </c>
      <c r="Q33" s="4" t="n">
        <v>-1271240171665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  <c r="J37" s="4" t="n">
        <v>273405421061</v>
      </c>
      <c r="K37" s="4" t="n">
        <v>289306339801</v>
      </c>
      <c r="L37" s="4" t="n">
        <v>306343507101</v>
      </c>
      <c r="M37" s="4" t="n">
        <v>325468455880</v>
      </c>
      <c r="N37" s="4" t="n">
        <v>349840490131</v>
      </c>
      <c r="O37" s="4" t="n">
        <v>377778022546</v>
      </c>
      <c r="P37" s="4" t="n">
        <v>383819619631</v>
      </c>
      <c r="Q37" s="4" t="n">
        <v>394718739351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  <c r="J38" s="4" t="n">
        <v>322841896370</v>
      </c>
      <c r="K38" s="4" t="n">
        <v>348666597970</v>
      </c>
      <c r="L38" s="4" t="n">
        <v>377111128497</v>
      </c>
      <c r="M38" s="4" t="n">
        <v>409985230747</v>
      </c>
      <c r="N38" s="4" t="n">
        <v>450202179267</v>
      </c>
      <c r="O38" s="4" t="n">
        <v>495746297007</v>
      </c>
      <c r="P38" s="4" t="n">
        <v>521210263687</v>
      </c>
      <c r="Q38" s="4" t="n">
        <v>552963026887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  <c r="J39" s="4" t="n">
        <v>-49436475309</v>
      </c>
      <c r="K39" s="4" t="n">
        <v>-59360258169</v>
      </c>
      <c r="L39" s="4" t="n">
        <v>-70767621396</v>
      </c>
      <c r="M39" s="4" t="n">
        <v>-84516774867</v>
      </c>
      <c r="N39" s="4" t="n">
        <v>-100361689136</v>
      </c>
      <c r="O39" s="4" t="n">
        <v>-117968274461</v>
      </c>
      <c r="P39" s="4" t="n">
        <v>-137390644056</v>
      </c>
      <c r="Q39" s="4" t="n">
        <v>-158244287536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  <c r="J50" s="4" t="n">
        <v>169714737240</v>
      </c>
      <c r="K50" s="4" t="n">
        <v>169373442894</v>
      </c>
      <c r="L50" s="4" t="n">
        <v>173546355013</v>
      </c>
      <c r="M50" s="4" t="n">
        <v>162941901683</v>
      </c>
      <c r="N50" s="4" t="n">
        <v>158456154041</v>
      </c>
      <c r="O50" s="4" t="n">
        <v>157004126788</v>
      </c>
      <c r="P50" s="4" t="n">
        <v>151875190241</v>
      </c>
      <c r="Q50" s="4" t="n">
        <v>149052000772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  <c r="J51" s="4" t="n">
        <v>169714737240</v>
      </c>
      <c r="K51" s="4" t="n">
        <v>169373442894</v>
      </c>
      <c r="L51" s="4" t="n">
        <v>173546355013</v>
      </c>
      <c r="M51" s="4" t="n">
        <v>162941901683</v>
      </c>
      <c r="N51" s="4" t="n">
        <v>158456154041</v>
      </c>
      <c r="O51" s="4" t="n">
        <v>157004126788</v>
      </c>
      <c r="P51" s="4" t="n">
        <v>151875190241</v>
      </c>
      <c r="Q51" s="4" t="n">
        <v>149052000772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  <c r="J52" s="4" t="n">
        <v>14902586</v>
      </c>
      <c r="K52" s="4" t="n">
        <v>31681844</v>
      </c>
      <c r="L52" s="4" t="n">
        <v>31681844</v>
      </c>
      <c r="M52" s="4" t="n">
        <v>31681844</v>
      </c>
      <c r="N52" s="4" t="n">
        <v>31681844</v>
      </c>
      <c r="O52" s="4" t="n">
        <v>31681844</v>
      </c>
      <c r="P52" s="4" t="n">
        <v>31681844</v>
      </c>
      <c r="Q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  <c r="J54" s="4" t="n">
        <v>14474751560225</v>
      </c>
      <c r="K54" s="4" t="n">
        <v>15832550399101</v>
      </c>
      <c r="L54" s="4" t="n">
        <v>16636134734454</v>
      </c>
      <c r="M54" s="4" t="n">
        <v>18326764655996</v>
      </c>
      <c r="N54" s="4" t="n">
        <v>19701862827575</v>
      </c>
      <c r="O54" s="4" t="n">
        <v>23714236170376</v>
      </c>
      <c r="P54" s="4" t="n">
        <v>26027165690888</v>
      </c>
      <c r="Q54" s="4" t="n">
        <v>27261459573161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  <c r="J55" s="4" t="n">
        <v>12483743130353</v>
      </c>
      <c r="K55" s="4" t="n">
        <v>13712736684773</v>
      </c>
      <c r="L55" s="4" t="n">
        <v>14303537414579</v>
      </c>
      <c r="M55" s="4" t="n">
        <v>14949668273516</v>
      </c>
      <c r="N55" s="4" t="n">
        <v>16058886022348</v>
      </c>
      <c r="O55" s="4" t="n">
        <v>18575165477143</v>
      </c>
      <c r="P55" s="4" t="n">
        <v>20513292504198</v>
      </c>
      <c r="Q55" s="4" t="n">
        <v>21297046022925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  <c r="J56" s="4" t="n">
        <v>12483193527767</v>
      </c>
      <c r="K56" s="4" t="n">
        <v>13712183502929</v>
      </c>
      <c r="L56" s="4" t="n">
        <v>14302984232735</v>
      </c>
      <c r="M56" s="4" t="n">
        <v>14949115091672</v>
      </c>
      <c r="N56" s="4" t="n">
        <v>16058347840504</v>
      </c>
      <c r="O56" s="4" t="n">
        <v>18574474295299</v>
      </c>
      <c r="P56" s="4" t="n">
        <v>20512601322354</v>
      </c>
      <c r="Q56" s="4" t="n">
        <v>21296336991081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  <c r="J57" s="4" t="n">
        <v>7316275954448</v>
      </c>
      <c r="K57" s="4" t="n">
        <v>8800349446066</v>
      </c>
      <c r="L57" s="4" t="n">
        <v>8899113460459</v>
      </c>
      <c r="M57" s="4" t="n">
        <v>9312806352321</v>
      </c>
      <c r="N57" s="4" t="n">
        <v>8919347153118</v>
      </c>
      <c r="O57" s="4" t="n">
        <v>10051507915817</v>
      </c>
      <c r="P57" s="4" t="n">
        <v>12381417771551</v>
      </c>
      <c r="Q57" s="4" t="n">
        <v>13075069438709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  <c r="J58" s="4" t="n">
        <v>3502803868705</v>
      </c>
      <c r="K58" s="4" t="n">
        <v>3202439604461</v>
      </c>
      <c r="L58" s="4" t="n">
        <v>3890533008090</v>
      </c>
      <c r="M58" s="4" t="n">
        <v>3814778579770</v>
      </c>
      <c r="N58" s="4" t="n">
        <v>4944397228276</v>
      </c>
      <c r="O58" s="4" t="n">
        <v>5995965425047</v>
      </c>
      <c r="P58" s="4" t="n">
        <v>5950438859700</v>
      </c>
      <c r="Q58" s="4" t="n">
        <v>5492235667456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  <c r="J59" s="4" t="n">
        <v>48631011991</v>
      </c>
      <c r="K59" s="4" t="n">
        <v>37870117550</v>
      </c>
      <c r="L59" s="4" t="n">
        <v>35860962906</v>
      </c>
      <c r="M59" s="4" t="n">
        <v>39978704812</v>
      </c>
      <c r="N59" s="4" t="n">
        <v>63942695688</v>
      </c>
      <c r="O59" s="4" t="n">
        <v>61615375012</v>
      </c>
      <c r="P59" s="4" t="n">
        <v>55739123040</v>
      </c>
      <c r="Q59" s="4" t="n">
        <v>99699683053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  <c r="J60" s="4" t="n">
        <v>113065117381</v>
      </c>
      <c r="K60" s="4" t="n">
        <v>124543935725</v>
      </c>
      <c r="L60" s="4" t="n">
        <v>118552194337</v>
      </c>
      <c r="M60" s="4" t="n">
        <v>137433265914</v>
      </c>
      <c r="N60" s="4" t="n">
        <v>183175940569</v>
      </c>
      <c r="O60" s="4" t="n">
        <v>244716064984</v>
      </c>
      <c r="P60" s="4" t="n">
        <v>101791294866</v>
      </c>
      <c r="Q60" s="4" t="n">
        <v>276439146727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  <c r="J61" s="4" t="n">
        <v>924071397812</v>
      </c>
      <c r="K61" s="4" t="n">
        <v>1034444152158</v>
      </c>
      <c r="L61" s="4" t="n">
        <v>723153368225</v>
      </c>
      <c r="M61" s="4" t="n">
        <v>924601385570</v>
      </c>
      <c r="N61" s="4" t="n">
        <v>1075821017268</v>
      </c>
      <c r="O61" s="4" t="n">
        <v>1331638783393</v>
      </c>
      <c r="P61" s="4" t="n">
        <v>964201158078</v>
      </c>
      <c r="Q61" s="4" t="n">
        <v>1238907799599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  <c r="J62" s="4" t="n">
        <v>245786378379</v>
      </c>
      <c r="K62" s="4" t="n">
        <v>194907134412</v>
      </c>
      <c r="L62" s="4" t="n">
        <v>255874235066</v>
      </c>
      <c r="M62" s="4" t="n">
        <v>293636500952</v>
      </c>
      <c r="N62" s="4" t="n">
        <v>352661454957</v>
      </c>
      <c r="O62" s="4" t="n">
        <v>281753290017</v>
      </c>
      <c r="P62" s="4" t="n">
        <v>398978870697</v>
      </c>
      <c r="Q62" s="4" t="n">
        <v>389035384115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  <c r="J65" s="4" t="n">
        <v>109973552788</v>
      </c>
      <c r="K65" s="4" t="n">
        <v>89015814529</v>
      </c>
      <c r="L65" s="4" t="n">
        <v>104862055135</v>
      </c>
      <c r="M65" s="4" t="n">
        <v>109115708153</v>
      </c>
      <c r="N65" s="4" t="n">
        <v>99294113156</v>
      </c>
      <c r="O65" s="4" t="n">
        <v>94765132430</v>
      </c>
      <c r="P65" s="4" t="n">
        <v>93587802787</v>
      </c>
      <c r="Q65" s="4" t="n">
        <v>86608157853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  <c r="J66" s="4" t="n">
        <v>18009331827</v>
      </c>
      <c r="K66" s="4" t="n">
        <v>2956037244</v>
      </c>
      <c r="L66" s="4" t="n">
        <v>3325443618</v>
      </c>
      <c r="M66" s="4" t="n">
        <v>3534107005</v>
      </c>
      <c r="N66" s="4" t="n">
        <v>5095928617</v>
      </c>
      <c r="O66" s="4" t="n">
        <v>5828163047</v>
      </c>
      <c r="P66" s="4" t="n">
        <v>5908658518</v>
      </c>
      <c r="Q66" s="4" t="n">
        <v>6244744105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  <c r="J67" s="4" t="n">
        <v>677497597</v>
      </c>
      <c r="K67" s="4" t="n">
        <v>5733824194</v>
      </c>
      <c r="L67" s="4" t="n">
        <v>5733824194</v>
      </c>
      <c r="M67" s="4" t="n">
        <v>5733824194</v>
      </c>
      <c r="N67" s="4" t="n">
        <v>5733824194</v>
      </c>
      <c r="O67" s="4" t="n">
        <v>8178120854</v>
      </c>
      <c r="P67" s="4" t="n">
        <v>8178120854</v>
      </c>
      <c r="Q67" s="4" t="n">
        <v>7357899854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  <c r="J68" s="4" t="n">
        <v>549602586</v>
      </c>
      <c r="K68" s="4" t="n">
        <v>553181844</v>
      </c>
      <c r="L68" s="4" t="n">
        <v>553181844</v>
      </c>
      <c r="M68" s="4" t="n">
        <v>553181844</v>
      </c>
      <c r="N68" s="4" t="n">
        <v>538181844</v>
      </c>
      <c r="O68" s="4" t="n">
        <v>691181844</v>
      </c>
      <c r="P68" s="4" t="n">
        <v>691181844</v>
      </c>
      <c r="Q68" s="4" t="n">
        <v>709031844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  <c r="J71" s="4" t="n">
        <v>534700000</v>
      </c>
      <c r="K71" s="4" t="n">
        <v>521500000</v>
      </c>
      <c r="L71" s="4" t="n">
        <v>521500000</v>
      </c>
      <c r="M71" s="4" t="n">
        <v>521500000</v>
      </c>
      <c r="N71" s="4" t="n">
        <v>506500000</v>
      </c>
      <c r="O71" s="4" t="n">
        <v>659500000</v>
      </c>
      <c r="P71" s="4" t="n">
        <v>659500000</v>
      </c>
      <c r="Q71" s="4" t="n">
        <v>677350000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  <c r="J78" s="4" t="n">
        <v>1991008429872</v>
      </c>
      <c r="K78" s="4" t="n">
        <v>2119813714328</v>
      </c>
      <c r="L78" s="4" t="n">
        <v>2332597319875</v>
      </c>
      <c r="M78" s="4" t="n">
        <v>3377096382480</v>
      </c>
      <c r="N78" s="4" t="n">
        <v>3642976805227</v>
      </c>
      <c r="O78" s="4" t="n">
        <v>5139070693233</v>
      </c>
      <c r="P78" s="4" t="n">
        <v>5513873186690</v>
      </c>
      <c r="Q78" s="4" t="n">
        <v>5964413550236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  <c r="J79" s="4" t="n">
        <v>1991008429872</v>
      </c>
      <c r="K79" s="4" t="n">
        <v>2119813714328</v>
      </c>
      <c r="L79" s="4" t="n">
        <v>2332597319875</v>
      </c>
      <c r="M79" s="4" t="n">
        <v>3377096382480</v>
      </c>
      <c r="N79" s="4" t="n">
        <v>3642976805227</v>
      </c>
      <c r="O79" s="4" t="n">
        <v>5139070693233</v>
      </c>
      <c r="P79" s="4" t="n">
        <v>5513873186690</v>
      </c>
      <c r="Q79" s="4" t="n">
        <v>5964413550236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  <c r="J80" s="4" t="n">
        <v>1362423890000</v>
      </c>
      <c r="K80" s="4" t="n">
        <v>1362423890000</v>
      </c>
      <c r="L80" s="4" t="n">
        <v>1362423890000</v>
      </c>
      <c r="M80" s="4" t="n">
        <v>1362423890000</v>
      </c>
      <c r="N80" s="4" t="n">
        <v>1703017850000</v>
      </c>
      <c r="O80" s="4" t="n">
        <v>1703017850000</v>
      </c>
      <c r="P80" s="4" t="n">
        <v>1703017850000</v>
      </c>
      <c r="Q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85132690000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  <c r="J89" s="4" t="n">
        <v>443344414377</v>
      </c>
      <c r="K89" s="4" t="n">
        <v>549386390157</v>
      </c>
      <c r="L89" s="4" t="n">
        <v>717349159437</v>
      </c>
      <c r="M89" s="4" t="n">
        <v>1504051375148</v>
      </c>
      <c r="N89" s="4" t="n">
        <v>1382190852017</v>
      </c>
      <c r="O89" s="4" t="n">
        <v>2468442850502</v>
      </c>
      <c r="P89" s="4" t="n">
        <v>2755970958238</v>
      </c>
      <c r="Q89" s="4" t="n">
        <v>3012327369712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  <c r="J95" s="4" t="n">
        <v>14474751560225</v>
      </c>
      <c r="K95" s="4" t="n">
        <v>15832550399101</v>
      </c>
      <c r="L95" s="4" t="n">
        <v>16636134734454</v>
      </c>
      <c r="M95" s="4" t="n">
        <v>18326764655996</v>
      </c>
      <c r="N95" s="4" t="n">
        <v>19701862827575</v>
      </c>
      <c r="O95" s="4" t="n">
        <v>23714236170376</v>
      </c>
      <c r="P95" s="4" t="n">
        <v>26027165690888</v>
      </c>
      <c r="Q95" s="4" t="n">
        <v>27261459573161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  <c r="J104" s="4" t="n">
        <v>0</v>
      </c>
      <c r="K104" s="4" t="n">
        <v>8230000000</v>
      </c>
      <c r="L104" s="4" t="n">
        <v>0</v>
      </c>
      <c r="M104" s="4" t="n">
        <v>0</v>
      </c>
      <c r="N104" s="4" t="n">
        <v>0</v>
      </c>
      <c r="O104" s="4" t="n">
        <v>1411954000</v>
      </c>
      <c r="P104" s="4" t="n">
        <v>1411954000</v>
      </c>
      <c r="Q104" s="4" t="n">
        <v>30215274083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  <c r="J108" s="4" t="n">
        <v>203899416839</v>
      </c>
      <c r="K108" s="4" t="n">
        <v>219923436590</v>
      </c>
      <c r="L108" s="4" t="n">
        <v>265975680705</v>
      </c>
      <c r="M108" s="4" t="n">
        <v>307496662981</v>
      </c>
      <c r="N108" s="4" t="n">
        <v>408878484661</v>
      </c>
      <c r="O108" s="4" t="n">
        <v>498506024698</v>
      </c>
      <c r="P108" s="4" t="n">
        <v>552359662263</v>
      </c>
      <c r="Q108" s="4" t="n">
        <v>624739069610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  <c r="J116" s="4" t="n">
        <v>1362423890000</v>
      </c>
      <c r="K116" s="4" t="n">
        <v>1362423890000</v>
      </c>
      <c r="L116" s="4" t="n">
        <v>1362423890000</v>
      </c>
      <c r="M116" s="4" t="n">
        <v>1362423890000</v>
      </c>
      <c r="N116" s="4" t="n">
        <v>1703017850000</v>
      </c>
      <c r="O116" s="4" t="n">
        <v>1703017850000</v>
      </c>
      <c r="P116" s="4" t="n">
        <v>1703017850000</v>
      </c>
      <c r="Q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  <c r="J118" s="4" t="n">
        <v>236975520956</v>
      </c>
      <c r="K118" s="4" t="n">
        <v>236975520956</v>
      </c>
      <c r="L118" s="4" t="n">
        <v>549386390157</v>
      </c>
      <c r="M118" s="4" t="n">
        <v>549386390157</v>
      </c>
      <c r="N118" s="4" t="n">
        <v>203539452686</v>
      </c>
      <c r="O118" s="4" t="n">
        <v>197121393961</v>
      </c>
      <c r="P118" s="4" t="n">
        <v>2468463255515</v>
      </c>
      <c r="Q118" s="4" t="n">
        <v>2383330565515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  <c r="J119" s="4" t="n">
        <v>206368893421</v>
      </c>
      <c r="K119" s="4" t="n">
        <v>312410869201</v>
      </c>
      <c r="L119" s="4" t="n">
        <v>167962769280</v>
      </c>
      <c r="M119" s="4" t="n">
        <v>954664984991</v>
      </c>
      <c r="N119" s="4" t="n">
        <v>1178651399331</v>
      </c>
      <c r="O119" s="4" t="n">
        <v>2271321456541</v>
      </c>
      <c r="P119" s="4" t="n">
        <v>287507702723</v>
      </c>
      <c r="Q119" s="4" t="n">
        <v>628996804197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  <c r="J120" s="4" t="n">
        <v>0</v>
      </c>
      <c r="K120" s="4" t="n">
        <v>8230000000</v>
      </c>
      <c r="L120" s="4" t="n">
        <v>0</v>
      </c>
      <c r="M120" s="4" t="n">
        <v>0</v>
      </c>
      <c r="N120" s="4" t="n">
        <v>0</v>
      </c>
      <c r="O120" s="4" t="n">
        <v>1411954000</v>
      </c>
      <c r="P120" s="4" t="n">
        <v>1411954000</v>
      </c>
      <c r="Q120" s="4" t="n">
        <v>30215274083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  <c r="J122" s="4" t="n">
        <v>185240125495</v>
      </c>
      <c r="K122" s="4" t="n">
        <v>208003434171</v>
      </c>
      <c r="L122" s="4" t="n">
        <v>252824270438</v>
      </c>
      <c r="M122" s="4" t="n">
        <v>510621117332</v>
      </c>
      <c r="N122" s="4" t="n">
        <v>557768103210</v>
      </c>
      <c r="O122" s="4" t="n">
        <v>967609992731</v>
      </c>
      <c r="P122" s="4" t="n">
        <v>1054884378452</v>
      </c>
      <c r="Q122" s="4" t="n">
        <v>1163935640524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  <c r="J2" s="4" t="n">
        <v>10409521466747</v>
      </c>
      <c r="K2" s="4" t="n">
        <v>11492340452585</v>
      </c>
      <c r="L2" s="4" t="n">
        <v>11699603508367</v>
      </c>
      <c r="M2" s="4" t="n">
        <v>11425724005809</v>
      </c>
      <c r="N2" s="4" t="n">
        <v>13147235158901</v>
      </c>
      <c r="O2" s="4" t="n">
        <v>14959486967490</v>
      </c>
      <c r="P2" s="4" t="n">
        <v>15161533505512</v>
      </c>
      <c r="Q2" s="4" t="n">
        <v>15672972277033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  <c r="J3" s="4" t="n">
        <v>-33842435041</v>
      </c>
      <c r="K3" s="4" t="n">
        <v>-44692302663</v>
      </c>
      <c r="L3" s="4" t="n">
        <v>-29758054020</v>
      </c>
      <c r="M3" s="4" t="n">
        <v>-35379342822</v>
      </c>
      <c r="N3" s="4" t="n">
        <v>-37318397949</v>
      </c>
      <c r="O3" s="4" t="n">
        <v>-46725401008</v>
      </c>
      <c r="P3" s="4" t="n">
        <v>-44624414782</v>
      </c>
      <c r="Q3" s="4" t="n">
        <v>-46972007451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  <c r="J4" s="4" t="n">
        <v>10375679031706</v>
      </c>
      <c r="K4" s="4" t="n">
        <v>11447648149922</v>
      </c>
      <c r="L4" s="4" t="n">
        <v>11669845454347</v>
      </c>
      <c r="M4" s="4" t="n">
        <v>11390344662987</v>
      </c>
      <c r="N4" s="4" t="n">
        <v>13109916760952</v>
      </c>
      <c r="O4" s="4" t="n">
        <v>14912761566482</v>
      </c>
      <c r="P4" s="4" t="n">
        <v>15116909090730</v>
      </c>
      <c r="Q4" s="4" t="n">
        <v>15626000269582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  <c r="J5" s="4" t="n">
        <v>-8485409054180</v>
      </c>
      <c r="K5" s="4" t="n">
        <v>-9373187059702</v>
      </c>
      <c r="L5" s="4" t="n">
        <v>-9345344170911</v>
      </c>
      <c r="M5" s="4" t="n">
        <v>-9119245339487</v>
      </c>
      <c r="N5" s="4" t="n">
        <v>-10570480925388</v>
      </c>
      <c r="O5" s="4" t="n">
        <v>-12038093550897</v>
      </c>
      <c r="P5" s="4" t="n">
        <v>-12121981259843</v>
      </c>
      <c r="Q5" s="4" t="n">
        <v>-12465247611789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  <c r="J6" s="4" t="n">
        <v>1890269977526</v>
      </c>
      <c r="K6" s="4" t="n">
        <v>2074461090220</v>
      </c>
      <c r="L6" s="4" t="n">
        <v>2324501283436</v>
      </c>
      <c r="M6" s="4" t="n">
        <v>2271099323500</v>
      </c>
      <c r="N6" s="4" t="n">
        <v>2539435835564</v>
      </c>
      <c r="O6" s="4" t="n">
        <v>2874668015585</v>
      </c>
      <c r="P6" s="4" t="n">
        <v>2994927830887</v>
      </c>
      <c r="Q6" s="4" t="n">
        <v>3160752657793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  <c r="J7" s="4" t="n">
        <v>26144077215</v>
      </c>
      <c r="K7" s="4" t="n">
        <v>36297974502</v>
      </c>
      <c r="L7" s="4" t="n">
        <v>37867028926</v>
      </c>
      <c r="M7" s="4" t="n">
        <v>62203017431</v>
      </c>
      <c r="N7" s="4" t="n">
        <v>83164889763</v>
      </c>
      <c r="O7" s="4" t="n">
        <v>104529805659</v>
      </c>
      <c r="P7" s="4" t="n">
        <v>141720888275</v>
      </c>
      <c r="Q7" s="4" t="n">
        <v>170881500481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  <c r="J8" s="4" t="n">
        <v>-59533018577</v>
      </c>
      <c r="K8" s="4" t="n">
        <v>-78945085083</v>
      </c>
      <c r="L8" s="4" t="n">
        <v>-88652946810</v>
      </c>
      <c r="M8" s="4" t="n">
        <v>-93661543757</v>
      </c>
      <c r="N8" s="4" t="n">
        <v>-99878828439</v>
      </c>
      <c r="O8" s="4" t="n">
        <v>-106489868745</v>
      </c>
      <c r="P8" s="4" t="n">
        <v>-149784564806</v>
      </c>
      <c r="Q8" s="4" t="n">
        <v>-210504623826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  <c r="J9" s="4" t="n">
        <v>-59532523977</v>
      </c>
      <c r="K9" s="4" t="n">
        <v>-78887852765</v>
      </c>
      <c r="L9" s="4" t="n">
        <v>-88583551190</v>
      </c>
      <c r="M9" s="4" t="n">
        <v>-93659853494</v>
      </c>
      <c r="N9" s="4" t="n">
        <v>-99878724220</v>
      </c>
      <c r="O9" s="4" t="n">
        <v>-106473793465</v>
      </c>
      <c r="P9" s="4" t="n">
        <v>-149775192055</v>
      </c>
      <c r="Q9" s="4" t="n">
        <v>-210142043503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  <c r="J10" s="4" t="n">
        <v>-1319828226072</v>
      </c>
      <c r="K10" s="4" t="n">
        <v>-1465138634655</v>
      </c>
      <c r="L10" s="4" t="n">
        <v>-1588176219469</v>
      </c>
      <c r="M10" s="4" t="n">
        <v>-1660264728160</v>
      </c>
      <c r="N10" s="4" t="n">
        <v>-1789875275186</v>
      </c>
      <c r="O10" s="4" t="n">
        <v>-1979890023211</v>
      </c>
      <c r="P10" s="4" t="n">
        <v>-1998431032175</v>
      </c>
      <c r="Q10" s="4" t="n">
        <v>-2115263328605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  <c r="J11" s="4" t="n">
        <v>-337801765639</v>
      </c>
      <c r="K11" s="4" t="n">
        <v>-405398867143</v>
      </c>
      <c r="L11" s="4" t="n">
        <v>-418474686684</v>
      </c>
      <c r="M11" s="4" t="n">
        <v>-373675482496</v>
      </c>
      <c r="N11" s="4" t="n">
        <v>-410557487570</v>
      </c>
      <c r="O11" s="4" t="n">
        <v>-475036963022</v>
      </c>
      <c r="P11" s="4" t="n">
        <v>-522133726412</v>
      </c>
      <c r="Q11" s="4" t="n">
        <v>-447031646793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  <c r="J12" s="4" t="n">
        <v>199251044453</v>
      </c>
      <c r="K12" s="4" t="n">
        <v>161276477841</v>
      </c>
      <c r="L12" s="4" t="n">
        <v>267064459399</v>
      </c>
      <c r="M12" s="4" t="n">
        <v>205700586518</v>
      </c>
      <c r="N12" s="4" t="n">
        <v>322289134132</v>
      </c>
      <c r="O12" s="4" t="n">
        <v>417780966266</v>
      </c>
      <c r="P12" s="4" t="n">
        <v>466299395769</v>
      </c>
      <c r="Q12" s="4" t="n">
        <v>558834559050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  <c r="J13" s="4" t="n">
        <v>5361124034</v>
      </c>
      <c r="K13" s="4" t="n">
        <v>10764824070</v>
      </c>
      <c r="L13" s="4" t="n">
        <v>7461749902</v>
      </c>
      <c r="M13" s="4" t="n">
        <v>8659769799</v>
      </c>
      <c r="N13" s="4" t="n">
        <v>7226887930</v>
      </c>
      <c r="O13" s="4" t="n">
        <v>6564285067</v>
      </c>
      <c r="P13" s="4" t="n">
        <v>8730304378</v>
      </c>
      <c r="Q13" s="4" t="n">
        <v>14764077715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  <c r="J14" s="4" t="n">
        <v>-7528688976</v>
      </c>
      <c r="K14" s="4" t="n">
        <v>-2693453413</v>
      </c>
      <c r="L14" s="4" t="n">
        <v>-2014778745</v>
      </c>
      <c r="M14" s="4" t="n">
        <v>-7695042495</v>
      </c>
      <c r="N14" s="4" t="n">
        <v>-4590414082</v>
      </c>
      <c r="O14" s="4" t="n">
        <v>-9330101018</v>
      </c>
      <c r="P14" s="4" t="n">
        <v>-3400739729</v>
      </c>
      <c r="Q14" s="4" t="n">
        <v>-7120949764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  <c r="J15" s="4" t="n">
        <v>-2167564942</v>
      </c>
      <c r="K15" s="4" t="n">
        <v>8071370657</v>
      </c>
      <c r="L15" s="4" t="n">
        <v>5446971157</v>
      </c>
      <c r="M15" s="4" t="n">
        <v>964727304</v>
      </c>
      <c r="N15" s="4" t="n">
        <v>2636473848</v>
      </c>
      <c r="O15" s="4" t="n">
        <v>-2765815951</v>
      </c>
      <c r="P15" s="4" t="n">
        <v>5329564649</v>
      </c>
      <c r="Q15" s="4" t="n">
        <v>7643127951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  <c r="J17" s="4" t="n">
        <v>197083479511</v>
      </c>
      <c r="K17" s="4" t="n">
        <v>169347848498</v>
      </c>
      <c r="L17" s="4" t="n">
        <v>272511430556</v>
      </c>
      <c r="M17" s="4" t="n">
        <v>206665313822</v>
      </c>
      <c r="N17" s="4" t="n">
        <v>324925607980</v>
      </c>
      <c r="O17" s="4" t="n">
        <v>415015150315</v>
      </c>
      <c r="P17" s="4" t="n">
        <v>471628960418</v>
      </c>
      <c r="Q17" s="4" t="n">
        <v>566477687001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  <c r="J18" s="4" t="n">
        <v>-31670383931</v>
      </c>
      <c r="K18" s="4" t="n">
        <v>-35469458186</v>
      </c>
      <c r="L18" s="4" t="n">
        <v>-59727825009</v>
      </c>
      <c r="M18" s="4" t="n">
        <v>-49425883846</v>
      </c>
      <c r="N18" s="4" t="n">
        <v>-59045185233</v>
      </c>
      <c r="O18" s="4" t="n">
        <v>-66678881511</v>
      </c>
      <c r="P18" s="4" t="n">
        <v>-97029639776</v>
      </c>
      <c r="Q18" s="4" t="n">
        <v>-115937323454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  <c r="J19" s="4" t="n">
        <v>0</v>
      </c>
      <c r="K19" s="4" t="n">
        <v>-16779258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  <c r="J20" s="4" t="n">
        <v>-31670383931</v>
      </c>
      <c r="K20" s="4" t="n">
        <v>-35486237444</v>
      </c>
      <c r="L20" s="4" t="n">
        <v>-59727825009</v>
      </c>
      <c r="M20" s="4" t="n">
        <v>-49425883846</v>
      </c>
      <c r="N20" s="4" t="n">
        <v>-59045185233</v>
      </c>
      <c r="O20" s="4" t="n">
        <v>-66678881511</v>
      </c>
      <c r="P20" s="4" t="n">
        <v>-97029639776</v>
      </c>
      <c r="Q20" s="4" t="n">
        <v>-115937323454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  <c r="J21" s="4" t="n">
        <v>165413095580</v>
      </c>
      <c r="K21" s="4" t="n">
        <v>133861611054</v>
      </c>
      <c r="L21" s="4" t="n">
        <v>212783605547</v>
      </c>
      <c r="M21" s="4" t="n">
        <v>157239429976</v>
      </c>
      <c r="N21" s="4" t="n">
        <v>265880422747</v>
      </c>
      <c r="O21" s="4" t="n">
        <v>348336268804</v>
      </c>
      <c r="P21" s="4" t="n">
        <v>374599320642</v>
      </c>
      <c r="Q21" s="4" t="n">
        <v>450540363547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  <c r="J22" s="4" t="n">
        <v>24502155052</v>
      </c>
      <c r="K22" s="4" t="n">
        <v>22763308676</v>
      </c>
      <c r="L22" s="4" t="n">
        <v>44820836265</v>
      </c>
      <c r="M22" s="4" t="n">
        <v>38581783525</v>
      </c>
      <c r="N22" s="4" t="n">
        <v>47146985879</v>
      </c>
      <c r="O22" s="4" t="n">
        <v>58825177854</v>
      </c>
      <c r="P22" s="4" t="n">
        <v>87247428297</v>
      </c>
      <c r="Q22" s="4" t="n">
        <v>109051262073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  <c r="J23" s="4" t="n">
        <v>140910940528</v>
      </c>
      <c r="K23" s="4" t="n">
        <v>111098302378</v>
      </c>
      <c r="L23" s="4" t="n">
        <v>167962769282</v>
      </c>
      <c r="M23" s="4" t="n">
        <v>118657646451</v>
      </c>
      <c r="N23" s="4" t="n">
        <v>218733436868</v>
      </c>
      <c r="O23" s="4" t="n">
        <v>289511090950</v>
      </c>
      <c r="P23" s="4" t="n">
        <v>287351892345</v>
      </c>
      <c r="Q23" s="4" t="n">
        <v>341489101474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  <c r="J24" s="4" t="n">
        <v>1034</v>
      </c>
      <c r="K24" s="4" t="n">
        <v>778</v>
      </c>
      <c r="L24" s="4" t="n">
        <v>1233</v>
      </c>
      <c r="M24" s="4" t="n">
        <v>450</v>
      </c>
      <c r="N24" s="4" t="n">
        <v>1284</v>
      </c>
      <c r="O24" s="4" t="n">
        <v>1686</v>
      </c>
      <c r="P24" s="4" t="n">
        <v>1687</v>
      </c>
      <c r="Q24" s="4" t="n">
        <v>1830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  <c r="J25" s="4" t="n">
        <v>0</v>
      </c>
      <c r="K25" s="4" t="n">
        <v>778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  <c r="J2" s="4" t="n">
        <v>197083479511</v>
      </c>
      <c r="K2" s="4" t="n">
        <v>169347848498</v>
      </c>
      <c r="L2" s="4" t="n">
        <v>272511430556</v>
      </c>
      <c r="M2" s="4" t="n">
        <v>206665313822</v>
      </c>
      <c r="N2" s="4" t="n">
        <v>324925607980</v>
      </c>
      <c r="O2" s="4" t="n">
        <v>415015150315</v>
      </c>
      <c r="P2" s="4" t="n">
        <v>471628960418</v>
      </c>
      <c r="Q2" s="4" t="n">
        <v>566477687001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  <c r="J3" s="4" t="n">
        <v>81316402815</v>
      </c>
      <c r="K3" s="4" t="n">
        <v>86713061195</v>
      </c>
      <c r="L3" s="4" t="n">
        <v>90395945451</v>
      </c>
      <c r="M3" s="4" t="n">
        <v>98223024460</v>
      </c>
      <c r="N3" s="4" t="n">
        <v>104436119656</v>
      </c>
      <c r="O3" s="4" t="n">
        <v>109501928657</v>
      </c>
      <c r="P3" s="4" t="n">
        <v>114347544883</v>
      </c>
      <c r="Q3" s="4" t="n">
        <v>118258919203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  <c r="J4" s="4" t="n">
        <v>10409722490</v>
      </c>
      <c r="K4" s="4" t="n">
        <v>-8682211472</v>
      </c>
      <c r="L4" s="4" t="n">
        <v>3429220153</v>
      </c>
      <c r="M4" s="4" t="n">
        <v>3730966911</v>
      </c>
      <c r="N4" s="4" t="n">
        <v>17685797063</v>
      </c>
      <c r="O4" s="4" t="n">
        <v>7165015645</v>
      </c>
      <c r="P4" s="4" t="n">
        <v>15900220165</v>
      </c>
      <c r="Q4" s="4" t="n">
        <v>-2668657999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  <c r="J5" s="4" t="n">
        <v>5491236</v>
      </c>
      <c r="K5" s="4" t="n">
        <v>-40536768</v>
      </c>
      <c r="L5" s="4" t="n">
        <v>-129066942</v>
      </c>
      <c r="M5" s="4" t="n">
        <v>-46750455</v>
      </c>
      <c r="N5" s="4" t="n">
        <v>56077594</v>
      </c>
      <c r="O5" s="4" t="n">
        <v>99378908</v>
      </c>
      <c r="P5" s="4" t="n">
        <v>-146870457</v>
      </c>
      <c r="Q5" s="4" t="n">
        <v>11661356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  <c r="J7" s="4" t="n">
        <v>-20380346397</v>
      </c>
      <c r="K7" s="4" t="n">
        <v>-33770916325</v>
      </c>
      <c r="L7" s="4" t="n">
        <v>-34901630459</v>
      </c>
      <c r="M7" s="4" t="n">
        <v>-57924339258</v>
      </c>
      <c r="N7" s="4" t="n">
        <v>-76567563598</v>
      </c>
      <c r="O7" s="4" t="n">
        <v>-98276061158</v>
      </c>
      <c r="P7" s="4" t="n">
        <v>-137835087099</v>
      </c>
      <c r="Q7" s="4" t="n">
        <v>-163467155327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  <c r="J8" s="4" t="n">
        <v>59532523977</v>
      </c>
      <c r="K8" s="4" t="n">
        <v>78887852765</v>
      </c>
      <c r="L8" s="4" t="n">
        <v>88583551190</v>
      </c>
      <c r="M8" s="4" t="n">
        <v>93659853494</v>
      </c>
      <c r="N8" s="4" t="n">
        <v>99878724220</v>
      </c>
      <c r="O8" s="4" t="n">
        <v>106473793465</v>
      </c>
      <c r="P8" s="4" t="n">
        <v>149775192055</v>
      </c>
      <c r="Q8" s="4" t="n">
        <v>210142043503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  <c r="J10" s="4" t="n">
        <v>327967273632</v>
      </c>
      <c r="K10" s="4" t="n">
        <v>292455097893</v>
      </c>
      <c r="L10" s="4" t="n">
        <v>419889449949</v>
      </c>
      <c r="M10" s="4" t="n">
        <v>344308068974</v>
      </c>
      <c r="N10" s="4" t="n">
        <v>470414762915</v>
      </c>
      <c r="O10" s="4" t="n">
        <v>539979205832</v>
      </c>
      <c r="P10" s="4" t="n">
        <v>613669959965</v>
      </c>
      <c r="Q10" s="4" t="n">
        <v>728754497737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  <c r="J11" s="4" t="n">
        <v>92508600348</v>
      </c>
      <c r="K11" s="4" t="n">
        <v>102958116319</v>
      </c>
      <c r="L11" s="4" t="n">
        <v>-105348728280</v>
      </c>
      <c r="M11" s="4" t="n">
        <v>-19298813216</v>
      </c>
      <c r="N11" s="4" t="n">
        <v>-78321226919</v>
      </c>
      <c r="O11" s="4" t="n">
        <v>-86481629005</v>
      </c>
      <c r="P11" s="4" t="n">
        <v>-87211840219</v>
      </c>
      <c r="Q11" s="4" t="n">
        <v>-15615747783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  <c r="J12" s="4" t="n">
        <v>-1331696590827</v>
      </c>
      <c r="K12" s="4" t="n">
        <v>-1123887741364</v>
      </c>
      <c r="L12" s="4" t="n">
        <v>465801683581</v>
      </c>
      <c r="M12" s="4" t="n">
        <v>86090389652</v>
      </c>
      <c r="N12" s="4" t="n">
        <v>-848910288430</v>
      </c>
      <c r="O12" s="4" t="n">
        <v>-1424113139430</v>
      </c>
      <c r="P12" s="4" t="n">
        <v>-2537001492267</v>
      </c>
      <c r="Q12" s="4" t="n">
        <v>-457298510865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  <c r="J13" s="4" t="n">
        <v>772687797892</v>
      </c>
      <c r="K13" s="4" t="n">
        <v>-294241941063</v>
      </c>
      <c r="L13" s="4" t="n">
        <v>547266499639</v>
      </c>
      <c r="M13" s="4" t="n">
        <v>195571512143</v>
      </c>
      <c r="N13" s="4" t="n">
        <v>1429960633124</v>
      </c>
      <c r="O13" s="4" t="n">
        <v>1316188759209</v>
      </c>
      <c r="P13" s="4" t="n">
        <v>-285422569358</v>
      </c>
      <c r="Q13" s="4" t="n">
        <v>-30800014792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  <c r="J14" s="4" t="n">
        <v>-11720657737</v>
      </c>
      <c r="K14" s="4" t="n">
        <v>-25613064952</v>
      </c>
      <c r="L14" s="4" t="n">
        <v>18885705987</v>
      </c>
      <c r="M14" s="4" t="n">
        <v>-2928251450</v>
      </c>
      <c r="N14" s="4" t="n">
        <v>19161529847</v>
      </c>
      <c r="O14" s="4" t="n">
        <v>-33438642347</v>
      </c>
      <c r="P14" s="4" t="n">
        <v>38463671769</v>
      </c>
      <c r="Q14" s="4" t="n">
        <v>-10748774019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  <c r="J15" s="4" t="n">
        <v>-54319146180</v>
      </c>
      <c r="K15" s="4" t="n">
        <v>-61768558598</v>
      </c>
      <c r="L15" s="4" t="n">
        <v>-89769345643</v>
      </c>
      <c r="M15" s="4" t="n">
        <v>-106430051275</v>
      </c>
      <c r="N15" s="4" t="n">
        <v>-87425715010</v>
      </c>
      <c r="O15" s="4" t="n">
        <v>-109584595657</v>
      </c>
      <c r="P15" s="4" t="n">
        <v>-117125481157</v>
      </c>
      <c r="Q15" s="4" t="n">
        <v>-204693365183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  <c r="J16" s="4" t="n">
        <v>-1176600</v>
      </c>
      <c r="K16" s="4" t="n">
        <v>0</v>
      </c>
      <c r="L16" s="4" t="n">
        <v>-114141221156</v>
      </c>
      <c r="M16" s="4" t="n">
        <v>0</v>
      </c>
      <c r="N16" s="4" t="n">
        <v>0</v>
      </c>
      <c r="O16" s="4" t="n">
        <v>0</v>
      </c>
      <c r="P16" s="4" t="n">
        <v>-235918541924</v>
      </c>
      <c r="Q16" s="4" t="n">
        <v>0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-820221000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  <c r="J19" s="4" t="n">
        <v>-204573899472</v>
      </c>
      <c r="K19" s="4" t="n">
        <v>-1110098091765</v>
      </c>
      <c r="L19" s="4" t="n">
        <v>1142584044077</v>
      </c>
      <c r="M19" s="4" t="n">
        <v>497312854828</v>
      </c>
      <c r="N19" s="4" t="n">
        <v>904879695527</v>
      </c>
      <c r="O19" s="4" t="n">
        <v>202549958602</v>
      </c>
      <c r="P19" s="4" t="n">
        <v>-2610546293191</v>
      </c>
      <c r="Q19" s="4" t="n">
        <v>8777864095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  <c r="J20" s="4" t="n">
        <v>-137912769334</v>
      </c>
      <c r="K20" s="4" t="n">
        <v>-111235166768</v>
      </c>
      <c r="L20" s="4" t="n">
        <v>-90549909398</v>
      </c>
      <c r="M20" s="4" t="n">
        <v>-165208359562</v>
      </c>
      <c r="N20" s="4" t="n">
        <v>-144944366784</v>
      </c>
      <c r="O20" s="4" t="n">
        <v>-133658496179</v>
      </c>
      <c r="P20" s="4" t="n">
        <v>-96335918133</v>
      </c>
      <c r="Q20" s="4" t="n">
        <v>-151222902027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  <c r="J21" s="4" t="n">
        <v>17620000</v>
      </c>
      <c r="K21" s="4" t="n">
        <v>600000</v>
      </c>
      <c r="L21" s="4" t="n">
        <v>1900000</v>
      </c>
      <c r="M21" s="4" t="n">
        <v>0</v>
      </c>
      <c r="N21" s="4" t="n">
        <v>8250000</v>
      </c>
      <c r="O21" s="4" t="n">
        <v>0</v>
      </c>
      <c r="P21" s="4" t="n">
        <v>87962963</v>
      </c>
      <c r="Q21" s="4" t="n">
        <v>350000000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  <c r="J22" s="4" t="n">
        <v>-540000000000</v>
      </c>
      <c r="K22" s="4" t="n">
        <v>-496000000000</v>
      </c>
      <c r="L22" s="4" t="n">
        <v>-405000000000</v>
      </c>
      <c r="M22" s="4" t="n">
        <v>-3165000000000</v>
      </c>
      <c r="N22" s="4" t="n">
        <v>-2083000000000</v>
      </c>
      <c r="O22" s="4" t="n">
        <v>-3948000000000</v>
      </c>
      <c r="P22" s="4" t="n">
        <v>-3769000000000</v>
      </c>
      <c r="Q22" s="4" t="n">
        <v>-4879000000000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  <c r="J23" s="4" t="n">
        <v>1164000000000</v>
      </c>
      <c r="K23" s="4" t="n">
        <v>136000000000</v>
      </c>
      <c r="L23" s="4" t="n">
        <v>510000000000</v>
      </c>
      <c r="M23" s="4" t="n">
        <v>476000000000</v>
      </c>
      <c r="N23" s="4" t="n">
        <v>465000000000</v>
      </c>
      <c r="O23" s="4" t="n">
        <v>3207000000000</v>
      </c>
      <c r="P23" s="4" t="n">
        <v>1851000000000</v>
      </c>
      <c r="Q23" s="4" t="n">
        <v>4078000000000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  <c r="J26" s="4" t="n">
        <v>33267473976</v>
      </c>
      <c r="K26" s="4" t="n">
        <v>25392483955</v>
      </c>
      <c r="L26" s="4" t="n">
        <v>37405421417</v>
      </c>
      <c r="M26" s="4" t="n">
        <v>46981549819</v>
      </c>
      <c r="N26" s="4" t="n">
        <v>31578340958</v>
      </c>
      <c r="O26" s="4" t="n">
        <v>97483260199</v>
      </c>
      <c r="P26" s="4" t="n">
        <v>69786434566</v>
      </c>
      <c r="Q26" s="4" t="n">
        <v>161108609631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  <c r="J27" s="4" t="n">
        <v>519372324642</v>
      </c>
      <c r="K27" s="4" t="n">
        <v>-445842082813</v>
      </c>
      <c r="L27" s="4" t="n">
        <v>51857412019</v>
      </c>
      <c r="M27" s="4" t="n">
        <v>-2807226809743</v>
      </c>
      <c r="N27" s="4" t="n">
        <v>-1731357775826</v>
      </c>
      <c r="O27" s="4" t="n">
        <v>-777175235980</v>
      </c>
      <c r="P27" s="4" t="n">
        <v>-1944461520604</v>
      </c>
      <c r="Q27" s="4" t="n">
        <v>-790764292396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  <c r="J28" s="4" t="n">
        <v>51569080000</v>
      </c>
      <c r="K28" s="4" t="n">
        <v>0</v>
      </c>
      <c r="L28" s="4" t="n">
        <v>0</v>
      </c>
      <c r="M28" s="4" t="n">
        <v>0</v>
      </c>
      <c r="N28" s="4" t="n">
        <v>887259632629</v>
      </c>
      <c r="O28" s="4" t="n">
        <v>1150201915862</v>
      </c>
      <c r="P28" s="4" t="n">
        <v>0</v>
      </c>
      <c r="Q28" s="4" t="n">
        <v>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887259632629</v>
      </c>
      <c r="N29" s="4" t="n">
        <v>-887259632629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  <c r="J30" s="4" t="n">
        <v>4621739599392</v>
      </c>
      <c r="K30" s="4" t="n">
        <v>5790578350745</v>
      </c>
      <c r="L30" s="4" t="n">
        <v>5325472345247</v>
      </c>
      <c r="M30" s="4" t="n">
        <v>5913651358721</v>
      </c>
      <c r="N30" s="4" t="n">
        <v>6028634782407</v>
      </c>
      <c r="O30" s="4" t="n">
        <v>7448647824900</v>
      </c>
      <c r="P30" s="4" t="n">
        <v>8150029182843</v>
      </c>
      <c r="Q30" s="4" t="n">
        <v>7725382179788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  <c r="J31" s="4" t="n">
        <v>-3455075958465</v>
      </c>
      <c r="K31" s="4" t="n">
        <v>-4306504859127</v>
      </c>
      <c r="L31" s="4" t="n">
        <v>-5226708330854</v>
      </c>
      <c r="M31" s="4" t="n">
        <v>-5499958466859</v>
      </c>
      <c r="N31" s="4" t="n">
        <v>-6422093981610</v>
      </c>
      <c r="O31" s="4" t="n">
        <v>-6316487062201</v>
      </c>
      <c r="P31" s="4" t="n">
        <v>-5820119327109</v>
      </c>
      <c r="Q31" s="4" t="n">
        <v>-7031730512630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  <c r="J33" s="4" t="n">
        <v>-54283249510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  <c r="J35" s="4" t="n">
        <v>1163949471417</v>
      </c>
      <c r="K35" s="4" t="n">
        <v>1484073491618</v>
      </c>
      <c r="L35" s="4" t="n">
        <v>98764014393</v>
      </c>
      <c r="M35" s="4" t="n">
        <v>1300952524491</v>
      </c>
      <c r="N35" s="4" t="n">
        <v>-393459199203</v>
      </c>
      <c r="O35" s="4" t="n">
        <v>2282362678561</v>
      </c>
      <c r="P35" s="4" t="n">
        <v>2329909855734</v>
      </c>
      <c r="Q35" s="4" t="n">
        <v>693651667158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  <c r="J36" s="4" t="n">
        <v>1478747896587</v>
      </c>
      <c r="K36" s="4" t="n">
        <v>-71866682960</v>
      </c>
      <c r="L36" s="4" t="n">
        <v>1293205470489</v>
      </c>
      <c r="M36" s="4" t="n">
        <v>-1008961430424</v>
      </c>
      <c r="N36" s="4" t="n">
        <v>-1219937279502</v>
      </c>
      <c r="O36" s="4" t="n">
        <v>1707737401183</v>
      </c>
      <c r="P36" s="4" t="n">
        <v>-2225097958061</v>
      </c>
      <c r="Q36" s="4" t="n">
        <v>-88334761143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  <c r="J37" s="4" t="n">
        <v>690870977829</v>
      </c>
      <c r="K37" s="4" t="n">
        <v>2169613383180</v>
      </c>
      <c r="L37" s="4" t="n">
        <v>2097787236988</v>
      </c>
      <c r="M37" s="4" t="n">
        <v>3391121774419</v>
      </c>
      <c r="N37" s="4" t="n">
        <v>2382207094450</v>
      </c>
      <c r="O37" s="4" t="n">
        <v>1162213737354</v>
      </c>
      <c r="P37" s="4" t="n">
        <v>2869851759629</v>
      </c>
      <c r="Q37" s="4" t="n">
        <v>644900672025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  <c r="J38" s="4" t="n">
        <v>-5491236</v>
      </c>
      <c r="K38" s="4" t="n">
        <v>40536768</v>
      </c>
      <c r="L38" s="4" t="n">
        <v>129066942</v>
      </c>
      <c r="M38" s="4" t="n">
        <v>46750455</v>
      </c>
      <c r="N38" s="4" t="n">
        <v>-56077594</v>
      </c>
      <c r="O38" s="4" t="n">
        <v>-99378908</v>
      </c>
      <c r="P38" s="4" t="n">
        <v>146870457</v>
      </c>
      <c r="Q38" s="4" t="n">
        <v>-11661356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  <c r="J39" s="4" t="n">
        <v>2169613383180</v>
      </c>
      <c r="K39" s="4" t="n">
        <v>2097787236988</v>
      </c>
      <c r="L39" s="4" t="n">
        <v>3391121774419</v>
      </c>
      <c r="M39" s="4" t="n">
        <v>2382207094450</v>
      </c>
      <c r="N39" s="4" t="n">
        <v>1162213737354</v>
      </c>
      <c r="O39" s="4" t="n">
        <v>2869851759629</v>
      </c>
      <c r="P39" s="4" t="n">
        <v>644900672025</v>
      </c>
      <c r="Q39" s="4" t="n">
        <v>556554249526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workbookViewId="0">
      <selection activeCell="A1" sqref="A1"/>
    </sheetView>
  </sheetViews>
  <sheetFormatPr baseColWidth="8" defaultRowHeight="15"/>
  <cols>
    <col width="40.77734375" customWidth="1" min="1" max="1"/>
    <col width="17.21875" customWidth="1" min="2" max="2"/>
    <col width="18.21875" customWidth="1" min="9" max="9"/>
    <col width="20.5546875" customWidth="1" min="10" max="10"/>
    <col width="9" customWidth="1" min="11" max="11"/>
    <col width="8.88671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 t="n">
        <v>6096125000000</v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</row>
    <row r="41">
      <c r="A41" s="15" t="inlineStr">
        <is>
          <t>Lợi ích của cổ đông thiểu số</t>
        </is>
      </c>
      <c r="B41" s="20">
        <f>IFERROR(INDEX(balance_sheet!$B:$I,MATCH("Lợi ích của cổ đông thiểu số",balance_sheet!$A:$A,0),MATCH(B$23,balance_sheet!$B$1:$I$1,0)),"")</f>
        <v/>
      </c>
      <c r="C41" s="20">
        <f>IFERROR(INDEX(balance_sheet!$B:$I,MATCH("Lợi ích của cổ đông thiểu số",balance_sheet!$A:$A,0),MATCH(C$23,balance_sheet!$B$1:$I$1,0)),"")</f>
        <v/>
      </c>
      <c r="D41" s="20">
        <f>IFERROR(INDEX(balance_sheet!$B:$I,MATCH("Lợi ích của cổ đông thiểu số",balance_sheet!$A:$A,0),MATCH(D$23,balance_sheet!$B$1:$I$1,0)),"")</f>
        <v/>
      </c>
      <c r="E41" s="20">
        <f>IFERROR(INDEX(balance_sheet!$B:$I,MATCH("Lợi ích của cổ đông thiểu số",balance_sheet!$A:$A,0),MATCH(E$23,balance_sheet!$B$1:$I$1,0)),"")</f>
        <v/>
      </c>
      <c r="F41" s="20">
        <f>IFERROR(INDEX(balance_sheet!$B:$I,MATCH("Lợi ích của cổ đông thiểu số",balance_sheet!$A:$A,0),MATCH(F$23,balance_sheet!$B$1:$I$1,0)),"")</f>
        <v/>
      </c>
      <c r="G41" s="20">
        <f>IFERROR(INDEX(balance_sheet!$B:$I,MATCH("Lợi ích của cổ đông thiểu số",balance_sheet!$A:$A,0),MATCH(G$23,balance_sheet!$B$1:$I$1,0)),"")</f>
        <v/>
      </c>
      <c r="H41" s="20">
        <f>IFERROR(INDEX(balance_sheet!$B:$I,MATCH("Lợi ích của cổ đông thiểu số",balance_sheet!$A:$A,0),MATCH(H$23,balance_sheet!$B$1:$I$1,0)),"")</f>
        <v/>
      </c>
      <c r="I41" s="20">
        <f>IFERROR(INDEX(balance_sheet!$B:$I,MATCH("Lợi ích của cổ đông thiểu số",balance_sheet!$A:$A,0),MATCH(I$23,balance_sheet!$B$1:$I$1,0)),"")</f>
        <v/>
      </c>
      <c r="J41" s="24" t="n"/>
    </row>
    <row r="42">
      <c r="A42" s="15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25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  <c r="J50" s="20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>
        <f>J50*0.65</f>
        <v/>
      </c>
    </row>
    <row r="53">
      <c r="A53" s="18" t="inlineStr">
        <is>
          <t>LN cổ đông cty mẹ/ LN trước thuế</t>
        </is>
      </c>
      <c r="B53" s="26">
        <f>B52/B50</f>
        <v/>
      </c>
      <c r="C53" s="26">
        <f>C52/C50</f>
        <v/>
      </c>
      <c r="D53" s="26">
        <f>D52/D50</f>
        <v/>
      </c>
      <c r="E53" s="26">
        <f>E52/E50</f>
        <v/>
      </c>
      <c r="F53" s="26">
        <f>F52/F50</f>
        <v/>
      </c>
      <c r="G53" s="26">
        <f>G52/G50</f>
        <v/>
      </c>
      <c r="H53" s="26">
        <f>H52/H50</f>
        <v/>
      </c>
      <c r="I53" s="26">
        <f>I52/I50</f>
        <v/>
      </c>
      <c r="J53" s="27" t="n"/>
    </row>
    <row r="54">
      <c r="A54" s="15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58"/>
    <row r="59"/>
    <row r="60"/>
    <row r="61">
      <c r="A61" s="28" t="inlineStr">
        <is>
          <t>CHỈ SỐ THÊM</t>
        </is>
      </c>
      <c r="B61" s="16" t="n">
        <v>2018</v>
      </c>
      <c r="C61" s="16" t="n">
        <v>2019</v>
      </c>
      <c r="D61" s="16" t="n">
        <v>2020</v>
      </c>
      <c r="E61" s="16" t="n">
        <v>2021</v>
      </c>
      <c r="F61" s="16" t="n">
        <v>2022</v>
      </c>
      <c r="G61" s="16" t="n">
        <v>2023</v>
      </c>
      <c r="H61" s="16" t="n">
        <v>2024</v>
      </c>
      <c r="I61" s="16" t="n">
        <v>2025</v>
      </c>
    </row>
    <row r="62">
      <c r="A62" s="28" t="inlineStr">
        <is>
          <t>Khả năng sinh lời &amp; hiệu quả sử dụng vốn</t>
        </is>
      </c>
      <c r="B62" s="29" t="n"/>
      <c r="C62" s="29" t="n"/>
      <c r="D62" s="29" t="n"/>
      <c r="E62" s="29" t="n"/>
      <c r="F62" s="29" t="n"/>
      <c r="G62" s="29" t="n"/>
      <c r="H62" s="29" t="n"/>
      <c r="I62" s="29" t="n"/>
    </row>
    <row r="63">
      <c r="A63" s="29" t="inlineStr">
        <is>
          <t>ROCE</t>
        </is>
      </c>
      <c r="B63" s="30">
        <f>IFERROR(B$65/(B$31-B$35),"n/a")</f>
        <v/>
      </c>
      <c r="C63" s="30">
        <f>IFERROR(C$65/(C$31-C$35),"n/a")</f>
        <v/>
      </c>
      <c r="D63" s="30">
        <f>IFERROR(D$65/(D$31-D$35),"n/a")</f>
        <v/>
      </c>
      <c r="E63" s="30">
        <f>IFERROR(E$65/(E$31-E$35),"n/a")</f>
        <v/>
      </c>
      <c r="F63" s="30">
        <f>IFERROR(F$65/(F$31-F$35),"n/a")</f>
        <v/>
      </c>
      <c r="G63" s="30">
        <f>IFERROR(G$65/(G$31-G$35),"n/a")</f>
        <v/>
      </c>
      <c r="H63" s="30">
        <f>IFERROR(H$65/(H$31-H$35),"n/a")</f>
        <v/>
      </c>
      <c r="I63" s="30">
        <f>IFERROR(I$65/(I$31-I$35),"n/a")</f>
        <v/>
      </c>
    </row>
    <row r="64">
      <c r="A64" s="29" t="inlineStr">
        <is>
          <t>CROIC</t>
        </is>
      </c>
      <c r="B64" s="30">
        <f>IFERROR(B$69/(B$31-B$35),"n/a")</f>
        <v/>
      </c>
      <c r="C64" s="30">
        <f>IFERROR(C$69/(C$31-C$35),"n/a")</f>
        <v/>
      </c>
      <c r="D64" s="30">
        <f>IFERROR(D$69/(D$31-D$35),"n/a")</f>
        <v/>
      </c>
      <c r="E64" s="30">
        <f>IFERROR(E$69/(E$31-E$35),"n/a")</f>
        <v/>
      </c>
      <c r="F64" s="30">
        <f>IFERROR(F$69/(F$31-F$35),"n/a")</f>
        <v/>
      </c>
      <c r="G64" s="30">
        <f>IFERROR(G$69/(G$31-G$35),"n/a")</f>
        <v/>
      </c>
      <c r="H64" s="30">
        <f>IFERROR(H$69/(H$31-H$35),"n/a")</f>
        <v/>
      </c>
      <c r="I64" s="30">
        <f>IFERROR(I$69/(I$31-I$35),"n/a")</f>
        <v/>
      </c>
    </row>
    <row r="65">
      <c r="A65" s="29" t="inlineStr">
        <is>
          <t>EBIT</t>
        </is>
      </c>
      <c r="B65" s="31">
        <f>IFERROR(B$48+ABS(B$49),"n/a")</f>
        <v/>
      </c>
      <c r="C65" s="31">
        <f>IFERROR(C$48+ABS(C$49),"n/a")</f>
        <v/>
      </c>
      <c r="D65" s="31">
        <f>IFERROR(D$48+ABS(D$49),"n/a")</f>
        <v/>
      </c>
      <c r="E65" s="31">
        <f>IFERROR(E$48+ABS(E$49),"n/a")</f>
        <v/>
      </c>
      <c r="F65" s="31">
        <f>IFERROR(F$48+ABS(F$49),"n/a")</f>
        <v/>
      </c>
      <c r="G65" s="31">
        <f>IFERROR(G$48+ABS(G$49),"n/a")</f>
        <v/>
      </c>
      <c r="H65" s="31">
        <f>IFERROR(H$48+ABS(H$49),"n/a")</f>
        <v/>
      </c>
      <c r="I65" s="31">
        <f>IFERROR(I$48+ABS(I$49),"n/a")</f>
        <v/>
      </c>
    </row>
    <row r="66">
      <c r="A66" s="29" t="inlineStr">
        <is>
          <t>EBIT/DT</t>
        </is>
      </c>
      <c r="B66" s="30">
        <f>IFERROR(B$65/B$43,"n/a")</f>
        <v/>
      </c>
      <c r="C66" s="30">
        <f>IFERROR(C$65/C$43,"n/a")</f>
        <v/>
      </c>
      <c r="D66" s="30">
        <f>IFERROR(D$65/D$43,"n/a")</f>
        <v/>
      </c>
      <c r="E66" s="30">
        <f>IFERROR(E$65/E$43,"n/a")</f>
        <v/>
      </c>
      <c r="F66" s="30">
        <f>IFERROR(F$65/F$43,"n/a")</f>
        <v/>
      </c>
      <c r="G66" s="30">
        <f>IFERROR(G$65/G$43,"n/a")</f>
        <v/>
      </c>
      <c r="H66" s="30">
        <f>IFERROR(H$65/H$43,"n/a")</f>
        <v/>
      </c>
      <c r="I66" s="30">
        <f>IFERROR(I$65/I$43,"n/a")</f>
        <v/>
      </c>
    </row>
    <row r="67">
      <c r="A67" s="29" t="inlineStr">
        <is>
          <t>DT/TS</t>
        </is>
      </c>
      <c r="B67" s="30">
        <f>IFERROR(B$43/B$31,"n/a")</f>
        <v/>
      </c>
      <c r="C67" s="30">
        <f>IFERROR(C$43/C$31,"n/a")</f>
        <v/>
      </c>
      <c r="D67" s="30">
        <f>IFERROR(D$43/D$31,"n/a")</f>
        <v/>
      </c>
      <c r="E67" s="30">
        <f>IFERROR(E$43/E$31,"n/a")</f>
        <v/>
      </c>
      <c r="F67" s="30">
        <f>IFERROR(F$43/F$31,"n/a")</f>
        <v/>
      </c>
      <c r="G67" s="30">
        <f>IFERROR(G$43/G$31,"n/a")</f>
        <v/>
      </c>
      <c r="H67" s="30">
        <f>IFERROR(H$43/H$31,"n/a")</f>
        <v/>
      </c>
      <c r="I67" s="30">
        <f>IFERROR(I$43/I$31,"n/a")</f>
        <v/>
      </c>
    </row>
    <row r="68">
      <c r="A68" s="28" t="inlineStr">
        <is>
          <t>Dòng tiền &amp; tái đầu tư</t>
        </is>
      </c>
      <c r="B68" s="29" t="n"/>
      <c r="C68" s="29" t="n"/>
      <c r="D68" s="29" t="n"/>
      <c r="E68" s="29" t="n"/>
      <c r="F68" s="29" t="n"/>
      <c r="G68" s="29" t="n"/>
      <c r="H68" s="29" t="n"/>
      <c r="I68" s="29" t="n"/>
    </row>
    <row r="69">
      <c r="A69" s="29" t="inlineStr">
        <is>
          <t>FCF</t>
        </is>
      </c>
      <c r="B69" s="31">
        <f>IFERROR(B$57-ABS(B$56),"n/a")</f>
        <v/>
      </c>
      <c r="C69" s="31">
        <f>IFERROR(C$57-ABS(C$56),"n/a")</f>
        <v/>
      </c>
      <c r="D69" s="31">
        <f>IFERROR(D$57-ABS(D$56),"n/a")</f>
        <v/>
      </c>
      <c r="E69" s="31">
        <f>IFERROR(E$57-ABS(E$56),"n/a")</f>
        <v/>
      </c>
      <c r="F69" s="31">
        <f>IFERROR(F$57-ABS(F$56),"n/a")</f>
        <v/>
      </c>
      <c r="G69" s="31">
        <f>IFERROR(G$57-ABS(G$56),"n/a")</f>
        <v/>
      </c>
      <c r="H69" s="31">
        <f>IFERROR(H$57-ABS(H$56),"n/a")</f>
        <v/>
      </c>
      <c r="I69" s="31">
        <f>IFERROR(I$57-ABS(I$56),"n/a")</f>
        <v/>
      </c>
    </row>
    <row r="70">
      <c r="A70" s="29" t="inlineStr">
        <is>
          <t>FCF/DT</t>
        </is>
      </c>
      <c r="B70" s="30">
        <f>IFERROR(B$69/B$43,"n/a")</f>
        <v/>
      </c>
      <c r="C70" s="30">
        <f>IFERROR(C$69/C$43,"n/a")</f>
        <v/>
      </c>
      <c r="D70" s="30">
        <f>IFERROR(D$69/D$43,"n/a")</f>
        <v/>
      </c>
      <c r="E70" s="30">
        <f>IFERROR(E$69/E$43,"n/a")</f>
        <v/>
      </c>
      <c r="F70" s="30">
        <f>IFERROR(F$69/F$43,"n/a")</f>
        <v/>
      </c>
      <c r="G70" s="30">
        <f>IFERROR(G$69/G$43,"n/a")</f>
        <v/>
      </c>
      <c r="H70" s="30">
        <f>IFERROR(H$69/H$43,"n/a")</f>
        <v/>
      </c>
      <c r="I70" s="30">
        <f>IFERROR(I$69/I$43,"n/a")</f>
        <v/>
      </c>
    </row>
    <row r="71">
      <c r="A71" s="29" t="inlineStr">
        <is>
          <t>FCF/Nợ ngắn hạn</t>
        </is>
      </c>
      <c r="B71" s="30">
        <f>IFERROR(B$69/B$35,"n/a")</f>
        <v/>
      </c>
      <c r="C71" s="30">
        <f>IFERROR(C$69/C$35,"n/a")</f>
        <v/>
      </c>
      <c r="D71" s="30">
        <f>IFERROR(D$69/D$35,"n/a")</f>
        <v/>
      </c>
      <c r="E71" s="30">
        <f>IFERROR(E$69/E$35,"n/a")</f>
        <v/>
      </c>
      <c r="F71" s="30">
        <f>IFERROR(F$69/F$35,"n/a")</f>
        <v/>
      </c>
      <c r="G71" s="30">
        <f>IFERROR(G$69/G$35,"n/a")</f>
        <v/>
      </c>
      <c r="H71" s="30">
        <f>IFERROR(H$69/H$35,"n/a")</f>
        <v/>
      </c>
      <c r="I71" s="30">
        <f>IFERROR(I$69/I$35,"n/a")</f>
        <v/>
      </c>
    </row>
    <row r="72">
      <c r="A72" s="29" t="inlineStr">
        <is>
          <t>Capex</t>
        </is>
      </c>
      <c r="B72" s="31">
        <f>IFERROR(ABS(B$56),"n/a")</f>
        <v/>
      </c>
      <c r="C72" s="31">
        <f>IFERROR(ABS(C$56),"n/a")</f>
        <v/>
      </c>
      <c r="D72" s="31">
        <f>IFERROR(ABS(D$56),"n/a")</f>
        <v/>
      </c>
      <c r="E72" s="31">
        <f>IFERROR(ABS(E$56),"n/a")</f>
        <v/>
      </c>
      <c r="F72" s="31">
        <f>IFERROR(ABS(F$56),"n/a")</f>
        <v/>
      </c>
      <c r="G72" s="31">
        <f>IFERROR(ABS(G$56),"n/a")</f>
        <v/>
      </c>
      <c r="H72" s="31">
        <f>IFERROR(ABS(H$56),"n/a")</f>
        <v/>
      </c>
      <c r="I72" s="31">
        <f>IFERROR(ABS(I$56),"n/a")</f>
        <v/>
      </c>
    </row>
    <row r="73">
      <c r="A73" s="29" t="inlineStr">
        <is>
          <t>Capex/TS</t>
        </is>
      </c>
      <c r="B73" s="30">
        <f>IFERROR(B$72/B$31,"n/a")</f>
        <v/>
      </c>
      <c r="C73" s="30">
        <f>IFERROR(C$72/C$31,"n/a")</f>
        <v/>
      </c>
      <c r="D73" s="30">
        <f>IFERROR(D$72/D$31,"n/a")</f>
        <v/>
      </c>
      <c r="E73" s="30">
        <f>IFERROR(E$72/E$31,"n/a")</f>
        <v/>
      </c>
      <c r="F73" s="30">
        <f>IFERROR(F$72/F$31,"n/a")</f>
        <v/>
      </c>
      <c r="G73" s="30">
        <f>IFERROR(G$72/G$31,"n/a")</f>
        <v/>
      </c>
      <c r="H73" s="30">
        <f>IFERROR(H$72/H$31,"n/a")</f>
        <v/>
      </c>
      <c r="I73" s="30">
        <f>IFERROR(I$72/I$31,"n/a")</f>
        <v/>
      </c>
    </row>
    <row r="74">
      <c r="A74" s="29" t="inlineStr">
        <is>
          <t>Capex/LNST</t>
        </is>
      </c>
      <c r="B74" s="30">
        <f>IFERROR(B$72/ABS(B$51),"n/a")</f>
        <v/>
      </c>
      <c r="C74" s="30">
        <f>IFERROR(C$72/ABS(C$51),"n/a")</f>
        <v/>
      </c>
      <c r="D74" s="30">
        <f>IFERROR(D$72/ABS(D$51),"n/a")</f>
        <v/>
      </c>
      <c r="E74" s="30">
        <f>IFERROR(E$72/ABS(E$51),"n/a")</f>
        <v/>
      </c>
      <c r="F74" s="30">
        <f>IFERROR(F$72/ABS(F$51),"n/a")</f>
        <v/>
      </c>
      <c r="G74" s="30">
        <f>IFERROR(G$72/ABS(G$51),"n/a")</f>
        <v/>
      </c>
      <c r="H74" s="30">
        <f>IFERROR(H$72/ABS(H$51),"n/a")</f>
        <v/>
      </c>
      <c r="I74" s="30">
        <f>IFERROR(I$72/ABS(I$51),"n/a")</f>
        <v/>
      </c>
    </row>
    <row r="75">
      <c r="A75" s="29" t="inlineStr">
        <is>
          <t>Chi phí khấu hao/Lợi nhuận gộp</t>
        </is>
      </c>
      <c r="B75" s="30">
        <f>IFERROR(ABS(B$55)/B$45,"n/a")</f>
        <v/>
      </c>
      <c r="C75" s="30">
        <f>IFERROR(ABS(C$55)/C$45,"n/a")</f>
        <v/>
      </c>
      <c r="D75" s="30">
        <f>IFERROR(ABS(D$55)/D$45,"n/a")</f>
        <v/>
      </c>
      <c r="E75" s="30">
        <f>IFERROR(ABS(E$55)/E$45,"n/a")</f>
        <v/>
      </c>
      <c r="F75" s="30">
        <f>IFERROR(ABS(F$55)/F$45,"n/a")</f>
        <v/>
      </c>
      <c r="G75" s="30">
        <f>IFERROR(ABS(G$55)/G$45,"n/a")</f>
        <v/>
      </c>
      <c r="H75" s="30">
        <f>IFERROR(ABS(H$55)/H$45,"n/a")</f>
        <v/>
      </c>
      <c r="I75" s="30">
        <f>IFERROR(ABS(I$55)/I$45,"n/a")</f>
        <v/>
      </c>
    </row>
    <row r="76">
      <c r="A76" s="29" t="inlineStr">
        <is>
          <t>EBIT/Chi phí lãi vay</t>
        </is>
      </c>
      <c r="B76" s="32">
        <f>IFERROR(B$65/ABS(B$49),"n/a")</f>
        <v/>
      </c>
      <c r="C76" s="32">
        <f>IFERROR(C$65/ABS(C$49),"n/a")</f>
        <v/>
      </c>
      <c r="D76" s="32">
        <f>IFERROR(D$65/ABS(D$49),"n/a")</f>
        <v/>
      </c>
      <c r="E76" s="32">
        <f>IFERROR(E$65/ABS(E$49),"n/a")</f>
        <v/>
      </c>
      <c r="F76" s="32">
        <f>IFERROR(F$65/ABS(F$49),"n/a")</f>
        <v/>
      </c>
      <c r="G76" s="32">
        <f>IFERROR(G$65/ABS(G$49),"n/a")</f>
        <v/>
      </c>
      <c r="H76" s="32">
        <f>IFERROR(H$65/ABS(H$49),"n/a")</f>
        <v/>
      </c>
      <c r="I76" s="32">
        <f>IFERROR(I$65/ABS(I$49),"n/a")</f>
        <v/>
      </c>
    </row>
    <row r="77">
      <c r="A77" s="28" t="inlineStr">
        <is>
          <t>Vốn lưu động &amp; hiệu quả hoạt động</t>
        </is>
      </c>
      <c r="B77" s="29" t="n"/>
      <c r="C77" s="29" t="n"/>
      <c r="D77" s="29" t="n"/>
      <c r="E77" s="29" t="n"/>
      <c r="F77" s="29" t="n"/>
      <c r="G77" s="29" t="n"/>
      <c r="H77" s="29" t="n"/>
      <c r="I77" s="29" t="n"/>
    </row>
    <row r="78">
      <c r="A78" s="29" t="inlineStr">
        <is>
          <t>Vòng quay tiền mặt</t>
        </is>
      </c>
      <c r="B78" s="33">
        <f>IFERROR(B$17+B$18-B$16,"n/a")</f>
        <v/>
      </c>
      <c r="C78" s="33">
        <f>IFERROR(C$17+C$18-C$16,"n/a")</f>
        <v/>
      </c>
      <c r="D78" s="33">
        <f>IFERROR(D$17+D$18-D$16,"n/a")</f>
        <v/>
      </c>
      <c r="E78" s="33">
        <f>IFERROR(E$17+E$18-E$16,"n/a")</f>
        <v/>
      </c>
      <c r="F78" s="33">
        <f>IFERROR(F$17+F$18-F$16,"n/a")</f>
        <v/>
      </c>
      <c r="G78" s="33">
        <f>IFERROR(G$17+G$18-G$16,"n/a")</f>
        <v/>
      </c>
      <c r="H78" s="33">
        <f>IFERROR(H$17+H$18-H$16,"n/a")</f>
        <v/>
      </c>
      <c r="I78" s="33">
        <f>IFERROR(I$17+I$18-I$16,"n/a")</f>
        <v/>
      </c>
    </row>
    <row r="79">
      <c r="A79" s="29" t="inlineStr">
        <is>
          <t>HTK/DT</t>
        </is>
      </c>
      <c r="B79" s="30">
        <f>IFERROR(B$28/B$43,"n/a")</f>
        <v/>
      </c>
      <c r="C79" s="30">
        <f>IFERROR(C$28/C$43,"n/a")</f>
        <v/>
      </c>
      <c r="D79" s="30">
        <f>IFERROR(D$28/D$43,"n/a")</f>
        <v/>
      </c>
      <c r="E79" s="30">
        <f>IFERROR(E$28/E$43,"n/a")</f>
        <v/>
      </c>
      <c r="F79" s="30">
        <f>IFERROR(F$28/F$43,"n/a")</f>
        <v/>
      </c>
      <c r="G79" s="30">
        <f>IFERROR(G$28/G$43,"n/a")</f>
        <v/>
      </c>
      <c r="H79" s="30">
        <f>IFERROR(H$28/H$43,"n/a")</f>
        <v/>
      </c>
      <c r="I79" s="30">
        <f>IFERROR(I$28/I$43,"n/a")</f>
        <v/>
      </c>
    </row>
    <row r="80">
      <c r="A80" s="29" t="inlineStr">
        <is>
          <t>HTK/TS</t>
        </is>
      </c>
      <c r="B80" s="30">
        <f>IFERROR(B$28/B$31,"n/a")</f>
        <v/>
      </c>
      <c r="C80" s="30">
        <f>IFERROR(C$28/C$31,"n/a")</f>
        <v/>
      </c>
      <c r="D80" s="30">
        <f>IFERROR(D$28/D$31,"n/a")</f>
        <v/>
      </c>
      <c r="E80" s="30">
        <f>IFERROR(E$28/E$31,"n/a")</f>
        <v/>
      </c>
      <c r="F80" s="30">
        <f>IFERROR(F$28/F$31,"n/a")</f>
        <v/>
      </c>
      <c r="G80" s="30">
        <f>IFERROR(G$28/G$31,"n/a")</f>
        <v/>
      </c>
      <c r="H80" s="30">
        <f>IFERROR(H$28/H$31,"n/a")</f>
        <v/>
      </c>
      <c r="I80" s="30">
        <f>IFERROR(I$28/I$31,"n/a")</f>
        <v/>
      </c>
    </row>
    <row r="81">
      <c r="A81" s="29" t="inlineStr">
        <is>
          <t>DT/TS</t>
        </is>
      </c>
      <c r="B81" s="30">
        <f>IFERROR(B$43/B$31,"n/a")</f>
        <v/>
      </c>
      <c r="C81" s="30">
        <f>IFERROR(C$43/C$31,"n/a")</f>
        <v/>
      </c>
      <c r="D81" s="30">
        <f>IFERROR(D$43/D$31,"n/a")</f>
        <v/>
      </c>
      <c r="E81" s="30">
        <f>IFERROR(E$43/E$31,"n/a")</f>
        <v/>
      </c>
      <c r="F81" s="30">
        <f>IFERROR(F$43/F$31,"n/a")</f>
        <v/>
      </c>
      <c r="G81" s="30">
        <f>IFERROR(G$43/G$31,"n/a")</f>
        <v/>
      </c>
      <c r="H81" s="30">
        <f>IFERROR(H$43/H$31,"n/a")</f>
        <v/>
      </c>
      <c r="I81" s="30">
        <f>IFERROR(I$43/I$31,"n/a")</f>
        <v/>
      </c>
    </row>
    <row r="82">
      <c r="A82" s="28" t="inlineStr">
        <is>
          <t>Khả năng thanh toán</t>
        </is>
      </c>
      <c r="B82" s="29" t="n"/>
      <c r="C82" s="29" t="n"/>
      <c r="D82" s="29" t="n"/>
      <c r="E82" s="29" t="n"/>
      <c r="F82" s="29" t="n"/>
      <c r="G82" s="29" t="n"/>
      <c r="H82" s="29" t="n"/>
      <c r="I82" s="29" t="n"/>
    </row>
    <row r="83">
      <c r="A83" s="29" t="inlineStr">
        <is>
          <t>(TS ngắn hạn − HTK)/Nợ ngắn hạn</t>
        </is>
      </c>
      <c r="B83" s="32">
        <f>IFERROR((B$29-B$28)/B$35,"n/a")</f>
        <v/>
      </c>
      <c r="C83" s="32">
        <f>IFERROR((C$29-C$28)/C$35,"n/a")</f>
        <v/>
      </c>
      <c r="D83" s="32">
        <f>IFERROR((D$29-D$28)/D$35,"n/a")</f>
        <v/>
      </c>
      <c r="E83" s="32">
        <f>IFERROR((E$29-E$28)/E$35,"n/a")</f>
        <v/>
      </c>
      <c r="F83" s="32">
        <f>IFERROR((F$29-F$28)/F$35,"n/a")</f>
        <v/>
      </c>
      <c r="G83" s="32">
        <f>IFERROR((G$29-G$28)/G$35,"n/a")</f>
        <v/>
      </c>
      <c r="H83" s="32">
        <f>IFERROR((H$29-H$28)/H$35,"n/a")</f>
        <v/>
      </c>
      <c r="I83" s="32">
        <f>IFERROR((I$29-I$28)/I$35,"n/a")</f>
        <v/>
      </c>
    </row>
    <row r="84">
      <c r="A84" s="29" t="inlineStr">
        <is>
          <t>TS ngắn hạn/Nợ ngắn hạn</t>
        </is>
      </c>
      <c r="B84" s="32">
        <f>IFERROR(B$29/B$35,"n/a")</f>
        <v/>
      </c>
      <c r="C84" s="32">
        <f>IFERROR(C$29/C$35,"n/a")</f>
        <v/>
      </c>
      <c r="D84" s="32">
        <f>IFERROR(D$29/D$35,"n/a")</f>
        <v/>
      </c>
      <c r="E84" s="32">
        <f>IFERROR(E$29/E$35,"n/a")</f>
        <v/>
      </c>
      <c r="F84" s="32">
        <f>IFERROR(F$29/F$35,"n/a")</f>
        <v/>
      </c>
      <c r="G84" s="32">
        <f>IFERROR(G$29/G$35,"n/a")</f>
        <v/>
      </c>
      <c r="H84" s="32">
        <f>IFERROR(H$29/H$35,"n/a")</f>
        <v/>
      </c>
      <c r="I84" s="32">
        <f>IFERROR(I$29/I$35,"n/a")</f>
        <v/>
      </c>
    </row>
    <row r="85">
      <c r="A85" s="28" t="inlineStr">
        <is>
          <t>Tài sản &amp; cơ cấu tài sản</t>
        </is>
      </c>
      <c r="B85" s="29" t="n"/>
      <c r="C85" s="29" t="n"/>
      <c r="D85" s="29" t="n"/>
      <c r="E85" s="29" t="n"/>
      <c r="F85" s="29" t="n"/>
      <c r="G85" s="29" t="n"/>
      <c r="H85" s="29" t="n"/>
      <c r="I85" s="29" t="n"/>
    </row>
    <row r="86">
      <c r="A86" s="29" t="inlineStr">
        <is>
          <t>TSCĐ vô hình</t>
        </is>
      </c>
      <c r="B86" s="31">
        <f>IFERROR(B$30,"n/a")</f>
        <v/>
      </c>
      <c r="C86" s="31">
        <f>IFERROR(C$30,"n/a")</f>
        <v/>
      </c>
      <c r="D86" s="31">
        <f>IFERROR(D$30,"n/a")</f>
        <v/>
      </c>
      <c r="E86" s="31">
        <f>IFERROR(E$30,"n/a")</f>
        <v/>
      </c>
      <c r="F86" s="31">
        <f>IFERROR(F$30,"n/a")</f>
        <v/>
      </c>
      <c r="G86" s="31">
        <f>IFERROR(G$30,"n/a")</f>
        <v/>
      </c>
      <c r="H86" s="31">
        <f>IFERROR(H$30,"n/a")</f>
        <v/>
      </c>
      <c r="I86" s="31">
        <f>IFERROR(I$30,"n/a")</f>
        <v/>
      </c>
    </row>
    <row r="87">
      <c r="A87" s="29" t="inlineStr">
        <is>
          <t>Tài sản vô hình/Giá trị sổ sách</t>
        </is>
      </c>
      <c r="B87" s="30">
        <f>IFERROR(B$30/B$39,"n/a")</f>
        <v/>
      </c>
      <c r="C87" s="30">
        <f>IFERROR(C$30/C$39,"n/a")</f>
        <v/>
      </c>
      <c r="D87" s="30">
        <f>IFERROR(D$30/D$39,"n/a")</f>
        <v/>
      </c>
      <c r="E87" s="30">
        <f>IFERROR(E$30/E$39,"n/a")</f>
        <v/>
      </c>
      <c r="F87" s="30">
        <f>IFERROR(F$30/F$39,"n/a")</f>
        <v/>
      </c>
      <c r="G87" s="30">
        <f>IFERROR(G$30/G$39,"n/a")</f>
        <v/>
      </c>
      <c r="H87" s="30">
        <f>IFERROR(H$30/H$39,"n/a")</f>
        <v/>
      </c>
      <c r="I87" s="30">
        <f>IFERROR(I$30/I$39,"n/a")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1.77734375" customWidth="1" min="1" max="1"/>
    <col width="17.44140625" customWidth="1" min="2" max="2"/>
    <col width="11.77734375" customWidth="1" min="7" max="7"/>
  </cols>
  <sheetData>
    <row r="1" ht="13.5" customHeight="1">
      <c r="A1" s="29" t="n"/>
      <c r="B1" s="29" t="inlineStr">
        <is>
          <t>Q4/2025</t>
        </is>
      </c>
      <c r="C1" s="29" t="inlineStr">
        <is>
          <t>Q1/2026</t>
        </is>
      </c>
      <c r="D1" s="29" t="inlineStr">
        <is>
          <t>Q2/2026</t>
        </is>
      </c>
      <c r="E1" s="29" t="inlineStr">
        <is>
          <t>Q3/2026</t>
        </is>
      </c>
      <c r="F1" s="29" t="inlineStr">
        <is>
          <t>Q4/2026</t>
        </is>
      </c>
    </row>
    <row r="2" ht="13.5" customHeight="1">
      <c r="A2" s="29" t="inlineStr">
        <is>
          <t>Số CP</t>
        </is>
      </c>
      <c r="B2" s="34" t="n">
        <v>178815054</v>
      </c>
      <c r="C2" s="34" t="n">
        <v>178815054</v>
      </c>
      <c r="D2" s="34" t="n">
        <v>178815054</v>
      </c>
      <c r="E2" s="34" t="n">
        <v>178815054</v>
      </c>
      <c r="F2" s="34" t="n">
        <v>178815054</v>
      </c>
    </row>
    <row r="3" ht="13.5" customHeight="1">
      <c r="A3" s="29" t="inlineStr">
        <is>
          <t>Thị giá</t>
        </is>
      </c>
      <c r="B3" s="34">
        <f>[1]Sheet1!$F$2</f>
        <v/>
      </c>
      <c r="C3" s="34">
        <f>[1]Sheet1!$F$2</f>
        <v/>
      </c>
      <c r="D3" s="34">
        <f>[1]Sheet1!$F$2</f>
        <v/>
      </c>
      <c r="E3" s="34">
        <f>[1]Sheet1!$F$2</f>
        <v/>
      </c>
      <c r="F3" s="34">
        <f>[1]Sheet1!$F$2</f>
        <v/>
      </c>
    </row>
    <row r="4" ht="13.5" customHeight="1">
      <c r="A4" s="29" t="inlineStr">
        <is>
          <t>Vốn hoá</t>
        </is>
      </c>
      <c r="B4" s="34">
        <f>B2*B3</f>
        <v/>
      </c>
      <c r="C4" s="34">
        <f>C2*C3</f>
        <v/>
      </c>
      <c r="D4" s="34">
        <f>D2*D3</f>
        <v/>
      </c>
      <c r="E4" s="34">
        <f>E2*E3</f>
        <v/>
      </c>
      <c r="F4" s="34">
        <f>F2*F3</f>
        <v/>
      </c>
    </row>
    <row r="5" ht="13.5" customHeight="1"/>
    <row r="6" ht="13.5" customHeight="1">
      <c r="A6" s="29" t="inlineStr">
        <is>
          <t>VCSH</t>
        </is>
      </c>
      <c r="B6" s="34">
        <f>chi_so_tai_chinh!I39</f>
        <v/>
      </c>
      <c r="C6" s="34" t="n">
        <v>5514000000000</v>
      </c>
      <c r="D6" s="34">
        <f>$C$6*(($F$6/$C$6)^(1/3))</f>
        <v/>
      </c>
      <c r="E6" s="34">
        <f>$C$6*(($F$6/$C$6)^(2/3))</f>
        <v/>
      </c>
      <c r="F6" s="34">
        <f>chi_so_tai_chinh!J39</f>
        <v/>
      </c>
    </row>
    <row r="7" ht="13.5" customHeight="1">
      <c r="A7" s="29" t="inlineStr">
        <is>
          <t>LICĐKKS</t>
        </is>
      </c>
      <c r="B7" s="34">
        <f>chi_so_tai_chinh!I41</f>
        <v/>
      </c>
      <c r="C7" s="34">
        <f>chi_so_tai_chinh!J41</f>
        <v/>
      </c>
      <c r="D7" s="34">
        <f>chi_so_tai_chinh!K41</f>
        <v/>
      </c>
      <c r="E7" s="34">
        <f>chi_so_tai_chinh!L41</f>
        <v/>
      </c>
      <c r="F7" s="34">
        <f>chi_so_tai_chinh!M41</f>
        <v/>
      </c>
    </row>
    <row r="8" ht="13.5" customHeight="1">
      <c r="A8" s="29" t="inlineStr">
        <is>
          <t>BV</t>
        </is>
      </c>
      <c r="B8" s="34">
        <f>B6-B7</f>
        <v/>
      </c>
      <c r="C8" s="34">
        <f>C6-C7</f>
        <v/>
      </c>
      <c r="D8" s="34">
        <f>D6-D7</f>
        <v/>
      </c>
      <c r="E8" s="34">
        <f>E6-E7</f>
        <v/>
      </c>
      <c r="F8" s="34">
        <f>F6-F7</f>
        <v/>
      </c>
    </row>
    <row r="9" ht="13.5" customHeight="1">
      <c r="A9" s="29" t="inlineStr">
        <is>
          <t>BVPS</t>
        </is>
      </c>
      <c r="B9" s="35">
        <f>B8/B2</f>
        <v/>
      </c>
      <c r="C9" s="35">
        <f>C8/C2</f>
        <v/>
      </c>
      <c r="D9" s="35">
        <f>D8/D2</f>
        <v/>
      </c>
      <c r="E9" s="35">
        <f>E8/E2</f>
        <v/>
      </c>
      <c r="F9" s="35">
        <f>F8/F2</f>
        <v/>
      </c>
    </row>
    <row r="10" ht="13.5" customHeight="1">
      <c r="A10" s="29" t="inlineStr">
        <is>
          <t>PB</t>
        </is>
      </c>
      <c r="B10" s="36">
        <f>B3/B9</f>
        <v/>
      </c>
      <c r="C10" s="36">
        <f>C3/C9</f>
        <v/>
      </c>
      <c r="D10" s="36">
        <f>D3/D9</f>
        <v/>
      </c>
      <c r="E10" s="36">
        <f>E3/E9</f>
        <v/>
      </c>
      <c r="F10" s="36">
        <f>F3/F9</f>
        <v/>
      </c>
    </row>
    <row r="11" ht="13.5" customHeight="1">
      <c r="H11" s="37" t="n"/>
      <c r="I11" s="37" t="n"/>
      <c r="J11" s="37" t="n"/>
    </row>
    <row r="12" ht="13.5" customHeight="1">
      <c r="A12" s="29" t="inlineStr">
        <is>
          <t>DT</t>
        </is>
      </c>
      <c r="B12" s="34">
        <f>chi_so_tai_chinh!I43</f>
        <v/>
      </c>
      <c r="C12" s="34">
        <f>$B$12*(($F$12/$B$12)^(1/4))</f>
        <v/>
      </c>
      <c r="D12" s="34">
        <f>$B$12*(($F$12/$B$12)^(2/4))</f>
        <v/>
      </c>
      <c r="E12" s="34">
        <f>$B$12*(($F$12/$B$12)^(3/4))</f>
        <v/>
      </c>
      <c r="F12" s="34">
        <f>chi_so_tai_chinh!J43</f>
        <v/>
      </c>
    </row>
    <row r="13" ht="13.5" customHeight="1">
      <c r="A13" s="29" t="inlineStr">
        <is>
          <t>DT per share</t>
        </is>
      </c>
      <c r="B13" s="35">
        <f>B12/C2</f>
        <v/>
      </c>
      <c r="C13" s="35">
        <f>C12/C2</f>
        <v/>
      </c>
      <c r="D13" s="35">
        <f>D12/D2</f>
        <v/>
      </c>
      <c r="E13" s="35">
        <f>E12/E2</f>
        <v/>
      </c>
      <c r="F13" s="35">
        <f>F12/F2</f>
        <v/>
      </c>
    </row>
    <row r="14" ht="13.5" customHeight="1">
      <c r="A14" s="29" t="inlineStr">
        <is>
          <t>PS</t>
        </is>
      </c>
      <c r="B14" s="36">
        <f>C3/B13</f>
        <v/>
      </c>
      <c r="C14" s="36">
        <f>C4/C12</f>
        <v/>
      </c>
      <c r="D14" s="36">
        <f>D4/D12</f>
        <v/>
      </c>
      <c r="E14" s="36">
        <f>E4/E12</f>
        <v/>
      </c>
      <c r="F14" s="36">
        <f>F4/F12</f>
        <v/>
      </c>
    </row>
    <row r="15" ht="13.5" customHeight="1"/>
    <row r="16" ht="13.5" customHeight="1">
      <c r="A16" s="29" t="inlineStr">
        <is>
          <t>Earning</t>
        </is>
      </c>
      <c r="B16" s="34">
        <f>chi_so_tai_chinh!I52</f>
        <v/>
      </c>
      <c r="C16" s="34">
        <f>$B$16*(($F$16/$B$16)^(1/4))</f>
        <v/>
      </c>
      <c r="D16" s="34">
        <f>$B$16*(($F$16/$B$16)^(2/4))</f>
        <v/>
      </c>
      <c r="E16" s="34">
        <f>$B$16*(($F$16/$B$16)^(3/4))</f>
        <v/>
      </c>
      <c r="F16" s="34">
        <f>chi_so_tai_chinh!J52</f>
        <v/>
      </c>
    </row>
    <row r="17" ht="13.5" customHeight="1">
      <c r="A17" s="29" t="inlineStr">
        <is>
          <t>EPS</t>
        </is>
      </c>
      <c r="B17" s="35">
        <f>B16/$F$2</f>
        <v/>
      </c>
      <c r="C17" s="35">
        <f>C16/$F$2</f>
        <v/>
      </c>
      <c r="D17" s="35">
        <f>D16/$F$2</f>
        <v/>
      </c>
      <c r="E17" s="35">
        <f>E16/$F$2</f>
        <v/>
      </c>
      <c r="F17" s="35">
        <f>F16/$F$2</f>
        <v/>
      </c>
    </row>
    <row r="18" ht="13.5" customHeight="1">
      <c r="A18" s="29" t="inlineStr">
        <is>
          <t>PE</t>
        </is>
      </c>
      <c r="B18" s="36">
        <f>$F$3/B17</f>
        <v/>
      </c>
      <c r="C18" s="36">
        <f>$F$3/C17</f>
        <v/>
      </c>
      <c r="D18" s="36">
        <f>$F$3/D17</f>
        <v/>
      </c>
      <c r="E18" s="36">
        <f>$F$3/E17</f>
        <v/>
      </c>
      <c r="F18" s="36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.44140625" customWidth="1" min="1" max="1"/>
    <col width="12.6640625" customWidth="1" min="2" max="2"/>
    <col width="11.33203125" customWidth="1" min="6" max="6"/>
    <col width="8.88671875" customWidth="1" min="7" max="7"/>
  </cols>
  <sheetData>
    <row r="1">
      <c r="A1" s="29" t="inlineStr">
        <is>
          <t>Chỉ tiêu</t>
        </is>
      </c>
      <c r="B1" s="29" t="n">
        <v>2022</v>
      </c>
      <c r="C1" s="29" t="n">
        <v>2023</v>
      </c>
      <c r="D1" s="29" t="n">
        <v>2024</v>
      </c>
      <c r="E1" s="29" t="n">
        <v>2025</v>
      </c>
      <c r="F1" s="29" t="n">
        <v>2026</v>
      </c>
    </row>
    <row r="2">
      <c r="A2" s="29" t="inlineStr">
        <is>
          <t>Doanh thu kế hoạch</t>
        </is>
      </c>
      <c r="B2" s="34" t="n">
        <v>27000000</v>
      </c>
      <c r="C2" s="34" t="n">
        <v>34000000</v>
      </c>
      <c r="D2" s="34" t="n">
        <v>37300000</v>
      </c>
      <c r="E2" s="34" t="n">
        <v>48100000</v>
      </c>
      <c r="F2" s="34" t="n">
        <v>59500</v>
      </c>
    </row>
    <row r="3">
      <c r="A3" s="29" t="inlineStr">
        <is>
          <t>Doanh thu thuần về bán hàng và cung cấp dịch vụ</t>
        </is>
      </c>
      <c r="B3" s="34">
        <f>[2]KQHĐKD!F4*1000</f>
        <v/>
      </c>
      <c r="C3" s="34">
        <f>[2]KQHĐKD!G4*1000</f>
        <v/>
      </c>
      <c r="D3" s="34">
        <f>[2]KQHĐKD!H4*1000</f>
        <v/>
      </c>
      <c r="E3" s="34" t="n">
        <v>59500000</v>
      </c>
      <c r="F3" s="29" t="n"/>
    </row>
    <row r="4">
      <c r="A4" s="29" t="inlineStr">
        <is>
          <t>%thực hiện</t>
        </is>
      </c>
      <c r="B4" s="38">
        <f>B3/B2</f>
        <v/>
      </c>
      <c r="C4" s="38">
        <f>C3/C2</f>
        <v/>
      </c>
      <c r="D4" s="38">
        <f>D3/D2</f>
        <v/>
      </c>
      <c r="E4" s="38">
        <f>E3/E2</f>
        <v/>
      </c>
      <c r="F4" s="29" t="n"/>
    </row>
    <row r="5">
      <c r="A5" s="29" t="inlineStr">
        <is>
          <t>Lợi nhuận trước thuế kế hoạch</t>
        </is>
      </c>
      <c r="B5" s="34" t="n">
        <v>720000</v>
      </c>
      <c r="C5" s="34" t="n">
        <v>240000</v>
      </c>
      <c r="D5" s="34" t="n">
        <v>125000</v>
      </c>
      <c r="E5" s="34" t="n">
        <v>900000</v>
      </c>
      <c r="F5" s="34" t="n">
        <v>1550000</v>
      </c>
    </row>
    <row r="6">
      <c r="A6" s="29" t="inlineStr">
        <is>
          <t>Lợi nhuận trước thuế thu nhập doanh nghiệp</t>
        </is>
      </c>
      <c r="B6" s="34">
        <f>[2]KQHĐKD!F18*1000</f>
        <v/>
      </c>
      <c r="C6" s="34">
        <f>[2]KQHĐKD!G18*1000</f>
        <v/>
      </c>
      <c r="D6" s="34">
        <f>[2]KQHĐKD!H18*1000</f>
        <v/>
      </c>
      <c r="E6" s="34" t="n">
        <v>1219117.502673</v>
      </c>
      <c r="F6" s="29" t="n"/>
    </row>
    <row r="7">
      <c r="A7" s="29" t="inlineStr">
        <is>
          <t>%thực hiện</t>
        </is>
      </c>
      <c r="B7" s="38">
        <f>B6/B5</f>
        <v/>
      </c>
      <c r="C7" s="38">
        <f>C6/C5</f>
        <v/>
      </c>
      <c r="D7" s="38">
        <f>D6/D5</f>
        <v/>
      </c>
      <c r="E7" s="38">
        <f>E6/E5</f>
        <v/>
      </c>
      <c r="F7" s="29" t="n"/>
    </row>
    <row r="8"/>
    <row r="9">
      <c r="A9" s="29" t="inlineStr">
        <is>
          <t>Trung vị %thực hiện DT</t>
        </is>
      </c>
      <c r="B9" s="38">
        <f>MEDIAN(B4:D4)</f>
        <v/>
      </c>
    </row>
    <row r="10">
      <c r="A10" s="29" t="inlineStr">
        <is>
          <t>Trung vị %thực hiện LNST</t>
        </is>
      </c>
      <c r="B10" s="38">
        <f>MEDIAN(B7:D7)</f>
        <v/>
      </c>
    </row>
    <row r="11"/>
    <row r="12">
      <c r="A12" s="29" t="inlineStr">
        <is>
          <t>Tỷ lệ hoàn thành DT trên 95%</t>
        </is>
      </c>
      <c r="B12" s="38">
        <f>COUNTIF(B4:E4,"&gt;=95%")/COUNT(B4:E4)</f>
        <v/>
      </c>
    </row>
    <row r="13">
      <c r="A13" s="29" t="inlineStr">
        <is>
          <t>Tỷ lệ hoàn thành LNST trên 95%</t>
        </is>
      </c>
      <c r="B13" s="38">
        <f>COUNTIF(B7:F7,"&gt;=95%")/COUNT(B7:F7)</f>
        <v/>
      </c>
    </row>
  </sheetData>
  <conditionalFormatting sqref="B9:B10">
    <cfRule type="cellIs" priority="1" operator="greaterThanOrEqual" dxfId="3">
      <formula>1</formula>
    </cfRule>
  </conditionalFormatting>
  <conditionalFormatting sqref="B4:E4 B7:E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2026-09-23T03:42:32Z</dcterms:created>
  <dcterms:modified xsi:type="dcterms:W3CDTF">2026-09-23T03:42:33Z</dcterms:modified>
</cp:coreProperties>
</file>